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K:\Engineering\Bit Design Packages\Fixed Cutter\14.750\7.625 API\616\2256\"/>
    </mc:Choice>
  </mc:AlternateContent>
  <xr:revisionPtr revIDLastSave="0" documentId="13_ncr:1_{3BFBF76C-7EA0-4E28-8654-ECEFEB8FE00F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Graph 1" sheetId="7" r:id="rId1"/>
    <sheet name="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6" i="1" l="1"/>
  <c r="X55" i="1"/>
  <c r="X54" i="1"/>
  <c r="Y54" i="1" s="1"/>
  <c r="X53" i="1"/>
  <c r="Y53" i="1" s="1"/>
  <c r="X52" i="1"/>
  <c r="X51" i="1"/>
  <c r="X50" i="1"/>
  <c r="X49" i="1"/>
  <c r="X48" i="1"/>
  <c r="X47" i="1"/>
  <c r="Y47" i="1" s="1"/>
  <c r="X46" i="1"/>
  <c r="X45" i="1"/>
  <c r="X44" i="1"/>
  <c r="X43" i="1"/>
  <c r="X42" i="1"/>
  <c r="X41" i="1"/>
  <c r="X40" i="1"/>
  <c r="X39" i="1"/>
  <c r="X38" i="1"/>
  <c r="X37" i="1"/>
  <c r="Y37" i="1" s="1"/>
  <c r="X36" i="1"/>
  <c r="X35" i="1"/>
  <c r="X34" i="1"/>
  <c r="Y34" i="1" s="1"/>
  <c r="X33" i="1"/>
  <c r="X32" i="1"/>
  <c r="X31" i="1"/>
  <c r="X30" i="1"/>
  <c r="X29" i="1"/>
  <c r="Y29" i="1" s="1"/>
  <c r="X28" i="1"/>
  <c r="X27" i="1"/>
  <c r="X26" i="1"/>
  <c r="X25" i="1"/>
  <c r="X24" i="1"/>
  <c r="X23" i="1"/>
  <c r="X22" i="1"/>
  <c r="Y22" i="1" s="1"/>
  <c r="X21" i="1"/>
  <c r="Y21" i="1" s="1"/>
  <c r="X20" i="1"/>
  <c r="X19" i="1"/>
  <c r="X18" i="1"/>
  <c r="X17" i="1"/>
  <c r="Y17" i="1" s="1"/>
  <c r="X16" i="1"/>
  <c r="X15" i="1"/>
  <c r="X14" i="1"/>
  <c r="X13" i="1"/>
  <c r="Y13" i="1" s="1"/>
  <c r="X12" i="1"/>
  <c r="Y12" i="1" s="1"/>
  <c r="X11" i="1"/>
  <c r="Y11" i="1" s="1"/>
  <c r="X10" i="1"/>
  <c r="X9" i="1"/>
  <c r="Y9" i="1" s="1"/>
  <c r="X8" i="1"/>
  <c r="Y8" i="1" s="1"/>
  <c r="X7" i="1"/>
  <c r="X6" i="1"/>
  <c r="Y6" i="1" s="1"/>
  <c r="X5" i="1"/>
  <c r="Y5" i="1" s="1"/>
  <c r="X4" i="1"/>
  <c r="Y4" i="1" s="1"/>
  <c r="X3" i="1"/>
  <c r="Y3" i="1" s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Y18" i="1" s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3" i="1"/>
  <c r="Y32" i="1" l="1"/>
  <c r="Y19" i="1"/>
  <c r="Y27" i="1"/>
  <c r="Y35" i="1"/>
  <c r="Y50" i="1"/>
  <c r="Y40" i="1"/>
  <c r="Y20" i="1"/>
  <c r="Y28" i="1"/>
  <c r="Y36" i="1"/>
  <c r="Y43" i="1"/>
  <c r="Y51" i="1"/>
  <c r="Y26" i="1"/>
  <c r="Y10" i="1"/>
  <c r="Y44" i="1"/>
  <c r="Y52" i="1"/>
  <c r="Y14" i="1"/>
  <c r="Y30" i="1"/>
  <c r="Y38" i="1"/>
  <c r="Y45" i="1"/>
  <c r="Y15" i="1"/>
  <c r="Y23" i="1"/>
  <c r="Y31" i="1"/>
  <c r="Y39" i="1"/>
  <c r="Y46" i="1"/>
  <c r="Y16" i="1"/>
  <c r="Y7" i="1"/>
  <c r="Y25" i="1"/>
  <c r="Y33" i="1"/>
  <c r="Y41" i="1"/>
  <c r="Y48" i="1"/>
  <c r="Y55" i="1"/>
  <c r="Y24" i="1"/>
  <c r="Y42" i="1"/>
  <c r="Y49" i="1"/>
  <c r="Y56" i="1"/>
  <c r="N38" i="1"/>
  <c r="L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3" i="1"/>
</calcChain>
</file>

<file path=xl/sharedStrings.xml><?xml version="1.0" encoding="utf-8"?>
<sst xmlns="http://schemas.openxmlformats.org/spreadsheetml/2006/main" count="16" uniqueCount="4">
  <si>
    <t>Radius</t>
  </si>
  <si>
    <t>Backrake</t>
  </si>
  <si>
    <t>%Rad</t>
  </si>
  <si>
    <t>First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</si>
</sst>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476"/>
          <c:h val="0.77385703825088914"/>
        </c:manualLayout>
      </c:layout>
      <c:scatterChart>
        <c:scatterStyle val="lineMarker"/>
        <c:varyColors val="0"/>
        <c:ser>
          <c:idx val="0"/>
          <c:order val="0"/>
          <c:tx>
            <c:strRef>
              <c:f>Data!$G$1</c:f>
              <c:strCache>
                <c:ptCount val="1"/>
                <c:pt idx="0">
                  <c:v>2169</c:v>
                </c:pt>
              </c:strCache>
            </c:strRef>
          </c:tx>
          <c:xVal>
            <c:numRef>
              <c:f>Data!$I$3:$I$42</c:f>
              <c:numCache>
                <c:formatCode>0.00%</c:formatCode>
                <c:ptCount val="40"/>
                <c:pt idx="0">
                  <c:v>3.5810169491525427E-2</c:v>
                </c:pt>
                <c:pt idx="1">
                  <c:v>6.9342372881355932E-2</c:v>
                </c:pt>
                <c:pt idx="2">
                  <c:v>0.10287457627118644</c:v>
                </c:pt>
                <c:pt idx="3">
                  <c:v>0.13640677966101694</c:v>
                </c:pt>
                <c:pt idx="4">
                  <c:v>0.16993898305084748</c:v>
                </c:pt>
                <c:pt idx="5">
                  <c:v>0.20347118644067796</c:v>
                </c:pt>
                <c:pt idx="6">
                  <c:v>0.23700338983050848</c:v>
                </c:pt>
                <c:pt idx="7">
                  <c:v>0.27053559322033899</c:v>
                </c:pt>
                <c:pt idx="8">
                  <c:v>0.30406779661016953</c:v>
                </c:pt>
                <c:pt idx="9">
                  <c:v>0.33759999999999996</c:v>
                </c:pt>
                <c:pt idx="10">
                  <c:v>0.3711322033898305</c:v>
                </c:pt>
                <c:pt idx="11">
                  <c:v>0.40466440677966103</c:v>
                </c:pt>
                <c:pt idx="12">
                  <c:v>0.44448813559322031</c:v>
                </c:pt>
                <c:pt idx="13">
                  <c:v>0.4801220338983051</c:v>
                </c:pt>
                <c:pt idx="14">
                  <c:v>0.51661016949152538</c:v>
                </c:pt>
                <c:pt idx="15">
                  <c:v>0.5521084745762711</c:v>
                </c:pt>
                <c:pt idx="16">
                  <c:v>0.58889491525423721</c:v>
                </c:pt>
                <c:pt idx="17">
                  <c:v>0.6252338983050848</c:v>
                </c:pt>
                <c:pt idx="18">
                  <c:v>0.66074576271186447</c:v>
                </c:pt>
                <c:pt idx="19">
                  <c:v>0.69479322033898305</c:v>
                </c:pt>
                <c:pt idx="20">
                  <c:v>0.72767457627118648</c:v>
                </c:pt>
                <c:pt idx="21">
                  <c:v>0.7591457627118644</c:v>
                </c:pt>
                <c:pt idx="22">
                  <c:v>0.7891389830508474</c:v>
                </c:pt>
                <c:pt idx="23">
                  <c:v>0.81741016949152545</c:v>
                </c:pt>
                <c:pt idx="24">
                  <c:v>0.84378305084745764</c:v>
                </c:pt>
                <c:pt idx="25">
                  <c:v>0.86808135593220337</c:v>
                </c:pt>
                <c:pt idx="26">
                  <c:v>0.89014237288135589</c:v>
                </c:pt>
                <c:pt idx="27">
                  <c:v>0.90991186440677974</c:v>
                </c:pt>
                <c:pt idx="28">
                  <c:v>0.92702372881355932</c:v>
                </c:pt>
                <c:pt idx="29">
                  <c:v>0.94161355932203383</c:v>
                </c:pt>
                <c:pt idx="30">
                  <c:v>0.95361355932203384</c:v>
                </c:pt>
                <c:pt idx="31">
                  <c:v>0.96348474576271181</c:v>
                </c:pt>
                <c:pt idx="32">
                  <c:v>0.97252881355932197</c:v>
                </c:pt>
                <c:pt idx="33">
                  <c:v>0.98037966101694907</c:v>
                </c:pt>
                <c:pt idx="34">
                  <c:v>0.98657627118644065</c:v>
                </c:pt>
                <c:pt idx="35">
                  <c:v>0.99087457627118636</c:v>
                </c:pt>
                <c:pt idx="36">
                  <c:v>0.99431864406779658</c:v>
                </c:pt>
                <c:pt idx="37">
                  <c:v>0.99814237288135588</c:v>
                </c:pt>
                <c:pt idx="38">
                  <c:v>0.99814237288135588</c:v>
                </c:pt>
                <c:pt idx="39">
                  <c:v>0.99814237288135588</c:v>
                </c:pt>
              </c:numCache>
            </c:numRef>
          </c:xVal>
          <c:yVal>
            <c:numRef>
              <c:f>Data!$H$3:$H$42</c:f>
              <c:numCache>
                <c:formatCode>General</c:formatCode>
                <c:ptCount val="40"/>
                <c:pt idx="0">
                  <c:v>20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17</c:v>
                </c:pt>
                <c:pt idx="32">
                  <c:v>18</c:v>
                </c:pt>
                <c:pt idx="33">
                  <c:v>20</c:v>
                </c:pt>
                <c:pt idx="34">
                  <c:v>22</c:v>
                </c:pt>
                <c:pt idx="35">
                  <c:v>23</c:v>
                </c:pt>
                <c:pt idx="36">
                  <c:v>25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8E-46CA-826C-8105B830A49C}"/>
            </c:ext>
          </c:extLst>
        </c:ser>
        <c:ser>
          <c:idx val="1"/>
          <c:order val="1"/>
          <c:tx>
            <c:strRef>
              <c:f>Data!$Q$1</c:f>
              <c:strCache>
                <c:ptCount val="1"/>
                <c:pt idx="0">
                  <c:v>2216</c:v>
                </c:pt>
              </c:strCache>
            </c:strRef>
          </c:tx>
          <c:xVal>
            <c:numRef>
              <c:f>Data!$R$3:$R$77</c:f>
              <c:numCache>
                <c:formatCode>0.00%</c:formatCode>
                <c:ptCount val="75"/>
                <c:pt idx="0">
                  <c:v>3.026285714285714E-2</c:v>
                </c:pt>
                <c:pt idx="1">
                  <c:v>5.8525714285714285E-2</c:v>
                </c:pt>
                <c:pt idx="2">
                  <c:v>8.6777142857142858E-2</c:v>
                </c:pt>
                <c:pt idx="3">
                  <c:v>0.11503999999999999</c:v>
                </c:pt>
                <c:pt idx="4">
                  <c:v>0.14330285714285715</c:v>
                </c:pt>
                <c:pt idx="5">
                  <c:v>0.17156571428571429</c:v>
                </c:pt>
                <c:pt idx="6">
                  <c:v>0.19982857142857141</c:v>
                </c:pt>
                <c:pt idx="7">
                  <c:v>0.22808</c:v>
                </c:pt>
                <c:pt idx="8">
                  <c:v>0.25634285714285715</c:v>
                </c:pt>
                <c:pt idx="9">
                  <c:v>0.2846057142857143</c:v>
                </c:pt>
                <c:pt idx="10">
                  <c:v>0.29873142857142859</c:v>
                </c:pt>
                <c:pt idx="11">
                  <c:v>0.31286857142857144</c:v>
                </c:pt>
                <c:pt idx="12">
                  <c:v>0.32699428571428574</c:v>
                </c:pt>
                <c:pt idx="13">
                  <c:v>0.34111999999999998</c:v>
                </c:pt>
                <c:pt idx="14">
                  <c:v>0.35525714285714283</c:v>
                </c:pt>
                <c:pt idx="15">
                  <c:v>0.36938285714285712</c:v>
                </c:pt>
                <c:pt idx="16">
                  <c:v>0.38351999999999997</c:v>
                </c:pt>
                <c:pt idx="17">
                  <c:v>0.39764571428571427</c:v>
                </c:pt>
                <c:pt idx="18">
                  <c:v>0.41177142857142862</c:v>
                </c:pt>
                <c:pt idx="19">
                  <c:v>0.42590857142857147</c:v>
                </c:pt>
                <c:pt idx="20">
                  <c:v>0.44003428571428571</c:v>
                </c:pt>
                <c:pt idx="21">
                  <c:v>0.45416000000000001</c:v>
                </c:pt>
                <c:pt idx="22">
                  <c:v>0.47008</c:v>
                </c:pt>
                <c:pt idx="23">
                  <c:v>0.4854857142857143</c:v>
                </c:pt>
                <c:pt idx="24">
                  <c:v>0.50089142857142854</c:v>
                </c:pt>
                <c:pt idx="25">
                  <c:v>0.5164914285714286</c:v>
                </c:pt>
                <c:pt idx="26">
                  <c:v>0.53221714285714283</c:v>
                </c:pt>
                <c:pt idx="27">
                  <c:v>0.54819428571428575</c:v>
                </c:pt>
                <c:pt idx="28">
                  <c:v>0.56396571428571429</c:v>
                </c:pt>
                <c:pt idx="29">
                  <c:v>0.57874285714285711</c:v>
                </c:pt>
                <c:pt idx="30">
                  <c:v>0.59453714285714288</c:v>
                </c:pt>
                <c:pt idx="31">
                  <c:v>0.61024</c:v>
                </c:pt>
                <c:pt idx="32">
                  <c:v>0.62596571428571424</c:v>
                </c:pt>
                <c:pt idx="33">
                  <c:v>0.64157714285714285</c:v>
                </c:pt>
                <c:pt idx="34">
                  <c:v>0.65671999999999997</c:v>
                </c:pt>
                <c:pt idx="35">
                  <c:v>0.67182857142857144</c:v>
                </c:pt>
                <c:pt idx="36">
                  <c:v>0.68676571428571431</c:v>
                </c:pt>
                <c:pt idx="37">
                  <c:v>0.70164571428571432</c:v>
                </c:pt>
                <c:pt idx="38">
                  <c:v>0.71630857142857141</c:v>
                </c:pt>
                <c:pt idx="39">
                  <c:v>0.73081142857142856</c:v>
                </c:pt>
                <c:pt idx="40">
                  <c:v>0.74514285714285711</c:v>
                </c:pt>
                <c:pt idx="41">
                  <c:v>0.75923428571428575</c:v>
                </c:pt>
                <c:pt idx="42">
                  <c:v>0.77310857142857148</c:v>
                </c:pt>
                <c:pt idx="43">
                  <c:v>0.78670857142857142</c:v>
                </c:pt>
                <c:pt idx="44">
                  <c:v>0.8000342857142857</c:v>
                </c:pt>
                <c:pt idx="45">
                  <c:v>0.8130628571428572</c:v>
                </c:pt>
                <c:pt idx="46">
                  <c:v>0.82543085714285713</c:v>
                </c:pt>
                <c:pt idx="47">
                  <c:v>0.83798857142857142</c:v>
                </c:pt>
                <c:pt idx="48">
                  <c:v>0.84996571428571421</c:v>
                </c:pt>
                <c:pt idx="49">
                  <c:v>0.86154285714285717</c:v>
                </c:pt>
                <c:pt idx="50">
                  <c:v>0.87266285714285707</c:v>
                </c:pt>
                <c:pt idx="51">
                  <c:v>0.88345142857142855</c:v>
                </c:pt>
                <c:pt idx="52">
                  <c:v>0.89381714285714287</c:v>
                </c:pt>
                <c:pt idx="53">
                  <c:v>0.90378285714285711</c:v>
                </c:pt>
                <c:pt idx="54">
                  <c:v>0.91325714285714277</c:v>
                </c:pt>
                <c:pt idx="55">
                  <c:v>0.92235428571428579</c:v>
                </c:pt>
                <c:pt idx="56">
                  <c:v>0.93091428571428569</c:v>
                </c:pt>
                <c:pt idx="57">
                  <c:v>0.93875428571428576</c:v>
                </c:pt>
                <c:pt idx="58">
                  <c:v>0.94038857142857146</c:v>
                </c:pt>
                <c:pt idx="59">
                  <c:v>0.94660571428571427</c:v>
                </c:pt>
                <c:pt idx="60">
                  <c:v>0.95363428571428577</c:v>
                </c:pt>
                <c:pt idx="61">
                  <c:v>0.96020571428571422</c:v>
                </c:pt>
                <c:pt idx="62">
                  <c:v>0.96622857142857133</c:v>
                </c:pt>
                <c:pt idx="63">
                  <c:v>0.97153142857142849</c:v>
                </c:pt>
                <c:pt idx="64">
                  <c:v>0.97641142857142849</c:v>
                </c:pt>
                <c:pt idx="65">
                  <c:v>0.98080000000000012</c:v>
                </c:pt>
                <c:pt idx="66">
                  <c:v>0.98470857142857138</c:v>
                </c:pt>
                <c:pt idx="67">
                  <c:v>0.98789714285714281</c:v>
                </c:pt>
                <c:pt idx="68">
                  <c:v>0.99053714285714278</c:v>
                </c:pt>
                <c:pt idx="69">
                  <c:v>0.99293714285714285</c:v>
                </c:pt>
                <c:pt idx="70">
                  <c:v>0.99421714285714291</c:v>
                </c:pt>
                <c:pt idx="71">
                  <c:v>0.9950971428571429</c:v>
                </c:pt>
                <c:pt idx="72">
                  <c:v>0.9954400000000001</c:v>
                </c:pt>
                <c:pt idx="73">
                  <c:v>0.99593142857142847</c:v>
                </c:pt>
                <c:pt idx="74">
                  <c:v>1</c:v>
                </c:pt>
              </c:numCache>
            </c:numRef>
          </c:xVal>
          <c:yVal>
            <c:numRef>
              <c:f>Data!$S$3:$S$77</c:f>
              <c:numCache>
                <c:formatCode>General</c:formatCode>
                <c:ptCount val="75"/>
                <c:pt idx="0">
                  <c:v>25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21</c:v>
                </c:pt>
                <c:pt idx="41">
                  <c:v>21</c:v>
                </c:pt>
                <c:pt idx="42">
                  <c:v>22</c:v>
                </c:pt>
                <c:pt idx="43">
                  <c:v>22</c:v>
                </c:pt>
                <c:pt idx="44">
                  <c:v>23</c:v>
                </c:pt>
                <c:pt idx="45">
                  <c:v>23</c:v>
                </c:pt>
                <c:pt idx="46">
                  <c:v>24</c:v>
                </c:pt>
                <c:pt idx="47">
                  <c:v>24</c:v>
                </c:pt>
                <c:pt idx="48">
                  <c:v>25</c:v>
                </c:pt>
                <c:pt idx="49">
                  <c:v>26</c:v>
                </c:pt>
                <c:pt idx="50">
                  <c:v>26</c:v>
                </c:pt>
                <c:pt idx="51">
                  <c:v>27</c:v>
                </c:pt>
                <c:pt idx="52">
                  <c:v>27</c:v>
                </c:pt>
                <c:pt idx="53">
                  <c:v>28</c:v>
                </c:pt>
                <c:pt idx="54">
                  <c:v>28</c:v>
                </c:pt>
                <c:pt idx="55">
                  <c:v>29</c:v>
                </c:pt>
                <c:pt idx="56">
                  <c:v>29</c:v>
                </c:pt>
                <c:pt idx="57">
                  <c:v>30</c:v>
                </c:pt>
                <c:pt idx="58">
                  <c:v>31</c:v>
                </c:pt>
                <c:pt idx="59">
                  <c:v>31</c:v>
                </c:pt>
                <c:pt idx="60">
                  <c:v>32</c:v>
                </c:pt>
                <c:pt idx="61">
                  <c:v>32</c:v>
                </c:pt>
                <c:pt idx="62">
                  <c:v>33</c:v>
                </c:pt>
                <c:pt idx="63">
                  <c:v>33</c:v>
                </c:pt>
                <c:pt idx="64">
                  <c:v>34</c:v>
                </c:pt>
                <c:pt idx="65">
                  <c:v>34</c:v>
                </c:pt>
                <c:pt idx="66">
                  <c:v>35</c:v>
                </c:pt>
                <c:pt idx="67">
                  <c:v>36</c:v>
                </c:pt>
                <c:pt idx="68">
                  <c:v>36</c:v>
                </c:pt>
                <c:pt idx="69">
                  <c:v>37</c:v>
                </c:pt>
                <c:pt idx="70">
                  <c:v>37</c:v>
                </c:pt>
                <c:pt idx="71">
                  <c:v>38</c:v>
                </c:pt>
                <c:pt idx="72">
                  <c:v>38</c:v>
                </c:pt>
                <c:pt idx="73">
                  <c:v>39</c:v>
                </c:pt>
                <c:pt idx="74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8E-46CA-826C-8105B830A49C}"/>
            </c:ext>
          </c:extLst>
        </c:ser>
        <c:ser>
          <c:idx val="2"/>
          <c:order val="2"/>
          <c:tx>
            <c:strRef>
              <c:f>Data!$V$1</c:f>
              <c:strCache>
                <c:ptCount val="1"/>
                <c:pt idx="0">
                  <c:v>2256</c:v>
                </c:pt>
              </c:strCache>
            </c:strRef>
          </c:tx>
          <c:xVal>
            <c:numRef>
              <c:f>Data!$X$3:$X$56</c:f>
              <c:numCache>
                <c:formatCode>0.00%</c:formatCode>
                <c:ptCount val="54"/>
                <c:pt idx="0">
                  <c:v>3.5810169491525427E-2</c:v>
                </c:pt>
                <c:pt idx="1">
                  <c:v>6.9342372881355932E-2</c:v>
                </c:pt>
                <c:pt idx="2">
                  <c:v>0.10287457627118644</c:v>
                </c:pt>
                <c:pt idx="3">
                  <c:v>0.13640677966101694</c:v>
                </c:pt>
                <c:pt idx="4">
                  <c:v>0.16993898305084748</c:v>
                </c:pt>
                <c:pt idx="5">
                  <c:v>0.20347118644067796</c:v>
                </c:pt>
                <c:pt idx="6">
                  <c:v>0.23700338983050848</c:v>
                </c:pt>
                <c:pt idx="7">
                  <c:v>0.27053559322033899</c:v>
                </c:pt>
                <c:pt idx="8">
                  <c:v>0.30406779661016953</c:v>
                </c:pt>
                <c:pt idx="9">
                  <c:v>0.33759999999999996</c:v>
                </c:pt>
                <c:pt idx="10">
                  <c:v>0.3711322033898305</c:v>
                </c:pt>
                <c:pt idx="11">
                  <c:v>0.38789152542372879</c:v>
                </c:pt>
                <c:pt idx="12">
                  <c:v>0.40466440677966103</c:v>
                </c:pt>
                <c:pt idx="13">
                  <c:v>0.42614237288135592</c:v>
                </c:pt>
                <c:pt idx="14">
                  <c:v>0.44448813559322031</c:v>
                </c:pt>
                <c:pt idx="15">
                  <c:v>0.46602033898305084</c:v>
                </c:pt>
                <c:pt idx="16">
                  <c:v>0.4801220338983051</c:v>
                </c:pt>
                <c:pt idx="17">
                  <c:v>0.49925423728813556</c:v>
                </c:pt>
                <c:pt idx="18">
                  <c:v>0.51661016949152538</c:v>
                </c:pt>
                <c:pt idx="19">
                  <c:v>0.53438644067796615</c:v>
                </c:pt>
                <c:pt idx="20">
                  <c:v>0.5521084745762711</c:v>
                </c:pt>
                <c:pt idx="21">
                  <c:v>0.57058983050847456</c:v>
                </c:pt>
                <c:pt idx="22">
                  <c:v>0.58889491525423721</c:v>
                </c:pt>
                <c:pt idx="23">
                  <c:v>0.60714576271186438</c:v>
                </c:pt>
                <c:pt idx="24">
                  <c:v>0.6252338983050848</c:v>
                </c:pt>
                <c:pt idx="25">
                  <c:v>0.64306440677966104</c:v>
                </c:pt>
                <c:pt idx="26">
                  <c:v>0.66074576271186447</c:v>
                </c:pt>
                <c:pt idx="27">
                  <c:v>0.6778711864406779</c:v>
                </c:pt>
                <c:pt idx="28">
                  <c:v>0.69479322033898305</c:v>
                </c:pt>
                <c:pt idx="29">
                  <c:v>0.71136271186440669</c:v>
                </c:pt>
                <c:pt idx="30">
                  <c:v>0.72767457627118648</c:v>
                </c:pt>
                <c:pt idx="31">
                  <c:v>0.74359322033898301</c:v>
                </c:pt>
                <c:pt idx="32">
                  <c:v>0.7591457627118644</c:v>
                </c:pt>
                <c:pt idx="33">
                  <c:v>0.77438644067796614</c:v>
                </c:pt>
                <c:pt idx="34">
                  <c:v>0.7891389830508474</c:v>
                </c:pt>
                <c:pt idx="35">
                  <c:v>0.80353898305084748</c:v>
                </c:pt>
                <c:pt idx="36">
                  <c:v>0.81741016949152545</c:v>
                </c:pt>
                <c:pt idx="37">
                  <c:v>0.83080677966101701</c:v>
                </c:pt>
                <c:pt idx="38">
                  <c:v>0.84378305084745764</c:v>
                </c:pt>
                <c:pt idx="39">
                  <c:v>0.85617627118644068</c:v>
                </c:pt>
                <c:pt idx="40">
                  <c:v>0.86808135593220337</c:v>
                </c:pt>
                <c:pt idx="41">
                  <c:v>0.87940338983050848</c:v>
                </c:pt>
                <c:pt idx="42">
                  <c:v>0.89014237288135589</c:v>
                </c:pt>
                <c:pt idx="43">
                  <c:v>0.90035254237288143</c:v>
                </c:pt>
                <c:pt idx="44">
                  <c:v>0.90991186440677974</c:v>
                </c:pt>
                <c:pt idx="45">
                  <c:v>0.9187525423728814</c:v>
                </c:pt>
                <c:pt idx="46">
                  <c:v>0.92702372881355932</c:v>
                </c:pt>
                <c:pt idx="47">
                  <c:v>0.94161355932203383</c:v>
                </c:pt>
                <c:pt idx="48">
                  <c:v>0.94794576271186448</c:v>
                </c:pt>
                <c:pt idx="49">
                  <c:v>0.95361355932203384</c:v>
                </c:pt>
                <c:pt idx="50">
                  <c:v>0.95852203389830504</c:v>
                </c:pt>
                <c:pt idx="51">
                  <c:v>0.96348474576271181</c:v>
                </c:pt>
                <c:pt idx="52">
                  <c:v>0.96635932203389829</c:v>
                </c:pt>
                <c:pt idx="53">
                  <c:v>0.97252881355932197</c:v>
                </c:pt>
              </c:numCache>
            </c:numRef>
          </c:xVal>
          <c:yVal>
            <c:numRef>
              <c:f>Data!$W$3:$W$56</c:f>
              <c:numCache>
                <c:formatCode>General</c:formatCode>
                <c:ptCount val="54"/>
                <c:pt idx="0">
                  <c:v>25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21</c:v>
                </c:pt>
                <c:pt idx="33">
                  <c:v>22</c:v>
                </c:pt>
                <c:pt idx="34">
                  <c:v>22</c:v>
                </c:pt>
                <c:pt idx="35">
                  <c:v>23</c:v>
                </c:pt>
                <c:pt idx="36">
                  <c:v>23</c:v>
                </c:pt>
                <c:pt idx="37">
                  <c:v>24</c:v>
                </c:pt>
                <c:pt idx="38">
                  <c:v>24</c:v>
                </c:pt>
                <c:pt idx="39">
                  <c:v>25</c:v>
                </c:pt>
                <c:pt idx="40">
                  <c:v>26</c:v>
                </c:pt>
                <c:pt idx="41">
                  <c:v>26</c:v>
                </c:pt>
                <c:pt idx="42">
                  <c:v>27</c:v>
                </c:pt>
                <c:pt idx="43">
                  <c:v>27</c:v>
                </c:pt>
                <c:pt idx="44">
                  <c:v>28</c:v>
                </c:pt>
                <c:pt idx="45">
                  <c:v>28</c:v>
                </c:pt>
                <c:pt idx="46">
                  <c:v>29</c:v>
                </c:pt>
                <c:pt idx="47">
                  <c:v>30</c:v>
                </c:pt>
                <c:pt idx="48">
                  <c:v>31</c:v>
                </c:pt>
                <c:pt idx="49">
                  <c:v>31</c:v>
                </c:pt>
                <c:pt idx="50">
                  <c:v>32</c:v>
                </c:pt>
                <c:pt idx="51">
                  <c:v>32</c:v>
                </c:pt>
                <c:pt idx="52">
                  <c:v>33</c:v>
                </c:pt>
                <c:pt idx="53">
                  <c:v>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88E-46CA-826C-8105B830A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984128"/>
        <c:axId val="57986432"/>
      </c:scatterChart>
      <c:valAx>
        <c:axId val="57984128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57986432"/>
        <c:crosses val="autoZero"/>
        <c:crossBetween val="midCat"/>
        <c:majorUnit val="0.1"/>
      </c:valAx>
      <c:valAx>
        <c:axId val="5798643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104E-2"/>
              <c:y val="0.37917397626806087"/>
            </c:manualLayout>
          </c:layout>
          <c:overlay val="0"/>
        </c:title>
        <c:numFmt formatCode="0\°" sourceLinked="0"/>
        <c:majorTickMark val="out"/>
        <c:minorTickMark val="none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57984128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8641948862759762"/>
          <c:y val="0.1408410846736497"/>
          <c:w val="7.3580490631092413E-2"/>
          <c:h val="0.10940922963854852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tabSelected="1" zoomScale="120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443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77"/>
  <sheetViews>
    <sheetView topLeftCell="K1" zoomScale="85" zoomScaleNormal="85" workbookViewId="0">
      <selection activeCell="V2" sqref="V2"/>
    </sheetView>
  </sheetViews>
  <sheetFormatPr defaultRowHeight="15" x14ac:dyDescent="0.25"/>
  <sheetData>
    <row r="1" spans="1:25" x14ac:dyDescent="0.25">
      <c r="A1">
        <v>17.5</v>
      </c>
      <c r="B1">
        <v>2160</v>
      </c>
      <c r="F1">
        <v>14.75</v>
      </c>
      <c r="G1">
        <v>2169</v>
      </c>
      <c r="K1">
        <v>14.75</v>
      </c>
      <c r="L1">
        <v>2051</v>
      </c>
      <c r="P1">
        <v>17.5</v>
      </c>
      <c r="Q1">
        <v>2216</v>
      </c>
      <c r="U1">
        <v>14.75</v>
      </c>
      <c r="V1">
        <v>2256</v>
      </c>
    </row>
    <row r="2" spans="1:25" x14ac:dyDescent="0.25">
      <c r="B2" t="s">
        <v>0</v>
      </c>
      <c r="C2" t="s">
        <v>1</v>
      </c>
      <c r="D2" s="1" t="s">
        <v>2</v>
      </c>
      <c r="G2" t="s">
        <v>0</v>
      </c>
      <c r="H2" t="s">
        <v>1</v>
      </c>
      <c r="I2" s="1" t="s">
        <v>2</v>
      </c>
      <c r="L2" t="s">
        <v>0</v>
      </c>
      <c r="M2" t="s">
        <v>1</v>
      </c>
      <c r="N2" s="1" t="s">
        <v>2</v>
      </c>
      <c r="Q2" t="s">
        <v>0</v>
      </c>
      <c r="R2" s="1" t="s">
        <v>2</v>
      </c>
      <c r="S2" t="s">
        <v>1</v>
      </c>
      <c r="V2" t="s">
        <v>0</v>
      </c>
      <c r="W2" t="s">
        <v>1</v>
      </c>
      <c r="X2" s="1" t="s">
        <v>2</v>
      </c>
    </row>
    <row r="3" spans="1:25" x14ac:dyDescent="0.25">
      <c r="A3">
        <v>1</v>
      </c>
      <c r="B3">
        <v>0.29580000000000001</v>
      </c>
      <c r="C3">
        <v>20</v>
      </c>
      <c r="D3" s="2">
        <f>B3/$A$1*2</f>
        <v>3.3805714285714286E-2</v>
      </c>
      <c r="F3">
        <v>1</v>
      </c>
      <c r="G3">
        <v>0.2641</v>
      </c>
      <c r="H3">
        <v>20</v>
      </c>
      <c r="I3" s="2">
        <f>G3/$F$1*2</f>
        <v>3.5810169491525427E-2</v>
      </c>
      <c r="K3">
        <v>1</v>
      </c>
      <c r="L3">
        <v>0.29580000000000001</v>
      </c>
      <c r="M3">
        <v>20</v>
      </c>
      <c r="N3" s="2">
        <f>L3/$F$1*2</f>
        <v>4.0108474576271189E-2</v>
      </c>
      <c r="P3" s="3">
        <v>1</v>
      </c>
      <c r="Q3">
        <v>0.26479999999999998</v>
      </c>
      <c r="R3" s="2">
        <f>Q3/$P$1*2</f>
        <v>3.026285714285714E-2</v>
      </c>
      <c r="S3">
        <v>25</v>
      </c>
      <c r="U3" s="3">
        <v>1</v>
      </c>
      <c r="V3">
        <v>0.2641</v>
      </c>
      <c r="W3">
        <v>25</v>
      </c>
      <c r="X3" s="2">
        <f>V3/$F$1*2</f>
        <v>3.5810169491525427E-2</v>
      </c>
      <c r="Y3">
        <f>VLOOKUP(X3,R:S,2,TRUE)</f>
        <v>25</v>
      </c>
    </row>
    <row r="4" spans="1:25" x14ac:dyDescent="0.25">
      <c r="A4">
        <v>2</v>
      </c>
      <c r="B4">
        <v>0.54700000000000004</v>
      </c>
      <c r="C4">
        <v>15</v>
      </c>
      <c r="D4" s="2">
        <f t="shared" ref="D4:D48" si="0">B4/$A$1*2</f>
        <v>6.2514285714285717E-2</v>
      </c>
      <c r="F4">
        <v>2</v>
      </c>
      <c r="G4">
        <v>0.51139999999999997</v>
      </c>
      <c r="H4">
        <v>15</v>
      </c>
      <c r="I4" s="2">
        <f t="shared" ref="I4:I42" si="1">G4/$F$1*2</f>
        <v>6.9342372881355932E-2</v>
      </c>
      <c r="K4">
        <v>2</v>
      </c>
      <c r="L4">
        <v>0.54710000000000003</v>
      </c>
      <c r="M4">
        <v>15</v>
      </c>
      <c r="N4" s="2">
        <f t="shared" ref="N4:N38" si="2">L4/$F$1*2</f>
        <v>7.4183050847457632E-2</v>
      </c>
      <c r="P4" s="4">
        <v>2</v>
      </c>
      <c r="Q4">
        <v>0.5121</v>
      </c>
      <c r="R4" s="2">
        <f t="shared" ref="R4:R67" si="3">Q4/$P$1*2</f>
        <v>5.8525714285714285E-2</v>
      </c>
      <c r="S4">
        <v>20</v>
      </c>
      <c r="U4" s="4">
        <v>2</v>
      </c>
      <c r="V4">
        <v>0.51139999999999997</v>
      </c>
      <c r="W4">
        <v>20</v>
      </c>
      <c r="X4" s="2">
        <f t="shared" ref="X4:X56" si="4">V4/$F$1*2</f>
        <v>6.9342372881355932E-2</v>
      </c>
      <c r="Y4">
        <f t="shared" ref="Y4:Y56" si="5">VLOOKUP(X4,R:S,2,TRUE)</f>
        <v>20</v>
      </c>
    </row>
    <row r="5" spans="1:25" x14ac:dyDescent="0.25">
      <c r="A5">
        <v>3</v>
      </c>
      <c r="B5">
        <v>0.79500000000000004</v>
      </c>
      <c r="C5">
        <v>15</v>
      </c>
      <c r="D5" s="2">
        <f t="shared" si="0"/>
        <v>9.0857142857142859E-2</v>
      </c>
      <c r="F5">
        <v>3</v>
      </c>
      <c r="G5">
        <v>0.75870000000000004</v>
      </c>
      <c r="H5">
        <v>15</v>
      </c>
      <c r="I5" s="2">
        <f t="shared" si="1"/>
        <v>0.10287457627118644</v>
      </c>
      <c r="K5">
        <v>3</v>
      </c>
      <c r="L5">
        <v>0.79510000000000003</v>
      </c>
      <c r="M5">
        <v>15</v>
      </c>
      <c r="N5" s="2">
        <f t="shared" si="2"/>
        <v>0.10781016949152543</v>
      </c>
      <c r="P5" s="5">
        <v>3</v>
      </c>
      <c r="Q5">
        <v>0.75929999999999997</v>
      </c>
      <c r="R5" s="2">
        <f t="shared" si="3"/>
        <v>8.6777142857142858E-2</v>
      </c>
      <c r="S5">
        <v>20</v>
      </c>
      <c r="U5" s="5">
        <v>3</v>
      </c>
      <c r="V5">
        <v>0.75870000000000004</v>
      </c>
      <c r="W5">
        <v>20</v>
      </c>
      <c r="X5" s="2">
        <f t="shared" si="4"/>
        <v>0.10287457627118644</v>
      </c>
      <c r="Y5">
        <f t="shared" si="5"/>
        <v>20</v>
      </c>
    </row>
    <row r="6" spans="1:25" x14ac:dyDescent="0.25">
      <c r="A6">
        <v>4</v>
      </c>
      <c r="B6">
        <v>1.0429999999999999</v>
      </c>
      <c r="C6">
        <v>15</v>
      </c>
      <c r="D6" s="2">
        <f t="shared" si="0"/>
        <v>0.11919999999999999</v>
      </c>
      <c r="F6">
        <v>4</v>
      </c>
      <c r="G6">
        <v>1.006</v>
      </c>
      <c r="H6">
        <v>15</v>
      </c>
      <c r="I6" s="2">
        <f t="shared" si="1"/>
        <v>0.13640677966101694</v>
      </c>
      <c r="K6">
        <v>4</v>
      </c>
      <c r="L6">
        <v>1.0430999999999999</v>
      </c>
      <c r="M6">
        <v>15</v>
      </c>
      <c r="N6" s="2">
        <f t="shared" si="2"/>
        <v>0.1414372881355932</v>
      </c>
      <c r="P6" s="3">
        <v>4</v>
      </c>
      <c r="Q6">
        <v>1.0065999999999999</v>
      </c>
      <c r="R6" s="2">
        <f t="shared" si="3"/>
        <v>0.11503999999999999</v>
      </c>
      <c r="S6">
        <v>20</v>
      </c>
      <c r="U6" s="3">
        <v>4</v>
      </c>
      <c r="V6">
        <v>1.006</v>
      </c>
      <c r="W6">
        <v>20</v>
      </c>
      <c r="X6" s="2">
        <f t="shared" si="4"/>
        <v>0.13640677966101694</v>
      </c>
      <c r="Y6">
        <f t="shared" si="5"/>
        <v>20</v>
      </c>
    </row>
    <row r="7" spans="1:25" x14ac:dyDescent="0.25">
      <c r="A7">
        <v>5</v>
      </c>
      <c r="B7">
        <v>1.2909999999999999</v>
      </c>
      <c r="C7">
        <v>15</v>
      </c>
      <c r="D7" s="2">
        <f t="shared" si="0"/>
        <v>0.14754285714285714</v>
      </c>
      <c r="F7">
        <v>5</v>
      </c>
      <c r="G7">
        <v>1.2533000000000001</v>
      </c>
      <c r="H7">
        <v>15</v>
      </c>
      <c r="I7" s="2">
        <f t="shared" si="1"/>
        <v>0.16993898305084748</v>
      </c>
      <c r="K7">
        <v>5</v>
      </c>
      <c r="L7">
        <v>1.2909999999999999</v>
      </c>
      <c r="M7">
        <v>15</v>
      </c>
      <c r="N7" s="2">
        <f t="shared" si="2"/>
        <v>0.17505084745762711</v>
      </c>
      <c r="P7" s="4">
        <v>5</v>
      </c>
      <c r="Q7">
        <v>1.2539</v>
      </c>
      <c r="R7" s="2">
        <f t="shared" si="3"/>
        <v>0.14330285714285715</v>
      </c>
      <c r="S7">
        <v>20</v>
      </c>
      <c r="U7" s="4">
        <v>5</v>
      </c>
      <c r="V7">
        <v>1.2533000000000001</v>
      </c>
      <c r="W7">
        <v>20</v>
      </c>
      <c r="X7" s="2">
        <f t="shared" si="4"/>
        <v>0.16993898305084748</v>
      </c>
      <c r="Y7">
        <f t="shared" si="5"/>
        <v>20</v>
      </c>
    </row>
    <row r="8" spans="1:25" x14ac:dyDescent="0.25">
      <c r="A8">
        <v>6</v>
      </c>
      <c r="B8">
        <v>1.5389999999999999</v>
      </c>
      <c r="C8">
        <v>15</v>
      </c>
      <c r="D8" s="2">
        <f t="shared" si="0"/>
        <v>0.17588571428571428</v>
      </c>
      <c r="F8">
        <v>6</v>
      </c>
      <c r="G8">
        <v>1.5005999999999999</v>
      </c>
      <c r="H8">
        <v>15</v>
      </c>
      <c r="I8" s="2">
        <f t="shared" si="1"/>
        <v>0.20347118644067796</v>
      </c>
      <c r="K8">
        <v>6</v>
      </c>
      <c r="L8">
        <v>1.5389999999999999</v>
      </c>
      <c r="M8">
        <v>15</v>
      </c>
      <c r="N8" s="2">
        <f t="shared" si="2"/>
        <v>0.2086779661016949</v>
      </c>
      <c r="P8" s="5">
        <v>6</v>
      </c>
      <c r="Q8">
        <v>1.5012000000000001</v>
      </c>
      <c r="R8" s="2">
        <f t="shared" si="3"/>
        <v>0.17156571428571429</v>
      </c>
      <c r="S8">
        <v>20</v>
      </c>
      <c r="U8" s="5">
        <v>6</v>
      </c>
      <c r="V8">
        <v>1.5005999999999999</v>
      </c>
      <c r="W8">
        <v>20</v>
      </c>
      <c r="X8" s="2">
        <f t="shared" si="4"/>
        <v>0.20347118644067796</v>
      </c>
      <c r="Y8">
        <f t="shared" si="5"/>
        <v>20</v>
      </c>
    </row>
    <row r="9" spans="1:25" x14ac:dyDescent="0.25">
      <c r="A9">
        <v>7</v>
      </c>
      <c r="B9">
        <v>1.7869999999999999</v>
      </c>
      <c r="C9">
        <v>15</v>
      </c>
      <c r="D9" s="2">
        <f t="shared" si="0"/>
        <v>0.20422857142857143</v>
      </c>
      <c r="F9">
        <v>7</v>
      </c>
      <c r="G9">
        <v>1.7479</v>
      </c>
      <c r="H9">
        <v>15</v>
      </c>
      <c r="I9" s="2">
        <f t="shared" si="1"/>
        <v>0.23700338983050848</v>
      </c>
      <c r="K9">
        <v>7</v>
      </c>
      <c r="L9">
        <v>1.7869999999999999</v>
      </c>
      <c r="M9">
        <v>15</v>
      </c>
      <c r="N9" s="2">
        <f t="shared" si="2"/>
        <v>0.24230508474576271</v>
      </c>
      <c r="P9" s="3">
        <v>7</v>
      </c>
      <c r="Q9">
        <v>1.7484999999999999</v>
      </c>
      <c r="R9" s="2">
        <f t="shared" si="3"/>
        <v>0.19982857142857141</v>
      </c>
      <c r="S9">
        <v>20</v>
      </c>
      <c r="U9" s="3">
        <v>7</v>
      </c>
      <c r="V9">
        <v>1.7479</v>
      </c>
      <c r="W9">
        <v>20</v>
      </c>
      <c r="X9" s="2">
        <f t="shared" si="4"/>
        <v>0.23700338983050848</v>
      </c>
      <c r="Y9">
        <f t="shared" si="5"/>
        <v>20</v>
      </c>
    </row>
    <row r="10" spans="1:25" x14ac:dyDescent="0.25">
      <c r="A10">
        <v>8</v>
      </c>
      <c r="B10">
        <v>2.0350000000000001</v>
      </c>
      <c r="C10">
        <v>15</v>
      </c>
      <c r="D10" s="2">
        <f t="shared" si="0"/>
        <v>0.2325714285714286</v>
      </c>
      <c r="F10">
        <v>8</v>
      </c>
      <c r="G10">
        <v>1.9952000000000001</v>
      </c>
      <c r="H10">
        <v>15</v>
      </c>
      <c r="I10" s="2">
        <f t="shared" si="1"/>
        <v>0.27053559322033899</v>
      </c>
      <c r="K10">
        <v>8</v>
      </c>
      <c r="L10">
        <v>2.0350000000000001</v>
      </c>
      <c r="M10">
        <v>15</v>
      </c>
      <c r="N10" s="2">
        <f t="shared" si="2"/>
        <v>0.27593220338983054</v>
      </c>
      <c r="P10" s="4">
        <v>8</v>
      </c>
      <c r="Q10">
        <v>1.9957</v>
      </c>
      <c r="R10" s="2">
        <f t="shared" si="3"/>
        <v>0.22808</v>
      </c>
      <c r="S10">
        <v>20</v>
      </c>
      <c r="U10" s="4">
        <v>8</v>
      </c>
      <c r="V10">
        <v>1.9952000000000001</v>
      </c>
      <c r="W10">
        <v>20</v>
      </c>
      <c r="X10" s="2">
        <f t="shared" si="4"/>
        <v>0.27053559322033899</v>
      </c>
      <c r="Y10">
        <f t="shared" si="5"/>
        <v>20</v>
      </c>
    </row>
    <row r="11" spans="1:25" x14ac:dyDescent="0.25">
      <c r="A11">
        <v>9</v>
      </c>
      <c r="B11">
        <v>2.2829999999999999</v>
      </c>
      <c r="C11">
        <v>15</v>
      </c>
      <c r="D11" s="2">
        <f t="shared" si="0"/>
        <v>0.26091428571428571</v>
      </c>
      <c r="F11">
        <v>9</v>
      </c>
      <c r="G11">
        <v>2.2425000000000002</v>
      </c>
      <c r="H11">
        <v>15</v>
      </c>
      <c r="I11" s="2">
        <f t="shared" si="1"/>
        <v>0.30406779661016953</v>
      </c>
      <c r="K11">
        <v>9</v>
      </c>
      <c r="L11">
        <v>2.2829999999999999</v>
      </c>
      <c r="M11">
        <v>15</v>
      </c>
      <c r="N11" s="2">
        <f t="shared" si="2"/>
        <v>0.3095593220338983</v>
      </c>
      <c r="P11" s="5">
        <v>9</v>
      </c>
      <c r="Q11">
        <v>2.2429999999999999</v>
      </c>
      <c r="R11" s="2">
        <f t="shared" si="3"/>
        <v>0.25634285714285715</v>
      </c>
      <c r="S11">
        <v>20</v>
      </c>
      <c r="U11" s="5">
        <v>9</v>
      </c>
      <c r="V11">
        <v>2.2425000000000002</v>
      </c>
      <c r="W11">
        <v>20</v>
      </c>
      <c r="X11" s="2">
        <f t="shared" si="4"/>
        <v>0.30406779661016953</v>
      </c>
      <c r="Y11">
        <f t="shared" si="5"/>
        <v>20</v>
      </c>
    </row>
    <row r="12" spans="1:25" x14ac:dyDescent="0.25">
      <c r="A12">
        <v>10</v>
      </c>
      <c r="B12">
        <v>2.5310000000000001</v>
      </c>
      <c r="C12">
        <v>15</v>
      </c>
      <c r="D12" s="2">
        <f t="shared" si="0"/>
        <v>0.28925714285714288</v>
      </c>
      <c r="F12">
        <v>10</v>
      </c>
      <c r="G12">
        <v>2.4897999999999998</v>
      </c>
      <c r="H12">
        <v>15</v>
      </c>
      <c r="I12" s="2">
        <f t="shared" si="1"/>
        <v>0.33759999999999996</v>
      </c>
      <c r="K12">
        <v>10</v>
      </c>
      <c r="L12">
        <v>2.5310000000000001</v>
      </c>
      <c r="M12">
        <v>15</v>
      </c>
      <c r="N12" s="2">
        <f t="shared" si="2"/>
        <v>0.34318644067796611</v>
      </c>
      <c r="P12" s="3">
        <v>10</v>
      </c>
      <c r="Q12">
        <v>2.4903</v>
      </c>
      <c r="R12" s="2">
        <f t="shared" si="3"/>
        <v>0.2846057142857143</v>
      </c>
      <c r="S12">
        <v>20</v>
      </c>
      <c r="U12" s="3">
        <v>10</v>
      </c>
      <c r="V12">
        <v>2.4897999999999998</v>
      </c>
      <c r="W12">
        <v>20</v>
      </c>
      <c r="X12" s="2">
        <f t="shared" si="4"/>
        <v>0.33759999999999996</v>
      </c>
      <c r="Y12">
        <f t="shared" si="5"/>
        <v>20</v>
      </c>
    </row>
    <row r="13" spans="1:25" x14ac:dyDescent="0.25">
      <c r="A13">
        <v>11</v>
      </c>
      <c r="B13">
        <v>2.7789000000000001</v>
      </c>
      <c r="C13">
        <v>15</v>
      </c>
      <c r="D13" s="2">
        <f t="shared" si="0"/>
        <v>0.31758857142857144</v>
      </c>
      <c r="F13">
        <v>11</v>
      </c>
      <c r="G13">
        <v>2.7370999999999999</v>
      </c>
      <c r="H13">
        <v>15</v>
      </c>
      <c r="I13" s="2">
        <f t="shared" si="1"/>
        <v>0.3711322033898305</v>
      </c>
      <c r="K13">
        <v>11</v>
      </c>
      <c r="L13">
        <v>2.7789000000000001</v>
      </c>
      <c r="M13">
        <v>15</v>
      </c>
      <c r="N13" s="2">
        <f t="shared" si="2"/>
        <v>0.37680000000000002</v>
      </c>
      <c r="P13" s="6">
        <v>11</v>
      </c>
      <c r="Q13">
        <v>2.6139000000000001</v>
      </c>
      <c r="R13" s="2">
        <f t="shared" si="3"/>
        <v>0.29873142857142859</v>
      </c>
      <c r="S13">
        <v>20</v>
      </c>
      <c r="U13" s="6">
        <v>11</v>
      </c>
      <c r="V13">
        <v>2.7370999999999999</v>
      </c>
      <c r="W13">
        <v>20</v>
      </c>
      <c r="X13" s="2">
        <f t="shared" si="4"/>
        <v>0.3711322033898305</v>
      </c>
      <c r="Y13">
        <f t="shared" si="5"/>
        <v>20</v>
      </c>
    </row>
    <row r="14" spans="1:25" x14ac:dyDescent="0.25">
      <c r="A14">
        <v>12</v>
      </c>
      <c r="B14">
        <v>3.0268999999999999</v>
      </c>
      <c r="C14">
        <v>15</v>
      </c>
      <c r="D14" s="2">
        <f t="shared" si="0"/>
        <v>0.34593142857142856</v>
      </c>
      <c r="F14">
        <v>12</v>
      </c>
      <c r="G14">
        <v>2.9843999999999999</v>
      </c>
      <c r="H14">
        <v>15</v>
      </c>
      <c r="I14" s="2">
        <f t="shared" si="1"/>
        <v>0.40466440677966103</v>
      </c>
      <c r="K14">
        <v>12</v>
      </c>
      <c r="L14">
        <v>3.0270000000000001</v>
      </c>
      <c r="M14">
        <v>15</v>
      </c>
      <c r="N14" s="2">
        <f t="shared" si="2"/>
        <v>0.41044067796610173</v>
      </c>
      <c r="P14" s="4">
        <v>12</v>
      </c>
      <c r="Q14">
        <v>2.7376</v>
      </c>
      <c r="R14" s="2">
        <f t="shared" si="3"/>
        <v>0.31286857142857144</v>
      </c>
      <c r="S14">
        <v>20</v>
      </c>
      <c r="U14" s="4">
        <v>12</v>
      </c>
      <c r="V14">
        <v>2.8607</v>
      </c>
      <c r="W14">
        <v>20</v>
      </c>
      <c r="X14" s="2">
        <f t="shared" si="4"/>
        <v>0.38789152542372879</v>
      </c>
      <c r="Y14">
        <f t="shared" si="5"/>
        <v>20</v>
      </c>
    </row>
    <row r="15" spans="1:25" x14ac:dyDescent="0.25">
      <c r="A15">
        <v>13</v>
      </c>
      <c r="B15">
        <v>3.2749000000000001</v>
      </c>
      <c r="C15">
        <v>15</v>
      </c>
      <c r="D15" s="2">
        <f t="shared" si="0"/>
        <v>0.37427428571428573</v>
      </c>
      <c r="F15">
        <v>13</v>
      </c>
      <c r="G15">
        <v>3.2780999999999998</v>
      </c>
      <c r="H15">
        <v>15</v>
      </c>
      <c r="I15" s="2">
        <f t="shared" si="1"/>
        <v>0.44448813559322031</v>
      </c>
      <c r="K15">
        <v>13</v>
      </c>
      <c r="L15">
        <v>3.2761999999999998</v>
      </c>
      <c r="M15">
        <v>15</v>
      </c>
      <c r="N15" s="2">
        <f t="shared" si="2"/>
        <v>0.44423050847457624</v>
      </c>
      <c r="P15" s="7">
        <v>13</v>
      </c>
      <c r="Q15">
        <v>2.8612000000000002</v>
      </c>
      <c r="R15" s="2">
        <f t="shared" si="3"/>
        <v>0.32699428571428574</v>
      </c>
      <c r="S15">
        <v>20</v>
      </c>
      <c r="U15" s="7">
        <v>13</v>
      </c>
      <c r="V15">
        <v>2.9843999999999999</v>
      </c>
      <c r="W15">
        <v>20</v>
      </c>
      <c r="X15" s="2">
        <f t="shared" si="4"/>
        <v>0.40466440677966103</v>
      </c>
      <c r="Y15">
        <f t="shared" si="5"/>
        <v>20</v>
      </c>
    </row>
    <row r="16" spans="1:25" x14ac:dyDescent="0.25">
      <c r="A16">
        <v>14</v>
      </c>
      <c r="B16">
        <v>3.5228999999999999</v>
      </c>
      <c r="C16">
        <v>15</v>
      </c>
      <c r="D16" s="2">
        <f t="shared" si="0"/>
        <v>0.40261714285714284</v>
      </c>
      <c r="F16">
        <v>14</v>
      </c>
      <c r="G16">
        <v>3.5409000000000002</v>
      </c>
      <c r="H16">
        <v>15</v>
      </c>
      <c r="I16" s="2">
        <f t="shared" si="1"/>
        <v>0.4801220338983051</v>
      </c>
      <c r="K16">
        <v>14</v>
      </c>
      <c r="L16">
        <v>3.5234000000000001</v>
      </c>
      <c r="M16">
        <v>15</v>
      </c>
      <c r="N16" s="2">
        <f t="shared" si="2"/>
        <v>0.47774915254237288</v>
      </c>
      <c r="P16" s="5">
        <v>14</v>
      </c>
      <c r="Q16">
        <v>2.9847999999999999</v>
      </c>
      <c r="R16" s="2">
        <f t="shared" si="3"/>
        <v>0.34111999999999998</v>
      </c>
      <c r="S16">
        <v>20</v>
      </c>
      <c r="U16" s="5">
        <v>14</v>
      </c>
      <c r="V16">
        <v>3.1427999999999998</v>
      </c>
      <c r="W16">
        <v>20</v>
      </c>
      <c r="X16" s="2">
        <f t="shared" si="4"/>
        <v>0.42614237288135592</v>
      </c>
      <c r="Y16">
        <f t="shared" si="5"/>
        <v>20</v>
      </c>
    </row>
    <row r="17" spans="1:27" x14ac:dyDescent="0.25">
      <c r="A17">
        <v>15</v>
      </c>
      <c r="B17">
        <v>3.7709000000000001</v>
      </c>
      <c r="C17">
        <v>15</v>
      </c>
      <c r="D17" s="2">
        <f t="shared" si="0"/>
        <v>0.43096000000000001</v>
      </c>
      <c r="F17">
        <v>15</v>
      </c>
      <c r="G17">
        <v>3.81</v>
      </c>
      <c r="H17">
        <v>15</v>
      </c>
      <c r="I17" s="2">
        <f t="shared" si="1"/>
        <v>0.51661016949152538</v>
      </c>
      <c r="K17">
        <v>15</v>
      </c>
      <c r="L17">
        <v>3.7732999999999999</v>
      </c>
      <c r="M17">
        <v>15</v>
      </c>
      <c r="N17" s="2">
        <f t="shared" si="2"/>
        <v>0.51163389830508477</v>
      </c>
      <c r="P17" s="8">
        <v>15</v>
      </c>
      <c r="Q17">
        <v>3.1084999999999998</v>
      </c>
      <c r="R17" s="2">
        <f t="shared" si="3"/>
        <v>0.35525714285714283</v>
      </c>
      <c r="S17">
        <v>20</v>
      </c>
      <c r="U17" s="8">
        <v>15</v>
      </c>
      <c r="V17">
        <v>3.2780999999999998</v>
      </c>
      <c r="W17">
        <v>20</v>
      </c>
      <c r="X17" s="2">
        <f t="shared" si="4"/>
        <v>0.44448813559322031</v>
      </c>
      <c r="Y17">
        <f t="shared" si="5"/>
        <v>20</v>
      </c>
    </row>
    <row r="18" spans="1:27" x14ac:dyDescent="0.25">
      <c r="A18">
        <v>16</v>
      </c>
      <c r="B18">
        <v>4.0189000000000004</v>
      </c>
      <c r="C18">
        <v>15</v>
      </c>
      <c r="D18" s="2">
        <f t="shared" si="0"/>
        <v>0.45930285714285718</v>
      </c>
      <c r="F18">
        <v>16</v>
      </c>
      <c r="G18">
        <v>4.0717999999999996</v>
      </c>
      <c r="H18">
        <v>15</v>
      </c>
      <c r="I18" s="2">
        <f t="shared" si="1"/>
        <v>0.5521084745762711</v>
      </c>
      <c r="K18">
        <v>16</v>
      </c>
      <c r="L18">
        <v>4.03</v>
      </c>
      <c r="M18">
        <v>15</v>
      </c>
      <c r="N18" s="2">
        <f t="shared" si="2"/>
        <v>0.54644067796610174</v>
      </c>
      <c r="P18" s="3">
        <v>16</v>
      </c>
      <c r="Q18">
        <v>3.2321</v>
      </c>
      <c r="R18" s="2">
        <f t="shared" si="3"/>
        <v>0.36938285714285712</v>
      </c>
      <c r="S18">
        <v>20</v>
      </c>
      <c r="U18" s="3">
        <v>16</v>
      </c>
      <c r="V18">
        <v>3.4369000000000001</v>
      </c>
      <c r="W18">
        <v>20</v>
      </c>
      <c r="X18" s="2">
        <f t="shared" si="4"/>
        <v>0.46602033898305084</v>
      </c>
      <c r="Y18">
        <f t="shared" si="5"/>
        <v>20</v>
      </c>
    </row>
    <row r="19" spans="1:27" x14ac:dyDescent="0.25">
      <c r="A19">
        <v>17</v>
      </c>
      <c r="B19">
        <v>4.2675999999999998</v>
      </c>
      <c r="C19">
        <v>15</v>
      </c>
      <c r="D19" s="2">
        <f t="shared" si="0"/>
        <v>0.48772571428571426</v>
      </c>
      <c r="F19">
        <v>17</v>
      </c>
      <c r="G19">
        <v>4.3430999999999997</v>
      </c>
      <c r="H19">
        <v>15</v>
      </c>
      <c r="I19" s="2">
        <f t="shared" si="1"/>
        <v>0.58889491525423721</v>
      </c>
      <c r="K19">
        <v>17</v>
      </c>
      <c r="L19">
        <v>4.2995999999999999</v>
      </c>
      <c r="M19">
        <v>15</v>
      </c>
      <c r="N19" s="2">
        <f t="shared" si="2"/>
        <v>0.58299661016949156</v>
      </c>
      <c r="P19" s="6">
        <v>17</v>
      </c>
      <c r="Q19">
        <v>3.3557999999999999</v>
      </c>
      <c r="R19" s="2">
        <f t="shared" si="3"/>
        <v>0.38351999999999997</v>
      </c>
      <c r="S19">
        <v>20</v>
      </c>
      <c r="U19" s="6">
        <v>17</v>
      </c>
      <c r="V19">
        <v>3.5409000000000002</v>
      </c>
      <c r="W19">
        <v>20</v>
      </c>
      <c r="X19" s="2">
        <f t="shared" si="4"/>
        <v>0.4801220338983051</v>
      </c>
      <c r="Y19">
        <f t="shared" si="5"/>
        <v>20</v>
      </c>
    </row>
    <row r="20" spans="1:27" x14ac:dyDescent="0.25">
      <c r="A20">
        <v>18</v>
      </c>
      <c r="B20">
        <v>4.5195999999999996</v>
      </c>
      <c r="C20">
        <v>15</v>
      </c>
      <c r="D20" s="2">
        <f t="shared" si="0"/>
        <v>0.51652571428571425</v>
      </c>
      <c r="F20">
        <v>18</v>
      </c>
      <c r="G20">
        <v>4.6111000000000004</v>
      </c>
      <c r="H20">
        <v>15</v>
      </c>
      <c r="I20" s="2">
        <f t="shared" si="1"/>
        <v>0.6252338983050848</v>
      </c>
      <c r="K20">
        <v>18</v>
      </c>
      <c r="L20">
        <v>4.5670000000000002</v>
      </c>
      <c r="M20">
        <v>15</v>
      </c>
      <c r="N20" s="2">
        <f t="shared" si="2"/>
        <v>0.61925423728813567</v>
      </c>
      <c r="P20" s="4">
        <v>18</v>
      </c>
      <c r="Q20">
        <v>3.4794</v>
      </c>
      <c r="R20" s="2">
        <f t="shared" si="3"/>
        <v>0.39764571428571427</v>
      </c>
      <c r="S20">
        <v>20</v>
      </c>
      <c r="U20" s="4">
        <v>18</v>
      </c>
      <c r="V20">
        <v>3.6819999999999999</v>
      </c>
      <c r="W20">
        <v>20</v>
      </c>
      <c r="X20" s="2">
        <f t="shared" si="4"/>
        <v>0.49925423728813556</v>
      </c>
      <c r="Y20">
        <f t="shared" si="5"/>
        <v>20</v>
      </c>
      <c r="Z20">
        <v>1</v>
      </c>
    </row>
    <row r="21" spans="1:27" x14ac:dyDescent="0.25">
      <c r="A21">
        <v>19</v>
      </c>
      <c r="B21">
        <v>4.7836999999999996</v>
      </c>
      <c r="C21">
        <v>15</v>
      </c>
      <c r="D21" s="2">
        <f t="shared" si="0"/>
        <v>0.54670857142857143</v>
      </c>
      <c r="F21">
        <v>19</v>
      </c>
      <c r="G21">
        <v>4.8730000000000002</v>
      </c>
      <c r="H21">
        <v>15</v>
      </c>
      <c r="I21" s="2">
        <f t="shared" si="1"/>
        <v>0.66074576271186447</v>
      </c>
      <c r="K21">
        <v>19</v>
      </c>
      <c r="L21">
        <v>4.8305999999999996</v>
      </c>
      <c r="M21">
        <v>15</v>
      </c>
      <c r="N21" s="2">
        <f t="shared" si="2"/>
        <v>0.65499661016949151</v>
      </c>
      <c r="P21" s="7">
        <v>19</v>
      </c>
      <c r="Q21">
        <v>3.6030000000000002</v>
      </c>
      <c r="R21" s="2">
        <f t="shared" si="3"/>
        <v>0.41177142857142862</v>
      </c>
      <c r="S21">
        <v>20</v>
      </c>
      <c r="U21" s="7">
        <v>19</v>
      </c>
      <c r="V21">
        <v>3.81</v>
      </c>
      <c r="W21">
        <v>20</v>
      </c>
      <c r="X21" s="2">
        <f t="shared" si="4"/>
        <v>0.51661016949152538</v>
      </c>
      <c r="Y21">
        <f t="shared" si="5"/>
        <v>20</v>
      </c>
      <c r="Z21">
        <v>2.6</v>
      </c>
      <c r="AA21" t="s">
        <v>3</v>
      </c>
    </row>
    <row r="22" spans="1:27" x14ac:dyDescent="0.25">
      <c r="A22">
        <v>20</v>
      </c>
      <c r="B22">
        <v>5.0378999999999996</v>
      </c>
      <c r="C22">
        <v>15</v>
      </c>
      <c r="D22" s="2">
        <f t="shared" si="0"/>
        <v>0.57575999999999994</v>
      </c>
      <c r="F22">
        <v>20</v>
      </c>
      <c r="G22">
        <v>5.1241000000000003</v>
      </c>
      <c r="H22">
        <v>15</v>
      </c>
      <c r="I22" s="2">
        <f t="shared" si="1"/>
        <v>0.69479322033898305</v>
      </c>
      <c r="K22">
        <v>20</v>
      </c>
      <c r="L22">
        <v>5.0884999999999998</v>
      </c>
      <c r="M22">
        <v>15</v>
      </c>
      <c r="N22" s="2">
        <f t="shared" si="2"/>
        <v>0.68996610169491523</v>
      </c>
      <c r="P22" s="5">
        <v>20</v>
      </c>
      <c r="Q22">
        <v>3.7267000000000001</v>
      </c>
      <c r="R22" s="2">
        <f t="shared" si="3"/>
        <v>0.42590857142857147</v>
      </c>
      <c r="S22">
        <v>20</v>
      </c>
      <c r="U22" s="5">
        <v>20</v>
      </c>
      <c r="V22">
        <v>3.9411</v>
      </c>
      <c r="W22">
        <v>20</v>
      </c>
      <c r="X22" s="2">
        <f t="shared" si="4"/>
        <v>0.53438644067796615</v>
      </c>
      <c r="Y22">
        <f t="shared" si="5"/>
        <v>20</v>
      </c>
      <c r="Z22">
        <v>4.2</v>
      </c>
    </row>
    <row r="23" spans="1:27" x14ac:dyDescent="0.25">
      <c r="A23">
        <v>21</v>
      </c>
      <c r="B23">
        <v>5.3068</v>
      </c>
      <c r="C23">
        <v>15</v>
      </c>
      <c r="D23" s="2">
        <f t="shared" si="0"/>
        <v>0.60649142857142857</v>
      </c>
      <c r="F23">
        <v>21</v>
      </c>
      <c r="G23">
        <v>5.3666</v>
      </c>
      <c r="H23">
        <v>15</v>
      </c>
      <c r="I23" s="2">
        <f t="shared" si="1"/>
        <v>0.72767457627118648</v>
      </c>
      <c r="K23">
        <v>21</v>
      </c>
      <c r="L23">
        <v>5.3379000000000003</v>
      </c>
      <c r="M23">
        <v>15</v>
      </c>
      <c r="N23" s="2">
        <f t="shared" si="2"/>
        <v>0.72378305084745764</v>
      </c>
      <c r="P23" s="8">
        <v>21</v>
      </c>
      <c r="Q23">
        <v>3.8502999999999998</v>
      </c>
      <c r="R23" s="2">
        <f t="shared" si="3"/>
        <v>0.44003428571428571</v>
      </c>
      <c r="S23">
        <v>20</v>
      </c>
      <c r="U23" s="8">
        <v>21</v>
      </c>
      <c r="V23">
        <v>4.0717999999999996</v>
      </c>
      <c r="W23">
        <v>20</v>
      </c>
      <c r="X23" s="2">
        <f t="shared" si="4"/>
        <v>0.5521084745762711</v>
      </c>
      <c r="Y23">
        <f t="shared" si="5"/>
        <v>20</v>
      </c>
      <c r="Z23">
        <v>5.9</v>
      </c>
    </row>
    <row r="24" spans="1:27" x14ac:dyDescent="0.25">
      <c r="A24">
        <v>22</v>
      </c>
      <c r="B24">
        <v>5.5755999999999997</v>
      </c>
      <c r="C24">
        <v>15</v>
      </c>
      <c r="D24" s="2">
        <f t="shared" si="0"/>
        <v>0.63721142857142854</v>
      </c>
      <c r="F24">
        <v>22</v>
      </c>
      <c r="G24">
        <v>5.5987</v>
      </c>
      <c r="H24">
        <v>15</v>
      </c>
      <c r="I24" s="2">
        <f t="shared" si="1"/>
        <v>0.7591457627118644</v>
      </c>
      <c r="K24">
        <v>22</v>
      </c>
      <c r="L24">
        <v>5.5797999999999996</v>
      </c>
      <c r="M24">
        <v>15</v>
      </c>
      <c r="N24" s="2">
        <f t="shared" si="2"/>
        <v>0.75658305084745758</v>
      </c>
      <c r="P24" s="3">
        <v>22</v>
      </c>
      <c r="Q24">
        <v>3.9739</v>
      </c>
      <c r="R24" s="2">
        <f t="shared" si="3"/>
        <v>0.45416000000000001</v>
      </c>
      <c r="S24">
        <v>20</v>
      </c>
      <c r="U24" s="3">
        <v>22</v>
      </c>
      <c r="V24">
        <v>4.2081</v>
      </c>
      <c r="W24">
        <v>20</v>
      </c>
      <c r="X24" s="2">
        <f t="shared" si="4"/>
        <v>0.57058983050847456</v>
      </c>
      <c r="Y24">
        <f t="shared" si="5"/>
        <v>20</v>
      </c>
      <c r="Z24">
        <v>7.5</v>
      </c>
    </row>
    <row r="25" spans="1:27" x14ac:dyDescent="0.25">
      <c r="A25">
        <v>23</v>
      </c>
      <c r="B25">
        <v>5.8346999999999998</v>
      </c>
      <c r="C25">
        <v>15</v>
      </c>
      <c r="D25" s="2">
        <f t="shared" si="0"/>
        <v>0.66682285714285716</v>
      </c>
      <c r="F25">
        <v>23</v>
      </c>
      <c r="G25">
        <v>5.8198999999999996</v>
      </c>
      <c r="H25">
        <v>15</v>
      </c>
      <c r="I25" s="2">
        <f t="shared" si="1"/>
        <v>0.7891389830508474</v>
      </c>
      <c r="K25">
        <v>23</v>
      </c>
      <c r="L25">
        <v>5.8097000000000003</v>
      </c>
      <c r="M25">
        <v>15</v>
      </c>
      <c r="N25" s="2">
        <f t="shared" si="2"/>
        <v>0.78775593220338991</v>
      </c>
      <c r="P25" s="6">
        <v>23</v>
      </c>
      <c r="Q25">
        <v>4.1132</v>
      </c>
      <c r="R25" s="2">
        <f t="shared" si="3"/>
        <v>0.47008</v>
      </c>
      <c r="S25">
        <v>20</v>
      </c>
      <c r="U25" s="6">
        <v>23</v>
      </c>
      <c r="V25">
        <v>4.3430999999999997</v>
      </c>
      <c r="W25">
        <v>20</v>
      </c>
      <c r="X25" s="2">
        <f t="shared" si="4"/>
        <v>0.58889491525423721</v>
      </c>
      <c r="Y25">
        <f t="shared" si="5"/>
        <v>20</v>
      </c>
      <c r="Z25">
        <v>9.1999999999999993</v>
      </c>
    </row>
    <row r="26" spans="1:27" x14ac:dyDescent="0.25">
      <c r="A26">
        <v>24</v>
      </c>
      <c r="B26">
        <v>6.0895000000000001</v>
      </c>
      <c r="C26">
        <v>15</v>
      </c>
      <c r="D26" s="2">
        <f t="shared" si="0"/>
        <v>0.6959428571428572</v>
      </c>
      <c r="F26">
        <v>24</v>
      </c>
      <c r="G26">
        <v>6.0284000000000004</v>
      </c>
      <c r="H26">
        <v>15</v>
      </c>
      <c r="I26" s="2">
        <f t="shared" si="1"/>
        <v>0.81741016949152545</v>
      </c>
      <c r="K26">
        <v>24</v>
      </c>
      <c r="L26">
        <v>6.0282999999999998</v>
      </c>
      <c r="M26">
        <v>15</v>
      </c>
      <c r="N26" s="2">
        <f t="shared" si="2"/>
        <v>0.8173966101694915</v>
      </c>
      <c r="P26" s="4">
        <v>24</v>
      </c>
      <c r="Q26">
        <v>4.2480000000000002</v>
      </c>
      <c r="R26" s="2">
        <f t="shared" si="3"/>
        <v>0.4854857142857143</v>
      </c>
      <c r="S26">
        <v>20</v>
      </c>
      <c r="U26" s="4">
        <v>24</v>
      </c>
      <c r="V26">
        <v>4.4776999999999996</v>
      </c>
      <c r="W26">
        <v>20</v>
      </c>
      <c r="X26" s="2">
        <f t="shared" si="4"/>
        <v>0.60714576271186438</v>
      </c>
      <c r="Y26">
        <f t="shared" si="5"/>
        <v>20</v>
      </c>
      <c r="Z26">
        <v>10.9</v>
      </c>
    </row>
    <row r="27" spans="1:27" x14ac:dyDescent="0.25">
      <c r="A27">
        <v>25</v>
      </c>
      <c r="B27">
        <v>6.3391000000000002</v>
      </c>
      <c r="C27">
        <v>15</v>
      </c>
      <c r="D27" s="2">
        <f t="shared" si="0"/>
        <v>0.72446857142857146</v>
      </c>
      <c r="F27">
        <v>25</v>
      </c>
      <c r="G27">
        <v>6.2229000000000001</v>
      </c>
      <c r="H27">
        <v>15</v>
      </c>
      <c r="I27" s="2">
        <f t="shared" si="1"/>
        <v>0.84378305084745764</v>
      </c>
      <c r="K27">
        <v>25</v>
      </c>
      <c r="L27">
        <v>6.2355999999999998</v>
      </c>
      <c r="M27">
        <v>15</v>
      </c>
      <c r="N27" s="2">
        <f t="shared" si="2"/>
        <v>0.84550508474576269</v>
      </c>
      <c r="P27" s="7">
        <v>25</v>
      </c>
      <c r="Q27">
        <v>4.3827999999999996</v>
      </c>
      <c r="R27" s="2">
        <f t="shared" si="3"/>
        <v>0.50089142857142854</v>
      </c>
      <c r="S27">
        <v>20</v>
      </c>
      <c r="U27" s="7">
        <v>25</v>
      </c>
      <c r="V27">
        <v>4.6111000000000004</v>
      </c>
      <c r="W27">
        <v>20</v>
      </c>
      <c r="X27" s="2">
        <f t="shared" si="4"/>
        <v>0.6252338983050848</v>
      </c>
      <c r="Y27">
        <f t="shared" si="5"/>
        <v>20</v>
      </c>
      <c r="Z27">
        <v>12.5</v>
      </c>
    </row>
    <row r="28" spans="1:27" x14ac:dyDescent="0.25">
      <c r="A28">
        <v>26</v>
      </c>
      <c r="B28">
        <v>6.5815000000000001</v>
      </c>
      <c r="C28">
        <v>15</v>
      </c>
      <c r="D28" s="2">
        <f t="shared" si="0"/>
        <v>0.7521714285714286</v>
      </c>
      <c r="F28">
        <v>26</v>
      </c>
      <c r="G28">
        <v>6.4020999999999999</v>
      </c>
      <c r="H28">
        <v>15</v>
      </c>
      <c r="I28" s="2">
        <f t="shared" si="1"/>
        <v>0.86808135593220337</v>
      </c>
      <c r="K28">
        <v>26</v>
      </c>
      <c r="L28">
        <v>6.4236000000000004</v>
      </c>
      <c r="M28">
        <v>15</v>
      </c>
      <c r="N28" s="2">
        <f t="shared" si="2"/>
        <v>0.87099661016949159</v>
      </c>
      <c r="P28" s="5">
        <v>26</v>
      </c>
      <c r="Q28">
        <v>4.5193000000000003</v>
      </c>
      <c r="R28" s="2">
        <f t="shared" si="3"/>
        <v>0.5164914285714286</v>
      </c>
      <c r="S28">
        <v>20</v>
      </c>
      <c r="U28" s="5">
        <v>26</v>
      </c>
      <c r="V28">
        <v>4.7426000000000004</v>
      </c>
      <c r="W28">
        <v>20</v>
      </c>
      <c r="X28" s="2">
        <f t="shared" si="4"/>
        <v>0.64306440677966104</v>
      </c>
      <c r="Y28">
        <f t="shared" si="5"/>
        <v>20</v>
      </c>
      <c r="Z28">
        <v>14.2</v>
      </c>
    </row>
    <row r="29" spans="1:27" x14ac:dyDescent="0.25">
      <c r="A29">
        <v>27</v>
      </c>
      <c r="B29">
        <v>6.8156999999999996</v>
      </c>
      <c r="C29">
        <v>15</v>
      </c>
      <c r="D29" s="2">
        <f t="shared" si="0"/>
        <v>0.77893714285714277</v>
      </c>
      <c r="F29">
        <v>27</v>
      </c>
      <c r="G29">
        <v>6.5648</v>
      </c>
      <c r="H29">
        <v>15</v>
      </c>
      <c r="I29" s="2">
        <f t="shared" si="1"/>
        <v>0.89014237288135589</v>
      </c>
      <c r="K29">
        <v>27</v>
      </c>
      <c r="L29">
        <v>6.5984999999999996</v>
      </c>
      <c r="M29">
        <v>15</v>
      </c>
      <c r="N29" s="2">
        <f t="shared" si="2"/>
        <v>0.89471186440677963</v>
      </c>
      <c r="P29" s="8">
        <v>27</v>
      </c>
      <c r="Q29">
        <v>4.6569000000000003</v>
      </c>
      <c r="R29" s="2">
        <f t="shared" si="3"/>
        <v>0.53221714285714283</v>
      </c>
      <c r="S29">
        <v>20</v>
      </c>
      <c r="U29" s="8">
        <v>27</v>
      </c>
      <c r="V29">
        <v>4.8730000000000002</v>
      </c>
      <c r="W29">
        <v>20</v>
      </c>
      <c r="X29" s="2">
        <f t="shared" si="4"/>
        <v>0.66074576271186447</v>
      </c>
      <c r="Y29">
        <f t="shared" si="5"/>
        <v>20</v>
      </c>
      <c r="Z29">
        <v>15.8</v>
      </c>
    </row>
    <row r="30" spans="1:27" x14ac:dyDescent="0.25">
      <c r="A30">
        <v>28</v>
      </c>
      <c r="B30">
        <v>7.0420999999999996</v>
      </c>
      <c r="C30">
        <v>15</v>
      </c>
      <c r="D30" s="2">
        <f t="shared" si="0"/>
        <v>0.80481142857142851</v>
      </c>
      <c r="F30">
        <v>28</v>
      </c>
      <c r="G30">
        <v>6.7106000000000003</v>
      </c>
      <c r="H30">
        <v>15</v>
      </c>
      <c r="I30" s="2">
        <f t="shared" si="1"/>
        <v>0.90991186440677974</v>
      </c>
      <c r="K30">
        <v>28</v>
      </c>
      <c r="L30">
        <v>6.7535999999999996</v>
      </c>
      <c r="M30">
        <v>15</v>
      </c>
      <c r="N30" s="2">
        <f t="shared" si="2"/>
        <v>0.91574237288135585</v>
      </c>
      <c r="P30" s="3">
        <v>28</v>
      </c>
      <c r="Q30">
        <v>4.7967000000000004</v>
      </c>
      <c r="R30" s="2">
        <f t="shared" si="3"/>
        <v>0.54819428571428575</v>
      </c>
      <c r="S30">
        <v>20</v>
      </c>
      <c r="U30" s="3">
        <v>28</v>
      </c>
      <c r="V30">
        <v>4.9992999999999999</v>
      </c>
      <c r="W30">
        <v>20</v>
      </c>
      <c r="X30" s="2">
        <f t="shared" si="4"/>
        <v>0.6778711864406779</v>
      </c>
      <c r="Y30">
        <f t="shared" si="5"/>
        <v>20</v>
      </c>
      <c r="Z30">
        <v>17.5</v>
      </c>
    </row>
    <row r="31" spans="1:27" x14ac:dyDescent="0.25">
      <c r="A31">
        <v>29</v>
      </c>
      <c r="B31">
        <v>7.2573999999999996</v>
      </c>
      <c r="C31">
        <v>15</v>
      </c>
      <c r="D31" s="2">
        <f t="shared" si="0"/>
        <v>0.82941714285714285</v>
      </c>
      <c r="F31">
        <v>29</v>
      </c>
      <c r="G31">
        <v>6.8368000000000002</v>
      </c>
      <c r="H31">
        <v>15</v>
      </c>
      <c r="I31" s="2">
        <f t="shared" si="1"/>
        <v>0.92702372881355932</v>
      </c>
      <c r="K31">
        <v>29</v>
      </c>
      <c r="L31">
        <v>6.8947000000000003</v>
      </c>
      <c r="M31">
        <v>15</v>
      </c>
      <c r="N31" s="2">
        <f t="shared" si="2"/>
        <v>0.93487457627118653</v>
      </c>
      <c r="P31" s="6">
        <v>29</v>
      </c>
      <c r="Q31">
        <v>4.9347000000000003</v>
      </c>
      <c r="R31" s="2">
        <f t="shared" si="3"/>
        <v>0.56396571428571429</v>
      </c>
      <c r="S31">
        <v>20</v>
      </c>
      <c r="U31" s="6">
        <v>29</v>
      </c>
      <c r="V31">
        <v>5.1241000000000003</v>
      </c>
      <c r="W31">
        <v>20</v>
      </c>
      <c r="X31" s="2">
        <f t="shared" si="4"/>
        <v>0.69479322033898305</v>
      </c>
      <c r="Y31">
        <f t="shared" si="5"/>
        <v>20</v>
      </c>
      <c r="Z31">
        <v>19.100000000000001</v>
      </c>
    </row>
    <row r="32" spans="1:27" x14ac:dyDescent="0.25">
      <c r="A32">
        <v>30</v>
      </c>
      <c r="B32">
        <v>7.46</v>
      </c>
      <c r="C32">
        <v>15</v>
      </c>
      <c r="D32" s="2">
        <f t="shared" si="0"/>
        <v>0.85257142857142854</v>
      </c>
      <c r="F32">
        <v>30</v>
      </c>
      <c r="G32">
        <v>6.9443999999999999</v>
      </c>
      <c r="H32">
        <v>15</v>
      </c>
      <c r="I32" s="2">
        <f t="shared" si="1"/>
        <v>0.94161355932203383</v>
      </c>
      <c r="K32">
        <v>30</v>
      </c>
      <c r="L32">
        <v>7.0153999999999996</v>
      </c>
      <c r="M32">
        <v>20</v>
      </c>
      <c r="N32" s="2">
        <f t="shared" si="2"/>
        <v>0.95124067796610168</v>
      </c>
      <c r="P32" s="4">
        <v>30</v>
      </c>
      <c r="Q32">
        <v>5.0640000000000001</v>
      </c>
      <c r="R32" s="2">
        <f t="shared" si="3"/>
        <v>0.57874285714285711</v>
      </c>
      <c r="S32">
        <v>20</v>
      </c>
      <c r="U32" s="4">
        <v>30</v>
      </c>
      <c r="V32">
        <v>5.2462999999999997</v>
      </c>
      <c r="W32">
        <v>20</v>
      </c>
      <c r="X32" s="2">
        <f t="shared" si="4"/>
        <v>0.71136271186440669</v>
      </c>
      <c r="Y32">
        <f t="shared" si="5"/>
        <v>20</v>
      </c>
      <c r="Z32">
        <v>20.8</v>
      </c>
    </row>
    <row r="33" spans="1:26" x14ac:dyDescent="0.25">
      <c r="A33">
        <v>31</v>
      </c>
      <c r="B33">
        <v>7.6521999999999997</v>
      </c>
      <c r="C33">
        <v>15</v>
      </c>
      <c r="D33" s="2">
        <f t="shared" si="0"/>
        <v>0.87453714285714279</v>
      </c>
      <c r="F33">
        <v>31</v>
      </c>
      <c r="G33">
        <v>7.0328999999999997</v>
      </c>
      <c r="H33">
        <v>15</v>
      </c>
      <c r="I33" s="2">
        <f t="shared" si="1"/>
        <v>0.95361355932203384</v>
      </c>
      <c r="K33">
        <v>31</v>
      </c>
      <c r="L33">
        <v>7.1218000000000004</v>
      </c>
      <c r="M33">
        <v>20</v>
      </c>
      <c r="N33" s="2">
        <f t="shared" si="2"/>
        <v>0.96566779661016955</v>
      </c>
      <c r="P33" s="7">
        <v>31</v>
      </c>
      <c r="Q33">
        <v>5.2022000000000004</v>
      </c>
      <c r="R33" s="2">
        <f t="shared" si="3"/>
        <v>0.59453714285714288</v>
      </c>
      <c r="S33">
        <v>20</v>
      </c>
      <c r="U33" s="7">
        <v>31</v>
      </c>
      <c r="V33">
        <v>5.3666</v>
      </c>
      <c r="W33">
        <v>20</v>
      </c>
      <c r="X33" s="2">
        <f t="shared" si="4"/>
        <v>0.72767457627118648</v>
      </c>
      <c r="Y33">
        <f t="shared" si="5"/>
        <v>20</v>
      </c>
      <c r="Z33">
        <v>22.4</v>
      </c>
    </row>
    <row r="34" spans="1:26" x14ac:dyDescent="0.25">
      <c r="A34">
        <v>32</v>
      </c>
      <c r="B34">
        <v>7.8300999999999998</v>
      </c>
      <c r="C34">
        <v>15</v>
      </c>
      <c r="D34" s="2">
        <f t="shared" si="0"/>
        <v>0.89486857142857146</v>
      </c>
      <c r="F34">
        <v>32</v>
      </c>
      <c r="G34">
        <v>7.1056999999999997</v>
      </c>
      <c r="H34">
        <v>17</v>
      </c>
      <c r="I34" s="2">
        <f t="shared" si="1"/>
        <v>0.96348474576271181</v>
      </c>
      <c r="K34">
        <v>32</v>
      </c>
      <c r="L34">
        <v>7.2050000000000001</v>
      </c>
      <c r="M34">
        <v>20</v>
      </c>
      <c r="N34" s="2">
        <f t="shared" si="2"/>
        <v>0.97694915254237291</v>
      </c>
      <c r="P34" s="5">
        <v>32</v>
      </c>
      <c r="Q34">
        <v>5.3395999999999999</v>
      </c>
      <c r="R34" s="2">
        <f t="shared" si="3"/>
        <v>0.61024</v>
      </c>
      <c r="S34">
        <v>20</v>
      </c>
      <c r="U34" s="5">
        <v>32</v>
      </c>
      <c r="V34">
        <v>5.484</v>
      </c>
      <c r="W34">
        <v>20</v>
      </c>
      <c r="X34" s="2">
        <f t="shared" si="4"/>
        <v>0.74359322033898301</v>
      </c>
      <c r="Y34">
        <f t="shared" si="5"/>
        <v>20</v>
      </c>
      <c r="Z34">
        <v>24</v>
      </c>
    </row>
    <row r="35" spans="1:26" x14ac:dyDescent="0.25">
      <c r="A35">
        <v>33</v>
      </c>
      <c r="B35">
        <v>7.9923000000000002</v>
      </c>
      <c r="C35">
        <v>15</v>
      </c>
      <c r="D35" s="2">
        <f t="shared" si="0"/>
        <v>0.91340571428571427</v>
      </c>
      <c r="F35">
        <v>33</v>
      </c>
      <c r="G35">
        <v>7.1723999999999997</v>
      </c>
      <c r="H35">
        <v>18</v>
      </c>
      <c r="I35" s="2">
        <f t="shared" si="1"/>
        <v>0.97252881355932197</v>
      </c>
      <c r="K35">
        <v>33</v>
      </c>
      <c r="L35">
        <v>7.2686999999999999</v>
      </c>
      <c r="M35">
        <v>25</v>
      </c>
      <c r="N35" s="2">
        <f t="shared" si="2"/>
        <v>0.98558644067796608</v>
      </c>
      <c r="P35" s="8">
        <v>33</v>
      </c>
      <c r="Q35">
        <v>5.4771999999999998</v>
      </c>
      <c r="R35" s="2">
        <f t="shared" si="3"/>
        <v>0.62596571428571424</v>
      </c>
      <c r="S35">
        <v>20</v>
      </c>
      <c r="U35" s="8">
        <v>33</v>
      </c>
      <c r="V35">
        <v>5.5987</v>
      </c>
      <c r="W35">
        <v>21</v>
      </c>
      <c r="X35" s="2">
        <f t="shared" si="4"/>
        <v>0.7591457627118644</v>
      </c>
      <c r="Y35">
        <f t="shared" si="5"/>
        <v>21</v>
      </c>
      <c r="Z35">
        <v>25.7</v>
      </c>
    </row>
    <row r="36" spans="1:26" x14ac:dyDescent="0.25">
      <c r="A36">
        <v>34</v>
      </c>
      <c r="B36">
        <v>8.1417000000000002</v>
      </c>
      <c r="C36">
        <v>15</v>
      </c>
      <c r="D36" s="2">
        <f t="shared" si="0"/>
        <v>0.93047999999999997</v>
      </c>
      <c r="F36">
        <v>34</v>
      </c>
      <c r="G36">
        <v>7.2302999999999997</v>
      </c>
      <c r="H36">
        <v>20</v>
      </c>
      <c r="I36" s="2">
        <f t="shared" si="1"/>
        <v>0.98037966101694907</v>
      </c>
      <c r="K36">
        <v>34</v>
      </c>
      <c r="L36">
        <v>7.3133999999999997</v>
      </c>
      <c r="M36">
        <v>25</v>
      </c>
      <c r="N36" s="2">
        <f t="shared" si="2"/>
        <v>0.99164745762711859</v>
      </c>
      <c r="P36" s="3">
        <v>34</v>
      </c>
      <c r="Q36">
        <v>5.6138000000000003</v>
      </c>
      <c r="R36" s="2">
        <f t="shared" si="3"/>
        <v>0.64157714285714285</v>
      </c>
      <c r="S36">
        <v>20</v>
      </c>
      <c r="U36" s="3">
        <v>34</v>
      </c>
      <c r="V36">
        <v>5.7111000000000001</v>
      </c>
      <c r="W36">
        <v>22</v>
      </c>
      <c r="X36" s="2">
        <f t="shared" si="4"/>
        <v>0.77438644067796614</v>
      </c>
      <c r="Y36">
        <f t="shared" si="5"/>
        <v>22</v>
      </c>
      <c r="Z36">
        <v>27.3</v>
      </c>
    </row>
    <row r="37" spans="1:26" x14ac:dyDescent="0.25">
      <c r="A37">
        <v>35</v>
      </c>
      <c r="B37">
        <v>8.2750000000000004</v>
      </c>
      <c r="C37">
        <v>20</v>
      </c>
      <c r="D37" s="2">
        <f t="shared" si="0"/>
        <v>0.94571428571428573</v>
      </c>
      <c r="F37">
        <v>35</v>
      </c>
      <c r="G37">
        <v>7.2759999999999998</v>
      </c>
      <c r="H37">
        <v>22</v>
      </c>
      <c r="I37" s="2">
        <f t="shared" si="1"/>
        <v>0.98657627118644065</v>
      </c>
      <c r="K37">
        <v>35</v>
      </c>
      <c r="L37">
        <v>7.3369</v>
      </c>
      <c r="M37">
        <v>25</v>
      </c>
      <c r="N37" s="2">
        <f t="shared" si="2"/>
        <v>0.99483389830508473</v>
      </c>
      <c r="P37" s="6">
        <v>35</v>
      </c>
      <c r="Q37">
        <v>5.7462999999999997</v>
      </c>
      <c r="R37" s="2">
        <f t="shared" si="3"/>
        <v>0.65671999999999997</v>
      </c>
      <c r="S37">
        <v>20</v>
      </c>
      <c r="U37" s="6">
        <v>35</v>
      </c>
      <c r="V37">
        <v>5.8198999999999996</v>
      </c>
      <c r="W37">
        <v>22</v>
      </c>
      <c r="X37" s="2">
        <f t="shared" si="4"/>
        <v>0.7891389830508474</v>
      </c>
      <c r="Y37">
        <f t="shared" si="5"/>
        <v>22</v>
      </c>
      <c r="Z37">
        <v>29</v>
      </c>
    </row>
    <row r="38" spans="1:26" x14ac:dyDescent="0.25">
      <c r="A38">
        <v>36</v>
      </c>
      <c r="B38">
        <v>8.3907000000000007</v>
      </c>
      <c r="C38">
        <v>20</v>
      </c>
      <c r="D38" s="2">
        <f t="shared" si="0"/>
        <v>0.95893714285714293</v>
      </c>
      <c r="F38">
        <v>36</v>
      </c>
      <c r="G38">
        <v>7.3076999999999996</v>
      </c>
      <c r="H38">
        <v>23</v>
      </c>
      <c r="I38" s="2">
        <f t="shared" si="1"/>
        <v>0.99087457627118636</v>
      </c>
      <c r="K38">
        <v>36</v>
      </c>
      <c r="L38">
        <f>14.75/2</f>
        <v>7.375</v>
      </c>
      <c r="M38">
        <v>30</v>
      </c>
      <c r="N38" s="2">
        <f t="shared" si="2"/>
        <v>1</v>
      </c>
      <c r="P38" s="4">
        <v>36</v>
      </c>
      <c r="Q38">
        <v>5.8784999999999998</v>
      </c>
      <c r="R38" s="2">
        <f t="shared" si="3"/>
        <v>0.67182857142857144</v>
      </c>
      <c r="S38">
        <v>20</v>
      </c>
      <c r="U38" s="4">
        <v>36</v>
      </c>
      <c r="V38">
        <v>5.9260999999999999</v>
      </c>
      <c r="W38">
        <v>23</v>
      </c>
      <c r="X38" s="2">
        <f t="shared" si="4"/>
        <v>0.80353898305084748</v>
      </c>
      <c r="Y38">
        <f t="shared" si="5"/>
        <v>23</v>
      </c>
      <c r="Z38">
        <v>30.5</v>
      </c>
    </row>
    <row r="39" spans="1:26" x14ac:dyDescent="0.25">
      <c r="A39">
        <v>37</v>
      </c>
      <c r="B39">
        <v>8.4896999999999991</v>
      </c>
      <c r="C39">
        <v>20</v>
      </c>
      <c r="D39" s="2">
        <f t="shared" si="0"/>
        <v>0.97025142857142843</v>
      </c>
      <c r="F39">
        <v>37</v>
      </c>
      <c r="G39">
        <v>7.3331</v>
      </c>
      <c r="H39">
        <v>25</v>
      </c>
      <c r="I39" s="2">
        <f t="shared" si="1"/>
        <v>0.99431864406779658</v>
      </c>
      <c r="P39" s="7">
        <v>37</v>
      </c>
      <c r="Q39">
        <v>6.0091999999999999</v>
      </c>
      <c r="R39" s="2">
        <f t="shared" si="3"/>
        <v>0.68676571428571431</v>
      </c>
      <c r="S39">
        <v>20</v>
      </c>
      <c r="U39" s="7">
        <v>37</v>
      </c>
      <c r="V39">
        <v>6.0284000000000004</v>
      </c>
      <c r="W39">
        <v>23</v>
      </c>
      <c r="X39" s="2">
        <f t="shared" si="4"/>
        <v>0.81741016949152545</v>
      </c>
      <c r="Y39">
        <f t="shared" si="5"/>
        <v>23</v>
      </c>
      <c r="Z39">
        <v>32.200000000000003</v>
      </c>
    </row>
    <row r="40" spans="1:26" x14ac:dyDescent="0.25">
      <c r="A40">
        <v>38</v>
      </c>
      <c r="B40">
        <v>8.5717999999999996</v>
      </c>
      <c r="C40">
        <v>25</v>
      </c>
      <c r="D40" s="2">
        <f t="shared" si="0"/>
        <v>0.97963428571428568</v>
      </c>
      <c r="F40">
        <v>38</v>
      </c>
      <c r="G40">
        <v>7.3613</v>
      </c>
      <c r="H40">
        <v>30</v>
      </c>
      <c r="I40" s="2">
        <f t="shared" si="1"/>
        <v>0.99814237288135588</v>
      </c>
      <c r="P40" s="5">
        <v>38</v>
      </c>
      <c r="Q40">
        <v>6.1394000000000002</v>
      </c>
      <c r="R40" s="2">
        <f t="shared" si="3"/>
        <v>0.70164571428571432</v>
      </c>
      <c r="S40">
        <v>20</v>
      </c>
      <c r="U40" s="5">
        <v>38</v>
      </c>
      <c r="V40">
        <v>6.1272000000000002</v>
      </c>
      <c r="W40">
        <v>24</v>
      </c>
      <c r="X40" s="2">
        <f t="shared" si="4"/>
        <v>0.83080677966101701</v>
      </c>
      <c r="Y40">
        <f t="shared" si="5"/>
        <v>24</v>
      </c>
      <c r="Z40">
        <v>33.9</v>
      </c>
    </row>
    <row r="41" spans="1:26" x14ac:dyDescent="0.25">
      <c r="A41">
        <v>39</v>
      </c>
      <c r="B41">
        <v>8.6348000000000003</v>
      </c>
      <c r="C41">
        <v>25</v>
      </c>
      <c r="D41" s="2">
        <f t="shared" si="0"/>
        <v>0.98683428571428577</v>
      </c>
      <c r="F41">
        <v>39</v>
      </c>
      <c r="G41">
        <v>7.3613</v>
      </c>
      <c r="H41">
        <v>30</v>
      </c>
      <c r="I41" s="2">
        <f t="shared" si="1"/>
        <v>0.99814237288135588</v>
      </c>
      <c r="P41" s="8">
        <v>39</v>
      </c>
      <c r="Q41">
        <v>6.2676999999999996</v>
      </c>
      <c r="R41" s="2">
        <f t="shared" si="3"/>
        <v>0.71630857142857141</v>
      </c>
      <c r="S41">
        <v>20</v>
      </c>
      <c r="U41" s="8">
        <v>39</v>
      </c>
      <c r="V41">
        <v>6.2229000000000001</v>
      </c>
      <c r="W41">
        <v>24</v>
      </c>
      <c r="X41" s="2">
        <f t="shared" si="4"/>
        <v>0.84378305084745764</v>
      </c>
      <c r="Y41">
        <f t="shared" si="5"/>
        <v>24</v>
      </c>
      <c r="Z41">
        <v>35.5</v>
      </c>
    </row>
    <row r="42" spans="1:26" x14ac:dyDescent="0.25">
      <c r="A42">
        <v>40</v>
      </c>
      <c r="B42">
        <v>8.6806999999999999</v>
      </c>
      <c r="C42">
        <v>25</v>
      </c>
      <c r="D42" s="2">
        <f t="shared" si="0"/>
        <v>0.99207999999999996</v>
      </c>
      <c r="F42">
        <v>40</v>
      </c>
      <c r="G42">
        <v>7.3613</v>
      </c>
      <c r="H42">
        <v>30</v>
      </c>
      <c r="I42" s="2">
        <f t="shared" si="1"/>
        <v>0.99814237288135588</v>
      </c>
      <c r="P42" s="3">
        <v>40</v>
      </c>
      <c r="Q42">
        <v>6.3945999999999996</v>
      </c>
      <c r="R42" s="2">
        <f t="shared" si="3"/>
        <v>0.73081142857142856</v>
      </c>
      <c r="S42">
        <v>20</v>
      </c>
      <c r="U42" s="3">
        <v>40</v>
      </c>
      <c r="V42">
        <v>6.3143000000000002</v>
      </c>
      <c r="W42">
        <v>25</v>
      </c>
      <c r="X42" s="2">
        <f t="shared" si="4"/>
        <v>0.85617627118644068</v>
      </c>
      <c r="Y42">
        <f t="shared" si="5"/>
        <v>25</v>
      </c>
      <c r="Z42">
        <v>37.200000000000003</v>
      </c>
    </row>
    <row r="43" spans="1:26" x14ac:dyDescent="0.25">
      <c r="A43">
        <v>41</v>
      </c>
      <c r="B43">
        <v>8.75</v>
      </c>
      <c r="C43">
        <v>30</v>
      </c>
      <c r="D43" s="2">
        <f t="shared" si="0"/>
        <v>1</v>
      </c>
      <c r="I43" s="2"/>
      <c r="P43" s="6">
        <v>41</v>
      </c>
      <c r="Q43">
        <v>6.52</v>
      </c>
      <c r="R43" s="2">
        <f t="shared" si="3"/>
        <v>0.74514285714285711</v>
      </c>
      <c r="S43">
        <v>21</v>
      </c>
      <c r="U43" s="6">
        <v>41</v>
      </c>
      <c r="V43">
        <v>6.4020999999999999</v>
      </c>
      <c r="W43">
        <v>26</v>
      </c>
      <c r="X43" s="2">
        <f t="shared" si="4"/>
        <v>0.86808135593220337</v>
      </c>
      <c r="Y43">
        <f t="shared" si="5"/>
        <v>26</v>
      </c>
      <c r="Z43">
        <v>38.799999999999997</v>
      </c>
    </row>
    <row r="44" spans="1:26" x14ac:dyDescent="0.25">
      <c r="A44">
        <v>42</v>
      </c>
      <c r="B44">
        <v>8.75</v>
      </c>
      <c r="C44">
        <v>30</v>
      </c>
      <c r="D44" s="2">
        <f t="shared" si="0"/>
        <v>1</v>
      </c>
      <c r="I44" s="2"/>
      <c r="P44" s="4">
        <v>42</v>
      </c>
      <c r="Q44">
        <v>6.6433</v>
      </c>
      <c r="R44" s="2">
        <f t="shared" si="3"/>
        <v>0.75923428571428575</v>
      </c>
      <c r="S44">
        <v>21</v>
      </c>
      <c r="U44" s="4">
        <v>42</v>
      </c>
      <c r="V44">
        <v>6.4855999999999998</v>
      </c>
      <c r="W44">
        <v>26</v>
      </c>
      <c r="X44" s="2">
        <f t="shared" si="4"/>
        <v>0.87940338983050848</v>
      </c>
      <c r="Y44">
        <f t="shared" si="5"/>
        <v>26</v>
      </c>
      <c r="Z44">
        <v>40.4</v>
      </c>
    </row>
    <row r="45" spans="1:26" x14ac:dyDescent="0.25">
      <c r="A45">
        <v>43</v>
      </c>
      <c r="B45">
        <v>8.75</v>
      </c>
      <c r="C45">
        <v>30</v>
      </c>
      <c r="D45" s="2">
        <f t="shared" si="0"/>
        <v>1</v>
      </c>
      <c r="I45" s="2"/>
      <c r="P45" s="7">
        <v>43</v>
      </c>
      <c r="Q45">
        <v>6.7647000000000004</v>
      </c>
      <c r="R45" s="2">
        <f t="shared" si="3"/>
        <v>0.77310857142857148</v>
      </c>
      <c r="S45">
        <v>22</v>
      </c>
      <c r="U45" s="7">
        <v>43</v>
      </c>
      <c r="V45">
        <v>6.5648</v>
      </c>
      <c r="W45">
        <v>27</v>
      </c>
      <c r="X45" s="2">
        <f t="shared" si="4"/>
        <v>0.89014237288135589</v>
      </c>
      <c r="Y45">
        <f t="shared" si="5"/>
        <v>27</v>
      </c>
      <c r="Z45">
        <v>42.1</v>
      </c>
    </row>
    <row r="46" spans="1:26" x14ac:dyDescent="0.25">
      <c r="A46">
        <v>44</v>
      </c>
      <c r="B46">
        <v>8.75</v>
      </c>
      <c r="C46">
        <v>30</v>
      </c>
      <c r="D46" s="2">
        <f t="shared" si="0"/>
        <v>1</v>
      </c>
      <c r="I46" s="2"/>
      <c r="P46" s="5">
        <v>44</v>
      </c>
      <c r="Q46">
        <v>6.8837000000000002</v>
      </c>
      <c r="R46" s="2">
        <f t="shared" si="3"/>
        <v>0.78670857142857142</v>
      </c>
      <c r="S46">
        <v>22</v>
      </c>
      <c r="U46" s="5">
        <v>44</v>
      </c>
      <c r="V46">
        <v>6.6401000000000003</v>
      </c>
      <c r="W46">
        <v>27</v>
      </c>
      <c r="X46" s="2">
        <f t="shared" si="4"/>
        <v>0.90035254237288143</v>
      </c>
      <c r="Y46">
        <f t="shared" si="5"/>
        <v>27</v>
      </c>
      <c r="Z46">
        <v>43.7</v>
      </c>
    </row>
    <row r="47" spans="1:26" x14ac:dyDescent="0.25">
      <c r="A47">
        <v>45</v>
      </c>
      <c r="B47">
        <v>8.75</v>
      </c>
      <c r="C47">
        <v>30</v>
      </c>
      <c r="D47" s="2">
        <f t="shared" si="0"/>
        <v>1</v>
      </c>
      <c r="I47" s="2"/>
      <c r="P47" s="8">
        <v>45</v>
      </c>
      <c r="Q47">
        <v>7.0003000000000002</v>
      </c>
      <c r="R47" s="2">
        <f t="shared" si="3"/>
        <v>0.8000342857142857</v>
      </c>
      <c r="S47">
        <v>23</v>
      </c>
      <c r="U47" s="8">
        <v>45</v>
      </c>
      <c r="V47">
        <v>6.7106000000000003</v>
      </c>
      <c r="W47">
        <v>28</v>
      </c>
      <c r="X47" s="2">
        <f t="shared" si="4"/>
        <v>0.90991186440677974</v>
      </c>
      <c r="Y47">
        <f t="shared" si="5"/>
        <v>28</v>
      </c>
      <c r="Z47">
        <v>45.3</v>
      </c>
    </row>
    <row r="48" spans="1:26" x14ac:dyDescent="0.25">
      <c r="A48">
        <v>46</v>
      </c>
      <c r="B48">
        <v>8.75</v>
      </c>
      <c r="C48">
        <v>30</v>
      </c>
      <c r="D48" s="2">
        <f t="shared" si="0"/>
        <v>1</v>
      </c>
      <c r="I48" s="2"/>
      <c r="P48" s="3">
        <v>46</v>
      </c>
      <c r="Q48">
        <v>7.1143000000000001</v>
      </c>
      <c r="R48" s="2">
        <f t="shared" si="3"/>
        <v>0.8130628571428572</v>
      </c>
      <c r="S48">
        <v>23</v>
      </c>
      <c r="U48" s="3">
        <v>46</v>
      </c>
      <c r="V48">
        <v>6.7758000000000003</v>
      </c>
      <c r="W48">
        <v>28</v>
      </c>
      <c r="X48" s="2">
        <f t="shared" si="4"/>
        <v>0.9187525423728814</v>
      </c>
      <c r="Y48">
        <f t="shared" si="5"/>
        <v>28</v>
      </c>
      <c r="Z48">
        <v>47</v>
      </c>
    </row>
    <row r="49" spans="4:26" x14ac:dyDescent="0.25">
      <c r="D49" s="2"/>
      <c r="I49" s="2"/>
      <c r="P49" s="6">
        <v>47</v>
      </c>
      <c r="Q49">
        <v>7.2225200000000003</v>
      </c>
      <c r="R49" s="2">
        <f t="shared" si="3"/>
        <v>0.82543085714285713</v>
      </c>
      <c r="S49">
        <v>24</v>
      </c>
      <c r="U49" s="6">
        <v>47</v>
      </c>
      <c r="V49">
        <v>6.8368000000000002</v>
      </c>
      <c r="W49">
        <v>29</v>
      </c>
      <c r="X49" s="2">
        <f t="shared" si="4"/>
        <v>0.92702372881355932</v>
      </c>
      <c r="Y49">
        <f t="shared" si="5"/>
        <v>29</v>
      </c>
      <c r="Z49">
        <v>48.6</v>
      </c>
    </row>
    <row r="50" spans="4:26" x14ac:dyDescent="0.25">
      <c r="D50" s="2"/>
      <c r="I50" s="2"/>
      <c r="P50" s="4">
        <v>48</v>
      </c>
      <c r="Q50">
        <v>7.3323999999999998</v>
      </c>
      <c r="R50" s="2">
        <f t="shared" si="3"/>
        <v>0.83798857142857142</v>
      </c>
      <c r="S50">
        <v>24</v>
      </c>
      <c r="U50" s="4">
        <v>48</v>
      </c>
      <c r="V50">
        <v>6.9443999999999999</v>
      </c>
      <c r="W50">
        <v>30</v>
      </c>
      <c r="X50" s="2">
        <f t="shared" si="4"/>
        <v>0.94161355932203383</v>
      </c>
      <c r="Y50">
        <f t="shared" si="5"/>
        <v>31</v>
      </c>
      <c r="Z50">
        <v>50.2</v>
      </c>
    </row>
    <row r="51" spans="4:26" x14ac:dyDescent="0.25">
      <c r="D51" s="2"/>
      <c r="I51" s="2"/>
      <c r="P51" s="7">
        <v>49</v>
      </c>
      <c r="Q51">
        <v>7.4371999999999998</v>
      </c>
      <c r="R51" s="2">
        <f t="shared" si="3"/>
        <v>0.84996571428571421</v>
      </c>
      <c r="S51">
        <v>25</v>
      </c>
      <c r="U51" s="7">
        <v>49</v>
      </c>
      <c r="V51">
        <v>6.9911000000000003</v>
      </c>
      <c r="W51">
        <v>31</v>
      </c>
      <c r="X51" s="2">
        <f t="shared" si="4"/>
        <v>0.94794576271186448</v>
      </c>
      <c r="Y51">
        <f t="shared" si="5"/>
        <v>31</v>
      </c>
      <c r="Z51">
        <v>51.8</v>
      </c>
    </row>
    <row r="52" spans="4:26" x14ac:dyDescent="0.25">
      <c r="D52" s="2"/>
      <c r="I52" s="2"/>
      <c r="P52" s="5">
        <v>50</v>
      </c>
      <c r="Q52">
        <v>7.5385</v>
      </c>
      <c r="R52" s="2">
        <f t="shared" si="3"/>
        <v>0.86154285714285717</v>
      </c>
      <c r="S52">
        <v>26</v>
      </c>
      <c r="U52" s="5">
        <v>50</v>
      </c>
      <c r="V52">
        <v>7.0328999999999997</v>
      </c>
      <c r="W52">
        <v>31</v>
      </c>
      <c r="X52" s="2">
        <f t="shared" si="4"/>
        <v>0.95361355932203384</v>
      </c>
      <c r="Y52">
        <f t="shared" si="5"/>
        <v>31</v>
      </c>
      <c r="Z52">
        <v>53.4</v>
      </c>
    </row>
    <row r="53" spans="4:26" x14ac:dyDescent="0.25">
      <c r="D53" s="2"/>
      <c r="I53" s="2"/>
      <c r="P53" s="8">
        <v>51</v>
      </c>
      <c r="Q53">
        <v>7.6357999999999997</v>
      </c>
      <c r="R53" s="2">
        <f t="shared" si="3"/>
        <v>0.87266285714285707</v>
      </c>
      <c r="S53">
        <v>26</v>
      </c>
      <c r="U53" s="8">
        <v>51</v>
      </c>
      <c r="V53">
        <v>7.0690999999999997</v>
      </c>
      <c r="W53">
        <v>32</v>
      </c>
      <c r="X53" s="2">
        <f t="shared" si="4"/>
        <v>0.95852203389830504</v>
      </c>
      <c r="Y53">
        <f t="shared" si="5"/>
        <v>32</v>
      </c>
      <c r="Z53">
        <v>55</v>
      </c>
    </row>
    <row r="54" spans="4:26" x14ac:dyDescent="0.25">
      <c r="D54" s="2"/>
      <c r="I54" s="2"/>
      <c r="P54" s="3">
        <v>52</v>
      </c>
      <c r="Q54">
        <v>7.7302</v>
      </c>
      <c r="R54" s="2">
        <f t="shared" si="3"/>
        <v>0.88345142857142855</v>
      </c>
      <c r="S54">
        <v>27</v>
      </c>
      <c r="U54" s="3">
        <v>52</v>
      </c>
      <c r="V54">
        <v>7.1056999999999997</v>
      </c>
      <c r="W54">
        <v>32</v>
      </c>
      <c r="X54" s="2">
        <f t="shared" si="4"/>
        <v>0.96348474576271181</v>
      </c>
      <c r="Y54">
        <f t="shared" si="5"/>
        <v>32</v>
      </c>
      <c r="Z54">
        <v>56.6</v>
      </c>
    </row>
    <row r="55" spans="4:26" x14ac:dyDescent="0.25">
      <c r="D55" s="2"/>
      <c r="I55" s="2"/>
      <c r="P55" s="6">
        <v>53</v>
      </c>
      <c r="Q55">
        <v>7.8209</v>
      </c>
      <c r="R55" s="2">
        <f t="shared" si="3"/>
        <v>0.89381714285714287</v>
      </c>
      <c r="S55">
        <v>27</v>
      </c>
      <c r="U55" s="6">
        <v>53</v>
      </c>
      <c r="V55">
        <v>7.1269</v>
      </c>
      <c r="W55">
        <v>33</v>
      </c>
      <c r="X55" s="2">
        <f t="shared" si="4"/>
        <v>0.96635932203389829</v>
      </c>
      <c r="Y55">
        <f t="shared" si="5"/>
        <v>33</v>
      </c>
      <c r="Z55">
        <v>58.1</v>
      </c>
    </row>
    <row r="56" spans="4:26" x14ac:dyDescent="0.25">
      <c r="D56" s="2"/>
      <c r="I56" s="2"/>
      <c r="P56" s="4">
        <v>54</v>
      </c>
      <c r="Q56">
        <v>7.9081000000000001</v>
      </c>
      <c r="R56" s="2">
        <f t="shared" si="3"/>
        <v>0.90378285714285711</v>
      </c>
      <c r="S56">
        <v>28</v>
      </c>
      <c r="U56" s="4">
        <v>54</v>
      </c>
      <c r="V56">
        <v>7.1723999999999997</v>
      </c>
      <c r="W56">
        <v>33</v>
      </c>
      <c r="X56" s="2">
        <f t="shared" si="4"/>
        <v>0.97252881355932197</v>
      </c>
      <c r="Y56">
        <f t="shared" si="5"/>
        <v>33</v>
      </c>
      <c r="Z56">
        <v>59.7</v>
      </c>
    </row>
    <row r="57" spans="4:26" x14ac:dyDescent="0.25">
      <c r="D57" s="2"/>
      <c r="I57" s="2"/>
      <c r="P57" s="7">
        <v>55</v>
      </c>
      <c r="Q57">
        <v>7.9909999999999997</v>
      </c>
      <c r="R57" s="2">
        <f t="shared" si="3"/>
        <v>0.91325714285714277</v>
      </c>
      <c r="S57">
        <v>28</v>
      </c>
      <c r="X57" s="2"/>
    </row>
    <row r="58" spans="4:26" x14ac:dyDescent="0.25">
      <c r="D58" s="2"/>
      <c r="I58" s="2"/>
      <c r="P58" s="5">
        <v>56</v>
      </c>
      <c r="Q58">
        <v>8.0706000000000007</v>
      </c>
      <c r="R58" s="2">
        <f t="shared" si="3"/>
        <v>0.92235428571428579</v>
      </c>
      <c r="S58">
        <v>29</v>
      </c>
      <c r="X58" s="2"/>
    </row>
    <row r="59" spans="4:26" x14ac:dyDescent="0.25">
      <c r="D59" s="2"/>
      <c r="I59" s="2"/>
      <c r="P59" s="8">
        <v>57</v>
      </c>
      <c r="Q59">
        <v>8.1455000000000002</v>
      </c>
      <c r="R59" s="2">
        <f t="shared" si="3"/>
        <v>0.93091428571428569</v>
      </c>
      <c r="S59">
        <v>29</v>
      </c>
      <c r="X59" s="2"/>
    </row>
    <row r="60" spans="4:26" x14ac:dyDescent="0.25">
      <c r="D60" s="2"/>
      <c r="I60" s="2"/>
      <c r="P60" s="3">
        <v>58</v>
      </c>
      <c r="Q60">
        <v>8.2141000000000002</v>
      </c>
      <c r="R60" s="2">
        <f t="shared" si="3"/>
        <v>0.93875428571428576</v>
      </c>
      <c r="S60">
        <v>30</v>
      </c>
      <c r="X60" s="2"/>
    </row>
    <row r="61" spans="4:26" x14ac:dyDescent="0.25">
      <c r="D61" s="2"/>
      <c r="I61" s="2"/>
      <c r="P61" s="6">
        <v>59</v>
      </c>
      <c r="Q61">
        <v>8.2284000000000006</v>
      </c>
      <c r="R61" s="2">
        <f t="shared" si="3"/>
        <v>0.94038857142857146</v>
      </c>
      <c r="S61">
        <v>31</v>
      </c>
      <c r="X61" s="2"/>
    </row>
    <row r="62" spans="4:26" x14ac:dyDescent="0.25">
      <c r="D62" s="2"/>
      <c r="I62" s="2"/>
      <c r="P62" s="4">
        <v>60</v>
      </c>
      <c r="Q62">
        <v>8.2827999999999999</v>
      </c>
      <c r="R62" s="2">
        <f t="shared" si="3"/>
        <v>0.94660571428571427</v>
      </c>
      <c r="S62">
        <v>31</v>
      </c>
      <c r="X62" s="2"/>
    </row>
    <row r="63" spans="4:26" x14ac:dyDescent="0.25">
      <c r="D63" s="2"/>
      <c r="I63" s="2"/>
      <c r="P63" s="7">
        <v>61</v>
      </c>
      <c r="Q63">
        <v>8.3443000000000005</v>
      </c>
      <c r="R63" s="2">
        <f t="shared" si="3"/>
        <v>0.95363428571428577</v>
      </c>
      <c r="S63">
        <v>32</v>
      </c>
      <c r="X63" s="2"/>
    </row>
    <row r="64" spans="4:26" x14ac:dyDescent="0.25">
      <c r="D64" s="2"/>
      <c r="I64" s="2"/>
      <c r="P64" s="5">
        <v>62</v>
      </c>
      <c r="Q64">
        <v>8.4017999999999997</v>
      </c>
      <c r="R64" s="2">
        <f t="shared" si="3"/>
        <v>0.96020571428571422</v>
      </c>
      <c r="S64">
        <v>32</v>
      </c>
      <c r="X64" s="2"/>
    </row>
    <row r="65" spans="4:24" x14ac:dyDescent="0.25">
      <c r="D65" s="2"/>
      <c r="I65" s="2"/>
      <c r="P65" s="8">
        <v>63</v>
      </c>
      <c r="Q65">
        <v>8.4544999999999995</v>
      </c>
      <c r="R65" s="2">
        <f t="shared" si="3"/>
        <v>0.96622857142857133</v>
      </c>
      <c r="S65">
        <v>33</v>
      </c>
      <c r="X65" s="2"/>
    </row>
    <row r="66" spans="4:24" x14ac:dyDescent="0.25">
      <c r="P66" s="3">
        <v>64</v>
      </c>
      <c r="Q66">
        <v>8.5008999999999997</v>
      </c>
      <c r="R66" s="2">
        <f t="shared" si="3"/>
        <v>0.97153142857142849</v>
      </c>
      <c r="S66">
        <v>33</v>
      </c>
    </row>
    <row r="67" spans="4:24" x14ac:dyDescent="0.25">
      <c r="P67" s="6">
        <v>65</v>
      </c>
      <c r="Q67">
        <v>8.5435999999999996</v>
      </c>
      <c r="R67" s="2">
        <f t="shared" si="3"/>
        <v>0.97641142857142849</v>
      </c>
      <c r="S67">
        <v>34</v>
      </c>
    </row>
    <row r="68" spans="4:24" x14ac:dyDescent="0.25">
      <c r="P68" s="4">
        <v>66</v>
      </c>
      <c r="Q68">
        <v>8.5820000000000007</v>
      </c>
      <c r="R68" s="2">
        <f t="shared" ref="R68:R77" si="6">Q68/$P$1*2</f>
        <v>0.98080000000000012</v>
      </c>
      <c r="S68">
        <v>34</v>
      </c>
    </row>
    <row r="69" spans="4:24" x14ac:dyDescent="0.25">
      <c r="P69" s="7">
        <v>67</v>
      </c>
      <c r="Q69">
        <v>8.6161999999999992</v>
      </c>
      <c r="R69" s="2">
        <f t="shared" si="6"/>
        <v>0.98470857142857138</v>
      </c>
      <c r="S69">
        <v>35</v>
      </c>
    </row>
    <row r="70" spans="4:24" x14ac:dyDescent="0.25">
      <c r="P70" s="5">
        <v>68</v>
      </c>
      <c r="Q70">
        <v>8.6440999999999999</v>
      </c>
      <c r="R70" s="2">
        <f t="shared" si="6"/>
        <v>0.98789714285714281</v>
      </c>
      <c r="S70">
        <v>36</v>
      </c>
    </row>
    <row r="71" spans="4:24" x14ac:dyDescent="0.25">
      <c r="P71" s="8">
        <v>69</v>
      </c>
      <c r="Q71">
        <v>8.6671999999999993</v>
      </c>
      <c r="R71" s="2">
        <f t="shared" si="6"/>
        <v>0.99053714285714278</v>
      </c>
      <c r="S71">
        <v>36</v>
      </c>
    </row>
    <row r="72" spans="4:24" x14ac:dyDescent="0.25">
      <c r="P72" s="3">
        <v>70</v>
      </c>
      <c r="Q72">
        <v>8.6882000000000001</v>
      </c>
      <c r="R72" s="2">
        <f t="shared" si="6"/>
        <v>0.99293714285714285</v>
      </c>
      <c r="S72">
        <v>37</v>
      </c>
    </row>
    <row r="73" spans="4:24" x14ac:dyDescent="0.25">
      <c r="P73">
        <v>71</v>
      </c>
      <c r="Q73">
        <v>8.6994000000000007</v>
      </c>
      <c r="R73" s="2">
        <f t="shared" si="6"/>
        <v>0.99421714285714291</v>
      </c>
      <c r="S73">
        <v>37</v>
      </c>
    </row>
    <row r="74" spans="4:24" x14ac:dyDescent="0.25">
      <c r="P74">
        <v>72</v>
      </c>
      <c r="Q74">
        <v>8.7071000000000005</v>
      </c>
      <c r="R74" s="2">
        <f t="shared" si="6"/>
        <v>0.9950971428571429</v>
      </c>
      <c r="S74">
        <v>38</v>
      </c>
    </row>
    <row r="75" spans="4:24" x14ac:dyDescent="0.25">
      <c r="P75">
        <v>73</v>
      </c>
      <c r="Q75">
        <v>8.7101000000000006</v>
      </c>
      <c r="R75" s="2">
        <f t="shared" si="6"/>
        <v>0.9954400000000001</v>
      </c>
      <c r="S75">
        <v>38</v>
      </c>
    </row>
    <row r="76" spans="4:24" x14ac:dyDescent="0.25">
      <c r="P76">
        <v>74</v>
      </c>
      <c r="Q76">
        <v>8.7143999999999995</v>
      </c>
      <c r="R76" s="2">
        <f t="shared" si="6"/>
        <v>0.99593142857142847</v>
      </c>
      <c r="S76">
        <v>39</v>
      </c>
    </row>
    <row r="77" spans="4:24" x14ac:dyDescent="0.25">
      <c r="P77">
        <v>75</v>
      </c>
      <c r="Q77">
        <v>8.75</v>
      </c>
      <c r="R77" s="2">
        <f t="shared" si="6"/>
        <v>1</v>
      </c>
      <c r="S77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Graph 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Victor M. Rodriguez</cp:lastModifiedBy>
  <cp:lastPrinted>2015-05-14T15:13:53Z</cp:lastPrinted>
  <dcterms:created xsi:type="dcterms:W3CDTF">2015-03-17T18:24:41Z</dcterms:created>
  <dcterms:modified xsi:type="dcterms:W3CDTF">2020-01-30T19:36:13Z</dcterms:modified>
</cp:coreProperties>
</file>