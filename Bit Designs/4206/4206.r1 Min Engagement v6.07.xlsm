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206\"/>
    </mc:Choice>
  </mc:AlternateContent>
  <xr:revisionPtr revIDLastSave="0" documentId="13_ncr:1_{8E5E1565-DB9C-4561-88F2-99CBE10CFDC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1" i="1"/>
  <c r="IR11" i="1"/>
  <c r="IX11" i="1"/>
  <c r="IL11" i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V11" i="1"/>
  <c r="IY11" i="1"/>
  <c r="IF11" i="1" s="1"/>
  <c r="IQ11" i="1"/>
  <c r="IK11" i="1"/>
  <c r="IN10" i="1"/>
  <c r="IL10" i="1"/>
  <c r="IW10" i="1"/>
  <c r="IY10" i="1"/>
  <c r="IX10" i="1"/>
  <c r="IV10" i="1"/>
  <c r="IT10" i="1"/>
  <c r="IQ10" i="1"/>
  <c r="IS10" i="1"/>
  <c r="IK10" i="1"/>
  <c r="IU10" i="1"/>
  <c r="IE10" i="1" s="1"/>
  <c r="IP10" i="1"/>
  <c r="IR10" i="1"/>
  <c r="JA9" i="1" a="1"/>
  <c r="JA9" i="1" s="1"/>
  <c r="IF129" i="1"/>
  <c r="IF73" i="1"/>
  <c r="IF49" i="1"/>
  <c r="IF138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12" i="1"/>
  <c r="IF50" i="1"/>
  <c r="IF71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IF10" i="1"/>
  <c r="JA23" i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R90" i="1" l="1"/>
  <c r="X90" i="1" s="1"/>
  <c r="AD86" i="1"/>
  <c r="AH86" i="1" s="1"/>
  <c r="IQ95" i="1"/>
  <c r="IV86" i="1"/>
  <c r="IQ94" i="1"/>
  <c r="IV85" i="1"/>
  <c r="IQ93" i="1"/>
  <c r="IV84" i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97" i="1" l="1"/>
  <c r="IP59" i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IL85" i="1" s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IL55" i="1" s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6" i="1" l="1"/>
  <c r="IL84" i="1"/>
  <c r="IL69" i="1"/>
  <c r="IL56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6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6" i="1" s="1"/>
  <c r="AK50" i="1"/>
  <c r="AL50" i="1"/>
  <c r="AN50" i="1" s="1"/>
  <c r="U50" i="1"/>
  <c r="T50" i="1"/>
  <c r="T49" i="1"/>
  <c r="AK49" i="1"/>
  <c r="AO49" i="1" s="1"/>
  <c r="IS56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8" i="1" l="1"/>
  <c r="IT95" i="1"/>
  <c r="IY86" i="1"/>
  <c r="IT94" i="1"/>
  <c r="IY85" i="1"/>
  <c r="IS94" i="1"/>
  <c r="IX85" i="1"/>
  <c r="IY77" i="1"/>
  <c r="IT85" i="1"/>
  <c r="IY75" i="1"/>
  <c r="IT84" i="1"/>
  <c r="IT93" i="1"/>
  <c r="IY84" i="1"/>
  <c r="IY63" i="1"/>
  <c r="IT69" i="1"/>
  <c r="IF55" i="1"/>
  <c r="IT3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6" i="1" s="1"/>
  <c r="AP79" i="1"/>
  <c r="AP80" i="1"/>
  <c r="AO80" i="1"/>
  <c r="AO77" i="1"/>
  <c r="AP77" i="1"/>
  <c r="AP78" i="1"/>
  <c r="AO78" i="1"/>
  <c r="AO75" i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IS37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S98" i="1"/>
  <c r="IS95" i="1"/>
  <c r="IX86" i="1"/>
  <c r="IF86" i="1" s="1"/>
  <c r="IF85" i="1"/>
  <c r="IX77" i="1"/>
  <c r="IF77" i="1" s="1"/>
  <c r="IS85" i="1"/>
  <c r="IS93" i="1"/>
  <c r="IX84" i="1"/>
  <c r="IF84" i="1" s="1"/>
  <c r="IX75" i="1"/>
  <c r="IF75" i="1" s="1"/>
  <c r="IS84" i="1"/>
  <c r="IX63" i="1"/>
  <c r="IF63" i="1" s="1"/>
  <c r="IS69" i="1"/>
  <c r="IS75" i="1"/>
  <c r="IX69" i="1"/>
  <c r="IF69" i="1" s="1"/>
  <c r="IS54" i="1"/>
  <c r="IT29" i="1"/>
  <c r="IT55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<sst xmlns="http://schemas.openxmlformats.org/spreadsheetml/2006/main" count="734" uniqueCount="391">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</sst>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14.75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7.375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14.75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42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90.457269922310132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-0.3269000000000003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-2.0199999999999989E-2</v>
      </c>
      <c r="C9" s="703">
        <v>0.2956999999999998</v>
      </c>
      <c r="D9" s="704">
        <v>-0.87049999999999994</v>
      </c>
      <c r="E9" s="705">
        <v>-0.93969262078590843</v>
      </c>
      <c r="F9" s="703">
        <v>0</v>
      </c>
      <c r="G9" s="706">
        <v>0.34202014332566871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-2.0199999999999989E-2</v>
      </c>
      <c r="O9" s="624">
        <f t="shared" ref="O9:O40" si="3">IF(M9="","",C9)</f>
        <v>0.2956999999999998</v>
      </c>
      <c r="P9" s="625">
        <f t="shared" ref="P9:P40" si="4">IF(M9="","",D9)</f>
        <v>-0.87049999999999994</v>
      </c>
      <c r="Q9" s="583">
        <f>IF(M9="","",IF(DEGREES(ATAN2(N9,O9))&lt;0,DEGREES(ATAN2(N9,O9))+360,IF(DEGREES(ATAN2(N9,O9))&gt;360,DEGREES(ATAN2(N9,O9))-360,DEGREES(ATAN2(N9,O9)))))</f>
        <v>93.907945340881142</v>
      </c>
      <c r="R9" s="624">
        <f>IF(M9="","",SQRT(N9^2+O9^2))</f>
        <v>0.29638915297291141</v>
      </c>
      <c r="S9" s="626">
        <f>IF(M9="","",P9)</f>
        <v>-0.87049999999999994</v>
      </c>
      <c r="T9" s="627">
        <f>IF(M9="","",X9*COS(RADIANS(W9)))</f>
        <v>0.29585179463596611</v>
      </c>
      <c r="U9" s="624">
        <f>IF(M9="","",X9*SIN(RADIANS(W9)))</f>
        <v>1.7839439752358466E-2</v>
      </c>
      <c r="V9" s="628">
        <f>IF(M9="","",Y9)</f>
        <v>-0.87049999999999994</v>
      </c>
      <c r="W9" s="583">
        <f t="shared" ref="W9:W14" si="5">IF(M9="","",IF(Q9-$Q$8&lt;0,360+Q9-$Q$8,Q9-$Q$8))</f>
        <v>3.4506754185710093</v>
      </c>
      <c r="X9" s="629">
        <f>IF(M9="","",R9)</f>
        <v>0.29638915297291141</v>
      </c>
      <c r="Y9" s="630">
        <f>IF(M9="","",S9)</f>
        <v>-0.87049999999999994</v>
      </c>
      <c r="Z9" s="623">
        <f t="shared" ref="Z9:Z40" si="6">IF(M9="","",-E9)</f>
        <v>0.93969262078590843</v>
      </c>
      <c r="AA9" s="624">
        <f t="shared" ref="AA9:AA40" si="7">IF(M9="","",-F9)</f>
        <v>0</v>
      </c>
      <c r="AB9" s="624">
        <f t="shared" ref="AB9:AB40" si="8">IF(M9="","",-G9)</f>
        <v>-0.34202014332566871</v>
      </c>
      <c r="AC9" s="628">
        <f>IF(M9="","",SQRT(Z9^2+AA9^2+AB9^2))</f>
        <v>1</v>
      </c>
      <c r="AD9" s="631">
        <f>IF(M9="","",Z9*(1/SQRT(Z9^2+AA9^2+AB9^2)))</f>
        <v>0.93969262078590843</v>
      </c>
      <c r="AE9" s="624">
        <f>IF(M9="","",AA9*(1/SQRT(Z9^2+AA9^2+AB9^2)))</f>
        <v>0</v>
      </c>
      <c r="AF9" s="625">
        <f>IF(M9="","",AB9*(1/SQRT(Z9^2+AA9^2+AB9^2)))</f>
        <v>-0.34202014332566871</v>
      </c>
      <c r="AG9" s="599">
        <f>IF(M9="","",DEGREES(ATAN2(-AF9,AE9)))</f>
        <v>0</v>
      </c>
      <c r="AH9" s="600">
        <f>IF(M9="","",DEGREES(ACOS(AD9)))</f>
        <v>19.999999999999989</v>
      </c>
      <c r="AI9" s="583">
        <f>IF(M9="","",DEGREES(-ACOS(-AF9)))</f>
        <v>-70</v>
      </c>
      <c r="AJ9" s="601">
        <f>IF(M9="","",DEGREES(ATAN2(-AE9,AD9)))</f>
        <v>90</v>
      </c>
      <c r="AK9" s="627">
        <f>IF(M9="","",(COS(RADIANS((90-$Q$8)-W9))*AD9)+(-SIN(RADIANS((90-$Q$8)-W9))*AE9))</f>
        <v>0.93750768265054796</v>
      </c>
      <c r="AL9" s="624">
        <f>IF(M9="","",(SIN(RADIANS((90-$Q$8)-W9))*AD9)+(COS(RADIANS((90-$Q$8)-W9))*AE9))</f>
        <v>-6.4043473755634378E-2</v>
      </c>
      <c r="AM9" s="626">
        <f>IF(M9="","",AF9)</f>
        <v>-0.34202014332566871</v>
      </c>
      <c r="AN9" s="581">
        <f>IF(M9="","",DEGREES(ATAN2(-AM9,AL9)))</f>
        <v>-10.605849858294988</v>
      </c>
      <c r="AO9" s="582">
        <f>IF(ROUND(IF(M9="",0,DEGREES(ACOS(AK9))),4)=90,0,IF(M9="","",DEGREES(ACOS(AK9))))</f>
        <v>20.362869820187651</v>
      </c>
      <c r="AP9" s="781">
        <f>IF(M9="","",DEGREES(ATAN2(AK9,AL9)))</f>
        <v>-3.9079453408811418</v>
      </c>
      <c r="AQ9" s="584">
        <f t="shared" ref="AQ9:AQ40" si="9">IF(M9="","",DEGREES(ATAN(($AS$5*SIN(RADIANS(90)))/(($X9*2*PI())-($AS$5*COS(RADIANS(90)))))))</f>
        <v>7.6459545326729206</v>
      </c>
      <c r="AS9" s="51">
        <f>IF(M9="","",W9)</f>
        <v>3.4506754185710093</v>
      </c>
      <c r="AT9" s="71">
        <f t="shared" ref="AT9:AT40" si="10">IF(M9="","",Y9+(((AS9-$AS$9)*$AS$6)*-1))</f>
        <v>-0.87049999999999994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-2.0200000000000017E-2</v>
      </c>
      <c r="C10" s="708">
        <v>1.0430999999999997</v>
      </c>
      <c r="D10" s="709">
        <v>-0.72560000000000013</v>
      </c>
      <c r="E10" s="710">
        <v>-0.96592582628906831</v>
      </c>
      <c r="F10" s="708">
        <v>0</v>
      </c>
      <c r="G10" s="711">
        <v>0.25881904510252074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-2.0200000000000017E-2</v>
      </c>
      <c r="O10" s="629">
        <f t="shared" si="3"/>
        <v>1.0430999999999997</v>
      </c>
      <c r="P10" s="633">
        <f t="shared" si="4"/>
        <v>-0.72560000000000013</v>
      </c>
      <c r="Q10" s="585">
        <f>IF(M10="","",IF(DEGREES(ATAN2(N10,O10))&lt;0,DEGREES(ATAN2(N10,O10))+360,IF(DEGREES(ATAN2(N10,O10))&gt;360,DEGREES(ATAN2(N10,O10))-360,DEGREES(ATAN2(N10,O10)))))</f>
        <v>91.109414342195038</v>
      </c>
      <c r="R10" s="629">
        <f t="shared" ref="R10:R105" si="79">IF(M10="","",SQRT(N10^2+O10^2))</f>
        <v>1.0432955717341081</v>
      </c>
      <c r="S10" s="634">
        <f t="shared" ref="S10:S105" si="80">IF(M10="","",P10)</f>
        <v>-0.72560000000000013</v>
      </c>
      <c r="T10" s="635">
        <f t="shared" ref="T10:T105" si="81">IF(M10="","",X10*COS(RADIANS(W10)))</f>
        <v>1.0432279922332057</v>
      </c>
      <c r="U10" s="629">
        <f t="shared" ref="U10:U105" si="82">IF(M10="","",X10*SIN(RADIANS(W10)))</f>
        <v>1.187460403862335E-2</v>
      </c>
      <c r="V10" s="636">
        <f>IF(M10="","",Y10)</f>
        <v>-0.72560000000000013</v>
      </c>
      <c r="W10" s="585">
        <f t="shared" si="5"/>
        <v>0.65214441988490535</v>
      </c>
      <c r="X10" s="629">
        <f t="shared" ref="X10:X105" si="83">IF(M10="","",R10)</f>
        <v>1.0432955717341081</v>
      </c>
      <c r="Y10" s="630">
        <f>IF(M10="","",S10)</f>
        <v>-0.72560000000000013</v>
      </c>
      <c r="Z10" s="632">
        <f t="shared" si="6"/>
        <v>0.96592582628906831</v>
      </c>
      <c r="AA10" s="629">
        <f t="shared" si="7"/>
        <v>0</v>
      </c>
      <c r="AB10" s="629">
        <f t="shared" si="8"/>
        <v>-0.25881904510252074</v>
      </c>
      <c r="AC10" s="636">
        <f t="shared" ref="AC10:AC105" si="84">IF(M10="","",SQRT(Z10^2+AA10^2+AB10^2))</f>
        <v>1</v>
      </c>
      <c r="AD10" s="637">
        <f>IF(M10="","",Z10*(1/SQRT(Z10^2+AA10^2+AB10^2)))</f>
        <v>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-0.25881904510252074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14.999999999999982</v>
      </c>
      <c r="AI10" s="585">
        <f t="shared" ref="AI10:AI105" si="89">IF(M10="","",DEGREES(-ACOS(-AF10)))</f>
        <v>-75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0.96574475795715409</v>
      </c>
      <c r="AL10" s="629">
        <f t="shared" ref="AL10:AL105" si="91">IF(M10="","",(SIN(RADIANS((90-$Q$8)-W10))*AD10)+(COS(RADIANS((90-$Q$8)-W10))*AE10))</f>
        <v>-1.8701988410252796E-2</v>
      </c>
      <c r="AM10" s="634">
        <f t="shared" ref="AM10:AM105" si="92">IF(M10="","",AF10)</f>
        <v>-0.25881904510252074</v>
      </c>
      <c r="AN10" s="581">
        <f t="shared" ref="AN10:AN105" si="93">IF(M10="","",DEGREES(ATAN2(-AM10,AL10)))</f>
        <v>-4.1329487677377541</v>
      </c>
      <c r="AO10" s="582">
        <f t="shared" ref="AO10:AO54" si="94">IF(ROUND(IF(M10="",0,DEGREES(ACOS(AK10))),4)=90,0,IF(M10="","",DEGREES(ACOS(AK10))))</f>
        <v>15.040031613076508</v>
      </c>
      <c r="AP10" s="585">
        <f t="shared" ref="AP10:AP105" si="95">IF(M10="","",DEGREES(ATAN2(AK10,AL10)))</f>
        <v>-1.1094143421950378</v>
      </c>
      <c r="AQ10" s="586">
        <f t="shared" si="9"/>
        <v>2.1840621110377265</v>
      </c>
      <c r="AS10" s="52">
        <f>IF($M10="","",IF(AND($W10&lt;($AS$9+180),$W10&gt;($AS$9-180)),$W10,IF($W10&gt;($AS$9+180),$W10-360,IF($W10&lt;($AS$9-180),$W10+360,"Error"))))</f>
        <v>0.65214441988490535</v>
      </c>
      <c r="AT10" s="72">
        <f t="shared" si="10"/>
        <v>-0.72365657569535702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-2.0199999999999982E-2</v>
      </c>
      <c r="C11" s="708">
        <v>1.7869999999999995</v>
      </c>
      <c r="D11" s="709">
        <v>-0.52629999999999977</v>
      </c>
      <c r="E11" s="710">
        <v>-0.96592582628906831</v>
      </c>
      <c r="F11" s="708">
        <v>0</v>
      </c>
      <c r="G11" s="711">
        <v>0.25881904510252074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-2.0199999999999982E-2</v>
      </c>
      <c r="O11" s="629">
        <f t="shared" si="3"/>
        <v>1.7869999999999995</v>
      </c>
      <c r="P11" s="633">
        <f t="shared" si="4"/>
        <v>-0.52629999999999977</v>
      </c>
      <c r="Q11" s="585">
        <f t="shared" ref="Q11:Q73" si="113">IF(M11="","",IF(DEGREES(ATAN2(N11,O11))&lt;0,DEGREES(ATAN2(N11,O11))+360,IF(DEGREES(ATAN2(N11,O11))&gt;360,DEGREES(ATAN2(N11,O11))-360,DEGREES(ATAN2(N11,O11)))))</f>
        <v>90.647635956656288</v>
      </c>
      <c r="R11" s="629">
        <f t="shared" si="79"/>
        <v>1.7871141653515028</v>
      </c>
      <c r="S11" s="634">
        <f t="shared" si="80"/>
        <v>-0.52629999999999977</v>
      </c>
      <c r="T11" s="635">
        <f t="shared" si="81"/>
        <v>1.7871043012947343</v>
      </c>
      <c r="U11" s="629">
        <f t="shared" si="82"/>
        <v>5.9377010583610678E-3</v>
      </c>
      <c r="V11" s="636">
        <f t="shared" ref="V11:V105" si="114">IF(M11="","",Y11)</f>
        <v>-0.52629999999999977</v>
      </c>
      <c r="W11" s="585">
        <f t="shared" si="5"/>
        <v>0.19036603434615529</v>
      </c>
      <c r="X11" s="629">
        <f>IF(M11="","",R11)</f>
        <v>1.7871141653515028</v>
      </c>
      <c r="Y11" s="630">
        <f>IF(M11="","",S11)</f>
        <v>-0.52629999999999977</v>
      </c>
      <c r="Z11" s="632">
        <f t="shared" si="6"/>
        <v>0.96592582628906831</v>
      </c>
      <c r="AA11" s="629">
        <f t="shared" si="7"/>
        <v>0</v>
      </c>
      <c r="AB11" s="629">
        <f t="shared" si="8"/>
        <v>-0.25881904510252074</v>
      </c>
      <c r="AC11" s="636">
        <f t="shared" si="84"/>
        <v>1</v>
      </c>
      <c r="AD11" s="637">
        <f t="shared" ref="AD11:AD105" si="115">IF(M11="","",Z11*(1/SQRT(Z11^2+AA11^2+AB11^2)))</f>
        <v>0.96592582628906831</v>
      </c>
      <c r="AE11" s="629">
        <f t="shared" si="85"/>
        <v>0</v>
      </c>
      <c r="AF11" s="633">
        <f t="shared" si="86"/>
        <v>-0.25881904510252074</v>
      </c>
      <c r="AG11" s="602">
        <f>IF(M11="","",DEGREES(ATAN2(-AF11,AE11)))</f>
        <v>0</v>
      </c>
      <c r="AH11" s="603">
        <f t="shared" si="88"/>
        <v>14.999999999999982</v>
      </c>
      <c r="AI11" s="585">
        <f t="shared" si="89"/>
        <v>-75</v>
      </c>
      <c r="AJ11" s="586">
        <f t="shared" si="90"/>
        <v>90</v>
      </c>
      <c r="AK11" s="635">
        <f>IF(M11="","",(COS(RADIANS((90-$Q$8)-W11))*AD11)+(-SIN(RADIANS((90-$Q$8)-W11))*AE11))</f>
        <v>0.96586412051580417</v>
      </c>
      <c r="AL11" s="629">
        <f t="shared" si="91"/>
        <v>-1.0917993975612186E-2</v>
      </c>
      <c r="AM11" s="634">
        <f t="shared" si="92"/>
        <v>-0.25881904510252074</v>
      </c>
      <c r="AN11" s="581">
        <f>IF(M11="","",DEGREES(ATAN2(-AM11,AL11)))</f>
        <v>-2.4155267116172245</v>
      </c>
      <c r="AO11" s="582">
        <f>IF(ROUND(IF(M11="",0,DEGREES(ACOS(AK11))),4)=90,0,IF(M11="","",DEGREES(ACOS(AK11))))</f>
        <v>15.01365397561735</v>
      </c>
      <c r="AP11" s="585">
        <f t="shared" si="95"/>
        <v>-0.6476359566562877</v>
      </c>
      <c r="AQ11" s="586">
        <f t="shared" si="9"/>
        <v>1.2754361775597944</v>
      </c>
      <c r="AS11" s="52">
        <f t="shared" ref="AS11:AS42" si="116">IF(G11="","",IF(AND(W11&lt;(AS10+180),W11&gt;(AS10-180)),W11,IF(W11&gt;(AS10+180),W11-360,IF(W11&lt;(AS10-180),W11+360,"Error"))))</f>
        <v>0.19036603434615529</v>
      </c>
      <c r="AT11" s="72">
        <f t="shared" si="10"/>
        <v>-0.5240358962609547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-2.0199999999999975E-2</v>
      </c>
      <c r="C12" s="708">
        <v>2.5309999999999997</v>
      </c>
      <c r="D12" s="709">
        <v>-0.3269000000000003</v>
      </c>
      <c r="E12" s="710">
        <v>-0.96592582628906831</v>
      </c>
      <c r="F12" s="708">
        <v>0</v>
      </c>
      <c r="G12" s="711">
        <v>0.25881904510252074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-2.0199999999999975E-2</v>
      </c>
      <c r="O12" s="629">
        <f t="shared" si="3"/>
        <v>2.5309999999999997</v>
      </c>
      <c r="P12" s="633">
        <f t="shared" si="4"/>
        <v>-0.3269000000000003</v>
      </c>
      <c r="Q12" s="585">
        <f>IF(M12="","",IF(DEGREES(ATAN2(N12,O12))&lt;0,DEGREES(ATAN2(N12,O12))+360,IF(DEGREES(ATAN2(N12,O12))&gt;360,DEGREES(ATAN2(N12,O12))-360,DEGREES(ATAN2(N12,O12)))))</f>
        <v>90.457269922310132</v>
      </c>
      <c r="R12" s="629">
        <f t="shared" si="79"/>
        <v>2.5310806071715692</v>
      </c>
      <c r="S12" s="634">
        <f t="shared" si="80"/>
        <v>-0.3269000000000003</v>
      </c>
      <c r="T12" s="635">
        <f>IF(M12="","",X12*COS(RADIANS(W12)))</f>
        <v>2.5310806071715692</v>
      </c>
      <c r="U12" s="629">
        <f t="shared" si="82"/>
        <v>0</v>
      </c>
      <c r="V12" s="636">
        <f t="shared" si="114"/>
        <v>-0.3269000000000003</v>
      </c>
      <c r="W12" s="585">
        <f>IF(M12="","",IF(Q12-$Q$8&lt;0,360+Q12-$Q$8,Q12-$Q$8))</f>
        <v>0</v>
      </c>
      <c r="X12" s="629">
        <f t="shared" si="83"/>
        <v>2.5310806071715692</v>
      </c>
      <c r="Y12" s="630">
        <f>IF(M12="","",S12)</f>
        <v>-0.3269000000000003</v>
      </c>
      <c r="Z12" s="632">
        <f t="shared" si="6"/>
        <v>0.96592582628906831</v>
      </c>
      <c r="AA12" s="629">
        <f t="shared" si="7"/>
        <v>0</v>
      </c>
      <c r="AB12" s="629">
        <f t="shared" si="8"/>
        <v>-0.25881904510252074</v>
      </c>
      <c r="AC12" s="636">
        <f t="shared" si="84"/>
        <v>1</v>
      </c>
      <c r="AD12" s="637">
        <f t="shared" si="115"/>
        <v>0.96592582628906831</v>
      </c>
      <c r="AE12" s="629">
        <f t="shared" si="85"/>
        <v>0</v>
      </c>
      <c r="AF12" s="633">
        <f t="shared" si="86"/>
        <v>-0.25881904510252074</v>
      </c>
      <c r="AG12" s="602">
        <f t="shared" si="87"/>
        <v>0</v>
      </c>
      <c r="AH12" s="603">
        <f t="shared" si="88"/>
        <v>14.999999999999982</v>
      </c>
      <c r="AI12" s="585">
        <f t="shared" si="89"/>
        <v>-75</v>
      </c>
      <c r="AJ12" s="586">
        <f t="shared" si="90"/>
        <v>90</v>
      </c>
      <c r="AK12" s="635">
        <f t="shared" ref="AK12:AK105" si="211">IF(M12="","",(COS(RADIANS((90-$Q$8)-W12))*AD12)+(-SIN(RADIANS((90-$Q$8)-W12))*AE12))</f>
        <v>0.96589506450748686</v>
      </c>
      <c r="AL12" s="629">
        <f>IF(M12="","",(SIN(RADIANS((90-$Q$8)-W12))*AD12)+(COS(RADIANS((90-$Q$8)-W12))*AE12))</f>
        <v>-7.7088424745361366E-3</v>
      </c>
      <c r="AM12" s="634">
        <f t="shared" si="92"/>
        <v>-0.25881904510252074</v>
      </c>
      <c r="AN12" s="581">
        <f>IF(M12="","",DEGREES(ATAN2(-AM12,AL12)))</f>
        <v>-1.7060320967630518</v>
      </c>
      <c r="AO12" s="582">
        <f t="shared" si="94"/>
        <v>15.006808345693935</v>
      </c>
      <c r="AP12" s="585">
        <f t="shared" si="95"/>
        <v>-0.45726992231013247</v>
      </c>
      <c r="AQ12" s="586">
        <f t="shared" si="9"/>
        <v>0.90061883626457528</v>
      </c>
      <c r="AS12" s="52">
        <f t="shared" si="116"/>
        <v>0</v>
      </c>
      <c r="AT12" s="72">
        <f>IF(M12="","",Y12+(((AS12-$AS$9)*$AS$6)*-1))</f>
        <v>-0.32450369762599268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-2.0199999999999982E-2</v>
      </c>
      <c r="C13" s="708">
        <v>3.2761999999999998</v>
      </c>
      <c r="D13" s="709">
        <v>-0.13189999999999977</v>
      </c>
      <c r="E13" s="710">
        <v>-0.96592582628906831</v>
      </c>
      <c r="F13" s="708">
        <v>0</v>
      </c>
      <c r="G13" s="711">
        <v>0.25881904510252074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-2.0199999999999982E-2</v>
      </c>
      <c r="O13" s="629">
        <f t="shared" si="3"/>
        <v>3.2761999999999998</v>
      </c>
      <c r="P13" s="633">
        <f t="shared" si="4"/>
        <v>-0.13189999999999977</v>
      </c>
      <c r="Q13" s="585">
        <f t="shared" si="113"/>
        <v>90.353262951101172</v>
      </c>
      <c r="R13" s="629">
        <f t="shared" si="79"/>
        <v>3.2762622727736552</v>
      </c>
      <c r="S13" s="634">
        <f t="shared" si="80"/>
        <v>-0.13189999999999977</v>
      </c>
      <c r="T13" s="635">
        <f>IF(M13="","",X13*COS(RADIANS(W13)))</f>
        <v>3.2762568748320762</v>
      </c>
      <c r="U13" s="629">
        <f t="shared" si="82"/>
        <v>-5.9472779955520513E-3</v>
      </c>
      <c r="V13" s="636">
        <f t="shared" si="114"/>
        <v>-0.13189999999999977</v>
      </c>
      <c r="W13" s="585">
        <f t="shared" si="5"/>
        <v>359.89599302879105</v>
      </c>
      <c r="X13" s="629">
        <f t="shared" si="83"/>
        <v>3.2762622727736552</v>
      </c>
      <c r="Y13" s="630">
        <f>IF(M13="","",S13)</f>
        <v>-0.13189999999999977</v>
      </c>
      <c r="Z13" s="632">
        <f t="shared" si="6"/>
        <v>0.96592582628906831</v>
      </c>
      <c r="AA13" s="629">
        <f t="shared" si="7"/>
        <v>0</v>
      </c>
      <c r="AB13" s="629">
        <f t="shared" si="8"/>
        <v>-0.25881904510252074</v>
      </c>
      <c r="AC13" s="636">
        <f t="shared" si="84"/>
        <v>1</v>
      </c>
      <c r="AD13" s="637">
        <f>IF(M13="","",Z13*(1/SQRT(Z13^2+AA13^2+AB13^2)))</f>
        <v>0.96592582628906831</v>
      </c>
      <c r="AE13" s="629">
        <f t="shared" si="85"/>
        <v>0</v>
      </c>
      <c r="AF13" s="633">
        <f t="shared" si="86"/>
        <v>-0.25881904510252074</v>
      </c>
      <c r="AG13" s="602">
        <f>IF(M13="","",DEGREES(ATAN2(-AF13,AE13)))</f>
        <v>0</v>
      </c>
      <c r="AH13" s="603">
        <f t="shared" si="88"/>
        <v>14.999999999999982</v>
      </c>
      <c r="AI13" s="585">
        <f t="shared" si="89"/>
        <v>-75</v>
      </c>
      <c r="AJ13" s="586">
        <f t="shared" si="90"/>
        <v>90</v>
      </c>
      <c r="AK13" s="635">
        <f t="shared" si="211"/>
        <v>0.96590746668432959</v>
      </c>
      <c r="AL13" s="629">
        <f t="shared" si="91"/>
        <v>-5.9554761086089321E-3</v>
      </c>
      <c r="AM13" s="634">
        <f t="shared" si="92"/>
        <v>-0.25881904510252074</v>
      </c>
      <c r="AN13" s="581">
        <f t="shared" si="93"/>
        <v>-1.3181543211374658</v>
      </c>
      <c r="AO13" s="582">
        <f t="shared" si="94"/>
        <v>15.004063799324566</v>
      </c>
      <c r="AP13" s="585">
        <f t="shared" si="95"/>
        <v>-0.35326295110120215</v>
      </c>
      <c r="AQ13" s="586">
        <f t="shared" si="9"/>
        <v>0.69579733642042341</v>
      </c>
      <c r="AS13" s="52">
        <f t="shared" si="116"/>
        <v>-0.1040069712089462</v>
      </c>
      <c r="AT13" s="72">
        <f t="shared" si="10"/>
        <v>-0.12943147056265258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-1.6600000000000063E-2</v>
      </c>
      <c r="C14" s="708">
        <v>4.0241999999999996</v>
      </c>
      <c r="D14" s="709">
        <v>-6.1199999999999914E-2</v>
      </c>
      <c r="E14" s="710">
        <v>-0.96570865380505444</v>
      </c>
      <c r="F14" s="708">
        <v>2.6167800051928508E-2</v>
      </c>
      <c r="G14" s="711">
        <v>0.2583061017600472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-1.6600000000000063E-2</v>
      </c>
      <c r="O14" s="629">
        <f t="shared" si="3"/>
        <v>4.0241999999999996</v>
      </c>
      <c r="P14" s="633">
        <f t="shared" si="4"/>
        <v>-6.1199999999999914E-2</v>
      </c>
      <c r="Q14" s="585">
        <f t="shared" si="113"/>
        <v>90.236346241559019</v>
      </c>
      <c r="R14" s="629">
        <f t="shared" si="79"/>
        <v>4.0242342377152944</v>
      </c>
      <c r="S14" s="634">
        <f t="shared" si="80"/>
        <v>-6.1199999999999914E-2</v>
      </c>
      <c r="T14" s="635">
        <f t="shared" si="81"/>
        <v>4.0242043225095792</v>
      </c>
      <c r="U14" s="629">
        <f t="shared" si="82"/>
        <v>-1.5516787528896835E-2</v>
      </c>
      <c r="V14" s="636">
        <f t="shared" si="114"/>
        <v>-6.1199999999999914E-2</v>
      </c>
      <c r="W14" s="585">
        <f t="shared" si="5"/>
        <v>359.77907631924893</v>
      </c>
      <c r="X14" s="629">
        <f t="shared" si="83"/>
        <v>4.0242342377152944</v>
      </c>
      <c r="Y14" s="630">
        <f t="shared" ref="Y14:Y75" si="223">IF(M14="","",S14)</f>
        <v>-6.1199999999999914E-2</v>
      </c>
      <c r="Z14" s="632">
        <f t="shared" si="6"/>
        <v>0.96570865380505444</v>
      </c>
      <c r="AA14" s="629">
        <f t="shared" si="7"/>
        <v>-2.6167800051928508E-2</v>
      </c>
      <c r="AB14" s="629">
        <f t="shared" si="8"/>
        <v>-0.2583061017600472</v>
      </c>
      <c r="AC14" s="636">
        <f t="shared" si="84"/>
        <v>1</v>
      </c>
      <c r="AD14" s="637">
        <f>IF(M14="","",Z14*(1/SQRT(Z14^2+AA14^2+AB14^2)))</f>
        <v>0.96570865380505444</v>
      </c>
      <c r="AE14" s="629">
        <f t="shared" si="85"/>
        <v>-2.6167800051928508E-2</v>
      </c>
      <c r="AF14" s="633">
        <f t="shared" si="86"/>
        <v>-0.2583061017600472</v>
      </c>
      <c r="AG14" s="602">
        <f t="shared" si="87"/>
        <v>-5.7846362643405023</v>
      </c>
      <c r="AH14" s="603">
        <f t="shared" si="88"/>
        <v>15.048001282444401</v>
      </c>
      <c r="AI14" s="585">
        <f t="shared" si="89"/>
        <v>-75.030424074601427</v>
      </c>
      <c r="AJ14" s="586">
        <f t="shared" si="90"/>
        <v>88.447836514137677</v>
      </c>
      <c r="AK14" s="635">
        <f>IF(M14="","",(COS(RADIANS((90-$Q$8)-W14))*AD14)+(-SIN(RADIANS((90-$Q$8)-W14))*AE14))</f>
        <v>0.96559249527371749</v>
      </c>
      <c r="AL14" s="629">
        <f t="shared" si="91"/>
        <v>-3.0151133720045412E-2</v>
      </c>
      <c r="AM14" s="634">
        <f t="shared" si="92"/>
        <v>-0.2583061017600472</v>
      </c>
      <c r="AN14" s="581">
        <f t="shared" si="93"/>
        <v>-6.6577998615375069</v>
      </c>
      <c r="AO14" s="582">
        <f t="shared" si="94"/>
        <v>15.073614314952779</v>
      </c>
      <c r="AP14" s="585">
        <f>IF(M14="","",DEGREES(ATAN2(AK14,AL14)))</f>
        <v>-1.788509727421401</v>
      </c>
      <c r="AQ14" s="586">
        <f t="shared" si="9"/>
        <v>0.56648102824662938</v>
      </c>
      <c r="AS14" s="52">
        <f t="shared" si="116"/>
        <v>-0.22092368075107061</v>
      </c>
      <c r="AT14" s="72">
        <f t="shared" si="10"/>
        <v>-5.8650278403248469E-2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1.6899999985603754E-2</v>
      </c>
      <c r="C15" s="708">
        <v>4.7728999997872306</v>
      </c>
      <c r="D15" s="709">
        <v>-0.17389999995471223</v>
      </c>
      <c r="E15" s="710">
        <v>-0.96366601986653133</v>
      </c>
      <c r="F15" s="708">
        <v>0.11637697776714716</v>
      </c>
      <c r="G15" s="711">
        <v>0.24042504278960444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1.119</v>
      </c>
      <c r="N15" s="632">
        <f t="shared" si="2"/>
        <v>1.6899999985603754E-2</v>
      </c>
      <c r="O15" s="629">
        <f t="shared" si="3"/>
        <v>4.7728999997872306</v>
      </c>
      <c r="P15" s="633">
        <f t="shared" si="4"/>
        <v>-0.17389999995471223</v>
      </c>
      <c r="Q15" s="585">
        <f t="shared" si="113"/>
        <v>89.797126563230137</v>
      </c>
      <c r="R15" s="629">
        <f t="shared" si="79"/>
        <v>4.7729299196582025</v>
      </c>
      <c r="S15" s="634">
        <f t="shared" si="80"/>
        <v>-0.17389999995471223</v>
      </c>
      <c r="T15" s="635">
        <f t="shared" si="81"/>
        <v>4.7726131223299033</v>
      </c>
      <c r="U15" s="629">
        <f t="shared" si="82"/>
        <v>-5.4990931369353881E-2</v>
      </c>
      <c r="V15" s="636">
        <f t="shared" si="114"/>
        <v>-0.17389999995471223</v>
      </c>
      <c r="W15" s="585">
        <f t="shared" ref="W15:W78" si="224">IF(M15="","",IF(Q15-$Q$8&lt;0,360+Q15-$Q$8,Q15-$Q$8))</f>
        <v>359.33985664091995</v>
      </c>
      <c r="X15" s="629">
        <f>IF(M15="","",R15)</f>
        <v>4.7729299196582025</v>
      </c>
      <c r="Y15" s="630">
        <f>IF(M15="","",S15)</f>
        <v>-0.17389999995471223</v>
      </c>
      <c r="Z15" s="632">
        <f t="shared" si="6"/>
        <v>0.96366601986653133</v>
      </c>
      <c r="AA15" s="629">
        <f t="shared" si="7"/>
        <v>-0.11637697776714716</v>
      </c>
      <c r="AB15" s="629">
        <f t="shared" si="8"/>
        <v>-0.24042504278960444</v>
      </c>
      <c r="AC15" s="636">
        <f t="shared" si="84"/>
        <v>1</v>
      </c>
      <c r="AD15" s="637">
        <f t="shared" si="115"/>
        <v>0.96366601986653133</v>
      </c>
      <c r="AE15" s="629">
        <f t="shared" si="85"/>
        <v>-0.11637697776714716</v>
      </c>
      <c r="AF15" s="633">
        <f t="shared" si="86"/>
        <v>-0.24042504278960444</v>
      </c>
      <c r="AG15" s="602">
        <f t="shared" si="87"/>
        <v>-25.829155598241776</v>
      </c>
      <c r="AH15" s="603">
        <f t="shared" si="88"/>
        <v>15.492372694966699</v>
      </c>
      <c r="AI15" s="585">
        <f t="shared" si="89"/>
        <v>-76.088371918877897</v>
      </c>
      <c r="AJ15" s="586">
        <f t="shared" si="90"/>
        <v>83.114030183397148</v>
      </c>
      <c r="AK15" s="635">
        <f t="shared" si="211"/>
        <v>0.96407204681271241</v>
      </c>
      <c r="AL15" s="629">
        <f t="shared" si="91"/>
        <v>-0.11296409763267443</v>
      </c>
      <c r="AM15" s="634">
        <f t="shared" si="92"/>
        <v>-0.24042504278960444</v>
      </c>
      <c r="AN15" s="581">
        <f>IF(M15="","",DEGREES(ATAN2(-AM15,AL15)))</f>
        <v>-25.166561131229798</v>
      </c>
      <c r="AO15" s="582">
        <f t="shared" si="94"/>
        <v>15.40503873936667</v>
      </c>
      <c r="AP15" s="585">
        <f t="shared" si="95"/>
        <v>-6.6830963798329748</v>
      </c>
      <c r="AQ15" s="586">
        <f t="shared" si="9"/>
        <v>0.47762566454422328</v>
      </c>
      <c r="AS15" s="52">
        <f t="shared" si="116"/>
        <v>-0.66014335908005251</v>
      </c>
      <c r="AT15" s="72">
        <f t="shared" si="10"/>
        <v>-0.17104526469245454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74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8.0399999455481819E-2</v>
      </c>
      <c r="C16" s="708">
        <v>5.4716999953925347</v>
      </c>
      <c r="D16" s="709">
        <v>-0.46169999809371282</v>
      </c>
      <c r="E16" s="710">
        <v>-0.95980608973268622</v>
      </c>
      <c r="F16" s="708">
        <v>0.19638947095956888</v>
      </c>
      <c r="G16" s="711">
        <v>0.20050796943830337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8.0399999455481819E-2</v>
      </c>
      <c r="O16" s="629">
        <f t="shared" si="3"/>
        <v>5.4716999953925347</v>
      </c>
      <c r="P16" s="633">
        <f t="shared" si="4"/>
        <v>-0.46169999809371282</v>
      </c>
      <c r="Q16" s="585">
        <f>IF(M16="","",IF(DEGREES(ATAN2(N16,O16))&lt;0,DEGREES(ATAN2(N16,O16))+360,IF(DEGREES(ATAN2(N16,O16))&gt;360,DEGREES(ATAN2(N16,O16))-360,DEGREES(ATAN2(N16,O16)))))</f>
        <v>89.158168547827842</v>
      </c>
      <c r="R16" s="629">
        <f t="shared" si="79"/>
        <v>5.4722906537839435</v>
      </c>
      <c r="S16" s="634">
        <f t="shared" si="80"/>
        <v>-0.46169999809371282</v>
      </c>
      <c r="T16" s="635">
        <f t="shared" si="81"/>
        <v>5.4708840837050703</v>
      </c>
      <c r="U16" s="629">
        <f t="shared" si="82"/>
        <v>-0.12406587828100718</v>
      </c>
      <c r="V16" s="636">
        <f t="shared" si="114"/>
        <v>-0.46169999809371282</v>
      </c>
      <c r="W16" s="585">
        <f>IF(M16="","",IF(Q16-$Q$8&lt;0,360+Q16-$Q$8,Q16-$Q$8))</f>
        <v>358.70089862551765</v>
      </c>
      <c r="X16" s="629">
        <f t="shared" si="83"/>
        <v>5.4722906537839435</v>
      </c>
      <c r="Y16" s="630">
        <f t="shared" si="223"/>
        <v>-0.46169999809371282</v>
      </c>
      <c r="Z16" s="632">
        <f t="shared" si="6"/>
        <v>0.95980608973268622</v>
      </c>
      <c r="AA16" s="629">
        <f t="shared" si="7"/>
        <v>-0.19638947095956888</v>
      </c>
      <c r="AB16" s="629">
        <f t="shared" si="8"/>
        <v>-0.20050796943830337</v>
      </c>
      <c r="AC16" s="636">
        <f t="shared" si="84"/>
        <v>1</v>
      </c>
      <c r="AD16" s="637">
        <f t="shared" si="115"/>
        <v>0.95980608973268622</v>
      </c>
      <c r="AE16" s="629">
        <f t="shared" si="85"/>
        <v>-0.19638947095956888</v>
      </c>
      <c r="AF16" s="633">
        <f t="shared" si="86"/>
        <v>-0.20050796943830337</v>
      </c>
      <c r="AG16" s="602">
        <f t="shared" si="87"/>
        <v>-44.405478373707268</v>
      </c>
      <c r="AH16" s="603">
        <f t="shared" si="88"/>
        <v>16.299837143635205</v>
      </c>
      <c r="AI16" s="585">
        <f t="shared" si="89"/>
        <v>-78.433334732947344</v>
      </c>
      <c r="AJ16" s="586">
        <f t="shared" si="90"/>
        <v>78.436116355821426</v>
      </c>
      <c r="AK16" s="635">
        <f t="shared" si="211"/>
        <v>0.96258788565696884</v>
      </c>
      <c r="AL16" s="629">
        <f t="shared" si="91"/>
        <v>-0.18226660851119997</v>
      </c>
      <c r="AM16" s="634">
        <f t="shared" si="92"/>
        <v>-0.20050796943830337</v>
      </c>
      <c r="AN16" s="581">
        <f t="shared" si="93"/>
        <v>-42.271598143986999</v>
      </c>
      <c r="AO16" s="582">
        <f t="shared" si="94"/>
        <v>15.721976041494106</v>
      </c>
      <c r="AP16" s="585">
        <f t="shared" si="95"/>
        <v>-10.722052192006386</v>
      </c>
      <c r="AQ16" s="586">
        <f t="shared" si="9"/>
        <v>0.41658723989697732</v>
      </c>
      <c r="AS16" s="52">
        <f t="shared" si="116"/>
        <v>-1.2991013744823476</v>
      </c>
      <c r="AT16" s="72">
        <f t="shared" si="10"/>
        <v>-0.45840154198742578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0.1608999951849768</v>
      </c>
      <c r="C17" s="708">
        <v>6.078799972529672</v>
      </c>
      <c r="D17" s="709">
        <v>-0.90799998218884359</v>
      </c>
      <c r="E17" s="710">
        <v>-0.95490338748671622</v>
      </c>
      <c r="F17" s="708">
        <v>0.26015825513602048</v>
      </c>
      <c r="G17" s="711">
        <v>0.14309857738976828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0.1608999951849768</v>
      </c>
      <c r="O17" s="629">
        <f t="shared" si="3"/>
        <v>6.078799972529672</v>
      </c>
      <c r="P17" s="633">
        <f t="shared" si="4"/>
        <v>-0.90799998218884359</v>
      </c>
      <c r="Q17" s="585">
        <f>IF(M17="","",IF(DEGREES(ATAN2(N17,O17))&lt;0,DEGREES(ATAN2(N17,O17))+360,IF(DEGREES(ATAN2(N17,O17))&gt;360,DEGREES(ATAN2(N17,O17))-360,DEGREES(ATAN2(N17,O17)))))</f>
        <v>88.483789786654526</v>
      </c>
      <c r="R17" s="629">
        <f>IF(M17="","",SQRT(N17^2+O17^2))</f>
        <v>6.0809290338300501</v>
      </c>
      <c r="S17" s="634">
        <f>IF(M17="","",P17)</f>
        <v>-0.90799998218884359</v>
      </c>
      <c r="T17" s="635">
        <f>IF(M17="","",X17*COS(RADIANS(W17)))</f>
        <v>6.0773222737300134</v>
      </c>
      <c r="U17" s="629">
        <f>IF(M17="","",X17*SIN(RADIANS(W17)))</f>
        <v>-0.20940844229001299</v>
      </c>
      <c r="V17" s="636">
        <f>IF(M17="","",Y17)</f>
        <v>-0.90799998218884359</v>
      </c>
      <c r="W17" s="585">
        <f t="shared" si="224"/>
        <v>358.02651986434444</v>
      </c>
      <c r="X17" s="629">
        <f>IF(M17="","",R17)</f>
        <v>6.0809290338300501</v>
      </c>
      <c r="Y17" s="630">
        <f t="shared" si="223"/>
        <v>-0.90799998218884359</v>
      </c>
      <c r="Z17" s="632">
        <f t="shared" si="6"/>
        <v>0.95490338748671622</v>
      </c>
      <c r="AA17" s="629">
        <f t="shared" si="7"/>
        <v>-0.26015825513602048</v>
      </c>
      <c r="AB17" s="629">
        <f t="shared" si="8"/>
        <v>-0.14309857738976828</v>
      </c>
      <c r="AC17" s="636">
        <f>IF(M17="","",SQRT(Z17^2+AA17^2+AB17^2))</f>
        <v>1</v>
      </c>
      <c r="AD17" s="637">
        <f>IF(M17="","",Z17*(1/SQRT(Z17^2+AA17^2+AB17^2)))</f>
        <v>0.95490338748671622</v>
      </c>
      <c r="AE17" s="629">
        <f>IF(M17="","",AA17*(1/SQRT(Z17^2+AA17^2+AB17^2)))</f>
        <v>-0.26015825513602048</v>
      </c>
      <c r="AF17" s="633">
        <f>IF(M17="","",AB17*(1/SQRT(Z17^2+AA17^2+AB17^2)))</f>
        <v>-0.14309857738976828</v>
      </c>
      <c r="AG17" s="602">
        <f>IF(M17="","",DEGREES(ATAN2(-AF17,AE17)))</f>
        <v>-61.187255539012988</v>
      </c>
      <c r="AH17" s="603">
        <f>IF(M17="","",DEGREES(ACOS(AD17)))</f>
        <v>17.272506123154685</v>
      </c>
      <c r="AI17" s="585">
        <f>IF(M17="","",DEGREES(-ACOS(-AF17)))</f>
        <v>-81.772812519473376</v>
      </c>
      <c r="AJ17" s="586">
        <f>IF(M17="","",DEGREES(ATAN2(-AE17,AD17)))</f>
        <v>74.759957985054967</v>
      </c>
      <c r="AK17" s="635">
        <f>IF(M17="","",(COS(RADIANS((90-$Q$8)-W17))*AD17)+(-SIN(RADIANS((90-$Q$8)-W17))*AE17))</f>
        <v>0.96145278379265087</v>
      </c>
      <c r="AL17" s="629">
        <f>IF(M17="","",(SIN(RADIANS((90-$Q$8)-W17))*AD17)+(COS(RADIANS((90-$Q$8)-W17))*AE17))</f>
        <v>-0.23480064243180096</v>
      </c>
      <c r="AM17" s="634">
        <f>IF(M17="","",AF17)</f>
        <v>-0.14309857738976828</v>
      </c>
      <c r="AN17" s="581">
        <f>IF(M17="","",DEGREES(ATAN2(-AM17,AL17)))</f>
        <v>-58.639901260427244</v>
      </c>
      <c r="AO17" s="582">
        <f t="shared" si="94"/>
        <v>15.960231095947446</v>
      </c>
      <c r="AP17" s="585">
        <f>IF(M17="","",DEGREES(ATAN2(AK17,AL17)))</f>
        <v>-13.723831801599651</v>
      </c>
      <c r="AQ17" s="586">
        <f t="shared" si="9"/>
        <v>0.37489240308037197</v>
      </c>
      <c r="AS17" s="52">
        <f t="shared" si="116"/>
        <v>-1.9734801356555636</v>
      </c>
      <c r="AT17" s="72">
        <f t="shared" si="10"/>
        <v>-0.90423320749840852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0.24050000000000021</v>
      </c>
      <c r="C18" s="708">
        <v>6.5527999999999986</v>
      </c>
      <c r="D18" s="709">
        <v>-1.4771999999999998</v>
      </c>
      <c r="E18" s="710">
        <v>-0.95006317167603416</v>
      </c>
      <c r="F18" s="708">
        <v>0.30243711276099194</v>
      </c>
      <c r="G18" s="711">
        <v>7.6887987681232561E-2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0.24050000000000021</v>
      </c>
      <c r="O18" s="629">
        <f t="shared" si="3"/>
        <v>6.5527999999999986</v>
      </c>
      <c r="P18" s="633">
        <f t="shared" si="4"/>
        <v>-1.4771999999999998</v>
      </c>
      <c r="Q18" s="585">
        <f t="shared" si="113"/>
        <v>87.898081310576245</v>
      </c>
      <c r="R18" s="629">
        <f>IF(M18="","",SQRT(N18^2+O18^2))</f>
        <v>6.5572119143733625</v>
      </c>
      <c r="S18" s="634">
        <f>IF(M18="","",P18)</f>
        <v>-1.4771999999999998</v>
      </c>
      <c r="T18" s="635">
        <f>IF(M18="","",X18*COS(RADIANS(W18)))</f>
        <v>6.5506719355446039</v>
      </c>
      <c r="U18" s="629">
        <f>IF(M18="","",X18*SIN(RADIANS(W18)))</f>
        <v>-0.29278880249813305</v>
      </c>
      <c r="V18" s="636">
        <f>IF(M18="","",Y18)</f>
        <v>-1.4771999999999998</v>
      </c>
      <c r="W18" s="585">
        <f t="shared" si="224"/>
        <v>357.44081138826607</v>
      </c>
      <c r="X18" s="629">
        <f>IF(M18="","",R18)</f>
        <v>6.5572119143733625</v>
      </c>
      <c r="Y18" s="630">
        <f t="shared" si="223"/>
        <v>-1.4771999999999998</v>
      </c>
      <c r="Z18" s="632">
        <f t="shared" si="6"/>
        <v>0.95006317167603416</v>
      </c>
      <c r="AA18" s="629">
        <f t="shared" si="7"/>
        <v>-0.30243711276099194</v>
      </c>
      <c r="AB18" s="629">
        <f t="shared" si="8"/>
        <v>-7.6887987681232561E-2</v>
      </c>
      <c r="AC18" s="636">
        <f>IF(M18="","",SQRT(Z18^2+AA18^2+AB18^2))</f>
        <v>1</v>
      </c>
      <c r="AD18" s="637">
        <f>IF(M18="","",Z18*(1/SQRT(Z18^2+AA18^2+AB18^2)))</f>
        <v>0.95006317167603416</v>
      </c>
      <c r="AE18" s="629">
        <f>IF(M18="","",AA18*(1/SQRT(Z18^2+AA18^2+AB18^2)))</f>
        <v>-0.30243711276099194</v>
      </c>
      <c r="AF18" s="633">
        <f>IF(M18="","",AB18*(1/SQRT(Z18^2+AA18^2+AB18^2)))</f>
        <v>-7.6887987681232561E-2</v>
      </c>
      <c r="AG18" s="602">
        <f>IF(M18="","",DEGREES(ATAN2(-AF18,AE18)))</f>
        <v>-75.735986607608879</v>
      </c>
      <c r="AH18" s="603">
        <f>IF(M18="","",DEGREES(ACOS(AD18)))</f>
        <v>18.1832771867441</v>
      </c>
      <c r="AI18" s="585">
        <f>IF(M18="","",DEGREES(-ACOS(-AF18)))</f>
        <v>-85.590290651607191</v>
      </c>
      <c r="AJ18" s="586">
        <f>IF(M18="","",DEGREES(ATAN2(-AE18,AD18)))</f>
        <v>72.341974605467726</v>
      </c>
      <c r="AK18" s="635">
        <f>IF(M18="","",(COS(RADIANS((90-$Q$8)-W18))*AD18)+(-SIN(RADIANS((90-$Q$8)-W18))*AE18))</f>
        <v>0.96051647548127628</v>
      </c>
      <c r="AL18" s="629">
        <f>IF(M18="","",(SIN(RADIANS((90-$Q$8)-W18))*AD18)+(COS(RADIANS((90-$Q$8)-W18))*AE18))</f>
        <v>-0.26738799090340126</v>
      </c>
      <c r="AM18" s="634">
        <f>IF(M18="","",AF18)</f>
        <v>-7.6887987681232561E-2</v>
      </c>
      <c r="AN18" s="581">
        <f>IF(M18="","",DEGREES(ATAN2(-AM18,AL18)))</f>
        <v>-73.957297665713298</v>
      </c>
      <c r="AO18" s="582">
        <f t="shared" si="94"/>
        <v>16.154183097265179</v>
      </c>
      <c r="AP18" s="585">
        <f>IF(M18="","",DEGREES(ATAN2(AK18,AL18)))</f>
        <v>-15.55610670510848</v>
      </c>
      <c r="AQ18" s="586">
        <f t="shared" si="9"/>
        <v>0.34766279977224596</v>
      </c>
      <c r="AS18" s="52">
        <f t="shared" si="116"/>
        <v>-2.55918861173393</v>
      </c>
      <c r="AT18" s="72">
        <f t="shared" si="10"/>
        <v>-1.4730264833122881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0.3058999678559719</v>
      </c>
      <c r="C19" s="708">
        <v>6.8888999024032387</v>
      </c>
      <c r="D19" s="709">
        <v>-2.1399998650364762</v>
      </c>
      <c r="E19" s="710">
        <v>-0.92038734544739464</v>
      </c>
      <c r="F19" s="708">
        <v>0.38634961928802436</v>
      </c>
      <c r="G19" s="711">
        <v>6.0175626430450518E-2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0.3058999678559719</v>
      </c>
      <c r="O19" s="629">
        <f t="shared" si="3"/>
        <v>6.8888999024032387</v>
      </c>
      <c r="P19" s="633">
        <f t="shared" si="4"/>
        <v>-2.1399998650364762</v>
      </c>
      <c r="Q19" s="585">
        <f t="shared" si="113"/>
        <v>87.457464718323919</v>
      </c>
      <c r="R19" s="629">
        <f>IF(M19="","",SQRT(N19^2+O19^2))</f>
        <v>6.8956882655515717</v>
      </c>
      <c r="S19" s="634">
        <f>IF(M19="","",P19)</f>
        <v>-2.1399998650364762</v>
      </c>
      <c r="T19" s="635">
        <f>IF(M19="","",X19*COS(RADIANS(W19)))</f>
        <v>6.8862391913741376</v>
      </c>
      <c r="U19" s="629">
        <f>IF(M19="","",X19*SIN(RADIANS(W19)))</f>
        <v>-0.36086902727791231</v>
      </c>
      <c r="V19" s="636">
        <f>IF(M19="","",Y19)</f>
        <v>-2.1399998650364762</v>
      </c>
      <c r="W19" s="585">
        <f t="shared" si="224"/>
        <v>357.00019479601383</v>
      </c>
      <c r="X19" s="629">
        <f>IF(M19="","",R19)</f>
        <v>6.8956882655515717</v>
      </c>
      <c r="Y19" s="630">
        <f t="shared" si="223"/>
        <v>-2.1399998650364762</v>
      </c>
      <c r="Z19" s="632">
        <f t="shared" si="6"/>
        <v>0.92038734544739464</v>
      </c>
      <c r="AA19" s="629">
        <f t="shared" si="7"/>
        <v>-0.38634961928802436</v>
      </c>
      <c r="AB19" s="629">
        <f t="shared" si="8"/>
        <v>-6.0175626430450518E-2</v>
      </c>
      <c r="AC19" s="636">
        <f>IF(M19="","",SQRT(Z19^2+AA19^2+AB19^2))</f>
        <v>1</v>
      </c>
      <c r="AD19" s="637">
        <f>IF(M19="","",Z19*(1/SQRT(Z19^2+AA19^2+AB19^2)))</f>
        <v>0.92038734544739464</v>
      </c>
      <c r="AE19" s="629">
        <f>IF(M19="","",AA19*(1/SQRT(Z19^2+AA19^2+AB19^2)))</f>
        <v>-0.38634961928802436</v>
      </c>
      <c r="AF19" s="633">
        <f>IF(M19="","",AB19*(1/SQRT(Z19^2+AA19^2+AB19^2)))</f>
        <v>-6.0175626430450518E-2</v>
      </c>
      <c r="AG19" s="602">
        <f>IF(M19="","",DEGREES(ATAN2(-AF19,AE19)))</f>
        <v>-81.147065864004034</v>
      </c>
      <c r="AH19" s="603">
        <f>IF(M19="","",DEGREES(ACOS(AD19)))</f>
        <v>23.017224963655039</v>
      </c>
      <c r="AI19" s="585">
        <f>IF(M19="","",DEGREES(-ACOS(-AF19)))</f>
        <v>-86.550106364063353</v>
      </c>
      <c r="AJ19" s="586">
        <f>IF(M19="","",DEGREES(ATAN2(-AE19,AD19)))</f>
        <v>67.228870050000324</v>
      </c>
      <c r="AK19" s="635">
        <f>IF(M19="","",(COS(RADIANS((90-$Q$8)-W19))*AD19)+(-SIN(RADIANS((90-$Q$8)-W19))*AE19))</f>
        <v>0.93662015764433504</v>
      </c>
      <c r="AL19" s="629">
        <f>IF(M19="","",(SIN(RADIANS((90-$Q$8)-W19))*AD19)+(COS(RADIANS((90-$Q$8)-W19))*AE19))</f>
        <v>-0.34513993434258561</v>
      </c>
      <c r="AM19" s="634">
        <f>IF(M19="","",AF19)</f>
        <v>-6.0175626430450518E-2</v>
      </c>
      <c r="AN19" s="581">
        <f>IF(M19="","",DEGREES(ATAN2(-AM19,AL19)))</f>
        <v>-80.109816929117784</v>
      </c>
      <c r="AO19" s="582">
        <f t="shared" si="94"/>
        <v>20.508510954906413</v>
      </c>
      <c r="AP19" s="585">
        <f>IF(M19="","",DEGREES(ATAN2(AK19,AL19)))</f>
        <v>-20.228594668323659</v>
      </c>
      <c r="AQ19" s="586">
        <f t="shared" si="9"/>
        <v>0.3305980845298459</v>
      </c>
      <c r="AS19" s="52">
        <f t="shared" si="116"/>
        <v>-2.9998052039861705</v>
      </c>
      <c r="AT19" s="72">
        <f t="shared" si="10"/>
        <v>-2.1355203646041447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0.34209995187016956</v>
      </c>
      <c r="C20" s="708">
        <v>7.0594998961210029</v>
      </c>
      <c r="D20" s="709">
        <v>-2.8496997777485942</v>
      </c>
      <c r="E20" s="710">
        <v>-0.88562514774950651</v>
      </c>
      <c r="F20" s="708">
        <v>0.4637296976209776</v>
      </c>
      <c r="G20" s="711">
        <v>2.4957267839684077E-2</v>
      </c>
      <c r="H20" s="710">
        <v>0.314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80</v>
      </c>
      <c r="M20" s="168">
        <f t="shared" si="1"/>
        <v>1.1339999999999999</v>
      </c>
      <c r="N20" s="632">
        <f t="shared" si="2"/>
        <v>0.34209995187016956</v>
      </c>
      <c r="O20" s="629">
        <f t="shared" si="3"/>
        <v>7.0594998961210029</v>
      </c>
      <c r="P20" s="633">
        <f t="shared" si="4"/>
        <v>-2.8496997777485942</v>
      </c>
      <c r="Q20" s="585">
        <f t="shared" si="113"/>
        <v>87.225644563455774</v>
      </c>
      <c r="R20" s="629">
        <f>IF(M20="","",SQRT(N20^2+O20^2))</f>
        <v>7.0677840346463627</v>
      </c>
      <c r="S20" s="634">
        <f>IF(M20="","",P20)</f>
        <v>-2.8496997777485942</v>
      </c>
      <c r="T20" s="635">
        <f>IF(M20="","",X20*COS(RADIANS(W20)))</f>
        <v>7.0565448478598354</v>
      </c>
      <c r="U20" s="629">
        <f>IF(M20="","",X20*SIN(RADIANS(W20)))</f>
        <v>-0.39842937962057734</v>
      </c>
      <c r="V20" s="636">
        <f>IF(M20="","",Y20)</f>
        <v>-2.8496997777485942</v>
      </c>
      <c r="W20" s="585">
        <f t="shared" si="224"/>
        <v>356.76837464114567</v>
      </c>
      <c r="X20" s="629">
        <f>IF(M20="","",R20)</f>
        <v>7.0677840346463627</v>
      </c>
      <c r="Y20" s="630">
        <f t="shared" si="223"/>
        <v>-2.8496997777485942</v>
      </c>
      <c r="Z20" s="632">
        <f t="shared" si="6"/>
        <v>0.88562514774950651</v>
      </c>
      <c r="AA20" s="629">
        <f t="shared" si="7"/>
        <v>-0.4637296976209776</v>
      </c>
      <c r="AB20" s="629">
        <f t="shared" si="8"/>
        <v>-2.4957267839684077E-2</v>
      </c>
      <c r="AC20" s="636">
        <f>IF(M20="","",SQRT(Z20^2+AA20^2+AB20^2))</f>
        <v>1</v>
      </c>
      <c r="AD20" s="637">
        <f>IF(M20="","",Z20*(1/SQRT(Z20^2+AA20^2+AB20^2)))</f>
        <v>0.88562514774950651</v>
      </c>
      <c r="AE20" s="629">
        <f>IF(M20="","",AA20*(1/SQRT(Z20^2+AA20^2+AB20^2)))</f>
        <v>-0.4637296976209776</v>
      </c>
      <c r="AF20" s="633">
        <f>IF(M20="","",AB20*(1/SQRT(Z20^2+AA20^2+AB20^2)))</f>
        <v>-2.4957267839684077E-2</v>
      </c>
      <c r="AG20" s="602">
        <f>IF(M20="","",DEGREES(ATAN2(-AF20,AE20)))</f>
        <v>-86.919395213348011</v>
      </c>
      <c r="AH20" s="603">
        <f>IF(M20="","",DEGREES(ACOS(AD20)))</f>
        <v>27.671449372890674</v>
      </c>
      <c r="AI20" s="585">
        <f>IF(M20="","",DEGREES(-ACOS(-AF20)))</f>
        <v>-88.569905399036003</v>
      </c>
      <c r="AJ20" s="586">
        <f>IF(M20="","",DEGREES(ATAN2(-AE20,AD20)))</f>
        <v>62.362614414432755</v>
      </c>
      <c r="AK20" s="635">
        <f>IF(M20="","",(COS(RADIANS((90-$Q$8)-W20))*AD20)+(-SIN(RADIANS((90-$Q$8)-W20))*AE20))</f>
        <v>0.90703288532180704</v>
      </c>
      <c r="AL20" s="629">
        <f>IF(M20="","",(SIN(RADIANS((90-$Q$8)-W20))*AD20)+(COS(RADIANS((90-$Q$8)-W20))*AE20))</f>
        <v>-0.42031949720037542</v>
      </c>
      <c r="AM20" s="634">
        <f>IF(M20="","",AF20)</f>
        <v>-2.4957267839684077E-2</v>
      </c>
      <c r="AN20" s="581">
        <f>IF(M20="","",DEGREES(ATAN2(-AM20,AL20)))</f>
        <v>-86.601944019930073</v>
      </c>
      <c r="AO20" s="582">
        <f t="shared" si="94"/>
        <v>24.901514419481039</v>
      </c>
      <c r="AP20" s="585">
        <f>IF(M20="","",DEGREES(ATAN2(AK20,AL20)))</f>
        <v>-24.86303014902305</v>
      </c>
      <c r="AQ20" s="586">
        <f t="shared" si="9"/>
        <v>0.32254841658663419</v>
      </c>
      <c r="AS20" s="52">
        <f t="shared" si="116"/>
        <v>-3.2316253588543304</v>
      </c>
      <c r="AT20" s="72">
        <f t="shared" si="10"/>
        <v>-2.8450592910976042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0.35429999999999995</v>
      </c>
      <c r="C21" s="708">
        <v>7.1201999999999979</v>
      </c>
      <c r="D21" s="709">
        <v>-3.5628999999999995</v>
      </c>
      <c r="E21" s="710">
        <v>-0.84559843601209483</v>
      </c>
      <c r="F21" s="708">
        <v>0.53371342039850611</v>
      </c>
      <c r="G21" s="711">
        <v>1.0642833289437797E-2</v>
      </c>
      <c r="H21" s="710">
        <v>0.314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1.137</v>
      </c>
      <c r="N21" s="632">
        <f t="shared" si="2"/>
        <v>0.35429999999999995</v>
      </c>
      <c r="O21" s="629">
        <f t="shared" si="3"/>
        <v>7.1201999999999979</v>
      </c>
      <c r="P21" s="633">
        <f t="shared" si="4"/>
        <v>-3.5628999999999995</v>
      </c>
      <c r="Q21" s="585">
        <f t="shared" si="113"/>
        <v>87.151320880334339</v>
      </c>
      <c r="R21" s="629">
        <f>IF(M21="","",SQRT(N21^2+O21^2))</f>
        <v>7.1290095055344098</v>
      </c>
      <c r="S21" s="634">
        <f>IF(M21="","",P21)</f>
        <v>-3.5628999999999995</v>
      </c>
      <c r="T21" s="635">
        <f>IF(M21="","",X21*COS(RADIANS(W21)))</f>
        <v>7.1171456527140577</v>
      </c>
      <c r="U21" s="629">
        <f>IF(M21="","",X21*SIN(RADIANS(W21)))</f>
        <v>-0.41111347345148941</v>
      </c>
      <c r="V21" s="636">
        <f>IF(M21="","",Y21)</f>
        <v>-3.5628999999999995</v>
      </c>
      <c r="W21" s="585">
        <f t="shared" si="224"/>
        <v>356.69405095802415</v>
      </c>
      <c r="X21" s="629">
        <f>IF(M21="","",R21)</f>
        <v>7.1290095055344098</v>
      </c>
      <c r="Y21" s="630">
        <f t="shared" si="223"/>
        <v>-3.5628999999999995</v>
      </c>
      <c r="Z21" s="632">
        <f t="shared" si="6"/>
        <v>0.84559843601209483</v>
      </c>
      <c r="AA21" s="629">
        <f t="shared" si="7"/>
        <v>-0.53371342039850611</v>
      </c>
      <c r="AB21" s="629">
        <f t="shared" si="8"/>
        <v>-1.0642833289437797E-2</v>
      </c>
      <c r="AC21" s="636">
        <f>IF(M21="","",SQRT(Z21^2+AA21^2+AB21^2))</f>
        <v>1</v>
      </c>
      <c r="AD21" s="637">
        <f>IF(M21="","",Z21*(1/SQRT(Z21^2+AA21^2+AB21^2)))</f>
        <v>0.84559843601209483</v>
      </c>
      <c r="AE21" s="629">
        <f>IF(M21="","",AA21*(1/SQRT(Z21^2+AA21^2+AB21^2)))</f>
        <v>-0.53371342039850611</v>
      </c>
      <c r="AF21" s="633">
        <f>IF(M21="","",AB21*(1/SQRT(Z21^2+AA21^2+AB21^2)))</f>
        <v>-1.0642833289437797E-2</v>
      </c>
      <c r="AG21" s="602">
        <f>IF(M21="","",DEGREES(ATAN2(-AF21,AE21)))</f>
        <v>-88.857610473264486</v>
      </c>
      <c r="AH21" s="603">
        <f>IF(M21="","",DEGREES(ACOS(AD21)))</f>
        <v>32.263889858773886</v>
      </c>
      <c r="AI21" s="585">
        <f>IF(M21="","",DEGREES(-ACOS(-AF21)))</f>
        <v>-89.390199058069072</v>
      </c>
      <c r="AJ21" s="586">
        <f>IF(M21="","",DEGREES(ATAN2(-AE21,AD21)))</f>
        <v>57.74125110606699</v>
      </c>
      <c r="AK21" s="635">
        <f>IF(M21="","",(COS(RADIANS((90-$Q$8)-W21))*AD21)+(-SIN(RADIANS((90-$Q$8)-W21))*AE21))</f>
        <v>0.87107818331839837</v>
      </c>
      <c r="AL21" s="629">
        <f>IF(M21="","",(SIN(RADIANS((90-$Q$8)-W21))*AD21)+(COS(RADIANS((90-$Q$8)-W21))*AE21))</f>
        <v>-0.49102905071522207</v>
      </c>
      <c r="AM21" s="634">
        <f>IF(M21="","",AF21)</f>
        <v>-1.0642833289437797E-2</v>
      </c>
      <c r="AN21" s="581">
        <f>IF(M21="","",DEGREES(ATAN2(-AM21,AL21)))</f>
        <v>-88.758334226112169</v>
      </c>
      <c r="AO21" s="582">
        <f>IF(ROUND(IF(M21="",0,DEGREES(ACOS(AK21))),4)=90,0,IF(M21="","",DEGREES(ACOS(AK21))))</f>
        <v>29.415825905757007</v>
      </c>
      <c r="AP21" s="585">
        <f>IF(M21="","",DEGREES(ATAN2(AK21,AL21)))</f>
        <v>-29.410069774267331</v>
      </c>
      <c r="AQ21" s="586">
        <f t="shared" si="9"/>
        <v>0.31977835900685608</v>
      </c>
      <c r="AS21" s="52">
        <f t="shared" si="116"/>
        <v>-3.3059490419758504</v>
      </c>
      <c r="AT21" s="72">
        <f t="shared" si="10"/>
        <v>-3.5582078996801751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0.41379999999999906</v>
      </c>
      <c r="C22" s="708">
        <v>7.1619999999999973</v>
      </c>
      <c r="D22" s="709">
        <v>-4.2325999999999988</v>
      </c>
      <c r="E22" s="710">
        <v>-0.84401246122792728</v>
      </c>
      <c r="F22" s="708">
        <v>0.53631574793532444</v>
      </c>
      <c r="G22" s="711">
        <v>2.8954807114411622E-3</v>
      </c>
      <c r="H22" s="710">
        <v>0.26600000000000001</v>
      </c>
      <c r="I22" s="708">
        <v>0.52</v>
      </c>
      <c r="J22" s="570">
        <v>1.1399999999999999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>
        <f>IF($L21=$JH$22,$JH$30,IF($L21=$JI$22,$JI$30,""))</f>
        <v>0</v>
      </c>
      <c r="M22" s="168">
        <f t="shared" si="1"/>
        <v>1.1399999999999999</v>
      </c>
      <c r="N22" s="632">
        <f t="shared" si="2"/>
        <v>0.41379999999999906</v>
      </c>
      <c r="O22" s="629">
        <f t="shared" si="3"/>
        <v>7.1619999999999973</v>
      </c>
      <c r="P22" s="633">
        <f t="shared" si="4"/>
        <v>-4.2325999999999988</v>
      </c>
      <c r="Q22" s="585">
        <f t="shared" si="113"/>
        <v>86.69328895687876</v>
      </c>
      <c r="R22" s="629">
        <f t="shared" si="79"/>
        <v>7.1739441341566055</v>
      </c>
      <c r="S22" s="634">
        <f t="shared" si="80"/>
        <v>-4.2325999999999988</v>
      </c>
      <c r="T22" s="635">
        <f t="shared" si="81"/>
        <v>7.1584694650429279</v>
      </c>
      <c r="U22" s="629">
        <f t="shared" si="82"/>
        <v>-0.47094517520405688</v>
      </c>
      <c r="V22" s="636">
        <f t="shared" si="114"/>
        <v>-4.2325999999999988</v>
      </c>
      <c r="W22" s="585">
        <f t="shared" si="224"/>
        <v>356.23601903456859</v>
      </c>
      <c r="X22" s="629">
        <f t="shared" si="83"/>
        <v>7.1739441341566055</v>
      </c>
      <c r="Y22" s="630">
        <f t="shared" si="223"/>
        <v>-4.2325999999999988</v>
      </c>
      <c r="Z22" s="632">
        <f t="shared" si="6"/>
        <v>0.84401246122792728</v>
      </c>
      <c r="AA22" s="629">
        <f t="shared" si="7"/>
        <v>-0.53631574793532444</v>
      </c>
      <c r="AB22" s="629">
        <f t="shared" si="8"/>
        <v>-2.8954807114411622E-3</v>
      </c>
      <c r="AC22" s="636">
        <f t="shared" si="84"/>
        <v>1</v>
      </c>
      <c r="AD22" s="637">
        <f t="shared" si="115"/>
        <v>0.84401246122792728</v>
      </c>
      <c r="AE22" s="629">
        <f t="shared" si="85"/>
        <v>-0.53631574793532444</v>
      </c>
      <c r="AF22" s="633">
        <f t="shared" si="86"/>
        <v>-2.8954807114411622E-3</v>
      </c>
      <c r="AG22" s="602">
        <f t="shared" si="87"/>
        <v>-89.690672494230199</v>
      </c>
      <c r="AH22" s="603">
        <f t="shared" si="88"/>
        <v>32.433716858497625</v>
      </c>
      <c r="AI22" s="585">
        <f t="shared" si="89"/>
        <v>-89.834100943761342</v>
      </c>
      <c r="AJ22" s="586">
        <f t="shared" si="90"/>
        <v>57.566661114656092</v>
      </c>
      <c r="AK22" s="635">
        <f t="shared" si="211"/>
        <v>0.8735424456363976</v>
      </c>
      <c r="AL22" s="629">
        <f t="shared" si="91"/>
        <v>-0.48673936748842406</v>
      </c>
      <c r="AM22" s="634">
        <f t="shared" si="92"/>
        <v>-2.8954807114411622E-3</v>
      </c>
      <c r="AN22" s="581">
        <f t="shared" si="93"/>
        <v>-89.659166940992534</v>
      </c>
      <c r="AO22" s="582">
        <f t="shared" si="94"/>
        <v>29.127058884140581</v>
      </c>
      <c r="AP22" s="585">
        <f t="shared" si="95"/>
        <v>-29.126627842222657</v>
      </c>
      <c r="AQ22" s="586">
        <f t="shared" si="9"/>
        <v>0.31777544039765954</v>
      </c>
      <c r="AS22" s="52">
        <f t="shared" si="116"/>
        <v>-3.7639809654314149</v>
      </c>
      <c r="AT22" s="72">
        <f t="shared" si="10"/>
        <v>-4.2275898219555526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1.1399999999999999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0.99379024313599529</v>
      </c>
      <c r="C23" s="708">
        <v>3.9051446911418544</v>
      </c>
      <c r="D23" s="709">
        <v>-2.4800074797025586E-2</v>
      </c>
      <c r="E23" s="710">
        <v>6.885865292561591E-3</v>
      </c>
      <c r="F23" s="708">
        <v>2.70592455222535E-2</v>
      </c>
      <c r="G23" s="711">
        <v>0.99961011504032871</v>
      </c>
      <c r="H23" s="710">
        <v>0.25700000000000001</v>
      </c>
      <c r="I23" s="708">
        <v>0.41499999999999992</v>
      </c>
      <c r="J23" s="570">
        <v>1.216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CPS-32193r1</v>
      </c>
      <c r="M23" s="168">
        <f t="shared" si="1"/>
        <v>1.216</v>
      </c>
      <c r="N23" s="632">
        <f t="shared" si="2"/>
        <v>0.99379024313599529</v>
      </c>
      <c r="O23" s="629">
        <f t="shared" si="3"/>
        <v>3.9051446911418544</v>
      </c>
      <c r="P23" s="633">
        <f t="shared" si="4"/>
        <v>-2.4800074797025586E-2</v>
      </c>
      <c r="Q23" s="585">
        <f t="shared" si="113"/>
        <v>75.722302061444523</v>
      </c>
      <c r="R23" s="629">
        <f t="shared" si="79"/>
        <v>4.0296121533102554</v>
      </c>
      <c r="S23" s="634">
        <f t="shared" si="80"/>
        <v>-2.4800074797025586E-2</v>
      </c>
      <c r="T23" s="635">
        <f t="shared" si="81"/>
        <v>3.8970891019513334</v>
      </c>
      <c r="U23" s="629">
        <f t="shared" si="82"/>
        <v>-1.0249246984817277</v>
      </c>
      <c r="V23" s="636">
        <f t="shared" si="114"/>
        <v>-2.4800074797025586E-2</v>
      </c>
      <c r="W23" s="585">
        <f t="shared" si="224"/>
        <v>345.26503213913441</v>
      </c>
      <c r="X23" s="629">
        <f t="shared" si="83"/>
        <v>4.0296121533102554</v>
      </c>
      <c r="Y23" s="630">
        <f t="shared" si="223"/>
        <v>-2.4800074797025586E-2</v>
      </c>
      <c r="Z23" s="632">
        <f t="shared" si="6"/>
        <v>-6.885865292561591E-3</v>
      </c>
      <c r="AA23" s="629">
        <f t="shared" si="7"/>
        <v>-2.70592455222535E-2</v>
      </c>
      <c r="AB23" s="629">
        <f t="shared" si="8"/>
        <v>-0.99961011504032871</v>
      </c>
      <c r="AC23" s="636">
        <f t="shared" si="84"/>
        <v>1</v>
      </c>
      <c r="AD23" s="637">
        <f t="shared" si="115"/>
        <v>-6.885865292561591E-3</v>
      </c>
      <c r="AE23" s="629">
        <f t="shared" si="85"/>
        <v>-2.70592455222535E-2</v>
      </c>
      <c r="AF23" s="633">
        <f t="shared" si="86"/>
        <v>-0.99961011504032871</v>
      </c>
      <c r="AG23" s="602">
        <f t="shared" si="87"/>
        <v>-1.5506065969516289</v>
      </c>
      <c r="AH23" s="603">
        <f t="shared" si="88"/>
        <v>90.394534137416571</v>
      </c>
      <c r="AI23" s="585">
        <f t="shared" si="89"/>
        <v>-1.6000000000526595</v>
      </c>
      <c r="AJ23" s="586">
        <f t="shared" si="90"/>
        <v>-14.277232550741944</v>
      </c>
      <c r="AK23" s="635">
        <f t="shared" si="211"/>
        <v>2.2679489668740727E-7</v>
      </c>
      <c r="AL23" s="629">
        <f t="shared" si="91"/>
        <v>-2.7921638723568225E-2</v>
      </c>
      <c r="AM23" s="634">
        <f t="shared" si="92"/>
        <v>-0.99961011504032871</v>
      </c>
      <c r="AN23" s="581">
        <f t="shared" si="93"/>
        <v>-1.6000000000000034</v>
      </c>
      <c r="AO23" s="582">
        <f t="shared" si="94"/>
        <v>0</v>
      </c>
      <c r="AP23" s="585">
        <f t="shared" si="95"/>
        <v>-89.999534612186494</v>
      </c>
      <c r="AQ23" s="586">
        <f t="shared" si="9"/>
        <v>0.56572505250805372</v>
      </c>
      <c r="AS23" s="52">
        <f t="shared" si="116"/>
        <v>-14.734967860865595</v>
      </c>
      <c r="AT23" s="72">
        <f t="shared" si="10"/>
        <v>-1.2171155852972388E-2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1.216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I23" s="734" cm="1">
        <f t="array" ref="II23">IFERROR(ROUND(VALUE(IF($IH23&lt;1,$IH23+LARGE((IF($M$9:$M$150="",0,$M$9:$M$150)-MOD(IF($M$9:$M$150="",0,$M$9:$M$150),1)),1),$IH23)),4),"")</f>
        <v>1.1160000000000001</v>
      </c>
      <c r="IJ23" s="533">
        <f t="shared" si="112"/>
        <v>1613</v>
      </c>
      <c r="IK23" s="533" t="str">
        <f t="shared" si="66"/>
        <v>CPS-32193r1</v>
      </c>
      <c r="IL23" s="727">
        <f t="shared" si="225"/>
        <v>14.514044180114524</v>
      </c>
      <c r="IM23" s="759">
        <v>9.4075806566889797E-3</v>
      </c>
      <c r="IN23" s="5">
        <f t="shared" si="226"/>
        <v>0.2</v>
      </c>
      <c r="IO23" s="771">
        <v>100</v>
      </c>
      <c r="IP23" s="9">
        <f t="shared" si="227"/>
        <v>-4.0242342377152944</v>
      </c>
      <c r="IQ23" s="5">
        <f t="shared" si="228"/>
        <v>-6.1199999999999914E-2</v>
      </c>
      <c r="IR23" s="5">
        <f t="shared" si="71"/>
        <v>0.314</v>
      </c>
      <c r="IS23" s="5">
        <f t="shared" si="229"/>
        <v>0.30319604351594731</v>
      </c>
      <c r="IT23" s="727">
        <f t="shared" si="230"/>
        <v>6.6577998615375069</v>
      </c>
      <c r="IU23" s="9">
        <f t="shared" si="231"/>
        <v>-4.0296121533102554</v>
      </c>
      <c r="IV23" s="5">
        <f t="shared" si="232"/>
        <v>-2.4800074797025586E-2</v>
      </c>
      <c r="IW23" s="5">
        <f t="shared" si="76"/>
        <v>0.25700000000000001</v>
      </c>
      <c r="IX23" s="5">
        <f t="shared" si="233"/>
        <v>0.25700000000000001</v>
      </c>
      <c r="IY23" s="762">
        <f t="shared" si="234"/>
        <v>1.6000000000000034</v>
      </c>
      <c r="JA23" s="855" t="str" cm="1">
        <f t="array" ref="JA23">IFERROR(_xlfn._xlws.SORT(_xlfn.UNIQUE(_xlfn._xlws.FILTER($IK$9:$IK$150,$IK$9:$IK$150&lt;&gt;"")),,1),"")</f>
        <v>CPS-32193r1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11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80</v>
      </c>
      <c r="JI23" s="801">
        <v>0</v>
      </c>
    </row>
    <row r="24" spans="1:269" ht="15" customHeight="1" x14ac:dyDescent="0.25">
      <c r="A24" s="79"/>
      <c r="B24" s="707">
        <v>1.0843697772090364</v>
      </c>
      <c r="C24" s="708">
        <v>5.3952233012963609</v>
      </c>
      <c r="D24" s="709">
        <v>-0.43510131226555698</v>
      </c>
      <c r="E24" s="710">
        <v>9.4927645344282066E-2</v>
      </c>
      <c r="F24" s="708">
        <v>0.47230852698202624</v>
      </c>
      <c r="G24" s="711">
        <v>0.87630668004384105</v>
      </c>
      <c r="H24" s="710">
        <v>0.25700000000000001</v>
      </c>
      <c r="I24" s="708">
        <v>0.41499999999999992</v>
      </c>
      <c r="J24" s="570">
        <v>1.222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1.222</v>
      </c>
      <c r="N24" s="632">
        <f t="shared" si="2"/>
        <v>1.0843697772090364</v>
      </c>
      <c r="O24" s="629">
        <f t="shared" si="3"/>
        <v>5.3952233012963609</v>
      </c>
      <c r="P24" s="633">
        <f t="shared" si="4"/>
        <v>-0.43510131226555698</v>
      </c>
      <c r="Q24" s="585">
        <f t="shared" si="113"/>
        <v>78.63570164080167</v>
      </c>
      <c r="R24" s="629">
        <f t="shared" si="79"/>
        <v>5.5031165973996572</v>
      </c>
      <c r="S24" s="634">
        <f t="shared" si="80"/>
        <v>-0.43510131226555698</v>
      </c>
      <c r="T24" s="635">
        <f t="shared" si="81"/>
        <v>5.3863973622383048</v>
      </c>
      <c r="U24" s="629">
        <f t="shared" si="82"/>
        <v>-1.1273933389229418</v>
      </c>
      <c r="V24" s="636">
        <f t="shared" si="114"/>
        <v>-0.43510131226555698</v>
      </c>
      <c r="W24" s="585">
        <f t="shared" si="224"/>
        <v>348.17843171849154</v>
      </c>
      <c r="X24" s="629">
        <f t="shared" si="83"/>
        <v>5.5031165973996572</v>
      </c>
      <c r="Y24" s="630">
        <f t="shared" si="223"/>
        <v>-0.43510131226555698</v>
      </c>
      <c r="Z24" s="632">
        <f t="shared" si="6"/>
        <v>-9.4927645344282066E-2</v>
      </c>
      <c r="AA24" s="629">
        <f t="shared" si="7"/>
        <v>-0.47230852698202624</v>
      </c>
      <c r="AB24" s="629">
        <f t="shared" si="8"/>
        <v>-0.87630668004384105</v>
      </c>
      <c r="AC24" s="636">
        <f t="shared" si="84"/>
        <v>1</v>
      </c>
      <c r="AD24" s="637">
        <f t="shared" si="115"/>
        <v>-9.4927645344282066E-2</v>
      </c>
      <c r="AE24" s="629">
        <f t="shared" si="85"/>
        <v>-0.47230852698202624</v>
      </c>
      <c r="AF24" s="633">
        <f t="shared" si="86"/>
        <v>-0.87630668004384105</v>
      </c>
      <c r="AG24" s="602">
        <f t="shared" si="87"/>
        <v>-28.323614948659753</v>
      </c>
      <c r="AH24" s="603">
        <f t="shared" si="88"/>
        <v>95.447155375778635</v>
      </c>
      <c r="AI24" s="585">
        <f t="shared" si="89"/>
        <v>-28.800000000002672</v>
      </c>
      <c r="AJ24" s="586">
        <f t="shared" si="90"/>
        <v>-11.364271386097558</v>
      </c>
      <c r="AK24" s="635">
        <f>IF(M24="","",(COS(RADIANS((90-$Q$8)-W24))*AD24)+(-SIN(RADIANS((90-$Q$8)-W24))*AE24))</f>
        <v>2.2679489673771425E-7</v>
      </c>
      <c r="AL24" s="629">
        <f t="shared" si="91"/>
        <v>-0.48175367410170289</v>
      </c>
      <c r="AM24" s="634">
        <f t="shared" si="92"/>
        <v>-0.87630668004384105</v>
      </c>
      <c r="AN24" s="581">
        <f t="shared" si="93"/>
        <v>-28.8</v>
      </c>
      <c r="AO24" s="582">
        <f t="shared" si="94"/>
        <v>0</v>
      </c>
      <c r="AP24" s="585">
        <f t="shared" si="95"/>
        <v>-89.999973026899227</v>
      </c>
      <c r="AQ24" s="586">
        <f t="shared" si="9"/>
        <v>0.4142537901583519</v>
      </c>
      <c r="AS24" s="52">
        <f t="shared" si="116"/>
        <v>-11.821568281508462</v>
      </c>
      <c r="AT24" s="72">
        <f t="shared" si="10"/>
        <v>-0.42449558747383515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1.222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1.1220000000000001</v>
      </c>
      <c r="II24" s="734" cm="1">
        <f t="array" ref="II24">IFERROR(ROUND(VALUE(IF($IH24&lt;1,$IH24+LARGE((IF($M$9:$M$150="",0,$M$9:$M$150)-MOD(IF($M$9:$M$150="",0,$M$9:$M$150),1)),1),$IH24)),4),"")</f>
        <v>1.1220000000000001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10.522466907026114</v>
      </c>
      <c r="IM24" s="759">
        <v>4.6582492718268203E-3</v>
      </c>
      <c r="IN24" s="5">
        <f t="shared" si="226"/>
        <v>0.16</v>
      </c>
      <c r="IO24" s="771">
        <v>80</v>
      </c>
      <c r="IP24" s="9">
        <f t="shared" si="227"/>
        <v>-5.4722906537839435</v>
      </c>
      <c r="IQ24" s="5">
        <f t="shared" si="228"/>
        <v>-0.46169999809371282</v>
      </c>
      <c r="IR24" s="5">
        <f t="shared" si="71"/>
        <v>0.314</v>
      </c>
      <c r="IS24" s="5">
        <f t="shared" si="229"/>
        <v>0.30225259609628824</v>
      </c>
      <c r="IT24" s="727">
        <f t="shared" si="230"/>
        <v>42.271598143986999</v>
      </c>
      <c r="IU24" s="9">
        <f t="shared" si="231"/>
        <v>-5.5031165973996572</v>
      </c>
      <c r="IV24" s="5">
        <f t="shared" si="232"/>
        <v>-0.43510131226555698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28.8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1.2438140345852946</v>
      </c>
      <c r="C25" s="708">
        <v>6.4823691510321435</v>
      </c>
      <c r="D25" s="709">
        <v>-1.4708044359461789</v>
      </c>
      <c r="E25" s="710">
        <v>0.15603861606286906</v>
      </c>
      <c r="F25" s="708">
        <v>0.81322559482121459</v>
      </c>
      <c r="G25" s="711">
        <v>0.56063899456322741</v>
      </c>
      <c r="H25" s="710">
        <v>0.25700000000000001</v>
      </c>
      <c r="I25" s="708">
        <v>0.41499999999999992</v>
      </c>
      <c r="J25" s="570">
        <v>1.228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1.228</v>
      </c>
      <c r="N25" s="632">
        <f t="shared" si="2"/>
        <v>1.2438140345852946</v>
      </c>
      <c r="O25" s="629">
        <f t="shared" si="3"/>
        <v>6.4823691510321435</v>
      </c>
      <c r="P25" s="633">
        <f t="shared" si="4"/>
        <v>-1.4708044359461789</v>
      </c>
      <c r="Q25" s="585">
        <f t="shared" si="113"/>
        <v>79.138301568235235</v>
      </c>
      <c r="R25" s="629">
        <f>IF(M25="","",SQRT(N25^2+O25^2))</f>
        <v>6.6006199074696417</v>
      </c>
      <c r="S25" s="634">
        <f>IF(M25="","",P25)</f>
        <v>-1.4708044359461789</v>
      </c>
      <c r="T25" s="635">
        <f>IF(M25="","",X25*COS(RADIANS(W25)))</f>
        <v>6.4722361000071054</v>
      </c>
      <c r="U25" s="629">
        <f>IF(M25="","",X25*SIN(RADIANS(W25)))</f>
        <v>-1.2955087914210983</v>
      </c>
      <c r="V25" s="636">
        <f>IF(M25="","",Y25)</f>
        <v>-1.4708044359461789</v>
      </c>
      <c r="W25" s="585">
        <f t="shared" si="224"/>
        <v>348.68103164592515</v>
      </c>
      <c r="X25" s="629">
        <f>IF(M25="","",R25)</f>
        <v>6.6006199074696417</v>
      </c>
      <c r="Y25" s="630">
        <f t="shared" si="223"/>
        <v>-1.4708044359461789</v>
      </c>
      <c r="Z25" s="632">
        <f t="shared" si="6"/>
        <v>-0.15603861606286906</v>
      </c>
      <c r="AA25" s="629">
        <f t="shared" si="7"/>
        <v>-0.81322559482121459</v>
      </c>
      <c r="AB25" s="629">
        <f t="shared" si="8"/>
        <v>-0.56063899456322741</v>
      </c>
      <c r="AC25" s="636">
        <f>IF(M25="","",SQRT(Z25^2+AA25^2+AB25^2))</f>
        <v>1</v>
      </c>
      <c r="AD25" s="637">
        <f>IF(M25="","",Z25*(1/SQRT(Z25^2+AA25^2+AB25^2)))</f>
        <v>-0.15603861606286906</v>
      </c>
      <c r="AE25" s="629">
        <f>IF(M25="","",AA25*(1/SQRT(Z25^2+AA25^2+AB25^2)))</f>
        <v>-0.81322559482121459</v>
      </c>
      <c r="AF25" s="633">
        <f>IF(M25="","",AB25*(1/SQRT(Z25^2+AA25^2+AB25^2)))</f>
        <v>-0.56063899456322741</v>
      </c>
      <c r="AG25" s="602">
        <f>IF(M25="","",DEGREES(ATAN2(-AF25,AE25)))</f>
        <v>-55.417559742783126</v>
      </c>
      <c r="AH25" s="603">
        <f>IF(M25="","",DEGREES(ACOS(AD25)))</f>
        <v>98.977037537455629</v>
      </c>
      <c r="AI25" s="585">
        <f>IF(M25="","",DEGREES(-ACOS(-AF25)))</f>
        <v>-55.900000000000986</v>
      </c>
      <c r="AJ25" s="586">
        <f>IF(M25="","",DEGREES(ATAN2(-AE25,AD25)))</f>
        <v>-10.861682739200058</v>
      </c>
      <c r="AK25" s="635">
        <f>IF(M25="","",(COS(RADIANS((90-$Q$8)-W25))*AD25)+(-SIN(RADIANS((90-$Q$8)-W25))*AE25))</f>
        <v>2.2679489583565804E-7</v>
      </c>
      <c r="AL25" s="629">
        <f>IF(M25="","",(SIN(RADIANS((90-$Q$8)-W25))*AD25)+(COS(RADIANS((90-$Q$8)-W25))*AE25))</f>
        <v>-0.82806033462247319</v>
      </c>
      <c r="AM25" s="634">
        <f>IF(M25="","",AF25)</f>
        <v>-0.56063899456322741</v>
      </c>
      <c r="AN25" s="581">
        <f>IF(M25="","",DEGREES(ATAN2(-AM25,AL25)))</f>
        <v>-55.900000000000006</v>
      </c>
      <c r="AO25" s="582">
        <f>IF(ROUND(IF(M25="",0,DEGREES(ACOS(AK25))),4)=90,0,IF(M25="","",DEGREES(ACOS(AK25))))</f>
        <v>0</v>
      </c>
      <c r="AP25" s="585">
        <f>IF(M25="","",DEGREES(ATAN2(AK25,AL25)))</f>
        <v>-89.999984307435341</v>
      </c>
      <c r="AQ25" s="586">
        <f t="shared" si="9"/>
        <v>0.34537650275148701</v>
      </c>
      <c r="AS25" s="52">
        <f t="shared" si="116"/>
        <v>-11.318968354074855</v>
      </c>
      <c r="AT25" s="72">
        <f t="shared" si="10"/>
        <v>-1.4605477388818415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1.228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1.1279999999999999</v>
      </c>
      <c r="II25" s="734" cm="1">
        <f t="array" ref="II25">IFERROR(ROUND(VALUE(IF($IH25&lt;1,$IH25+LARGE((IF($M$9:$M$150="",0,$M$9:$M$150)-MOD(IF($M$9:$M$150="",0,$M$9:$M$150),1)),1),$IH25)),4),"")</f>
        <v>1.1279999999999999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8.7597797423409247</v>
      </c>
      <c r="IM25" s="759">
        <v>8.96911294760437E-4</v>
      </c>
      <c r="IN25" s="5">
        <f t="shared" si="226"/>
        <v>0</v>
      </c>
      <c r="IO25" s="771">
        <v>0</v>
      </c>
      <c r="IP25" s="9">
        <f t="shared" si="227"/>
        <v>-6.5572119143733625</v>
      </c>
      <c r="IQ25" s="5">
        <f t="shared" si="228"/>
        <v>-1.4771999999999998</v>
      </c>
      <c r="IR25" s="5">
        <f t="shared" si="71"/>
        <v>0.314</v>
      </c>
      <c r="IS25" s="5">
        <f t="shared" si="229"/>
        <v>0.30160217330112077</v>
      </c>
      <c r="IT25" s="727">
        <f t="shared" si="230"/>
        <v>73.957297665713298</v>
      </c>
      <c r="IU25" s="9">
        <f t="shared" si="231"/>
        <v>-6.6006199074696417</v>
      </c>
      <c r="IV25" s="5">
        <f t="shared" si="232"/>
        <v>-1.4708044359461789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55.900000000000006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2.5101055398308785</v>
      </c>
      <c r="C26" s="708">
        <v>1.1928041610715401</v>
      </c>
      <c r="D26" s="709">
        <v>-0.26050000000000001</v>
      </c>
      <c r="E26" s="710">
        <v>-0.408217893676735</v>
      </c>
      <c r="F26" s="708">
        <v>0.87542609806559313</v>
      </c>
      <c r="G26" s="711">
        <v>0.25881904510252079</v>
      </c>
      <c r="H26" s="710">
        <v>0.314</v>
      </c>
      <c r="I26" s="708">
        <v>0.52</v>
      </c>
      <c r="J26" s="570">
        <v>2.1110000000000002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2.1110000000000002</v>
      </c>
      <c r="N26" s="632">
        <f t="shared" si="2"/>
        <v>2.5101055398308785</v>
      </c>
      <c r="O26" s="629">
        <f t="shared" si="3"/>
        <v>1.1928041610715401</v>
      </c>
      <c r="P26" s="633">
        <f t="shared" si="4"/>
        <v>-0.26050000000000001</v>
      </c>
      <c r="Q26" s="585">
        <f t="shared" si="113"/>
        <v>25.417104428290312</v>
      </c>
      <c r="R26" s="629">
        <f>IF(M26="","",SQRT(N26^2+O26^2))</f>
        <v>2.7791026587298364</v>
      </c>
      <c r="S26" s="634">
        <f>IF(M26="","",P26)</f>
        <v>-0.26050000000000001</v>
      </c>
      <c r="T26" s="635">
        <f>IF(M26="","",X26*COS(RADIANS(W26)))</f>
        <v>1.172733571328052</v>
      </c>
      <c r="U26" s="629">
        <f>IF(M26="","",X26*SIN(RADIANS(W26)))</f>
        <v>-2.5195451094273738</v>
      </c>
      <c r="V26" s="636">
        <f>IF(M26="","",Y26)</f>
        <v>-0.26050000000000001</v>
      </c>
      <c r="W26" s="585">
        <f t="shared" si="224"/>
        <v>294.95983450598021</v>
      </c>
      <c r="X26" s="629">
        <f>IF(M26="","",R26)</f>
        <v>2.7791026587298364</v>
      </c>
      <c r="Y26" s="630">
        <f t="shared" si="223"/>
        <v>-0.26050000000000001</v>
      </c>
      <c r="Z26" s="632">
        <f t="shared" si="6"/>
        <v>0.408217893676735</v>
      </c>
      <c r="AA26" s="629">
        <f t="shared" si="7"/>
        <v>-0.87542609806559313</v>
      </c>
      <c r="AB26" s="629">
        <f t="shared" si="8"/>
        <v>-0.25881904510252079</v>
      </c>
      <c r="AC26" s="636">
        <f>IF(M26="","",SQRT(Z26^2+AA26^2+AB26^2))</f>
        <v>1</v>
      </c>
      <c r="AD26" s="637">
        <f>IF(M26="","",Z26*(1/SQRT(Z26^2+AA26^2+AB26^2)))</f>
        <v>0.408217893676735</v>
      </c>
      <c r="AE26" s="629">
        <f>IF(M26="","",AA26*(1/SQRT(Z26^2+AA26^2+AB26^2)))</f>
        <v>-0.87542609806559313</v>
      </c>
      <c r="AF26" s="633">
        <f>IF(M26="","",AB26*(1/SQRT(Z26^2+AA26^2+AB26^2)))</f>
        <v>-0.25881904510252079</v>
      </c>
      <c r="AG26" s="602">
        <f>IF(M26="","",DEGREES(ATAN2(-AF26,AE26)))</f>
        <v>-73.529727079672099</v>
      </c>
      <c r="AH26" s="603">
        <f>IF(M26="","",DEGREES(ACOS(AD26)))</f>
        <v>65.907065269236895</v>
      </c>
      <c r="AI26" s="585">
        <f>IF(M26="","",DEGREES(-ACOS(-AF26)))</f>
        <v>-74.999999999999986</v>
      </c>
      <c r="AJ26" s="586">
        <f>IF(M26="","",DEGREES(ATAN2(-AE26,AD26)))</f>
        <v>25.000000000000011</v>
      </c>
      <c r="AK26" s="635">
        <f>IF(M26="","",(COS(RADIANS((90-$Q$8)-W26))*AD26)+(-SIN(RADIANS((90-$Q$8)-W26))*AE26))</f>
        <v>0.96590023122618129</v>
      </c>
      <c r="AL26" s="629">
        <f>IF(M26="","",(SIN(RADIANS((90-$Q$8)-W26))*AD26)+(COS(RADIANS((90-$Q$8)-W26))*AE26))</f>
        <v>-7.0317287653313687E-3</v>
      </c>
      <c r="AM26" s="634">
        <f>IF(M26="","",AF26)</f>
        <v>-0.25881904510252079</v>
      </c>
      <c r="AN26" s="581">
        <f>IF(M26="","",DEGREES(ATAN2(-AM26,AL26)))</f>
        <v>-1.5562583383428021</v>
      </c>
      <c r="AO26" s="582">
        <f t="shared" si="94"/>
        <v>15.005665033512644</v>
      </c>
      <c r="AP26" s="585">
        <f>IF(M26="","",DEGREES(ATAN2(AK26,AL26)))</f>
        <v>-0.41710442829036676</v>
      </c>
      <c r="AQ26" s="586">
        <f t="shared" si="9"/>
        <v>0.82025429250113413</v>
      </c>
      <c r="AS26" s="52">
        <f t="shared" si="116"/>
        <v>-65.040165494019789</v>
      </c>
      <c r="AT26" s="72">
        <f t="shared" si="10"/>
        <v>-0.21293691603292306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2.1110000000000002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3.1847610565009608</v>
      </c>
      <c r="C27" s="708">
        <v>1.5074011951113164</v>
      </c>
      <c r="D27" s="709">
        <v>-8.9500000000000302E-2</v>
      </c>
      <c r="E27" s="710">
        <v>-0.408217893676735</v>
      </c>
      <c r="F27" s="708">
        <v>0.87542609806559302</v>
      </c>
      <c r="G27" s="711">
        <v>0.25881904510252079</v>
      </c>
      <c r="H27" s="710">
        <v>0.314</v>
      </c>
      <c r="I27" s="708">
        <v>0.52</v>
      </c>
      <c r="J27" s="570">
        <v>2.1139999999999999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2.1139999999999999</v>
      </c>
      <c r="N27" s="632">
        <f t="shared" si="2"/>
        <v>3.1847610565009608</v>
      </c>
      <c r="O27" s="629">
        <f t="shared" si="3"/>
        <v>1.5074011951113164</v>
      </c>
      <c r="P27" s="633">
        <f t="shared" si="4"/>
        <v>-8.9500000000000302E-2</v>
      </c>
      <c r="Q27" s="585">
        <f t="shared" si="113"/>
        <v>25.328984362157531</v>
      </c>
      <c r="R27" s="629">
        <f t="shared" si="79"/>
        <v>3.5234871008743793</v>
      </c>
      <c r="S27" s="634">
        <f t="shared" si="80"/>
        <v>-8.9500000000000302E-2</v>
      </c>
      <c r="T27" s="635">
        <f t="shared" si="81"/>
        <v>1.4819363084911714</v>
      </c>
      <c r="U27" s="629">
        <f t="shared" si="82"/>
        <v>-3.1966898704134095</v>
      </c>
      <c r="V27" s="636">
        <f t="shared" si="114"/>
        <v>-8.9500000000000302E-2</v>
      </c>
      <c r="W27" s="585">
        <f t="shared" si="224"/>
        <v>294.87171443984744</v>
      </c>
      <c r="X27" s="629">
        <f t="shared" si="83"/>
        <v>3.5234871008743793</v>
      </c>
      <c r="Y27" s="630">
        <f t="shared" si="223"/>
        <v>-8.9500000000000302E-2</v>
      </c>
      <c r="Z27" s="632">
        <f t="shared" si="6"/>
        <v>0.408217893676735</v>
      </c>
      <c r="AA27" s="629">
        <f t="shared" si="7"/>
        <v>-0.87542609806559302</v>
      </c>
      <c r="AB27" s="629">
        <f t="shared" si="8"/>
        <v>-0.25881904510252079</v>
      </c>
      <c r="AC27" s="636">
        <f t="shared" si="84"/>
        <v>1</v>
      </c>
      <c r="AD27" s="637">
        <f t="shared" si="115"/>
        <v>0.408217893676735</v>
      </c>
      <c r="AE27" s="629">
        <f t="shared" si="85"/>
        <v>-0.87542609806559302</v>
      </c>
      <c r="AF27" s="633">
        <f t="shared" si="86"/>
        <v>-0.25881904510252079</v>
      </c>
      <c r="AG27" s="602">
        <f t="shared" si="87"/>
        <v>-73.529727079672099</v>
      </c>
      <c r="AH27" s="603">
        <f t="shared" si="88"/>
        <v>65.907065269236895</v>
      </c>
      <c r="AI27" s="585">
        <f t="shared" si="89"/>
        <v>-74.999999999999986</v>
      </c>
      <c r="AJ27" s="586">
        <f t="shared" si="90"/>
        <v>25.000000000000011</v>
      </c>
      <c r="AK27" s="635">
        <f t="shared" si="211"/>
        <v>0.96590990354795236</v>
      </c>
      <c r="AL27" s="629">
        <f t="shared" si="91"/>
        <v>-5.5461806862724394E-3</v>
      </c>
      <c r="AM27" s="634">
        <f t="shared" si="92"/>
        <v>-0.25881904510252079</v>
      </c>
      <c r="AN27" s="581">
        <f t="shared" si="93"/>
        <v>-1.2275917303657558</v>
      </c>
      <c r="AO27" s="582">
        <f t="shared" si="94"/>
        <v>15.003524474624429</v>
      </c>
      <c r="AP27" s="585">
        <f t="shared" si="95"/>
        <v>-0.32898436215758092</v>
      </c>
      <c r="AQ27" s="586">
        <f t="shared" si="9"/>
        <v>0.64698115000277268</v>
      </c>
      <c r="AS27" s="52">
        <f t="shared" si="116"/>
        <v>-65.128285560152563</v>
      </c>
      <c r="AT27" s="72">
        <f t="shared" si="10"/>
        <v>-4.1875721542553375E-2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2.1139999999999999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3.8718173591925304</v>
      </c>
      <c r="C28" s="708">
        <v>1.8157539913233645</v>
      </c>
      <c r="D28" s="709">
        <v>-8.060000000000006E-2</v>
      </c>
      <c r="E28" s="710">
        <v>-0.35636689730441939</v>
      </c>
      <c r="F28" s="708">
        <v>0.89886823473847799</v>
      </c>
      <c r="G28" s="711">
        <v>0.25502653015667598</v>
      </c>
      <c r="H28" s="710">
        <v>0.314</v>
      </c>
      <c r="I28" s="708">
        <v>0.52</v>
      </c>
      <c r="J28" s="570">
        <v>2.117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2.117</v>
      </c>
      <c r="N28" s="632">
        <f t="shared" si="2"/>
        <v>3.8718173591925304</v>
      </c>
      <c r="O28" s="629">
        <f t="shared" si="3"/>
        <v>1.8157539913233645</v>
      </c>
      <c r="P28" s="633">
        <f t="shared" si="4"/>
        <v>-8.060000000000006E-2</v>
      </c>
      <c r="Q28" s="585">
        <f t="shared" si="113"/>
        <v>25.125020417627294</v>
      </c>
      <c r="R28" s="629">
        <f t="shared" si="79"/>
        <v>4.2764391986735122</v>
      </c>
      <c r="S28" s="634">
        <f t="shared" si="80"/>
        <v>-8.060000000000006E-2</v>
      </c>
      <c r="T28" s="635">
        <f t="shared" si="81"/>
        <v>1.7847960387290527</v>
      </c>
      <c r="U28" s="629">
        <f t="shared" si="82"/>
        <v>-3.8861851885992813</v>
      </c>
      <c r="V28" s="636">
        <f t="shared" si="114"/>
        <v>-8.060000000000006E-2</v>
      </c>
      <c r="W28" s="585">
        <f t="shared" si="224"/>
        <v>294.66775049531714</v>
      </c>
      <c r="X28" s="629">
        <f t="shared" si="83"/>
        <v>4.2764391986735122</v>
      </c>
      <c r="Y28" s="630">
        <f t="shared" si="223"/>
        <v>-8.060000000000006E-2</v>
      </c>
      <c r="Z28" s="632">
        <f t="shared" si="6"/>
        <v>0.35636689730441939</v>
      </c>
      <c r="AA28" s="629">
        <f t="shared" si="7"/>
        <v>-0.89886823473847799</v>
      </c>
      <c r="AB28" s="629">
        <f t="shared" si="8"/>
        <v>-0.25502653015667598</v>
      </c>
      <c r="AC28" s="636">
        <f t="shared" si="84"/>
        <v>1</v>
      </c>
      <c r="AD28" s="637">
        <f t="shared" si="115"/>
        <v>0.35636689730441939</v>
      </c>
      <c r="AE28" s="629">
        <f t="shared" si="85"/>
        <v>-0.89886823473847799</v>
      </c>
      <c r="AF28" s="633">
        <f t="shared" si="86"/>
        <v>-0.25502653015667598</v>
      </c>
      <c r="AG28" s="602">
        <f t="shared" si="87"/>
        <v>-74.160321660259882</v>
      </c>
      <c r="AH28" s="603">
        <f t="shared" si="88"/>
        <v>69.122758366033253</v>
      </c>
      <c r="AI28" s="585">
        <f t="shared" si="89"/>
        <v>-75.224842807547475</v>
      </c>
      <c r="AJ28" s="586">
        <f t="shared" si="90"/>
        <v>21.626433385127978</v>
      </c>
      <c r="AK28" s="635">
        <f t="shared" si="211"/>
        <v>0.96513198464821959</v>
      </c>
      <c r="AL28" s="629">
        <f t="shared" si="91"/>
        <v>-5.900611091433644E-2</v>
      </c>
      <c r="AM28" s="634">
        <f t="shared" si="92"/>
        <v>-0.25502653015667598</v>
      </c>
      <c r="AN28" s="581">
        <f t="shared" si="93"/>
        <v>-13.027426389862242</v>
      </c>
      <c r="AO28" s="582">
        <f t="shared" si="94"/>
        <v>15.17474162508322</v>
      </c>
      <c r="AP28" s="585">
        <f t="shared" si="95"/>
        <v>-3.4985870324993176</v>
      </c>
      <c r="AQ28" s="586">
        <f t="shared" si="9"/>
        <v>0.53307453840175945</v>
      </c>
      <c r="AS28" s="52">
        <f t="shared" si="116"/>
        <v>-65.332249504682864</v>
      </c>
      <c r="AT28" s="72">
        <f t="shared" si="10"/>
        <v>-3.2834079914407094E-2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2.117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4.5588868650482883</v>
      </c>
      <c r="C29" s="708">
        <v>2.0869291084029475</v>
      </c>
      <c r="D29" s="709">
        <v>-0.24980000000000005</v>
      </c>
      <c r="E29" s="710">
        <v>-0.27572067983057269</v>
      </c>
      <c r="F29" s="708">
        <v>0.9334882678574784</v>
      </c>
      <c r="G29" s="711">
        <v>0.22929840925355699</v>
      </c>
      <c r="H29" s="710">
        <v>0.314</v>
      </c>
      <c r="I29" s="708">
        <v>0.52</v>
      </c>
      <c r="J29" s="570">
        <v>2.12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</v>
      </c>
      <c r="N29" s="632">
        <f t="shared" si="2"/>
        <v>4.5588868650482883</v>
      </c>
      <c r="O29" s="629">
        <f t="shared" si="3"/>
        <v>2.0869291084029475</v>
      </c>
      <c r="P29" s="633">
        <f t="shared" si="4"/>
        <v>-0.24980000000000005</v>
      </c>
      <c r="Q29" s="585">
        <f t="shared" si="113"/>
        <v>24.596963330380227</v>
      </c>
      <c r="R29" s="629">
        <f>IF(M29="","",SQRT(N29^2+O29^2))</f>
        <v>5.0138530644414914</v>
      </c>
      <c r="S29" s="634">
        <f>IF(M29="","",P29)</f>
        <v>-0.24980000000000005</v>
      </c>
      <c r="T29" s="635">
        <f>IF(M29="","",X29*COS(RADIANS(W29)))</f>
        <v>2.0504791684582204</v>
      </c>
      <c r="U29" s="629">
        <f>IF(M29="","",X29*SIN(RADIANS(W29)))</f>
        <v>-4.5753970026138955</v>
      </c>
      <c r="V29" s="636">
        <f>IF(M29="","",Y29)</f>
        <v>-0.24980000000000005</v>
      </c>
      <c r="W29" s="585">
        <f t="shared" si="224"/>
        <v>294.13969340807012</v>
      </c>
      <c r="X29" s="629">
        <f>IF(M29="","",R29)</f>
        <v>5.0138530644414914</v>
      </c>
      <c r="Y29" s="630">
        <f t="shared" si="223"/>
        <v>-0.24980000000000005</v>
      </c>
      <c r="Z29" s="632">
        <f t="shared" si="6"/>
        <v>0.27572067983057269</v>
      </c>
      <c r="AA29" s="629">
        <f t="shared" si="7"/>
        <v>-0.9334882678574784</v>
      </c>
      <c r="AB29" s="629">
        <f t="shared" si="8"/>
        <v>-0.22929840925355699</v>
      </c>
      <c r="AC29" s="636">
        <f>IF(M29="","",SQRT(Z29^2+AA29^2+AB29^2))</f>
        <v>1</v>
      </c>
      <c r="AD29" s="637">
        <f>IF(M29="","",Z29*(1/SQRT(Z29^2+AA29^2+AB29^2)))</f>
        <v>0.27572067983057269</v>
      </c>
      <c r="AE29" s="629">
        <f>IF(M29="","",AA29*(1/SQRT(Z29^2+AA29^2+AB29^2)))</f>
        <v>-0.9334882678574784</v>
      </c>
      <c r="AF29" s="633">
        <f>IF(M29="","",AB29*(1/SQRT(Z29^2+AA29^2+AB29^2)))</f>
        <v>-0.22929840925355699</v>
      </c>
      <c r="AG29" s="602">
        <f>IF(M29="","",DEGREES(ATAN2(-AF29,AE29)))</f>
        <v>-76.199322788741583</v>
      </c>
      <c r="AH29" s="603">
        <f>IF(M29="","",DEGREES(ACOS(AD29)))</f>
        <v>73.995033429846089</v>
      </c>
      <c r="AI29" s="585">
        <f>IF(M29="","",DEGREES(-ACOS(-AF29)))</f>
        <v>-76.744230303107557</v>
      </c>
      <c r="AJ29" s="586">
        <f>IF(M29="","",DEGREES(ATAN2(-AE29,AD29)))</f>
        <v>16.455347830240058</v>
      </c>
      <c r="AK29" s="635">
        <f>IF(M29="","",(COS(RADIANS((90-$Q$8)-W29))*AD29)+(-SIN(RADIANS((90-$Q$8)-W29))*AE29))</f>
        <v>0.96354577077686199</v>
      </c>
      <c r="AL29" s="629">
        <f>IF(M29="","",(SIN(RADIANS((90-$Q$8)-W29))*AD29)+(COS(RADIANS((90-$Q$8)-W29))*AE29))</f>
        <v>-0.13784696997689705</v>
      </c>
      <c r="AM29" s="634">
        <f>IF(M29="","",AF29)</f>
        <v>-0.22929840925355699</v>
      </c>
      <c r="AN29" s="581">
        <f>IF(M29="","",DEGREES(ATAN2(-AM29,AL29)))</f>
        <v>-31.012957207396379</v>
      </c>
      <c r="AO29" s="582">
        <f t="shared" si="94"/>
        <v>15.51814551211057</v>
      </c>
      <c r="AP29" s="585">
        <f>IF(M29="","",DEGREES(ATAN2(AK29,AL29)))</f>
        <v>-8.1416155001401957</v>
      </c>
      <c r="AQ29" s="586">
        <f t="shared" si="9"/>
        <v>0.45467602425092757</v>
      </c>
      <c r="AS29" s="52">
        <f t="shared" si="116"/>
        <v>-65.860306591929884</v>
      </c>
      <c r="AT29" s="72">
        <f t="shared" si="10"/>
        <v>-0.20166737360381887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5.1971703935910591</v>
      </c>
      <c r="C30" s="708">
        <v>2.3065567869659875</v>
      </c>
      <c r="D30" s="709">
        <v>-0.59330000000000016</v>
      </c>
      <c r="E30" s="710">
        <v>-0.20583271171662623</v>
      </c>
      <c r="F30" s="708">
        <v>0.96132576887754195</v>
      </c>
      <c r="G30" s="711">
        <v>0.18299087649219897</v>
      </c>
      <c r="H30" s="710">
        <v>0.314</v>
      </c>
      <c r="I30" s="708">
        <v>0.52</v>
      </c>
      <c r="J30" s="570">
        <v>2.1230000000000002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2.1230000000000002</v>
      </c>
      <c r="N30" s="632">
        <f t="shared" si="2"/>
        <v>5.1971703935910591</v>
      </c>
      <c r="O30" s="629">
        <f t="shared" si="3"/>
        <v>2.3065567869659875</v>
      </c>
      <c r="P30" s="633">
        <f t="shared" si="4"/>
        <v>-0.59330000000000016</v>
      </c>
      <c r="Q30" s="585">
        <f t="shared" si="113"/>
        <v>23.932132354975742</v>
      </c>
      <c r="R30" s="629">
        <f>IF(M30="","",SQRT(N30^2+O30^2))</f>
        <v>5.6860165592019083</v>
      </c>
      <c r="S30" s="634">
        <f>IF(M30="","",P30)</f>
        <v>-0.59330000000000016</v>
      </c>
      <c r="T30" s="635">
        <f>IF(M30="","",X30*COS(RADIANS(W30)))</f>
        <v>2.2650058514994509</v>
      </c>
      <c r="U30" s="629">
        <f>IF(M30="","",X30*SIN(RADIANS(W30)))</f>
        <v>-5.2154130041820803</v>
      </c>
      <c r="V30" s="636">
        <f>IF(M30="","",Y30)</f>
        <v>-0.59330000000000016</v>
      </c>
      <c r="W30" s="585">
        <f t="shared" si="224"/>
        <v>293.47486243266565</v>
      </c>
      <c r="X30" s="629">
        <f>IF(M30="","",R30)</f>
        <v>5.6860165592019083</v>
      </c>
      <c r="Y30" s="630">
        <f t="shared" si="223"/>
        <v>-0.59330000000000016</v>
      </c>
      <c r="Z30" s="632">
        <f t="shared" si="6"/>
        <v>0.20583271171662623</v>
      </c>
      <c r="AA30" s="629">
        <f t="shared" si="7"/>
        <v>-0.96132576887754195</v>
      </c>
      <c r="AB30" s="629">
        <f t="shared" si="8"/>
        <v>-0.18299087649219897</v>
      </c>
      <c r="AC30" s="636">
        <f>IF(M30="","",SQRT(Z30^2+AA30^2+AB30^2))</f>
        <v>1</v>
      </c>
      <c r="AD30" s="637">
        <f>IF(M30="","",Z30*(1/SQRT(Z30^2+AA30^2+AB30^2)))</f>
        <v>0.20583271171662623</v>
      </c>
      <c r="AE30" s="629">
        <f>IF(M30="","",AA30*(1/SQRT(Z30^2+AA30^2+AB30^2)))</f>
        <v>-0.96132576887754195</v>
      </c>
      <c r="AF30" s="633">
        <f>IF(M30="","",AB30*(1/SQRT(Z30^2+AA30^2+AB30^2)))</f>
        <v>-0.18299087649219897</v>
      </c>
      <c r="AG30" s="602">
        <f>IF(M30="","",DEGREES(ATAN2(-AF30,AE30)))</f>
        <v>-79.222534606098051</v>
      </c>
      <c r="AH30" s="603">
        <f>IF(M30="","",DEGREES(ACOS(AD30)))</f>
        <v>78.121750462797124</v>
      </c>
      <c r="AI30" s="585">
        <f>IF(M30="","",DEGREES(-ACOS(-AF30)))</f>
        <v>-79.455981394332909</v>
      </c>
      <c r="AJ30" s="586">
        <f>IF(M30="","",DEGREES(ATAN2(-AE30,AD30)))</f>
        <v>12.085316327867503</v>
      </c>
      <c r="AK30" s="635">
        <f>IF(M30="","",(COS(RADIANS((90-$Q$8)-W30))*AD30)+(-SIN(RADIANS((90-$Q$8)-W30))*AE30))</f>
        <v>0.96217424023190357</v>
      </c>
      <c r="AL30" s="629">
        <f>IF(M30="","",(SIN(RADIANS((90-$Q$8)-W30))*AD30)+(COS(RADIANS((90-$Q$8)-W30))*AE30))</f>
        <v>-0.20182931044517791</v>
      </c>
      <c r="AM30" s="634">
        <f>IF(M30="","",AF30)</f>
        <v>-0.18299087649219897</v>
      </c>
      <c r="AN30" s="581">
        <f>IF(M30="","",DEGREES(ATAN2(-AM30,AL30)))</f>
        <v>-47.802612254962014</v>
      </c>
      <c r="AO30" s="582">
        <f>IF(ROUND(IF(M30="",0,DEGREES(ACOS(AK30))),4)=90,0,IF(M30="","",DEGREES(ACOS(AK30))))</f>
        <v>15.809204369123005</v>
      </c>
      <c r="AP30" s="585">
        <f>IF(M30="","",DEGREES(ATAN2(AK30,AL30)))</f>
        <v>-11.846816027108311</v>
      </c>
      <c r="AQ30" s="586">
        <f t="shared" si="9"/>
        <v>0.40092908608435046</v>
      </c>
      <c r="AS30" s="52">
        <f t="shared" si="116"/>
        <v>-66.525137567334355</v>
      </c>
      <c r="AT30" s="72">
        <f t="shared" si="10"/>
        <v>-0.54470568542645481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2.1230000000000002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18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80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5.7456471302246879</v>
      </c>
      <c r="C31" s="708">
        <v>2.4715076868475001</v>
      </c>
      <c r="D31" s="709">
        <v>-1.0844999999999991</v>
      </c>
      <c r="E31" s="710">
        <v>-0.15217579364889652</v>
      </c>
      <c r="F31" s="708">
        <v>0.98081155940843856</v>
      </c>
      <c r="G31" s="711">
        <v>0.12186555197477072</v>
      </c>
      <c r="H31" s="710">
        <v>0.314</v>
      </c>
      <c r="I31" s="708">
        <v>0.52</v>
      </c>
      <c r="J31" s="570">
        <v>2.1259999999999999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2.1259999999999999</v>
      </c>
      <c r="N31" s="632">
        <f t="shared" si="2"/>
        <v>5.7456471302246879</v>
      </c>
      <c r="O31" s="629">
        <f t="shared" si="3"/>
        <v>2.4715076868475001</v>
      </c>
      <c r="P31" s="633">
        <f t="shared" si="4"/>
        <v>-1.0844999999999991</v>
      </c>
      <c r="Q31" s="585">
        <f t="shared" si="113"/>
        <v>23.275105541017439</v>
      </c>
      <c r="R31" s="629">
        <f>IF(M31="","",SQRT(N31^2+O31^2))</f>
        <v>6.2546631556947547</v>
      </c>
      <c r="S31" s="634">
        <f>IF(M31="","",P31)</f>
        <v>-1.0844999999999991</v>
      </c>
      <c r="T31" s="635">
        <f>IF(M31="","",X31*COS(RADIANS(W31)))</f>
        <v>2.4255742254850747</v>
      </c>
      <c r="U31" s="629">
        <f>IF(M31="","",X31*SIN(RADIANS(W31)))</f>
        <v>-5.7651887105165907</v>
      </c>
      <c r="V31" s="636">
        <f>IF(M31="","",Y31)</f>
        <v>-1.0844999999999991</v>
      </c>
      <c r="W31" s="585">
        <f t="shared" si="224"/>
        <v>292.81783561870725</v>
      </c>
      <c r="X31" s="629">
        <f>IF(M31="","",R31)</f>
        <v>6.2546631556947547</v>
      </c>
      <c r="Y31" s="630">
        <f t="shared" si="223"/>
        <v>-1.0844999999999991</v>
      </c>
      <c r="Z31" s="632">
        <f t="shared" si="6"/>
        <v>0.15217579364889652</v>
      </c>
      <c r="AA31" s="629">
        <f t="shared" si="7"/>
        <v>-0.98081155940843856</v>
      </c>
      <c r="AB31" s="629">
        <f t="shared" si="8"/>
        <v>-0.12186555197477072</v>
      </c>
      <c r="AC31" s="636">
        <f>IF(M31="","",SQRT(Z31^2+AA31^2+AB31^2))</f>
        <v>1</v>
      </c>
      <c r="AD31" s="637">
        <f>IF(M31="","",Z31*(1/SQRT(Z31^2+AA31^2+AB31^2)))</f>
        <v>0.15217579364889652</v>
      </c>
      <c r="AE31" s="629">
        <f>IF(M31="","",AA31*(1/SQRT(Z31^2+AA31^2+AB31^2)))</f>
        <v>-0.98081155940843856</v>
      </c>
      <c r="AF31" s="633">
        <f>IF(M31="","",AB31*(1/SQRT(Z31^2+AA31^2+AB31^2)))</f>
        <v>-0.12186555197477072</v>
      </c>
      <c r="AG31" s="602">
        <f>IF(M31="","",DEGREES(ATAN2(-AF31,AE31)))</f>
        <v>-82.91731463318132</v>
      </c>
      <c r="AH31" s="603">
        <f>IF(M31="","",DEGREES(ACOS(AD31)))</f>
        <v>81.246961902666911</v>
      </c>
      <c r="AI31" s="585">
        <f>IF(M31="","",DEGREES(-ACOS(-AF31)))</f>
        <v>-83.000218864289181</v>
      </c>
      <c r="AJ31" s="586">
        <f>IF(M31="","",DEGREES(ATAN2(-AE31,AD31)))</f>
        <v>8.8192898241522517</v>
      </c>
      <c r="AK31" s="635">
        <f>IF(M31="","",(COS(RADIANS((90-$Q$8)-W31))*AD31)+(-SIN(RADIANS((90-$Q$8)-W31))*AE31))</f>
        <v>0.96112302384954229</v>
      </c>
      <c r="AL31" s="629">
        <f>IF(M31="","",(SIN(RADIANS((90-$Q$8)-W31))*AD31)+(COS(RADIANS((90-$Q$8)-W31))*AE31))</f>
        <v>-0.24777271897486361</v>
      </c>
      <c r="AM31" s="634">
        <f>IF(M31="","",AF31)</f>
        <v>-0.12186555197477072</v>
      </c>
      <c r="AN31" s="581">
        <f>IF(M31="","",DEGREES(ATAN2(-AM31,AL31)))</f>
        <v>-63.810005599683628</v>
      </c>
      <c r="AO31" s="582">
        <f t="shared" si="94"/>
        <v>16.028800043739327</v>
      </c>
      <c r="AP31" s="585">
        <f>IF(M31="","",DEGREES(ATAN2(AK31,AL31)))</f>
        <v>-14.45581571686516</v>
      </c>
      <c r="AQ31" s="586">
        <f t="shared" si="9"/>
        <v>0.36447940103417015</v>
      </c>
      <c r="AS31" s="52">
        <f t="shared" si="116"/>
        <v>-67.18216438129275</v>
      </c>
      <c r="AT31" s="72">
        <f t="shared" si="10"/>
        <v>-1.0354494168056494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2.1259999999999999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6.1662941592932379</v>
      </c>
      <c r="C32" s="708">
        <v>2.5835812204573712</v>
      </c>
      <c r="D32" s="709">
        <v>-1.6889999999999994</v>
      </c>
      <c r="E32" s="710">
        <v>-0.11826190796794885</v>
      </c>
      <c r="F32" s="708">
        <v>0.99151210907801712</v>
      </c>
      <c r="G32" s="711">
        <v>5.4017207216244929E-2</v>
      </c>
      <c r="H32" s="710">
        <v>0.314</v>
      </c>
      <c r="I32" s="708">
        <v>0.52</v>
      </c>
      <c r="J32" s="570">
        <v>2.129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2.129</v>
      </c>
      <c r="N32" s="632">
        <f t="shared" si="2"/>
        <v>6.1662941592932379</v>
      </c>
      <c r="O32" s="629">
        <f t="shared" si="3"/>
        <v>2.5835812204573712</v>
      </c>
      <c r="P32" s="633">
        <f t="shared" si="4"/>
        <v>-1.6889999999999994</v>
      </c>
      <c r="Q32" s="585">
        <f t="shared" si="113"/>
        <v>22.732924958274207</v>
      </c>
      <c r="R32" s="629">
        <f t="shared" si="79"/>
        <v>6.6856619404239925</v>
      </c>
      <c r="S32" s="634">
        <f t="shared" si="80"/>
        <v>-1.6889999999999994</v>
      </c>
      <c r="T32" s="635">
        <f t="shared" si="81"/>
        <v>2.5342870980817693</v>
      </c>
      <c r="U32" s="629">
        <f t="shared" si="82"/>
        <v>-6.1867167775913412</v>
      </c>
      <c r="V32" s="636">
        <f t="shared" si="114"/>
        <v>-1.6889999999999994</v>
      </c>
      <c r="W32" s="585">
        <f t="shared" si="224"/>
        <v>292.27565503596406</v>
      </c>
      <c r="X32" s="629">
        <f t="shared" si="83"/>
        <v>6.6856619404239925</v>
      </c>
      <c r="Y32" s="630">
        <f t="shared" si="223"/>
        <v>-1.6889999999999994</v>
      </c>
      <c r="Z32" s="632">
        <f t="shared" si="6"/>
        <v>0.11826190796794885</v>
      </c>
      <c r="AA32" s="629">
        <f t="shared" si="7"/>
        <v>-0.99151210907801712</v>
      </c>
      <c r="AB32" s="629">
        <f t="shared" si="8"/>
        <v>-5.4017207216244929E-2</v>
      </c>
      <c r="AC32" s="636">
        <f t="shared" si="84"/>
        <v>1</v>
      </c>
      <c r="AD32" s="637">
        <f t="shared" si="115"/>
        <v>0.11826190796794885</v>
      </c>
      <c r="AE32" s="629">
        <f t="shared" si="85"/>
        <v>-0.99151210907801712</v>
      </c>
      <c r="AF32" s="633">
        <f t="shared" si="86"/>
        <v>-5.4017207216244929E-2</v>
      </c>
      <c r="AG32" s="602">
        <f t="shared" si="87"/>
        <v>-86.881630156561982</v>
      </c>
      <c r="AH32" s="603">
        <f t="shared" si="88"/>
        <v>83.208197050521363</v>
      </c>
      <c r="AI32" s="585">
        <f t="shared" si="89"/>
        <v>-86.903534917385173</v>
      </c>
      <c r="AJ32" s="586">
        <f t="shared" si="90"/>
        <v>6.8017803266642192</v>
      </c>
      <c r="AK32" s="635">
        <f t="shared" si="211"/>
        <v>0.9601883297124405</v>
      </c>
      <c r="AL32" s="629">
        <f t="shared" si="91"/>
        <v>-0.2740812157164203</v>
      </c>
      <c r="AM32" s="634">
        <f t="shared" si="92"/>
        <v>-5.4017207216244929E-2</v>
      </c>
      <c r="AN32" s="581">
        <f t="shared" si="93"/>
        <v>-78.850768585509186</v>
      </c>
      <c r="AO32" s="582">
        <f t="shared" si="94"/>
        <v>16.22162267567716</v>
      </c>
      <c r="AP32" s="585">
        <f t="shared" si="95"/>
        <v>-15.931144631609998</v>
      </c>
      <c r="AQ32" s="586">
        <f t="shared" si="9"/>
        <v>0.34098339669675753</v>
      </c>
      <c r="AS32" s="52">
        <f t="shared" si="116"/>
        <v>-67.724344964035936</v>
      </c>
      <c r="AT32" s="72">
        <f t="shared" si="10"/>
        <v>-1.639572902512078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2.129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6.4446633176814787</v>
      </c>
      <c r="C33" s="708">
        <v>2.6510460383865881</v>
      </c>
      <c r="D33" s="709">
        <v>-2.3720999999999992</v>
      </c>
      <c r="E33" s="710">
        <v>-3.3710228907062441E-2</v>
      </c>
      <c r="F33" s="708">
        <v>0.99883035899966599</v>
      </c>
      <c r="G33" s="711">
        <v>3.4663156342603536E-2</v>
      </c>
      <c r="H33" s="710">
        <v>0.314</v>
      </c>
      <c r="I33" s="708">
        <v>0.52</v>
      </c>
      <c r="J33" s="570">
        <v>2.1320000000000001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2.1320000000000001</v>
      </c>
      <c r="N33" s="632">
        <f t="shared" si="2"/>
        <v>6.4446633176814787</v>
      </c>
      <c r="O33" s="629">
        <f t="shared" si="3"/>
        <v>2.6510460383865881</v>
      </c>
      <c r="P33" s="633">
        <f t="shared" si="4"/>
        <v>-2.3720999999999992</v>
      </c>
      <c r="Q33" s="585">
        <f t="shared" si="113"/>
        <v>22.360072692219607</v>
      </c>
      <c r="R33" s="629">
        <f t="shared" si="79"/>
        <v>6.9686247119438471</v>
      </c>
      <c r="S33" s="634">
        <f t="shared" si="80"/>
        <v>-2.3720999999999992</v>
      </c>
      <c r="T33" s="635">
        <f t="shared" si="81"/>
        <v>2.5995281641748567</v>
      </c>
      <c r="U33" s="629">
        <f t="shared" si="82"/>
        <v>-6.4656154927103549</v>
      </c>
      <c r="V33" s="636">
        <f t="shared" si="114"/>
        <v>-2.3720999999999992</v>
      </c>
      <c r="W33" s="585">
        <f t="shared" si="224"/>
        <v>291.9028027699095</v>
      </c>
      <c r="X33" s="629">
        <f t="shared" si="83"/>
        <v>6.9686247119438471</v>
      </c>
      <c r="Y33" s="630">
        <f t="shared" si="223"/>
        <v>-2.3720999999999992</v>
      </c>
      <c r="Z33" s="632">
        <f t="shared" si="6"/>
        <v>3.3710228907062441E-2</v>
      </c>
      <c r="AA33" s="629">
        <f t="shared" si="7"/>
        <v>-0.99883035899966599</v>
      </c>
      <c r="AB33" s="629">
        <f t="shared" si="8"/>
        <v>-3.4663156342603536E-2</v>
      </c>
      <c r="AC33" s="636">
        <f t="shared" si="84"/>
        <v>1</v>
      </c>
      <c r="AD33" s="637">
        <f t="shared" si="115"/>
        <v>3.3710228907062441E-2</v>
      </c>
      <c r="AE33" s="629">
        <f t="shared" si="85"/>
        <v>-0.99883035899966599</v>
      </c>
      <c r="AF33" s="633">
        <f t="shared" si="86"/>
        <v>-3.4663156342603536E-2</v>
      </c>
      <c r="AG33" s="602">
        <f t="shared" si="87"/>
        <v>-88.012419406421245</v>
      </c>
      <c r="AH33" s="603">
        <f t="shared" si="88"/>
        <v>88.068180159244548</v>
      </c>
      <c r="AI33" s="585">
        <f t="shared" si="89"/>
        <v>-88.013549503355236</v>
      </c>
      <c r="AJ33" s="586">
        <f t="shared" si="90"/>
        <v>1.932981902438619</v>
      </c>
      <c r="AK33" s="635">
        <f t="shared" si="211"/>
        <v>0.93655391326252435</v>
      </c>
      <c r="AL33" s="629">
        <f t="shared" si="91"/>
        <v>-0.34880543737880615</v>
      </c>
      <c r="AM33" s="634">
        <f t="shared" si="92"/>
        <v>-3.4663156342603536E-2</v>
      </c>
      <c r="AN33" s="581">
        <f t="shared" si="93"/>
        <v>-84.324764164302508</v>
      </c>
      <c r="AO33" s="582">
        <f t="shared" si="94"/>
        <v>20.519341845279211</v>
      </c>
      <c r="AP33" s="585">
        <f t="shared" si="95"/>
        <v>-20.427090789781019</v>
      </c>
      <c r="AQ33" s="586">
        <f t="shared" si="9"/>
        <v>0.32713798678440342</v>
      </c>
      <c r="AS33" s="52">
        <f t="shared" si="116"/>
        <v>-68.097197230090501</v>
      </c>
      <c r="AT33" s="72">
        <f t="shared" si="10"/>
        <v>-2.3224139773273178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2.1320000000000001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6.5590132300934059</v>
      </c>
      <c r="C34" s="708">
        <v>2.6772251814471453</v>
      </c>
      <c r="D34" s="709">
        <v>-3.0774000000000004</v>
      </c>
      <c r="E34" s="710">
        <v>4.701411927306802E-2</v>
      </c>
      <c r="F34" s="708">
        <v>0.99889419713725203</v>
      </c>
      <c r="G34" s="711">
        <v>-2.3561515754124199E-4</v>
      </c>
      <c r="H34" s="710">
        <v>0.314</v>
      </c>
      <c r="I34" s="708">
        <v>0.52</v>
      </c>
      <c r="J34" s="570">
        <v>2.1349999999999998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2.1349999999999998</v>
      </c>
      <c r="N34" s="632">
        <f t="shared" si="2"/>
        <v>6.5590132300934059</v>
      </c>
      <c r="O34" s="629">
        <f t="shared" si="3"/>
        <v>2.6772251814471453</v>
      </c>
      <c r="P34" s="633">
        <f t="shared" si="4"/>
        <v>-3.0774000000000004</v>
      </c>
      <c r="Q34" s="585">
        <f t="shared" si="113"/>
        <v>22.204054535072224</v>
      </c>
      <c r="R34" s="629">
        <f>IF(M34="","",SQRT(N34^2+O34^2))</f>
        <v>7.0843623019093984</v>
      </c>
      <c r="S34" s="634">
        <f>IF(M34="","",P34)</f>
        <v>-3.0774000000000004</v>
      </c>
      <c r="T34" s="635">
        <f>IF(M34="","",X34*COS(RADIANS(W34)))</f>
        <v>2.6247938719023631</v>
      </c>
      <c r="U34" s="629">
        <f>IF(M34="","",X34*SIN(RADIANS(W34)))</f>
        <v>-6.5801706934348463</v>
      </c>
      <c r="V34" s="636">
        <f>IF(M34="","",Y34)</f>
        <v>-3.0774000000000004</v>
      </c>
      <c r="W34" s="585">
        <f t="shared" si="224"/>
        <v>291.7467846127621</v>
      </c>
      <c r="X34" s="629">
        <f>IF(M34="","",R34)</f>
        <v>7.0843623019093984</v>
      </c>
      <c r="Y34" s="630">
        <f t="shared" si="223"/>
        <v>-3.0774000000000004</v>
      </c>
      <c r="Z34" s="632">
        <f t="shared" si="6"/>
        <v>-4.701411927306802E-2</v>
      </c>
      <c r="AA34" s="629">
        <f t="shared" si="7"/>
        <v>-0.99889419713725203</v>
      </c>
      <c r="AB34" s="629">
        <f t="shared" si="8"/>
        <v>2.3561515754124199E-4</v>
      </c>
      <c r="AC34" s="636">
        <f>IF(M34="","",SQRT(Z34^2+AA34^2+AB34^2))</f>
        <v>1</v>
      </c>
      <c r="AD34" s="637">
        <f>IF(M34="","",Z34*(1/SQRT(Z34^2+AA34^2+AB34^2)))</f>
        <v>-4.701411927306802E-2</v>
      </c>
      <c r="AE34" s="629">
        <f>IF(M34="","",AA34*(1/SQRT(Z34^2+AA34^2+AB34^2)))</f>
        <v>-0.99889419713725203</v>
      </c>
      <c r="AF34" s="633">
        <f>IF(M34="","",AB34*(1/SQRT(Z34^2+AA34^2+AB34^2)))</f>
        <v>2.3561515754124199E-4</v>
      </c>
      <c r="AG34" s="602">
        <f>IF(M34="","",DEGREES(ATAN2(-AF34,AE34)))</f>
        <v>-90.013514698458295</v>
      </c>
      <c r="AH34" s="603">
        <f>IF(M34="","",DEGREES(ACOS(AD34)))</f>
        <v>92.69470393059126</v>
      </c>
      <c r="AI34" s="585">
        <f>IF(M34="","",DEGREES(-ACOS(-AF34)))</f>
        <v>-90.013499754241323</v>
      </c>
      <c r="AJ34" s="586">
        <f>IF(M34="","",DEGREES(ATAN2(-AE34,AD34)))</f>
        <v>-2.6947040054440357</v>
      </c>
      <c r="AK34" s="635">
        <f>IF(M34="","",(COS(RADIANS((90-$Q$8)-W34))*AD34)+(-SIN(RADIANS((90-$Q$8)-W34))*AE34))</f>
        <v>0.90705311171810354</v>
      </c>
      <c r="AL34" s="629">
        <f>IF(M34="","",(SIN(RADIANS((90-$Q$8)-W34))*AD34)+(COS(RADIANS((90-$Q$8)-W34))*AE34))</f>
        <v>-0.42101614815586735</v>
      </c>
      <c r="AM34" s="634">
        <f>IF(M34="","",AF34)</f>
        <v>2.3561515754124199E-4</v>
      </c>
      <c r="AN34" s="581">
        <f>IF(M34="","",DEGREES(ATAN2(-AM34,AL34)))</f>
        <v>-90.032064691024843</v>
      </c>
      <c r="AO34" s="582">
        <f t="shared" si="94"/>
        <v>24.898761966876616</v>
      </c>
      <c r="AP34" s="585">
        <f>IF(M34="","",DEGREES(ATAN2(AK34,AL34)))</f>
        <v>-24.898758540516312</v>
      </c>
      <c r="AQ34" s="586">
        <f t="shared" si="9"/>
        <v>0.32179363005141415</v>
      </c>
      <c r="AS34" s="52">
        <f t="shared" si="116"/>
        <v>-68.253215387237901</v>
      </c>
      <c r="AT34" s="72">
        <f t="shared" si="10"/>
        <v>-3.0276056313848554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2.1349999999999998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6.6028394439362756</v>
      </c>
      <c r="C35" s="708">
        <v>2.6880622926950393</v>
      </c>
      <c r="D35" s="709">
        <v>-3.7810999999999999</v>
      </c>
      <c r="E35" s="710">
        <v>0.12634964665423415</v>
      </c>
      <c r="F35" s="708">
        <v>0.99192884943017878</v>
      </c>
      <c r="G35" s="711">
        <v>1.0626592044113384E-2</v>
      </c>
      <c r="H35" s="710">
        <v>0.314</v>
      </c>
      <c r="I35" s="708">
        <v>0.52</v>
      </c>
      <c r="J35" s="570">
        <v>2.1379999999999999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2.1379999999999999</v>
      </c>
      <c r="N35" s="632">
        <f t="shared" si="2"/>
        <v>6.6028394439362756</v>
      </c>
      <c r="O35" s="629">
        <f t="shared" si="3"/>
        <v>2.6880622926950393</v>
      </c>
      <c r="P35" s="633">
        <f t="shared" si="4"/>
        <v>-3.7810999999999999</v>
      </c>
      <c r="Q35" s="585">
        <f t="shared" si="113"/>
        <v>22.151583392236567</v>
      </c>
      <c r="R35" s="629">
        <f>IF(M35="","",SQRT(N35^2+O35^2))</f>
        <v>7.1290369343838877</v>
      </c>
      <c r="S35" s="634">
        <f>IF(M35="","",P35)</f>
        <v>-3.7810999999999999</v>
      </c>
      <c r="T35" s="635">
        <f>IF(M35="","",X35*COS(RADIANS(W35)))</f>
        <v>2.6352808706070188</v>
      </c>
      <c r="U35" s="629">
        <f>IF(M35="","",X35*SIN(RADIANS(W35)))</f>
        <v>-6.6240820001583867</v>
      </c>
      <c r="V35" s="636">
        <f>IF(M35="","",Y35)</f>
        <v>-3.7810999999999999</v>
      </c>
      <c r="W35" s="585">
        <f t="shared" si="224"/>
        <v>291.69431346992644</v>
      </c>
      <c r="X35" s="629">
        <f>IF(M35="","",R35)</f>
        <v>7.1290369343838877</v>
      </c>
      <c r="Y35" s="630">
        <f t="shared" si="223"/>
        <v>-3.7810999999999999</v>
      </c>
      <c r="Z35" s="632">
        <f t="shared" si="6"/>
        <v>-0.12634964665423415</v>
      </c>
      <c r="AA35" s="629">
        <f t="shared" si="7"/>
        <v>-0.99192884943017878</v>
      </c>
      <c r="AB35" s="629">
        <f t="shared" si="8"/>
        <v>-1.0626592044113384E-2</v>
      </c>
      <c r="AC35" s="636">
        <f>IF(M35="","",SQRT(Z35^2+AA35^2+AB35^2))</f>
        <v>1</v>
      </c>
      <c r="AD35" s="637">
        <f>IF(M35="","",Z35*(1/SQRT(Z35^2+AA35^2+AB35^2)))</f>
        <v>-0.12634964665423415</v>
      </c>
      <c r="AE35" s="629">
        <f>IF(M35="","",AA35*(1/SQRT(Z35^2+AA35^2+AB35^2)))</f>
        <v>-0.99192884943017878</v>
      </c>
      <c r="AF35" s="633">
        <f>IF(M35="","",AB35*(1/SQRT(Z35^2+AA35^2+AB35^2)))</f>
        <v>-1.0626592044113384E-2</v>
      </c>
      <c r="AG35" s="602">
        <f>IF(M35="","",DEGREES(ATAN2(-AF35,AE35)))</f>
        <v>-89.386210428446446</v>
      </c>
      <c r="AH35" s="603">
        <f>IF(M35="","",DEGREES(ACOS(AD35)))</f>
        <v>97.258702849032744</v>
      </c>
      <c r="AI35" s="585">
        <f>IF(M35="","",DEGREES(-ACOS(-AF35)))</f>
        <v>-89.391129665506199</v>
      </c>
      <c r="AJ35" s="586">
        <f>IF(M35="","",DEGREES(ATAN2(-AE35,AD35)))</f>
        <v>-7.2591149334817766</v>
      </c>
      <c r="AK35" s="635">
        <f>IF(M35="","",(COS(RADIANS((90-$Q$8)-W35))*AD35)+(-SIN(RADIANS((90-$Q$8)-W35))*AE35))</f>
        <v>0.87107294700332472</v>
      </c>
      <c r="AL35" s="629">
        <f>IF(M35="","",(SIN(RADIANS((90-$Q$8)-W35))*AD35)+(COS(RADIANS((90-$Q$8)-W35))*AE35))</f>
        <v>-0.49103869149026447</v>
      </c>
      <c r="AM35" s="634">
        <f>IF(M35="","",AF35)</f>
        <v>-1.0626592044113384E-2</v>
      </c>
      <c r="AN35" s="581">
        <f>IF(M35="","",DEGREES(ATAN2(-AM35,AL35)))</f>
        <v>-88.760252782485125</v>
      </c>
      <c r="AO35" s="582">
        <f t="shared" si="94"/>
        <v>29.416436756520749</v>
      </c>
      <c r="AP35" s="585">
        <f>IF(M35="","",DEGREES(ATAN2(AK35,AL35)))</f>
        <v>-29.410698325718382</v>
      </c>
      <c r="AQ35" s="586">
        <f t="shared" si="9"/>
        <v>0.31977712869055763</v>
      </c>
      <c r="AS35" s="52">
        <f t="shared" si="116"/>
        <v>-68.305686530073558</v>
      </c>
      <c r="AT35" s="72">
        <f t="shared" si="10"/>
        <v>-3.7312691930912187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2.1379999999999999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6.6658688960079795</v>
      </c>
      <c r="C36" s="708">
        <v>2.6518024227071195</v>
      </c>
      <c r="D36" s="709">
        <v>-4.4312000000000005</v>
      </c>
      <c r="E36" s="710">
        <v>0.12937205941253274</v>
      </c>
      <c r="F36" s="708">
        <v>0.99159189510342904</v>
      </c>
      <c r="G36" s="711">
        <v>2.8954807114418279E-3</v>
      </c>
      <c r="H36" s="710">
        <v>0.26600000000000001</v>
      </c>
      <c r="I36" s="708">
        <v>0.52</v>
      </c>
      <c r="J36" s="570">
        <v>2.141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2.141</v>
      </c>
      <c r="N36" s="632">
        <f t="shared" si="2"/>
        <v>6.6658688960079795</v>
      </c>
      <c r="O36" s="629">
        <f t="shared" si="3"/>
        <v>2.6518024227071195</v>
      </c>
      <c r="P36" s="633">
        <f t="shared" si="4"/>
        <v>-4.4312000000000005</v>
      </c>
      <c r="Q36" s="585">
        <f t="shared" si="113"/>
        <v>21.69355156740356</v>
      </c>
      <c r="R36" s="629">
        <f>IF(M36="","",SQRT(N36^2+O36^2))</f>
        <v>7.1739713010188426</v>
      </c>
      <c r="S36" s="634">
        <f>IF(M36="","",P36)</f>
        <v>-4.4312000000000005</v>
      </c>
      <c r="T36" s="635">
        <f>IF(M36="","",X36*COS(RADIANS(W36)))</f>
        <v>2.5985191311319333</v>
      </c>
      <c r="U36" s="629">
        <f>IF(M36="","",X36*SIN(RADIANS(W36)))</f>
        <v>-6.6868200628537418</v>
      </c>
      <c r="V36" s="636">
        <f>IF(M36="","",Y36)</f>
        <v>-4.4312000000000005</v>
      </c>
      <c r="W36" s="585">
        <f t="shared" si="224"/>
        <v>291.23628164509341</v>
      </c>
      <c r="X36" s="629">
        <f>IF(M36="","",R36)</f>
        <v>7.1739713010188426</v>
      </c>
      <c r="Y36" s="630">
        <f t="shared" si="223"/>
        <v>-4.4312000000000005</v>
      </c>
      <c r="Z36" s="632">
        <f t="shared" si="6"/>
        <v>-0.12937205941253274</v>
      </c>
      <c r="AA36" s="629">
        <f t="shared" si="7"/>
        <v>-0.99159189510342904</v>
      </c>
      <c r="AB36" s="629">
        <f t="shared" si="8"/>
        <v>-2.8954807114418279E-3</v>
      </c>
      <c r="AC36" s="636">
        <f>IF(M36="","",SQRT(Z36^2+AA36^2+AB36^2))</f>
        <v>1</v>
      </c>
      <c r="AD36" s="637">
        <f>IF(M36="","",Z36*(1/SQRT(Z36^2+AA36^2+AB36^2)))</f>
        <v>-0.12937205941253274</v>
      </c>
      <c r="AE36" s="629">
        <f>IF(M36="","",AA36*(1/SQRT(Z36^2+AA36^2+AB36^2)))</f>
        <v>-0.99159189510342904</v>
      </c>
      <c r="AF36" s="633">
        <f>IF(M36="","",AB36*(1/SQRT(Z36^2+AA36^2+AB36^2)))</f>
        <v>-2.8954807114418279E-3</v>
      </c>
      <c r="AG36" s="602">
        <f>IF(M36="","",DEGREES(ATAN2(-AF36,AE36)))</f>
        <v>-89.832694928496636</v>
      </c>
      <c r="AH36" s="603">
        <f>IF(M36="","",DEGREES(ACOS(AD36)))</f>
        <v>97.433307549426942</v>
      </c>
      <c r="AI36" s="585">
        <f>IF(M36="","",DEGREES(-ACOS(-AF36)))</f>
        <v>-89.834100943761314</v>
      </c>
      <c r="AJ36" s="586">
        <f>IF(M36="","",DEGREES(ATAN2(-AE36,AD36)))</f>
        <v>-7.4333388853438684</v>
      </c>
      <c r="AK36" s="635">
        <f>IF(M36="","",(COS(RADIANS((90-$Q$8)-W36))*AD36)+(-SIN(RADIANS((90-$Q$8)-W36))*AE36))</f>
        <v>0.87354021469709409</v>
      </c>
      <c r="AL36" s="629">
        <f>IF(M36="","",(SIN(RADIANS((90-$Q$8)-W36))*AD36)+(COS(RADIANS((90-$Q$8)-W36))*AE36))</f>
        <v>-0.48674337129374923</v>
      </c>
      <c r="AM36" s="634">
        <f>IF(M36="","",AF36)</f>
        <v>-2.8954807114418279E-3</v>
      </c>
      <c r="AN36" s="581">
        <f>IF(M36="","",DEGREES(ATAN2(-AM36,AL36)))</f>
        <v>-89.659169744517087</v>
      </c>
      <c r="AO36" s="582">
        <f t="shared" si="94"/>
        <v>29.12732149001895</v>
      </c>
      <c r="AP36" s="585">
        <f>IF(M36="","",DEGREES(ATAN2(AK36,AL36)))</f>
        <v>-29.126890452747425</v>
      </c>
      <c r="AQ36" s="586">
        <f t="shared" si="9"/>
        <v>0.31777423704958146</v>
      </c>
      <c r="AS36" s="52">
        <f t="shared" si="116"/>
        <v>-68.763718354906587</v>
      </c>
      <c r="AT36" s="72">
        <f t="shared" si="10"/>
        <v>-4.3810511154350857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2.141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4.9069568870083025</v>
      </c>
      <c r="C37" s="708">
        <v>1.1403282344884578</v>
      </c>
      <c r="D37" s="709">
        <v>-0.21830065839478571</v>
      </c>
      <c r="E37" s="710">
        <v>0.32834560463616502</v>
      </c>
      <c r="F37" s="708">
        <v>7.6304502930568896E-2</v>
      </c>
      <c r="G37" s="711">
        <v>0.94147054481201375</v>
      </c>
      <c r="H37" s="710">
        <v>0.25700000000000001</v>
      </c>
      <c r="I37" s="708">
        <v>0.41499999999999992</v>
      </c>
      <c r="J37" s="570">
        <v>2.2200000000000002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CPS-32193r1</v>
      </c>
      <c r="L37" s="320"/>
      <c r="M37" s="168">
        <f t="shared" si="1"/>
        <v>2.2200000000000002</v>
      </c>
      <c r="N37" s="632">
        <f t="shared" si="2"/>
        <v>4.9069568870083025</v>
      </c>
      <c r="O37" s="629">
        <f t="shared" si="3"/>
        <v>1.1403282344884578</v>
      </c>
      <c r="P37" s="633">
        <f t="shared" si="4"/>
        <v>-0.21830065839478571</v>
      </c>
      <c r="Q37" s="585">
        <f t="shared" si="113"/>
        <v>13.082759127906497</v>
      </c>
      <c r="R37" s="629">
        <f t="shared" si="79"/>
        <v>5.0377151937490252</v>
      </c>
      <c r="S37" s="634">
        <f t="shared" si="80"/>
        <v>-0.21830065839478571</v>
      </c>
      <c r="T37" s="635">
        <f t="shared" si="81"/>
        <v>1.1011305702694325</v>
      </c>
      <c r="U37" s="629">
        <f t="shared" si="82"/>
        <v>-4.9159013253469492</v>
      </c>
      <c r="V37" s="636">
        <f t="shared" si="114"/>
        <v>-0.21830065839478571</v>
      </c>
      <c r="W37" s="585">
        <f t="shared" si="224"/>
        <v>282.62548920559641</v>
      </c>
      <c r="X37" s="629">
        <f t="shared" si="83"/>
        <v>5.0377151937490252</v>
      </c>
      <c r="Y37" s="630">
        <f t="shared" si="223"/>
        <v>-0.21830065839478571</v>
      </c>
      <c r="Z37" s="632">
        <f t="shared" si="6"/>
        <v>-0.32834560463616502</v>
      </c>
      <c r="AA37" s="629">
        <f t="shared" si="7"/>
        <v>-7.6304502930568896E-2</v>
      </c>
      <c r="AB37" s="629">
        <f t="shared" si="8"/>
        <v>-0.94147054481201375</v>
      </c>
      <c r="AC37" s="636">
        <f t="shared" si="84"/>
        <v>1</v>
      </c>
      <c r="AD37" s="637">
        <f t="shared" si="115"/>
        <v>-0.32834560463616502</v>
      </c>
      <c r="AE37" s="629">
        <f t="shared" si="85"/>
        <v>-7.6304502930568896E-2</v>
      </c>
      <c r="AF37" s="633">
        <f t="shared" si="86"/>
        <v>-0.94147054481201375</v>
      </c>
      <c r="AG37" s="602">
        <f t="shared" si="87"/>
        <v>-4.6335923790202793</v>
      </c>
      <c r="AH37" s="603">
        <f t="shared" si="88"/>
        <v>109.16839115367856</v>
      </c>
      <c r="AI37" s="585">
        <f t="shared" si="89"/>
        <v>-19.700000000004106</v>
      </c>
      <c r="AJ37" s="586">
        <f t="shared" si="90"/>
        <v>-76.9172023239678</v>
      </c>
      <c r="AK37" s="635">
        <f t="shared" si="211"/>
        <v>2.2679489625199167E-7</v>
      </c>
      <c r="AL37" s="629">
        <f t="shared" si="91"/>
        <v>-0.33709525842307331</v>
      </c>
      <c r="AM37" s="634">
        <f t="shared" si="92"/>
        <v>-0.94147054481201375</v>
      </c>
      <c r="AN37" s="581">
        <f t="shared" si="93"/>
        <v>-19.699999999999996</v>
      </c>
      <c r="AO37" s="582">
        <f t="shared" si="94"/>
        <v>0</v>
      </c>
      <c r="AP37" s="585">
        <f t="shared" si="95"/>
        <v>-89.999961451874384</v>
      </c>
      <c r="AQ37" s="586">
        <f t="shared" si="9"/>
        <v>0.45252245156704701</v>
      </c>
      <c r="AS37" s="52">
        <f t="shared" si="116"/>
        <v>-77.374510794403591</v>
      </c>
      <c r="AT37" s="72">
        <f t="shared" si="10"/>
        <v>-0.16217205685799779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2.2200000000000002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</v>
      </c>
      <c r="II37" s="734" cm="1">
        <f t="array" ref="II37">IFERROR(ROUND(VALUE(IF($IH37&lt;1,$IH37+LARGE((IF($M$9:$M$150="",0,$M$9:$M$150)-MOD(IF($M$9:$M$150="",0,$M$9:$M$150),1)),1),$IH37)),4),"")</f>
        <v>2.12</v>
      </c>
      <c r="IJ37" s="533">
        <f t="shared" si="112"/>
        <v>1613</v>
      </c>
      <c r="IK37" s="533" t="str">
        <f t="shared" si="66"/>
        <v>CPS-32193r1</v>
      </c>
      <c r="IL37" s="727">
        <f t="shared" si="225"/>
        <v>11.514204202473707</v>
      </c>
      <c r="IM37" s="759">
        <v>6.1310475814807903E-3</v>
      </c>
      <c r="IN37" s="5">
        <f t="shared" si="226"/>
        <v>0.18</v>
      </c>
      <c r="IO37" s="771">
        <v>90</v>
      </c>
      <c r="IP37" s="9">
        <f t="shared" si="227"/>
        <v>-5.0138530644414914</v>
      </c>
      <c r="IQ37" s="5">
        <f t="shared" si="228"/>
        <v>-0.24980000000000005</v>
      </c>
      <c r="IR37" s="5">
        <f t="shared" si="71"/>
        <v>0.314</v>
      </c>
      <c r="IS37" s="5">
        <f t="shared" si="229"/>
        <v>0.30255337202393467</v>
      </c>
      <c r="IT37" s="727">
        <f t="shared" si="230"/>
        <v>31.012957207396379</v>
      </c>
      <c r="IU37" s="9">
        <f t="shared" si="231"/>
        <v>-5.0377151937490252</v>
      </c>
      <c r="IV37" s="5">
        <f t="shared" si="232"/>
        <v>-0.21830065839478571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19.699999999999996</v>
      </c>
    </row>
    <row r="38" spans="1:267" ht="15" customHeight="1" x14ac:dyDescent="0.25">
      <c r="A38" s="79"/>
      <c r="B38" s="707">
        <v>6.1059846031572809</v>
      </c>
      <c r="C38" s="708">
        <v>1.5327270623567224</v>
      </c>
      <c r="D38" s="709">
        <v>-1.0709032298441412</v>
      </c>
      <c r="E38" s="710">
        <v>0.70819103231347147</v>
      </c>
      <c r="F38" s="708">
        <v>0.17777067235852981</v>
      </c>
      <c r="G38" s="711">
        <v>0.68327377368078157</v>
      </c>
      <c r="H38" s="710">
        <v>0.25700000000000001</v>
      </c>
      <c r="I38" s="708">
        <v>0.41499999999999992</v>
      </c>
      <c r="J38" s="570">
        <v>2.226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CPS-32193r1</v>
      </c>
      <c r="L38" s="320"/>
      <c r="M38" s="168">
        <f t="shared" si="1"/>
        <v>2.226</v>
      </c>
      <c r="N38" s="632">
        <f t="shared" si="2"/>
        <v>6.1059846031572809</v>
      </c>
      <c r="O38" s="629">
        <f t="shared" si="3"/>
        <v>1.5327270623567224</v>
      </c>
      <c r="P38" s="633">
        <f t="shared" si="4"/>
        <v>-1.0709032298441412</v>
      </c>
      <c r="Q38" s="585">
        <f t="shared" si="113"/>
        <v>14.091258982297134</v>
      </c>
      <c r="R38" s="629">
        <f t="shared" si="79"/>
        <v>6.2954189869836652</v>
      </c>
      <c r="S38" s="634">
        <f t="shared" si="80"/>
        <v>-1.0709032298441412</v>
      </c>
      <c r="T38" s="635">
        <f t="shared" si="81"/>
        <v>1.4839477238294425</v>
      </c>
      <c r="U38" s="629">
        <f t="shared" si="82"/>
        <v>-6.1180225052394057</v>
      </c>
      <c r="V38" s="636">
        <f t="shared" si="114"/>
        <v>-1.0709032298441412</v>
      </c>
      <c r="W38" s="585">
        <f t="shared" si="224"/>
        <v>283.63398905998702</v>
      </c>
      <c r="X38" s="629">
        <f t="shared" si="83"/>
        <v>6.2954189869836652</v>
      </c>
      <c r="Y38" s="630">
        <f t="shared" si="223"/>
        <v>-1.0709032298441412</v>
      </c>
      <c r="Z38" s="632">
        <f t="shared" si="6"/>
        <v>-0.70819103231347147</v>
      </c>
      <c r="AA38" s="629">
        <f t="shared" si="7"/>
        <v>-0.17777067235852981</v>
      </c>
      <c r="AB38" s="629">
        <f t="shared" si="8"/>
        <v>-0.68327377368078157</v>
      </c>
      <c r="AC38" s="636">
        <f t="shared" si="84"/>
        <v>1</v>
      </c>
      <c r="AD38" s="637">
        <f t="shared" si="115"/>
        <v>-0.70819103231347147</v>
      </c>
      <c r="AE38" s="629">
        <f t="shared" si="85"/>
        <v>-0.17777067235852981</v>
      </c>
      <c r="AF38" s="633">
        <f t="shared" si="86"/>
        <v>-0.68327377368078157</v>
      </c>
      <c r="AG38" s="602">
        <f t="shared" si="87"/>
        <v>-14.583601251351812</v>
      </c>
      <c r="AH38" s="603">
        <f t="shared" si="88"/>
        <v>135.08792270320947</v>
      </c>
      <c r="AI38" s="585">
        <f t="shared" si="89"/>
        <v>-46.900000000001377</v>
      </c>
      <c r="AJ38" s="586">
        <f t="shared" si="90"/>
        <v>-75.908723221124191</v>
      </c>
      <c r="AK38" s="635">
        <f t="shared" si="211"/>
        <v>2.267948961132138E-7</v>
      </c>
      <c r="AL38" s="629">
        <f t="shared" si="91"/>
        <v>-0.73016227662073363</v>
      </c>
      <c r="AM38" s="634">
        <f t="shared" si="92"/>
        <v>-0.68327377368078157</v>
      </c>
      <c r="AN38" s="581">
        <f t="shared" si="93"/>
        <v>-46.900000000000006</v>
      </c>
      <c r="AO38" s="582">
        <f t="shared" si="94"/>
        <v>0</v>
      </c>
      <c r="AP38" s="585">
        <f t="shared" si="95"/>
        <v>-89.999982203421382</v>
      </c>
      <c r="AQ38" s="586">
        <f t="shared" si="9"/>
        <v>0.36211986560927345</v>
      </c>
      <c r="AS38" s="52">
        <f t="shared" si="116"/>
        <v>-76.366010940012984</v>
      </c>
      <c r="AT38" s="72">
        <f t="shared" si="10"/>
        <v>-1.0154749754284578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2.226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2.1259999999999999</v>
      </c>
      <c r="II38" s="734" cm="1">
        <f t="array" ref="II38">IFERROR(ROUND(VALUE(IF($IH38&lt;1,$IH38+LARGE((IF($M$9:$M$150="",0,$M$9:$M$150)-MOD(IF($M$9:$M$150="",0,$M$9:$M$150),1)),1),$IH38)),4),"")</f>
        <v>2.1259999999999999</v>
      </c>
      <c r="IJ38" s="533">
        <f t="shared" si="112"/>
        <v>1613</v>
      </c>
      <c r="IK38" s="533" t="str">
        <f t="shared" si="66"/>
        <v>CPS-32193r1</v>
      </c>
      <c r="IL38" s="727">
        <f t="shared" si="225"/>
        <v>9.1838465587202336</v>
      </c>
      <c r="IM38" s="759">
        <v>1.98936949042706E-3</v>
      </c>
      <c r="IN38" s="5">
        <f t="shared" si="226"/>
        <v>0.04</v>
      </c>
      <c r="IO38" s="771">
        <v>20</v>
      </c>
      <c r="IP38" s="9">
        <f t="shared" si="227"/>
        <v>-6.2546631556947547</v>
      </c>
      <c r="IQ38" s="5">
        <f t="shared" si="228"/>
        <v>-1.0844999999999991</v>
      </c>
      <c r="IR38" s="5">
        <f t="shared" si="71"/>
        <v>0.314</v>
      </c>
      <c r="IS38" s="5">
        <f t="shared" si="229"/>
        <v>0.30179262948875629</v>
      </c>
      <c r="IT38" s="727">
        <f t="shared" si="230"/>
        <v>63.810005599683628</v>
      </c>
      <c r="IU38" s="9">
        <f t="shared" si="231"/>
        <v>-6.2954189869836652</v>
      </c>
      <c r="IV38" s="5">
        <f t="shared" si="232"/>
        <v>-1.0709032298441412</v>
      </c>
      <c r="IW38" s="5">
        <f t="shared" si="76"/>
        <v>0.25700000000000001</v>
      </c>
      <c r="IX38" s="5">
        <f t="shared" si="233"/>
        <v>0.25700000000000001</v>
      </c>
      <c r="IY38" s="762">
        <f t="shared" si="234"/>
        <v>46.900000000000006</v>
      </c>
    </row>
    <row r="39" spans="1:267" ht="15" customHeight="1" x14ac:dyDescent="0.25">
      <c r="A39" s="79"/>
      <c r="B39" s="707">
        <v>6.7989355087123773</v>
      </c>
      <c r="C39" s="708">
        <v>1.6912153154068583</v>
      </c>
      <c r="D39" s="709">
        <v>-2.3742071606087967</v>
      </c>
      <c r="E39" s="710">
        <v>0.93189574276632148</v>
      </c>
      <c r="F39" s="708">
        <v>0.2318065731704301</v>
      </c>
      <c r="G39" s="711">
        <v>0.27899110603922178</v>
      </c>
      <c r="H39" s="710">
        <v>0.25700000000000001</v>
      </c>
      <c r="I39" s="708">
        <v>0.41499999999999992</v>
      </c>
      <c r="J39" s="570">
        <v>2.2320000000000002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2.2320000000000002</v>
      </c>
      <c r="N39" s="632">
        <f t="shared" si="2"/>
        <v>6.7989355087123773</v>
      </c>
      <c r="O39" s="629">
        <f t="shared" si="3"/>
        <v>1.6912153154068583</v>
      </c>
      <c r="P39" s="633">
        <f t="shared" si="4"/>
        <v>-2.3742071606087967</v>
      </c>
      <c r="Q39" s="585">
        <f t="shared" si="113"/>
        <v>13.968658999998381</v>
      </c>
      <c r="R39" s="629">
        <f t="shared" si="79"/>
        <v>7.0061211304613309</v>
      </c>
      <c r="S39" s="634">
        <f t="shared" si="80"/>
        <v>-2.3742071606087967</v>
      </c>
      <c r="T39" s="635">
        <f t="shared" si="81"/>
        <v>1.6369006400979997</v>
      </c>
      <c r="U39" s="629">
        <f t="shared" si="82"/>
        <v>-6.812216202466236</v>
      </c>
      <c r="V39" s="636">
        <f t="shared" si="114"/>
        <v>-2.3742071606087967</v>
      </c>
      <c r="W39" s="585">
        <f t="shared" si="224"/>
        <v>283.51138907768825</v>
      </c>
      <c r="X39" s="629">
        <f t="shared" si="83"/>
        <v>7.0061211304613309</v>
      </c>
      <c r="Y39" s="630">
        <f t="shared" si="223"/>
        <v>-2.3742071606087967</v>
      </c>
      <c r="Z39" s="632">
        <f t="shared" si="6"/>
        <v>-0.93189574276632148</v>
      </c>
      <c r="AA39" s="629">
        <f t="shared" si="7"/>
        <v>-0.2318065731704301</v>
      </c>
      <c r="AB39" s="629">
        <f t="shared" si="8"/>
        <v>-0.27899110603922178</v>
      </c>
      <c r="AC39" s="636">
        <f t="shared" si="84"/>
        <v>1</v>
      </c>
      <c r="AD39" s="637">
        <f t="shared" si="115"/>
        <v>-0.93189574276632148</v>
      </c>
      <c r="AE39" s="629">
        <f t="shared" si="85"/>
        <v>-0.2318065731704301</v>
      </c>
      <c r="AF39" s="633">
        <f t="shared" si="86"/>
        <v>-0.27899110603922178</v>
      </c>
      <c r="AG39" s="602">
        <f t="shared" si="87"/>
        <v>-39.722324995280154</v>
      </c>
      <c r="AH39" s="603">
        <f t="shared" si="88"/>
        <v>158.73228159793914</v>
      </c>
      <c r="AI39" s="585">
        <f t="shared" si="89"/>
        <v>-73.800000000000452</v>
      </c>
      <c r="AJ39" s="586">
        <f t="shared" si="90"/>
        <v>-76.03132746831794</v>
      </c>
      <c r="AK39" s="635">
        <f t="shared" si="211"/>
        <v>2.2679489600219149E-7</v>
      </c>
      <c r="AL39" s="629">
        <f t="shared" si="91"/>
        <v>-0.96029368567691853</v>
      </c>
      <c r="AM39" s="634">
        <f t="shared" si="92"/>
        <v>-0.27899110603922178</v>
      </c>
      <c r="AN39" s="581">
        <f t="shared" si="93"/>
        <v>-73.800000000000011</v>
      </c>
      <c r="AO39" s="582">
        <f t="shared" si="94"/>
        <v>0</v>
      </c>
      <c r="AP39" s="585">
        <f t="shared" si="95"/>
        <v>-89.999986468316365</v>
      </c>
      <c r="AQ39" s="586">
        <f t="shared" si="9"/>
        <v>0.32538719798363669</v>
      </c>
      <c r="AS39" s="52">
        <f t="shared" si="116"/>
        <v>-76.48861092231175</v>
      </c>
      <c r="AT39" s="72">
        <f t="shared" si="10"/>
        <v>-2.3186937673165171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2.2320000000000002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2.1320000000000001</v>
      </c>
      <c r="II39" s="734" cm="1">
        <f t="array" ref="II39">IFERROR(ROUND(VALUE(IF($IH39&lt;1,$IH39+LARGE((IF($M$9:$M$150="",0,$M$9:$M$150)-MOD(IF($M$9:$M$150="",0,$M$9:$M$150),1)),1),$IH39)),4),"")</f>
        <v>2.1320000000000001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8.3914136922212492</v>
      </c>
      <c r="IM39" s="759">
        <v>8.3775138154964496E-5</v>
      </c>
      <c r="IN39" s="5">
        <f t="shared" si="226"/>
        <v>0</v>
      </c>
      <c r="IO39" s="771">
        <v>0</v>
      </c>
      <c r="IP39" s="9">
        <f t="shared" si="227"/>
        <v>-6.9686247119438471</v>
      </c>
      <c r="IQ39" s="5">
        <f t="shared" si="228"/>
        <v>-2.3720999999999992</v>
      </c>
      <c r="IR39" s="5">
        <f t="shared" si="71"/>
        <v>0.314</v>
      </c>
      <c r="IS39" s="5">
        <f t="shared" si="229"/>
        <v>0.29407792876443267</v>
      </c>
      <c r="IT39" s="727">
        <f t="shared" si="230"/>
        <v>84.324764164302508</v>
      </c>
      <c r="IU39" s="9">
        <f t="shared" si="231"/>
        <v>-7.0061211304613309</v>
      </c>
      <c r="IV39" s="5">
        <f t="shared" si="232"/>
        <v>-2.3742071606087967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73.800000000000011</v>
      </c>
    </row>
    <row r="40" spans="1:267" ht="15" customHeight="1" x14ac:dyDescent="0.25">
      <c r="A40" s="79"/>
      <c r="B40" s="707">
        <v>0.66288286004056485</v>
      </c>
      <c r="C40" s="708">
        <v>-0.4395465351158338</v>
      </c>
      <c r="D40" s="709">
        <v>-0.79209999999999969</v>
      </c>
      <c r="E40" s="710">
        <v>0.55403229322232372</v>
      </c>
      <c r="F40" s="708">
        <v>0.79124011523622362</v>
      </c>
      <c r="G40" s="711">
        <v>0.25881904510252074</v>
      </c>
      <c r="H40" s="710">
        <v>0.314</v>
      </c>
      <c r="I40" s="708">
        <v>0.52</v>
      </c>
      <c r="J40" s="570">
        <v>3.1030000000000002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3.1030000000000002</v>
      </c>
      <c r="N40" s="632">
        <f t="shared" si="2"/>
        <v>0.66288286004056485</v>
      </c>
      <c r="O40" s="629">
        <f t="shared" si="3"/>
        <v>-0.4395465351158338</v>
      </c>
      <c r="P40" s="633">
        <f t="shared" si="4"/>
        <v>-0.79209999999999969</v>
      </c>
      <c r="Q40" s="585">
        <f t="shared" si="113"/>
        <v>326.45230773231026</v>
      </c>
      <c r="R40" s="629">
        <f t="shared" si="79"/>
        <v>0.79537088371896925</v>
      </c>
      <c r="S40" s="634">
        <f t="shared" si="80"/>
        <v>-0.79209999999999969</v>
      </c>
      <c r="T40" s="635">
        <f t="shared" si="81"/>
        <v>-0.44482285983343117</v>
      </c>
      <c r="U40" s="629">
        <f t="shared" si="82"/>
        <v>-0.65935382461733072</v>
      </c>
      <c r="V40" s="636">
        <f t="shared" si="114"/>
        <v>-0.79209999999999969</v>
      </c>
      <c r="W40" s="585">
        <f t="shared" si="224"/>
        <v>235.99503781000013</v>
      </c>
      <c r="X40" s="629">
        <f t="shared" si="83"/>
        <v>0.79537088371896925</v>
      </c>
      <c r="Y40" s="630">
        <f t="shared" si="223"/>
        <v>-0.79209999999999969</v>
      </c>
      <c r="Z40" s="632">
        <f t="shared" si="6"/>
        <v>-0.55403229322232372</v>
      </c>
      <c r="AA40" s="629">
        <f t="shared" si="7"/>
        <v>-0.79124011523622362</v>
      </c>
      <c r="AB40" s="629">
        <f t="shared" si="8"/>
        <v>-0.25881904510252074</v>
      </c>
      <c r="AC40" s="636">
        <f t="shared" si="84"/>
        <v>1</v>
      </c>
      <c r="AD40" s="637">
        <f t="shared" si="115"/>
        <v>-0.55403229322232372</v>
      </c>
      <c r="AE40" s="629">
        <f t="shared" si="85"/>
        <v>-0.79124011523622362</v>
      </c>
      <c r="AF40" s="633">
        <f t="shared" si="86"/>
        <v>-0.25881904510252074</v>
      </c>
      <c r="AG40" s="602">
        <f t="shared" si="87"/>
        <v>-71.886791265237349</v>
      </c>
      <c r="AH40" s="603">
        <f t="shared" si="88"/>
        <v>123.64408738086664</v>
      </c>
      <c r="AI40" s="585">
        <f t="shared" si="89"/>
        <v>-75</v>
      </c>
      <c r="AJ40" s="586">
        <f t="shared" si="90"/>
        <v>-35.000000000000021</v>
      </c>
      <c r="AK40" s="635">
        <f t="shared" si="211"/>
        <v>0.96561554001533412</v>
      </c>
      <c r="AL40" s="629">
        <f t="shared" si="91"/>
        <v>-2.4481233079927445E-2</v>
      </c>
      <c r="AM40" s="634">
        <f t="shared" si="92"/>
        <v>-0.25881904510252074</v>
      </c>
      <c r="AN40" s="581">
        <f t="shared" si="93"/>
        <v>-5.4034294280461985</v>
      </c>
      <c r="AO40" s="582">
        <f t="shared" si="94"/>
        <v>15.06853631599764</v>
      </c>
      <c r="AP40" s="585">
        <f t="shared" si="95"/>
        <v>-1.4523077323103</v>
      </c>
      <c r="AQ40" s="586">
        <f t="shared" si="9"/>
        <v>2.8638561294088181</v>
      </c>
      <c r="AS40" s="52">
        <f t="shared" si="116"/>
        <v>-124.00496218999987</v>
      </c>
      <c r="AT40" s="72">
        <f t="shared" si="10"/>
        <v>-0.7035891405496032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3.1030000000000002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1.272331980991573</v>
      </c>
      <c r="C41" s="708">
        <v>-0.86628740376101454</v>
      </c>
      <c r="D41" s="709">
        <v>-0.59270000000000067</v>
      </c>
      <c r="E41" s="710">
        <v>0.55403229322232361</v>
      </c>
      <c r="F41" s="708">
        <v>0.79124011523622384</v>
      </c>
      <c r="G41" s="711">
        <v>0.25881904510252074</v>
      </c>
      <c r="H41" s="710">
        <v>0.314</v>
      </c>
      <c r="I41" s="708">
        <v>0.52</v>
      </c>
      <c r="J41" s="570">
        <v>3.1059999999999999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3.1059999999999999</v>
      </c>
      <c r="N41" s="632">
        <f t="shared" ref="N41:N72" si="240">IF(M41="","",B41)</f>
        <v>1.272331980991573</v>
      </c>
      <c r="O41" s="629">
        <f t="shared" ref="O41:O72" si="241">IF(M41="","",C41)</f>
        <v>-0.86628740376101454</v>
      </c>
      <c r="P41" s="633">
        <f t="shared" ref="P41:P72" si="242">IF(M41="","",D41)</f>
        <v>-0.59270000000000067</v>
      </c>
      <c r="Q41" s="585">
        <f t="shared" si="113"/>
        <v>325.7503878966848</v>
      </c>
      <c r="R41" s="629">
        <f t="shared" si="79"/>
        <v>1.5392473926464645</v>
      </c>
      <c r="S41" s="634">
        <f t="shared" si="80"/>
        <v>-0.59270000000000067</v>
      </c>
      <c r="T41" s="635">
        <f t="shared" si="81"/>
        <v>-0.87641401804821684</v>
      </c>
      <c r="U41" s="629">
        <f t="shared" si="82"/>
        <v>-1.2653778110657383</v>
      </c>
      <c r="V41" s="636">
        <f t="shared" si="114"/>
        <v>-0.59270000000000067</v>
      </c>
      <c r="W41" s="585">
        <f t="shared" si="224"/>
        <v>235.29311797437467</v>
      </c>
      <c r="X41" s="629">
        <f t="shared" si="83"/>
        <v>1.5392473926464645</v>
      </c>
      <c r="Y41" s="630">
        <f t="shared" si="223"/>
        <v>-0.59270000000000067</v>
      </c>
      <c r="Z41" s="632">
        <f t="shared" ref="Z41:Z72" si="243">IF(M41="","",-E41)</f>
        <v>-0.55403229322232361</v>
      </c>
      <c r="AA41" s="629">
        <f t="shared" ref="AA41:AA72" si="244">IF(M41="","",-F41)</f>
        <v>-0.79124011523622384</v>
      </c>
      <c r="AB41" s="629">
        <f t="shared" ref="AB41:AB72" si="245">IF(M41="","",-G41)</f>
        <v>-0.25881904510252074</v>
      </c>
      <c r="AC41" s="636">
        <f t="shared" si="84"/>
        <v>1</v>
      </c>
      <c r="AD41" s="637">
        <f t="shared" si="115"/>
        <v>-0.55403229322232361</v>
      </c>
      <c r="AE41" s="629">
        <f t="shared" si="85"/>
        <v>-0.79124011523622384</v>
      </c>
      <c r="AF41" s="633">
        <f t="shared" si="86"/>
        <v>-0.25881904510252074</v>
      </c>
      <c r="AG41" s="602">
        <f t="shared" si="87"/>
        <v>-71.886791265237349</v>
      </c>
      <c r="AH41" s="603">
        <f t="shared" si="88"/>
        <v>123.64408738086664</v>
      </c>
      <c r="AI41" s="585">
        <f t="shared" si="89"/>
        <v>-75</v>
      </c>
      <c r="AJ41" s="586">
        <f t="shared" si="90"/>
        <v>-35.000000000000014</v>
      </c>
      <c r="AK41" s="635">
        <f t="shared" si="211"/>
        <v>0.96584298746010133</v>
      </c>
      <c r="AL41" s="629">
        <f t="shared" si="91"/>
        <v>-1.2650117247124726E-2</v>
      </c>
      <c r="AM41" s="634">
        <f t="shared" si="92"/>
        <v>-0.25881904510252074</v>
      </c>
      <c r="AN41" s="581">
        <f t="shared" si="93"/>
        <v>-2.7981789324103223</v>
      </c>
      <c r="AO41" s="582">
        <f t="shared" si="94"/>
        <v>15.018327414849118</v>
      </c>
      <c r="AP41" s="585">
        <f t="shared" si="95"/>
        <v>-0.75038789668479688</v>
      </c>
      <c r="AQ41" s="586">
        <f t="shared" ref="AQ41:AQ72" si="246">IF(M41="","",DEGREES(ATAN(($AS$5*SIN(RADIANS(90)))/(($X41*2*PI())-($AS$5*COS(RADIANS(90)))))))</f>
        <v>1.4807360264268816</v>
      </c>
      <c r="AS41" s="52">
        <f t="shared" si="116"/>
        <v>-124.70688202562533</v>
      </c>
      <c r="AT41" s="72">
        <f t="shared" ref="AT41:AT72" si="247">IF(M41="","",Y41+(((AS41-$AS$9)*$AS$6)*-1))</f>
        <v>-0.50370169621930871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3.1059999999999999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1.8816991867381545</v>
      </c>
      <c r="C42" s="708">
        <v>-1.2929709147625565</v>
      </c>
      <c r="D42" s="709">
        <v>-0.39340000000000053</v>
      </c>
      <c r="E42" s="710">
        <v>0.55403229322232361</v>
      </c>
      <c r="F42" s="708">
        <v>0.79124011523622384</v>
      </c>
      <c r="G42" s="711">
        <v>0.25881904510252074</v>
      </c>
      <c r="H42" s="710">
        <v>0.314</v>
      </c>
      <c r="I42" s="708">
        <v>0.52</v>
      </c>
      <c r="J42" s="570">
        <v>3.109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3.109</v>
      </c>
      <c r="N42" s="632">
        <f t="shared" si="240"/>
        <v>1.8816991867381545</v>
      </c>
      <c r="O42" s="629">
        <f t="shared" si="241"/>
        <v>-1.2929709147625565</v>
      </c>
      <c r="P42" s="633">
        <f t="shared" si="242"/>
        <v>-0.39340000000000053</v>
      </c>
      <c r="Q42" s="585">
        <f t="shared" si="113"/>
        <v>325.50589653781793</v>
      </c>
      <c r="R42" s="629">
        <f t="shared" ref="R42:R47" si="385">IF(M42="","",SQRT(N42^2+O42^2))</f>
        <v>2.2831043812740921</v>
      </c>
      <c r="S42" s="634">
        <f t="shared" ref="S42:S47" si="386">IF(M42="","",P42)</f>
        <v>-0.39340000000000053</v>
      </c>
      <c r="T42" s="635">
        <f t="shared" ref="T42:T47" si="387">IF(M42="","",X42*COS(RADIANS(W42)))</f>
        <v>-1.3079471666987241</v>
      </c>
      <c r="U42" s="629">
        <f t="shared" ref="U42:U47" si="388">IF(M42="","",X42*SIN(RADIANS(W42)))</f>
        <v>-1.8713203426772593</v>
      </c>
      <c r="V42" s="636">
        <f t="shared" ref="V42:V47" si="389">IF(M42="","",Y42)</f>
        <v>-0.39340000000000053</v>
      </c>
      <c r="W42" s="585">
        <f t="shared" si="224"/>
        <v>235.0486266155078</v>
      </c>
      <c r="X42" s="629">
        <f t="shared" ref="X42:X47" si="390">IF(M42="","",R42)</f>
        <v>2.2831043812740921</v>
      </c>
      <c r="Y42" s="630">
        <f t="shared" si="223"/>
        <v>-0.39340000000000053</v>
      </c>
      <c r="Z42" s="632">
        <f t="shared" si="243"/>
        <v>-0.55403229322232361</v>
      </c>
      <c r="AA42" s="629">
        <f t="shared" si="244"/>
        <v>-0.79124011523622384</v>
      </c>
      <c r="AB42" s="629">
        <f t="shared" si="245"/>
        <v>-0.25881904510252074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-0.55403229322232361</v>
      </c>
      <c r="AE42" s="629">
        <f t="shared" ref="AE42:AE47" si="393">IF(M42="","",AA42*(1/SQRT(Z42^2+AA42^2+AB42^2)))</f>
        <v>-0.79124011523622384</v>
      </c>
      <c r="AF42" s="633">
        <f t="shared" ref="AF42:AF47" si="394">IF(M42="","",AB42*(1/SQRT(Z42^2+AA42^2+AB42^2)))</f>
        <v>-0.25881904510252074</v>
      </c>
      <c r="AG42" s="602">
        <f t="shared" ref="AG42:AG47" si="395">IF(M42="","",DEGREES(ATAN2(-AF42,AE42)))</f>
        <v>-71.886791265237349</v>
      </c>
      <c r="AH42" s="603">
        <f t="shared" ref="AH42:AH47" si="396">IF(M42="","",DEGREES(ACOS(AD42)))</f>
        <v>123.64408738086664</v>
      </c>
      <c r="AI42" s="585">
        <f t="shared" ref="AI42:AI47" si="397">IF(M42="","",DEGREES(-ACOS(-AF42)))</f>
        <v>-75</v>
      </c>
      <c r="AJ42" s="586">
        <f t="shared" ref="AJ42:AJ47" si="398">IF(M42="","",DEGREES(ATAN2(-AE42,AD42)))</f>
        <v>-35.000000000000014</v>
      </c>
      <c r="AK42" s="635">
        <f t="shared" ref="AK42:AK47" si="399">IF(M42="","",(COS(RADIANS((90-$Q$8)-W42))*AD42)+(-SIN(RADIANS((90-$Q$8)-W42))*AE42))</f>
        <v>0.96588817419711681</v>
      </c>
      <c r="AL42" s="629">
        <f t="shared" ref="AL42:AL47" si="400">IF(M42="","",(SIN(RADIANS((90-$Q$8)-W42))*AD42)+(COS(RADIANS((90-$Q$8)-W42))*AE42))</f>
        <v>-8.5285894718677979E-3</v>
      </c>
      <c r="AM42" s="634">
        <f t="shared" ref="AM42:AM47" si="401">IF(M42="","",AF42)</f>
        <v>-0.25881904510252074</v>
      </c>
      <c r="AN42" s="581">
        <f t="shared" ref="AN42:AN47" si="402">IF(M42="","",DEGREES(ATAN2(-AM42,AL42)))</f>
        <v>-1.8873241435245163</v>
      </c>
      <c r="AO42" s="582">
        <f t="shared" si="94"/>
        <v>15.008332928725087</v>
      </c>
      <c r="AP42" s="585">
        <f t="shared" ref="AP42:AP47" si="403">IF(M42="","",DEGREES(ATAN2(AK42,AL42)))</f>
        <v>-0.50589653781791932</v>
      </c>
      <c r="AQ42" s="586">
        <f t="shared" si="246"/>
        <v>0.99841947466024639</v>
      </c>
      <c r="AS42" s="52">
        <f t="shared" si="116"/>
        <v>-124.9513733844922</v>
      </c>
      <c r="AT42" s="72">
        <f t="shared" si="247"/>
        <v>-0.30423191055342885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2.491148307689163</v>
      </c>
      <c r="C43" s="708">
        <v>-1.7197117834077358</v>
      </c>
      <c r="D43" s="709">
        <v>-0.19400000000000073</v>
      </c>
      <c r="E43" s="710">
        <v>0.55403229322232372</v>
      </c>
      <c r="F43" s="708">
        <v>0.79124011523622373</v>
      </c>
      <c r="G43" s="711">
        <v>0.25881904510252074</v>
      </c>
      <c r="H43" s="710">
        <v>0.314</v>
      </c>
      <c r="I43" s="708">
        <v>0.52</v>
      </c>
      <c r="J43" s="570">
        <v>3.1120000000000001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3.1120000000000001</v>
      </c>
      <c r="N43" s="632">
        <f t="shared" si="240"/>
        <v>2.491148307689163</v>
      </c>
      <c r="O43" s="629">
        <f t="shared" si="241"/>
        <v>-1.7197117834077358</v>
      </c>
      <c r="P43" s="633">
        <f t="shared" si="242"/>
        <v>-0.19400000000000073</v>
      </c>
      <c r="Q43" s="585">
        <f t="shared" si="113"/>
        <v>325.38155819288761</v>
      </c>
      <c r="R43" s="629">
        <f t="shared" si="385"/>
        <v>3.0270825077777439</v>
      </c>
      <c r="S43" s="634">
        <f t="shared" si="386"/>
        <v>-0.19400000000000073</v>
      </c>
      <c r="T43" s="635">
        <f t="shared" si="387"/>
        <v>-1.739538324913511</v>
      </c>
      <c r="U43" s="629">
        <f t="shared" si="388"/>
        <v>-2.4773443291256649</v>
      </c>
      <c r="V43" s="636">
        <f t="shared" si="389"/>
        <v>-0.19400000000000073</v>
      </c>
      <c r="W43" s="585">
        <f t="shared" si="224"/>
        <v>234.92428827057748</v>
      </c>
      <c r="X43" s="629">
        <f t="shared" si="390"/>
        <v>3.0270825077777439</v>
      </c>
      <c r="Y43" s="630">
        <f t="shared" si="223"/>
        <v>-0.19400000000000073</v>
      </c>
      <c r="Z43" s="632">
        <f t="shared" si="243"/>
        <v>-0.55403229322232372</v>
      </c>
      <c r="AA43" s="629">
        <f t="shared" si="244"/>
        <v>-0.79124011523622373</v>
      </c>
      <c r="AB43" s="629">
        <f t="shared" si="245"/>
        <v>-0.25881904510252074</v>
      </c>
      <c r="AC43" s="636">
        <f t="shared" si="391"/>
        <v>1</v>
      </c>
      <c r="AD43" s="637">
        <f t="shared" si="392"/>
        <v>-0.55403229322232372</v>
      </c>
      <c r="AE43" s="629">
        <f t="shared" si="393"/>
        <v>-0.79124011523622373</v>
      </c>
      <c r="AF43" s="633">
        <f t="shared" si="394"/>
        <v>-0.25881904510252074</v>
      </c>
      <c r="AG43" s="602">
        <f t="shared" si="395"/>
        <v>-71.886791265237349</v>
      </c>
      <c r="AH43" s="603">
        <f t="shared" si="396"/>
        <v>123.64408738086664</v>
      </c>
      <c r="AI43" s="585">
        <f t="shared" si="397"/>
        <v>-75</v>
      </c>
      <c r="AJ43" s="586">
        <f t="shared" si="398"/>
        <v>-35.000000000000014</v>
      </c>
      <c r="AK43" s="635">
        <f t="shared" si="399"/>
        <v>0.96590440781735531</v>
      </c>
      <c r="AL43" s="629">
        <f t="shared" si="400"/>
        <v>-6.4324840632120628E-3</v>
      </c>
      <c r="AM43" s="634">
        <f t="shared" si="401"/>
        <v>-0.25881904510252074</v>
      </c>
      <c r="AN43" s="581">
        <f t="shared" si="402"/>
        <v>-1.4236909554716348</v>
      </c>
      <c r="AO43" s="582">
        <f t="shared" si="94"/>
        <v>15.004740758498233</v>
      </c>
      <c r="AP43" s="585">
        <f t="shared" si="403"/>
        <v>-0.38155819288764448</v>
      </c>
      <c r="AQ43" s="586">
        <f t="shared" si="246"/>
        <v>0.75306680581382623</v>
      </c>
      <c r="AS43" s="52">
        <f t="shared" ref="AS43:AS74" si="406">IF(G43="","",IF(AND(W43&lt;(AS42+180),W43&gt;(AS42-180)),W43,IF(W43&gt;(AS42+180),W43-360,IF(W43&lt;(AS42-180),W43+360,"Error"))))</f>
        <v>-125.07571172942252</v>
      </c>
      <c r="AT43" s="72">
        <f t="shared" si="247"/>
        <v>-0.10474556448056076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3.1120000000000001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3.1024814783420376</v>
      </c>
      <c r="C44" s="708">
        <v>-2.1477718778565222</v>
      </c>
      <c r="D44" s="709">
        <v>-6.6700000000000551E-2</v>
      </c>
      <c r="E44" s="710">
        <v>0.55403229322232372</v>
      </c>
      <c r="F44" s="708">
        <v>0.79124011523622373</v>
      </c>
      <c r="G44" s="711">
        <v>0.25881904510252068</v>
      </c>
      <c r="H44" s="710">
        <v>0.314</v>
      </c>
      <c r="I44" s="708">
        <v>0.52</v>
      </c>
      <c r="J44" s="570">
        <v>3.1150000000000002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3.1150000000000002</v>
      </c>
      <c r="N44" s="632">
        <f t="shared" si="240"/>
        <v>3.1024814783420376</v>
      </c>
      <c r="O44" s="629">
        <f t="shared" si="241"/>
        <v>-2.1477718778565222</v>
      </c>
      <c r="P44" s="633">
        <f t="shared" si="242"/>
        <v>-6.6700000000000551E-2</v>
      </c>
      <c r="Q44" s="585">
        <f t="shared" si="113"/>
        <v>325.30609384274925</v>
      </c>
      <c r="R44" s="629">
        <f t="shared" si="385"/>
        <v>3.7733692322335388</v>
      </c>
      <c r="S44" s="634">
        <f t="shared" si="386"/>
        <v>-6.6700000000000551E-2</v>
      </c>
      <c r="T44" s="635">
        <f t="shared" si="387"/>
        <v>-2.1724637031066441</v>
      </c>
      <c r="U44" s="629">
        <f t="shared" si="388"/>
        <v>-3.0852417768225058</v>
      </c>
      <c r="V44" s="636">
        <f t="shared" si="389"/>
        <v>-6.6700000000000551E-2</v>
      </c>
      <c r="W44" s="585">
        <f t="shared" si="224"/>
        <v>234.84882392043912</v>
      </c>
      <c r="X44" s="629">
        <f t="shared" si="390"/>
        <v>3.7733692322335388</v>
      </c>
      <c r="Y44" s="630">
        <f t="shared" si="223"/>
        <v>-6.6700000000000551E-2</v>
      </c>
      <c r="Z44" s="632">
        <f t="shared" si="243"/>
        <v>-0.55403229322232372</v>
      </c>
      <c r="AA44" s="629">
        <f t="shared" si="244"/>
        <v>-0.79124011523622373</v>
      </c>
      <c r="AB44" s="629">
        <f t="shared" si="245"/>
        <v>-0.25881904510252068</v>
      </c>
      <c r="AC44" s="636">
        <f t="shared" si="391"/>
        <v>1</v>
      </c>
      <c r="AD44" s="637">
        <f t="shared" si="392"/>
        <v>-0.55403229322232372</v>
      </c>
      <c r="AE44" s="629">
        <f t="shared" si="393"/>
        <v>-0.79124011523622373</v>
      </c>
      <c r="AF44" s="633">
        <f t="shared" si="394"/>
        <v>-0.25881904510252068</v>
      </c>
      <c r="AG44" s="602">
        <f t="shared" si="395"/>
        <v>-71.886791265237349</v>
      </c>
      <c r="AH44" s="603">
        <f t="shared" si="396"/>
        <v>123.64408738086664</v>
      </c>
      <c r="AI44" s="585">
        <f t="shared" si="397"/>
        <v>-75</v>
      </c>
      <c r="AJ44" s="586">
        <f t="shared" si="398"/>
        <v>-35.000000000000014</v>
      </c>
      <c r="AK44" s="635">
        <f t="shared" si="399"/>
        <v>0.96591204224439675</v>
      </c>
      <c r="AL44" s="629">
        <f t="shared" si="400"/>
        <v>-5.1602848252897959E-3</v>
      </c>
      <c r="AM44" s="634">
        <f t="shared" si="401"/>
        <v>-0.25881904510252068</v>
      </c>
      <c r="AN44" s="581">
        <f t="shared" si="402"/>
        <v>-1.1422010073124875</v>
      </c>
      <c r="AO44" s="582">
        <f t="shared" si="94"/>
        <v>15.003051124437279</v>
      </c>
      <c r="AP44" s="585">
        <f t="shared" si="403"/>
        <v>-0.30609384274926582</v>
      </c>
      <c r="AQ44" s="586">
        <f t="shared" si="246"/>
        <v>0.60413969686209401</v>
      </c>
      <c r="AS44" s="52">
        <f t="shared" si="406"/>
        <v>-125.15117607956088</v>
      </c>
      <c r="AT44" s="72">
        <f t="shared" si="247"/>
        <v>2.2606841318146609E-2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3.1150000000000002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3.7067334010496502</v>
      </c>
      <c r="C45" s="708">
        <v>-2.5979748249715091</v>
      </c>
      <c r="D45" s="709">
        <v>-0.11739999996903719</v>
      </c>
      <c r="E45" s="710">
        <v>0.62453373636568454</v>
      </c>
      <c r="F45" s="708">
        <v>0.74022597675896129</v>
      </c>
      <c r="G45" s="711">
        <v>0.24904440461965666</v>
      </c>
      <c r="H45" s="710">
        <v>0.314</v>
      </c>
      <c r="I45" s="708">
        <v>0.52</v>
      </c>
      <c r="J45" s="570">
        <v>3.1179999999999999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3.1179999999999999</v>
      </c>
      <c r="N45" s="632">
        <f t="shared" si="240"/>
        <v>3.7067334010496502</v>
      </c>
      <c r="O45" s="629">
        <f t="shared" si="241"/>
        <v>-2.5979748249715091</v>
      </c>
      <c r="P45" s="633">
        <f t="shared" si="242"/>
        <v>-0.11739999996903719</v>
      </c>
      <c r="Q45" s="585">
        <f t="shared" si="113"/>
        <v>324.9741596587254</v>
      </c>
      <c r="R45" s="629">
        <f t="shared" si="385"/>
        <v>4.5265158452879461</v>
      </c>
      <c r="S45" s="634">
        <f t="shared" si="386"/>
        <v>-0.11739999996903719</v>
      </c>
      <c r="T45" s="635">
        <f t="shared" si="387"/>
        <v>-2.6274747148948872</v>
      </c>
      <c r="U45" s="629">
        <f t="shared" si="388"/>
        <v>-3.6858814848324792</v>
      </c>
      <c r="V45" s="636">
        <f t="shared" si="389"/>
        <v>-0.11739999996903719</v>
      </c>
      <c r="W45" s="585">
        <f t="shared" si="224"/>
        <v>234.51688973641527</v>
      </c>
      <c r="X45" s="629">
        <f t="shared" si="390"/>
        <v>4.5265158452879461</v>
      </c>
      <c r="Y45" s="630">
        <f t="shared" si="223"/>
        <v>-0.11739999996903719</v>
      </c>
      <c r="Z45" s="632">
        <f t="shared" si="243"/>
        <v>-0.62453373636568454</v>
      </c>
      <c r="AA45" s="629">
        <f t="shared" si="244"/>
        <v>-0.74022597675896129</v>
      </c>
      <c r="AB45" s="629">
        <f t="shared" si="245"/>
        <v>-0.24904440461965666</v>
      </c>
      <c r="AC45" s="636">
        <f t="shared" si="391"/>
        <v>1</v>
      </c>
      <c r="AD45" s="637">
        <f t="shared" si="392"/>
        <v>-0.62453373636568454</v>
      </c>
      <c r="AE45" s="629">
        <f t="shared" si="393"/>
        <v>-0.74022597675896129</v>
      </c>
      <c r="AF45" s="633">
        <f t="shared" si="394"/>
        <v>-0.24904440461965666</v>
      </c>
      <c r="AG45" s="602">
        <f t="shared" si="395"/>
        <v>-71.404808668644662</v>
      </c>
      <c r="AH45" s="603">
        <f t="shared" si="396"/>
        <v>128.64797312037203</v>
      </c>
      <c r="AI45" s="585">
        <f t="shared" si="397"/>
        <v>-75.579027811208974</v>
      </c>
      <c r="AJ45" s="586">
        <f t="shared" si="398"/>
        <v>-40.154555830892058</v>
      </c>
      <c r="AK45" s="635">
        <f t="shared" si="399"/>
        <v>0.96461460117184872</v>
      </c>
      <c r="AL45" s="629">
        <f t="shared" si="400"/>
        <v>-8.6576877592784041E-2</v>
      </c>
      <c r="AM45" s="634">
        <f t="shared" si="401"/>
        <v>-0.24904440461965666</v>
      </c>
      <c r="AN45" s="581">
        <f t="shared" si="402"/>
        <v>-19.169307506039271</v>
      </c>
      <c r="AO45" s="582">
        <f t="shared" si="94"/>
        <v>15.287578773622174</v>
      </c>
      <c r="AP45" s="585">
        <f t="shared" si="403"/>
        <v>-5.1287154896174627</v>
      </c>
      <c r="AQ45" s="586">
        <f t="shared" si="246"/>
        <v>0.50362530408897921</v>
      </c>
      <c r="AS45" s="52">
        <f t="shared" si="406"/>
        <v>-125.48311026358473</v>
      </c>
      <c r="AT45" s="72">
        <f t="shared" si="247"/>
        <v>-2.7862648800873469E-2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3.1179999999999999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4.2653448706525143</v>
      </c>
      <c r="C46" s="708">
        <v>-3.0556510017159333</v>
      </c>
      <c r="D46" s="709">
        <v>-0.34679999915498327</v>
      </c>
      <c r="E46" s="710">
        <v>0.69152322789268561</v>
      </c>
      <c r="F46" s="708">
        <v>0.68926765207877161</v>
      </c>
      <c r="G46" s="711">
        <v>0.21611508295974741</v>
      </c>
      <c r="H46" s="710">
        <v>0.314</v>
      </c>
      <c r="I46" s="708">
        <v>0.52</v>
      </c>
      <c r="J46" s="570">
        <v>3.121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3.121</v>
      </c>
      <c r="N46" s="632">
        <f t="shared" si="240"/>
        <v>4.2653448706525143</v>
      </c>
      <c r="O46" s="629">
        <f t="shared" si="241"/>
        <v>-3.0556510017159333</v>
      </c>
      <c r="P46" s="633">
        <f t="shared" si="242"/>
        <v>-0.34679999915498327</v>
      </c>
      <c r="Q46" s="585">
        <f t="shared" si="113"/>
        <v>324.38256170135918</v>
      </c>
      <c r="R46" s="629">
        <f t="shared" si="385"/>
        <v>5.2469200403559899</v>
      </c>
      <c r="S46" s="634">
        <f t="shared" si="386"/>
        <v>-0.34679999915498327</v>
      </c>
      <c r="T46" s="635">
        <f t="shared" si="387"/>
        <v>-3.0895944718524428</v>
      </c>
      <c r="U46" s="629">
        <f t="shared" si="388"/>
        <v>-4.24082255103749</v>
      </c>
      <c r="V46" s="636">
        <f t="shared" si="389"/>
        <v>-0.34679999915498327</v>
      </c>
      <c r="W46" s="585">
        <f t="shared" si="224"/>
        <v>233.92529177904905</v>
      </c>
      <c r="X46" s="629">
        <f t="shared" si="390"/>
        <v>5.2469200403559899</v>
      </c>
      <c r="Y46" s="630">
        <f t="shared" si="223"/>
        <v>-0.34679999915498327</v>
      </c>
      <c r="Z46" s="632">
        <f t="shared" si="243"/>
        <v>-0.69152322789268561</v>
      </c>
      <c r="AA46" s="629">
        <f t="shared" si="244"/>
        <v>-0.68926765207877161</v>
      </c>
      <c r="AB46" s="629">
        <f t="shared" si="245"/>
        <v>-0.21611508295974741</v>
      </c>
      <c r="AC46" s="636">
        <f t="shared" si="391"/>
        <v>1</v>
      </c>
      <c r="AD46" s="637">
        <f t="shared" si="392"/>
        <v>-0.69152322789268561</v>
      </c>
      <c r="AE46" s="629">
        <f t="shared" si="393"/>
        <v>-0.68926765207877161</v>
      </c>
      <c r="AF46" s="633">
        <f t="shared" si="394"/>
        <v>-0.21611508295974741</v>
      </c>
      <c r="AG46" s="602">
        <f t="shared" si="395"/>
        <v>-72.591546036184056</v>
      </c>
      <c r="AH46" s="603">
        <f t="shared" si="396"/>
        <v>133.750806827243</v>
      </c>
      <c r="AI46" s="585">
        <f t="shared" si="397"/>
        <v>-77.51904501349928</v>
      </c>
      <c r="AJ46" s="586">
        <f t="shared" si="398"/>
        <v>-45.093594809635164</v>
      </c>
      <c r="AK46" s="635">
        <f t="shared" si="399"/>
        <v>0.96304457652420727</v>
      </c>
      <c r="AL46" s="629">
        <f t="shared" si="400"/>
        <v>-0.16074642933705224</v>
      </c>
      <c r="AM46" s="634">
        <f t="shared" si="401"/>
        <v>-0.21611508295974741</v>
      </c>
      <c r="AN46" s="581">
        <f t="shared" si="402"/>
        <v>-36.641875812934551</v>
      </c>
      <c r="AO46" s="582">
        <f t="shared" si="94"/>
        <v>15.625119165470057</v>
      </c>
      <c r="AP46" s="585">
        <f t="shared" si="403"/>
        <v>-9.4761565109943344</v>
      </c>
      <c r="AQ46" s="586">
        <f t="shared" si="246"/>
        <v>0.43448021254083291</v>
      </c>
      <c r="AS46" s="52">
        <f t="shared" si="406"/>
        <v>-126.07470822095095</v>
      </c>
      <c r="AT46" s="72">
        <f t="shared" si="247"/>
        <v>-0.25685181607198193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4.7458381287709059</v>
      </c>
      <c r="C47" s="708">
        <v>-3.4864618791231363</v>
      </c>
      <c r="D47" s="709">
        <v>-0.7419999999999991</v>
      </c>
      <c r="E47" s="710">
        <v>0.74631951697701848</v>
      </c>
      <c r="F47" s="708">
        <v>0.64516354004506193</v>
      </c>
      <c r="G47" s="711">
        <v>0.16361902449200016</v>
      </c>
      <c r="H47" s="710">
        <v>0.314</v>
      </c>
      <c r="I47" s="708">
        <v>0.52</v>
      </c>
      <c r="J47" s="570">
        <v>3.1240000000000001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3.1240000000000001</v>
      </c>
      <c r="N47" s="632">
        <f t="shared" si="240"/>
        <v>4.7458381287709059</v>
      </c>
      <c r="O47" s="629">
        <f t="shared" si="241"/>
        <v>-3.4864618791231363</v>
      </c>
      <c r="P47" s="633">
        <f t="shared" si="242"/>
        <v>-0.7419999999999991</v>
      </c>
      <c r="Q47" s="585">
        <f t="shared" si="113"/>
        <v>323.69766960839718</v>
      </c>
      <c r="R47" s="629">
        <f t="shared" si="385"/>
        <v>5.8888365556427669</v>
      </c>
      <c r="S47" s="634">
        <f t="shared" si="386"/>
        <v>-0.7419999999999991</v>
      </c>
      <c r="T47" s="635">
        <f t="shared" si="387"/>
        <v>-3.5242263407129739</v>
      </c>
      <c r="U47" s="629">
        <f t="shared" si="388"/>
        <v>-4.7178622996543043</v>
      </c>
      <c r="V47" s="636">
        <f t="shared" si="389"/>
        <v>-0.7419999999999991</v>
      </c>
      <c r="W47" s="585">
        <f t="shared" si="224"/>
        <v>233.24039968608704</v>
      </c>
      <c r="X47" s="629">
        <f t="shared" si="390"/>
        <v>5.8888365556427669</v>
      </c>
      <c r="Y47" s="630">
        <f t="shared" si="223"/>
        <v>-0.7419999999999991</v>
      </c>
      <c r="Z47" s="632">
        <f t="shared" si="243"/>
        <v>-0.74631951697701848</v>
      </c>
      <c r="AA47" s="629">
        <f t="shared" si="244"/>
        <v>-0.64516354004506193</v>
      </c>
      <c r="AB47" s="629">
        <f t="shared" si="245"/>
        <v>-0.16361902449200016</v>
      </c>
      <c r="AC47" s="636">
        <f t="shared" si="391"/>
        <v>1</v>
      </c>
      <c r="AD47" s="637">
        <f t="shared" si="392"/>
        <v>-0.74631951697701848</v>
      </c>
      <c r="AE47" s="629">
        <f t="shared" si="393"/>
        <v>-0.64516354004506193</v>
      </c>
      <c r="AF47" s="633">
        <f t="shared" si="394"/>
        <v>-0.16361902449200016</v>
      </c>
      <c r="AG47" s="602">
        <f t="shared" si="395"/>
        <v>-75.769326830126204</v>
      </c>
      <c r="AH47" s="603">
        <f t="shared" si="396"/>
        <v>138.2725609750282</v>
      </c>
      <c r="AI47" s="585">
        <f t="shared" si="397"/>
        <v>-80.582979812456969</v>
      </c>
      <c r="AJ47" s="586">
        <f t="shared" si="398"/>
        <v>-49.157889601879674</v>
      </c>
      <c r="AK47" s="635">
        <f t="shared" si="399"/>
        <v>0.96179546158357032</v>
      </c>
      <c r="AL47" s="629">
        <f t="shared" si="400"/>
        <v>-0.21949556920706464</v>
      </c>
      <c r="AM47" s="634">
        <f t="shared" si="401"/>
        <v>-0.16361902449200016</v>
      </c>
      <c r="AN47" s="581">
        <f t="shared" si="402"/>
        <v>-53.297974755549546</v>
      </c>
      <c r="AO47" s="582">
        <f t="shared" si="94"/>
        <v>15.888670721539935</v>
      </c>
      <c r="AP47" s="585">
        <f t="shared" si="403"/>
        <v>-12.855559210276862</v>
      </c>
      <c r="AQ47" s="586">
        <f t="shared" si="246"/>
        <v>0.38712093974502199</v>
      </c>
      <c r="AS47" s="52">
        <f t="shared" si="406"/>
        <v>-126.75960031391296</v>
      </c>
      <c r="AT47" s="72">
        <f t="shared" si="247"/>
        <v>-0.65157619740799633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3.1240000000000001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5.1286549477240477</v>
      </c>
      <c r="C48" s="708">
        <v>-3.8540062175941379</v>
      </c>
      <c r="D48" s="709">
        <v>-1.2758999597803864</v>
      </c>
      <c r="E48" s="710">
        <v>0.78406186617346185</v>
      </c>
      <c r="F48" s="708">
        <v>0.61268008924649631</v>
      </c>
      <c r="G48" s="711">
        <v>9.9348368147109067E-2</v>
      </c>
      <c r="H48" s="710">
        <v>0.314</v>
      </c>
      <c r="I48" s="708">
        <v>0.52</v>
      </c>
      <c r="J48" s="570">
        <v>3.1269999999999998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3.1269999999999998</v>
      </c>
      <c r="N48" s="632">
        <f t="shared" si="240"/>
        <v>5.1286549477240477</v>
      </c>
      <c r="O48" s="629">
        <f t="shared" si="241"/>
        <v>-3.8540062175941379</v>
      </c>
      <c r="P48" s="633">
        <f t="shared" si="242"/>
        <v>-1.2758999597803864</v>
      </c>
      <c r="Q48" s="585">
        <f t="shared" si="113"/>
        <v>323.07640869203181</v>
      </c>
      <c r="R48" s="629">
        <f t="shared" si="79"/>
        <v>6.415330505754838</v>
      </c>
      <c r="S48" s="634">
        <f t="shared" si="80"/>
        <v>-1.2758999597803864</v>
      </c>
      <c r="T48" s="635">
        <f t="shared" si="81"/>
        <v>-3.8948141512138545</v>
      </c>
      <c r="U48" s="629">
        <f t="shared" si="82"/>
        <v>-5.0977336361929426</v>
      </c>
      <c r="V48" s="636">
        <f t="shared" si="114"/>
        <v>-1.2758999597803864</v>
      </c>
      <c r="W48" s="585">
        <f t="shared" si="224"/>
        <v>232.61913876972167</v>
      </c>
      <c r="X48" s="629">
        <f t="shared" si="83"/>
        <v>6.415330505754838</v>
      </c>
      <c r="Y48" s="630">
        <f t="shared" si="223"/>
        <v>-1.2758999597803864</v>
      </c>
      <c r="Z48" s="632">
        <f t="shared" si="243"/>
        <v>-0.78406186617346185</v>
      </c>
      <c r="AA48" s="629">
        <f t="shared" si="244"/>
        <v>-0.61268008924649631</v>
      </c>
      <c r="AB48" s="629">
        <f t="shared" si="245"/>
        <v>-9.9348368147109067E-2</v>
      </c>
      <c r="AC48" s="636">
        <f t="shared" si="84"/>
        <v>0.99999999999999978</v>
      </c>
      <c r="AD48" s="637">
        <f t="shared" si="115"/>
        <v>-0.78406186617346207</v>
      </c>
      <c r="AE48" s="629">
        <f t="shared" si="85"/>
        <v>-0.61268008924649642</v>
      </c>
      <c r="AF48" s="633">
        <f t="shared" si="86"/>
        <v>-9.9348368147109095E-2</v>
      </c>
      <c r="AG48" s="602">
        <f t="shared" si="87"/>
        <v>-80.789443626787744</v>
      </c>
      <c r="AH48" s="603">
        <f t="shared" si="88"/>
        <v>141.6339954158793</v>
      </c>
      <c r="AI48" s="585">
        <f t="shared" si="89"/>
        <v>-84.29835213616353</v>
      </c>
      <c r="AJ48" s="586">
        <f t="shared" si="90"/>
        <v>-51.995289121543408</v>
      </c>
      <c r="AK48" s="635">
        <f t="shared" si="211"/>
        <v>0.96082408735881253</v>
      </c>
      <c r="AL48" s="629">
        <f t="shared" si="91"/>
        <v>-0.25874113491598499</v>
      </c>
      <c r="AM48" s="634">
        <f t="shared" si="92"/>
        <v>-9.9348368147109095E-2</v>
      </c>
      <c r="AN48" s="581">
        <f t="shared" si="93"/>
        <v>-68.994798392283826</v>
      </c>
      <c r="AO48" s="582">
        <f t="shared" si="94"/>
        <v>16.090713776612308</v>
      </c>
      <c r="AP48" s="585">
        <f t="shared" si="95"/>
        <v>-15.0716978135752</v>
      </c>
      <c r="AQ48" s="586">
        <f t="shared" si="246"/>
        <v>0.35535151300132295</v>
      </c>
      <c r="AS48" s="52">
        <f t="shared" si="406"/>
        <v>-127.38086123027833</v>
      </c>
      <c r="AT48" s="72">
        <f t="shared" si="247"/>
        <v>-1.1850447259964632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3.1269999999999998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5.396907080126276</v>
      </c>
      <c r="C49" s="708">
        <v>-4.1276588198269284</v>
      </c>
      <c r="D49" s="709">
        <v>-1.9074999039898377</v>
      </c>
      <c r="E49" s="710">
        <v>0.80446440650174</v>
      </c>
      <c r="F49" s="708">
        <v>0.59317184737844908</v>
      </c>
      <c r="G49" s="711">
        <v>3.1371613752586104E-2</v>
      </c>
      <c r="H49" s="710">
        <v>0.314</v>
      </c>
      <c r="I49" s="708">
        <v>0.52</v>
      </c>
      <c r="J49" s="570">
        <v>3.13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</v>
      </c>
      <c r="N49" s="632">
        <f t="shared" si="240"/>
        <v>5.396907080126276</v>
      </c>
      <c r="O49" s="629">
        <f t="shared" si="241"/>
        <v>-4.1276588198269284</v>
      </c>
      <c r="P49" s="633">
        <f t="shared" si="242"/>
        <v>-1.9074999039898377</v>
      </c>
      <c r="Q49" s="585">
        <f t="shared" si="113"/>
        <v>322.59054226932267</v>
      </c>
      <c r="R49" s="629">
        <f t="shared" si="79"/>
        <v>6.7944222244729655</v>
      </c>
      <c r="S49" s="634">
        <f t="shared" si="80"/>
        <v>-1.9074999039898377</v>
      </c>
      <c r="T49" s="635">
        <f t="shared" si="81"/>
        <v>-4.1705988999681658</v>
      </c>
      <c r="U49" s="629">
        <f t="shared" si="82"/>
        <v>-5.3637932640992503</v>
      </c>
      <c r="V49" s="636">
        <f t="shared" si="114"/>
        <v>-1.9074999039898377</v>
      </c>
      <c r="W49" s="585">
        <f t="shared" si="224"/>
        <v>232.13327234701254</v>
      </c>
      <c r="X49" s="629">
        <f t="shared" si="83"/>
        <v>6.7944222244729655</v>
      </c>
      <c r="Y49" s="630">
        <f t="shared" si="223"/>
        <v>-1.9074999039898377</v>
      </c>
      <c r="Z49" s="632">
        <f t="shared" si="243"/>
        <v>-0.80446440650174</v>
      </c>
      <c r="AA49" s="629">
        <f t="shared" si="244"/>
        <v>-0.59317184737844908</v>
      </c>
      <c r="AB49" s="629">
        <f t="shared" si="245"/>
        <v>-3.1371613752586104E-2</v>
      </c>
      <c r="AC49" s="636">
        <f t="shared" si="84"/>
        <v>1.0000000000000002</v>
      </c>
      <c r="AD49" s="637">
        <f t="shared" si="115"/>
        <v>-0.80446440650173978</v>
      </c>
      <c r="AE49" s="629">
        <f t="shared" si="85"/>
        <v>-0.59317184737844897</v>
      </c>
      <c r="AF49" s="633">
        <f t="shared" si="86"/>
        <v>-3.1371613752586097E-2</v>
      </c>
      <c r="AG49" s="602">
        <f t="shared" si="87"/>
        <v>-86.972567108954678</v>
      </c>
      <c r="AH49" s="603">
        <f t="shared" si="88"/>
        <v>143.55856177605912</v>
      </c>
      <c r="AI49" s="585">
        <f t="shared" si="89"/>
        <v>-88.202243967824216</v>
      </c>
      <c r="AJ49" s="586">
        <f t="shared" si="90"/>
        <v>-53.596791673307827</v>
      </c>
      <c r="AK49" s="635">
        <f t="shared" si="211"/>
        <v>0.95988264051222782</v>
      </c>
      <c r="AL49" s="629">
        <f t="shared" si="91"/>
        <v>-0.2786415946943881</v>
      </c>
      <c r="AM49" s="634">
        <f t="shared" si="92"/>
        <v>-3.1371613752586097E-2</v>
      </c>
      <c r="AN49" s="581">
        <f t="shared" si="93"/>
        <v>-83.576251790423797</v>
      </c>
      <c r="AO49" s="582">
        <f t="shared" si="94"/>
        <v>16.284202490230818</v>
      </c>
      <c r="AP49" s="585">
        <f t="shared" si="95"/>
        <v>-16.187333942630513</v>
      </c>
      <c r="AQ49" s="586">
        <f t="shared" si="246"/>
        <v>0.3355253025250709</v>
      </c>
      <c r="AS49" s="52">
        <f t="shared" si="406"/>
        <v>-127.86672765298746</v>
      </c>
      <c r="AT49" s="72">
        <f t="shared" si="247"/>
        <v>-1.816307262967922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5.5556016936518517</v>
      </c>
      <c r="C50" s="708">
        <v>-4.2959102647483691</v>
      </c>
      <c r="D50" s="709">
        <v>-2.6084999999999994</v>
      </c>
      <c r="E50" s="710">
        <v>0.85021538982069367</v>
      </c>
      <c r="F50" s="708">
        <v>0.5263438206002865</v>
      </c>
      <c r="G50" s="711">
        <v>9.7966028774993941E-3</v>
      </c>
      <c r="H50" s="710">
        <v>0.314</v>
      </c>
      <c r="I50" s="708">
        <v>0.52</v>
      </c>
      <c r="J50" s="570">
        <v>3.133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3.133</v>
      </c>
      <c r="N50" s="632">
        <f t="shared" si="240"/>
        <v>5.5556016936518517</v>
      </c>
      <c r="O50" s="629">
        <f t="shared" si="241"/>
        <v>-4.2959102647483691</v>
      </c>
      <c r="P50" s="633">
        <f t="shared" si="242"/>
        <v>-2.6084999999999994</v>
      </c>
      <c r="Q50" s="585">
        <f t="shared" si="113"/>
        <v>322.28674531682952</v>
      </c>
      <c r="R50" s="629">
        <f t="shared" si="79"/>
        <v>7.022788276836895</v>
      </c>
      <c r="S50" s="634">
        <f t="shared" si="80"/>
        <v>-2.6084999999999994</v>
      </c>
      <c r="T50" s="635">
        <f t="shared" si="81"/>
        <v>-4.3401114935512037</v>
      </c>
      <c r="U50" s="629">
        <f t="shared" si="82"/>
        <v>-5.5211400457534543</v>
      </c>
      <c r="V50" s="636">
        <f t="shared" si="114"/>
        <v>-2.6084999999999994</v>
      </c>
      <c r="W50" s="585">
        <f t="shared" si="224"/>
        <v>231.82947539451939</v>
      </c>
      <c r="X50" s="629">
        <f t="shared" si="83"/>
        <v>7.022788276836895</v>
      </c>
      <c r="Y50" s="630">
        <f t="shared" si="223"/>
        <v>-2.6084999999999994</v>
      </c>
      <c r="Z50" s="632">
        <f t="shared" si="243"/>
        <v>-0.85021538982069367</v>
      </c>
      <c r="AA50" s="629">
        <f t="shared" si="244"/>
        <v>-0.5263438206002865</v>
      </c>
      <c r="AB50" s="629">
        <f t="shared" si="245"/>
        <v>-9.7966028774993941E-3</v>
      </c>
      <c r="AC50" s="636">
        <f t="shared" si="84"/>
        <v>1</v>
      </c>
      <c r="AD50" s="637">
        <f t="shared" si="115"/>
        <v>-0.85021538982069367</v>
      </c>
      <c r="AE50" s="629">
        <f t="shared" si="85"/>
        <v>-0.5263438206002865</v>
      </c>
      <c r="AF50" s="633">
        <f t="shared" si="86"/>
        <v>-9.7966028774993941E-3</v>
      </c>
      <c r="AG50" s="602">
        <f t="shared" si="87"/>
        <v>-88.933702319731168</v>
      </c>
      <c r="AH50" s="603">
        <f t="shared" si="88"/>
        <v>148.23510409706756</v>
      </c>
      <c r="AI50" s="585">
        <f t="shared" si="89"/>
        <v>-89.438687022787633</v>
      </c>
      <c r="AJ50" s="586">
        <f t="shared" si="90"/>
        <v>-58.239545153695822</v>
      </c>
      <c r="AK50" s="635">
        <f t="shared" si="211"/>
        <v>0.9364664549605406</v>
      </c>
      <c r="AL50" s="629">
        <f t="shared" si="91"/>
        <v>-0.35062031502138952</v>
      </c>
      <c r="AM50" s="634">
        <f t="shared" si="92"/>
        <v>-9.7966028774993941E-3</v>
      </c>
      <c r="AN50" s="581">
        <f t="shared" si="93"/>
        <v>-88.399527992990031</v>
      </c>
      <c r="AO50" s="582">
        <f t="shared" si="94"/>
        <v>20.53363281741149</v>
      </c>
      <c r="AP50" s="585">
        <f t="shared" si="95"/>
        <v>-20.526290470525353</v>
      </c>
      <c r="AQ50" s="586">
        <f t="shared" si="246"/>
        <v>0.32461497480790158</v>
      </c>
      <c r="AS50" s="52">
        <f t="shared" si="406"/>
        <v>-128.17052460548061</v>
      </c>
      <c r="AT50" s="72">
        <f t="shared" si="247"/>
        <v>-2.5170963888721856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3.133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5.6183290250986717</v>
      </c>
      <c r="C51" s="708">
        <v>-4.3637595970189347</v>
      </c>
      <c r="D51" s="709">
        <v>-3.319100000000001</v>
      </c>
      <c r="E51" s="710">
        <v>0.88857211690148863</v>
      </c>
      <c r="F51" s="708">
        <v>0.45827002850840975</v>
      </c>
      <c r="G51" s="711">
        <v>-2.0692366614490813E-2</v>
      </c>
      <c r="H51" s="710">
        <v>0.314</v>
      </c>
      <c r="I51" s="708">
        <v>0.52</v>
      </c>
      <c r="J51" s="570">
        <v>3.1360000000000001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3.1360000000000001</v>
      </c>
      <c r="N51" s="632">
        <f t="shared" si="240"/>
        <v>5.6183290250986717</v>
      </c>
      <c r="O51" s="629">
        <f t="shared" si="241"/>
        <v>-4.3637595970189347</v>
      </c>
      <c r="P51" s="633">
        <f t="shared" si="242"/>
        <v>-3.319100000000001</v>
      </c>
      <c r="Q51" s="585">
        <f t="shared" si="113"/>
        <v>322.16349086810908</v>
      </c>
      <c r="R51" s="629">
        <f t="shared" si="79"/>
        <v>7.1139313220497886</v>
      </c>
      <c r="S51" s="634">
        <f t="shared" si="80"/>
        <v>-3.319100000000001</v>
      </c>
      <c r="T51" s="635">
        <f t="shared" si="81"/>
        <v>-4.4084592781226863</v>
      </c>
      <c r="U51" s="629">
        <f t="shared" si="82"/>
        <v>-5.5833238888654</v>
      </c>
      <c r="V51" s="636">
        <f t="shared" si="114"/>
        <v>-3.319100000000001</v>
      </c>
      <c r="W51" s="585">
        <f t="shared" si="224"/>
        <v>231.70622094579895</v>
      </c>
      <c r="X51" s="629">
        <f t="shared" si="83"/>
        <v>7.1139313220497886</v>
      </c>
      <c r="Y51" s="630">
        <f t="shared" si="223"/>
        <v>-3.319100000000001</v>
      </c>
      <c r="Z51" s="632">
        <f t="shared" si="243"/>
        <v>-0.88857211690148863</v>
      </c>
      <c r="AA51" s="629">
        <f t="shared" si="244"/>
        <v>-0.45827002850840975</v>
      </c>
      <c r="AB51" s="629">
        <f t="shared" si="245"/>
        <v>2.0692366614490813E-2</v>
      </c>
      <c r="AC51" s="636">
        <f t="shared" si="84"/>
        <v>1</v>
      </c>
      <c r="AD51" s="637">
        <f t="shared" si="115"/>
        <v>-0.88857211690148863</v>
      </c>
      <c r="AE51" s="629">
        <f t="shared" si="85"/>
        <v>-0.45827002850840975</v>
      </c>
      <c r="AF51" s="633">
        <f t="shared" si="86"/>
        <v>2.0692366614490813E-2</v>
      </c>
      <c r="AG51" s="602">
        <f t="shared" si="87"/>
        <v>-92.585332787902445</v>
      </c>
      <c r="AH51" s="603">
        <f t="shared" si="88"/>
        <v>152.69436455139351</v>
      </c>
      <c r="AI51" s="585">
        <f t="shared" si="89"/>
        <v>-91.18566989759239</v>
      </c>
      <c r="AJ51" s="586">
        <f t="shared" si="90"/>
        <v>-62.718141493962008</v>
      </c>
      <c r="AK51" s="635">
        <f t="shared" si="211"/>
        <v>0.90698470552774046</v>
      </c>
      <c r="AL51" s="629">
        <f t="shared" si="91"/>
        <v>-0.4206549297258379</v>
      </c>
      <c r="AM51" s="634">
        <f t="shared" si="92"/>
        <v>2.0692366614490813E-2</v>
      </c>
      <c r="AN51" s="581">
        <f t="shared" si="93"/>
        <v>-92.816157160586386</v>
      </c>
      <c r="AO51" s="582">
        <f t="shared" si="94"/>
        <v>24.908069685048428</v>
      </c>
      <c r="AP51" s="585">
        <f t="shared" si="95"/>
        <v>-24.881632362071059</v>
      </c>
      <c r="AQ51" s="586">
        <f t="shared" si="246"/>
        <v>0.32045612438107046</v>
      </c>
      <c r="AS51" s="52">
        <f t="shared" si="406"/>
        <v>-128.29377905420105</v>
      </c>
      <c r="AT51" s="72">
        <f t="shared" si="247"/>
        <v>-3.2276107955050204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3.1360000000000001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5.6292970799593975</v>
      </c>
      <c r="C52" s="708">
        <v>-4.3742472932660643</v>
      </c>
      <c r="D52" s="709">
        <v>-4.0191999999999988</v>
      </c>
      <c r="E52" s="710">
        <v>0.92220777689574174</v>
      </c>
      <c r="F52" s="708">
        <v>0.38654824580197911</v>
      </c>
      <c r="G52" s="711">
        <v>1.0642833289438033E-2</v>
      </c>
      <c r="H52" s="710">
        <v>0.314</v>
      </c>
      <c r="I52" s="708">
        <v>0.52</v>
      </c>
      <c r="J52" s="570">
        <v>3.1389999999999998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3.1389999999999998</v>
      </c>
      <c r="N52" s="632">
        <f t="shared" si="240"/>
        <v>5.6292970799593975</v>
      </c>
      <c r="O52" s="629">
        <f t="shared" si="241"/>
        <v>-4.3742472932660643</v>
      </c>
      <c r="P52" s="633">
        <f t="shared" si="242"/>
        <v>-4.0191999999999988</v>
      </c>
      <c r="Q52" s="585">
        <f t="shared" si="113"/>
        <v>322.15099427089132</v>
      </c>
      <c r="R52" s="629">
        <f t="shared" si="79"/>
        <v>7.129026931993236</v>
      </c>
      <c r="S52" s="634">
        <f t="shared" si="80"/>
        <v>-4.0191999999999988</v>
      </c>
      <c r="T52" s="635">
        <f t="shared" si="81"/>
        <v>-4.4190341740125483</v>
      </c>
      <c r="U52" s="629">
        <f t="shared" si="82"/>
        <v>-5.5942078944202747</v>
      </c>
      <c r="V52" s="636">
        <f t="shared" si="114"/>
        <v>-4.0191999999999988</v>
      </c>
      <c r="W52" s="585">
        <f t="shared" si="224"/>
        <v>231.69372434858118</v>
      </c>
      <c r="X52" s="629">
        <f t="shared" si="83"/>
        <v>7.129026931993236</v>
      </c>
      <c r="Y52" s="630">
        <f t="shared" si="223"/>
        <v>-4.0191999999999988</v>
      </c>
      <c r="Z52" s="632">
        <f t="shared" si="243"/>
        <v>-0.92220777689574174</v>
      </c>
      <c r="AA52" s="629">
        <f t="shared" si="244"/>
        <v>-0.38654824580197911</v>
      </c>
      <c r="AB52" s="629">
        <f t="shared" si="245"/>
        <v>-1.0642833289438033E-2</v>
      </c>
      <c r="AC52" s="636">
        <f t="shared" si="84"/>
        <v>1</v>
      </c>
      <c r="AD52" s="637">
        <f t="shared" si="115"/>
        <v>-0.92220777689574174</v>
      </c>
      <c r="AE52" s="629">
        <f t="shared" si="85"/>
        <v>-0.38654824580197911</v>
      </c>
      <c r="AF52" s="633">
        <f t="shared" si="86"/>
        <v>-1.0642833289438033E-2</v>
      </c>
      <c r="AG52" s="602">
        <f t="shared" si="87"/>
        <v>-88.422873679274986</v>
      </c>
      <c r="AH52" s="603">
        <f t="shared" si="88"/>
        <v>157.25100829536331</v>
      </c>
      <c r="AI52" s="585">
        <f t="shared" si="89"/>
        <v>-89.390199058069058</v>
      </c>
      <c r="AJ52" s="586">
        <f t="shared" si="90"/>
        <v>-67.258748893933003</v>
      </c>
      <c r="AK52" s="635">
        <f t="shared" si="211"/>
        <v>0.87108098237122977</v>
      </c>
      <c r="AL52" s="629">
        <f t="shared" si="91"/>
        <v>-0.49102408520432772</v>
      </c>
      <c r="AM52" s="634">
        <f t="shared" si="92"/>
        <v>-1.0642833289438033E-2</v>
      </c>
      <c r="AN52" s="581">
        <f t="shared" si="93"/>
        <v>-88.758321673622561</v>
      </c>
      <c r="AO52" s="582">
        <f t="shared" si="94"/>
        <v>29.415499373006018</v>
      </c>
      <c r="AP52" s="585">
        <f t="shared" si="95"/>
        <v>-29.409743164824317</v>
      </c>
      <c r="AQ52" s="586">
        <f t="shared" si="246"/>
        <v>0.31977757734496326</v>
      </c>
      <c r="AS52" s="52">
        <f t="shared" si="406"/>
        <v>-128.30627565141882</v>
      </c>
      <c r="AT52" s="72">
        <f t="shared" si="247"/>
        <v>-3.927702117312506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3.1389999999999998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5.5858600909220897</v>
      </c>
      <c r="C53" s="708">
        <v>-4.5013123080552377</v>
      </c>
      <c r="D53" s="709">
        <v>-4.6697999999999986</v>
      </c>
      <c r="E53" s="710">
        <v>0.92353185290885109</v>
      </c>
      <c r="F53" s="708">
        <v>0.38351524842605944</v>
      </c>
      <c r="G53" s="711">
        <v>2.2295487082439058E-3</v>
      </c>
      <c r="H53" s="710">
        <v>0.26600000000000001</v>
      </c>
      <c r="I53" s="708">
        <v>0.52</v>
      </c>
      <c r="J53" s="570">
        <v>3.1419999999999999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3.1419999999999999</v>
      </c>
      <c r="N53" s="632">
        <f t="shared" si="240"/>
        <v>5.5858600909220897</v>
      </c>
      <c r="O53" s="629">
        <f t="shared" si="241"/>
        <v>-4.5013123080552377</v>
      </c>
      <c r="P53" s="633">
        <f t="shared" si="242"/>
        <v>-4.6697999999999986</v>
      </c>
      <c r="Q53" s="585">
        <f t="shared" si="113"/>
        <v>321.1367258200591</v>
      </c>
      <c r="R53" s="629">
        <f t="shared" ref="R53:R58" si="410">IF(M53="","",SQRT(N53^2+O53^2))</f>
        <v>7.1738166585162819</v>
      </c>
      <c r="S53" s="634">
        <f t="shared" ref="S53:S58" si="411">IF(M53="","",P53)</f>
        <v>-4.6697999999999986</v>
      </c>
      <c r="T53" s="635">
        <f t="shared" ref="T53:T58" si="412">IF(M53="","",X53*COS(RADIANS(W53)))</f>
        <v>-4.5457484810733755</v>
      </c>
      <c r="U53" s="629">
        <f t="shared" ref="U53:U58" si="413">IF(M53="","",X53*SIN(RADIANS(W53)))</f>
        <v>-5.5497582106633088</v>
      </c>
      <c r="V53" s="636">
        <f t="shared" ref="V53:V58" si="414">IF(M53="","",Y53)</f>
        <v>-4.6697999999999986</v>
      </c>
      <c r="W53" s="585">
        <f t="shared" si="224"/>
        <v>230.67945589774897</v>
      </c>
      <c r="X53" s="629">
        <f t="shared" ref="X53:X58" si="415">IF(M53="","",R53)</f>
        <v>7.1738166585162819</v>
      </c>
      <c r="Y53" s="630">
        <f t="shared" si="223"/>
        <v>-4.6697999999999986</v>
      </c>
      <c r="Z53" s="632">
        <f t="shared" si="243"/>
        <v>-0.92353185290885109</v>
      </c>
      <c r="AA53" s="629">
        <f t="shared" si="244"/>
        <v>-0.38351524842605944</v>
      </c>
      <c r="AB53" s="629">
        <f t="shared" si="245"/>
        <v>-2.2295487082439058E-3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-0.92353185290885109</v>
      </c>
      <c r="AE53" s="629">
        <f t="shared" ref="AE53:AE58" si="418">IF(M53="","",AA53*(1/SQRT(Z53^2+AA53^2+AB53^2)))</f>
        <v>-0.38351524842605944</v>
      </c>
      <c r="AF53" s="633">
        <f t="shared" ref="AF53:AF58" si="419">IF(M53="","",AB53*(1/SQRT(Z53^2+AA53^2+AB53^2)))</f>
        <v>-2.2295487082439058E-3</v>
      </c>
      <c r="AG53" s="602">
        <f t="shared" ref="AG53:AG58" si="420">IF(M53="","",DEGREES(ATAN2(-AF53,AE53)))</f>
        <v>-89.666917305979837</v>
      </c>
      <c r="AH53" s="603">
        <f t="shared" ref="AH53:AH58" si="421">IF(M53="","",DEGREES(ACOS(AD53)))</f>
        <v>157.44800198829779</v>
      </c>
      <c r="AI53" s="585">
        <f t="shared" ref="AI53:AI58" si="422">IF(M53="","",DEGREES(-ACOS(-AF53)))</f>
        <v>-89.872256162965257</v>
      </c>
      <c r="AJ53" s="586">
        <f t="shared" ref="AJ53:AJ58" si="423">IF(M53="","",DEGREES(ATAN2(-AE53,AD53)))</f>
        <v>-67.448344908616846</v>
      </c>
      <c r="AK53" s="635">
        <f t="shared" ref="AK53:AK58" si="424">IF(M53="","",(COS(RADIANS((90-$Q$8)-W53))*AD53)+(-SIN(RADIANS((90-$Q$8)-W53))*AE53))</f>
        <v>0.87810549344673805</v>
      </c>
      <c r="AL53" s="629">
        <f t="shared" ref="AL53:AL58" si="425">IF(M53="","",(SIN(RADIANS((90-$Q$8)-W53))*AD53)+(COS(RADIANS((90-$Q$8)-W53))*AE53))</f>
        <v>-0.4784618809176111</v>
      </c>
      <c r="AM53" s="634">
        <f t="shared" ref="AM53:AM58" si="426">IF(M53="","",AF53)</f>
        <v>-2.2295487082439058E-3</v>
      </c>
      <c r="AN53" s="581">
        <f t="shared" ref="AN53:AN58" si="427">IF(M53="","",DEGREES(ATAN2(-AM53,AL53)))</f>
        <v>-89.733013617802939</v>
      </c>
      <c r="AO53" s="582">
        <f t="shared" si="94"/>
        <v>28.585332079960384</v>
      </c>
      <c r="AP53" s="585">
        <f t="shared" ref="AP53:AP58" si="428">IF(M53="","",DEGREES(ATAN2(AK53,AL53)))</f>
        <v>-28.58507072867592</v>
      </c>
      <c r="AQ53" s="586">
        <f t="shared" si="246"/>
        <v>0.31778108701492624</v>
      </c>
      <c r="AS53" s="52">
        <f t="shared" si="406"/>
        <v>-129.32054410225103</v>
      </c>
      <c r="AT53" s="72">
        <f t="shared" si="247"/>
        <v>-4.5775977642216503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3.1419999999999999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3.0480820279502532</v>
      </c>
      <c r="C54" s="708">
        <v>-3.366951033761576</v>
      </c>
      <c r="D54" s="709">
        <v>-8.2400248519149538E-2</v>
      </c>
      <c r="E54" s="710">
        <v>0.12345550748776978</v>
      </c>
      <c r="F54" s="708">
        <v>-0.13637022058804033</v>
      </c>
      <c r="G54" s="711">
        <v>0.98293534914952907</v>
      </c>
      <c r="H54" s="710">
        <v>0.25700000000000001</v>
      </c>
      <c r="I54" s="708">
        <v>0.41499999999999992</v>
      </c>
      <c r="J54" s="570">
        <v>3.218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3.218</v>
      </c>
      <c r="N54" s="632">
        <f t="shared" si="240"/>
        <v>3.0480820279502532</v>
      </c>
      <c r="O54" s="629">
        <f t="shared" si="241"/>
        <v>-3.366951033761576</v>
      </c>
      <c r="P54" s="633">
        <f t="shared" si="242"/>
        <v>-8.2400248519149538E-2</v>
      </c>
      <c r="Q54" s="585">
        <f t="shared" si="113"/>
        <v>312.15436792487776</v>
      </c>
      <c r="R54" s="629">
        <f t="shared" si="410"/>
        <v>4.5417136978085129</v>
      </c>
      <c r="S54" s="634">
        <f t="shared" si="411"/>
        <v>-8.2400248519149538E-2</v>
      </c>
      <c r="T54" s="635">
        <f t="shared" si="412"/>
        <v>-3.3911698817869089</v>
      </c>
      <c r="U54" s="629">
        <f t="shared" si="413"/>
        <v>-3.0211140570529338</v>
      </c>
      <c r="V54" s="636">
        <f t="shared" si="414"/>
        <v>-8.2400248519149538E-2</v>
      </c>
      <c r="W54" s="585">
        <f t="shared" si="224"/>
        <v>221.69709800256763</v>
      </c>
      <c r="X54" s="629">
        <f t="shared" si="415"/>
        <v>4.5417136978085129</v>
      </c>
      <c r="Y54" s="630">
        <f t="shared" si="223"/>
        <v>-8.2400248519149538E-2</v>
      </c>
      <c r="Z54" s="632">
        <f t="shared" si="243"/>
        <v>-0.12345550748776978</v>
      </c>
      <c r="AA54" s="629">
        <f t="shared" si="244"/>
        <v>0.13637022058804033</v>
      </c>
      <c r="AB54" s="629">
        <f t="shared" si="245"/>
        <v>-0.98293534914952907</v>
      </c>
      <c r="AC54" s="636">
        <f t="shared" si="416"/>
        <v>1</v>
      </c>
      <c r="AD54" s="637">
        <f t="shared" si="417"/>
        <v>-0.12345550748776978</v>
      </c>
      <c r="AE54" s="629">
        <f t="shared" si="418"/>
        <v>0.13637022058804033</v>
      </c>
      <c r="AF54" s="633">
        <f t="shared" si="419"/>
        <v>-0.98293534914952907</v>
      </c>
      <c r="AG54" s="602">
        <f t="shared" si="420"/>
        <v>7.8986657535058598</v>
      </c>
      <c r="AH54" s="603">
        <f t="shared" si="421"/>
        <v>97.091572028254888</v>
      </c>
      <c r="AI54" s="585">
        <f t="shared" si="422"/>
        <v>-10.600000000007839</v>
      </c>
      <c r="AJ54" s="586">
        <f t="shared" si="423"/>
        <v>-137.84556143475805</v>
      </c>
      <c r="AK54" s="635">
        <f t="shared" si="424"/>
        <v>2.2679489686261434E-7</v>
      </c>
      <c r="AL54" s="629">
        <f t="shared" si="425"/>
        <v>-0.18395135061271534</v>
      </c>
      <c r="AM54" s="634">
        <f t="shared" si="426"/>
        <v>-0.98293534914952907</v>
      </c>
      <c r="AN54" s="581">
        <f t="shared" si="427"/>
        <v>-10.599999999999994</v>
      </c>
      <c r="AO54" s="582">
        <f t="shared" si="94"/>
        <v>0</v>
      </c>
      <c r="AP54" s="585">
        <f t="shared" si="428"/>
        <v>-89.999929359635786</v>
      </c>
      <c r="AQ54" s="586">
        <f t="shared" si="246"/>
        <v>0.50194011842072617</v>
      </c>
      <c r="AS54" s="52">
        <f t="shared" si="406"/>
        <v>-138.30290199743237</v>
      </c>
      <c r="AT54" s="72">
        <f t="shared" si="247"/>
        <v>1.6039735797519494E-2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3.218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3.1179999999999999</v>
      </c>
      <c r="II54" s="734" cm="1">
        <f t="array" ref="II54">IFERROR(ROUND(VALUE(IF($IH54&lt;1,$IH54+LARGE((IF($M$9:$M$150="",0,$M$9:$M$150)-MOD(IF($M$9:$M$150="",0,$M$9:$M$150),1)),1),$IH54)),4),"")</f>
        <v>3.1179999999999999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12.819791733847637</v>
      </c>
      <c r="IM54" s="759">
        <v>7.7724945020014903E-3</v>
      </c>
      <c r="IN54" s="5">
        <f t="shared" si="226"/>
        <v>0.2</v>
      </c>
      <c r="IO54" s="771">
        <v>100</v>
      </c>
      <c r="IP54" s="9">
        <f t="shared" si="227"/>
        <v>-4.5265158452879461</v>
      </c>
      <c r="IQ54" s="5">
        <f t="shared" si="228"/>
        <v>-0.11739999996903719</v>
      </c>
      <c r="IR54" s="5">
        <f t="shared" si="383"/>
        <v>0.314</v>
      </c>
      <c r="IS54" s="5">
        <f t="shared" si="229"/>
        <v>0.3028889847679605</v>
      </c>
      <c r="IT54" s="727">
        <f t="shared" si="230"/>
        <v>19.169307506039271</v>
      </c>
      <c r="IU54" s="9">
        <f t="shared" si="231"/>
        <v>-4.5417136978085129</v>
      </c>
      <c r="IV54" s="5">
        <f t="shared" si="232"/>
        <v>-8.2400248519149538E-2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10.599999999999994</v>
      </c>
    </row>
    <row r="55" spans="1:259" ht="15" customHeight="1" x14ac:dyDescent="0.25">
      <c r="A55" s="79"/>
      <c r="B55" s="707">
        <v>4.111298180927272</v>
      </c>
      <c r="C55" s="708">
        <v>-4.2669215058442882</v>
      </c>
      <c r="D55" s="709">
        <v>-0.72150217605056233</v>
      </c>
      <c r="E55" s="710">
        <v>0.42622364715935701</v>
      </c>
      <c r="F55" s="708">
        <v>-0.44235699345981483</v>
      </c>
      <c r="G55" s="711">
        <v>0.78908408483467052</v>
      </c>
      <c r="H55" s="710">
        <v>0.25700000000000001</v>
      </c>
      <c r="I55" s="708">
        <v>0.41499999999999992</v>
      </c>
      <c r="J55" s="570">
        <v>3.2240000000000002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CPS-32193r1</v>
      </c>
      <c r="L55" s="320"/>
      <c r="M55" s="168">
        <f t="shared" si="239"/>
        <v>3.2240000000000002</v>
      </c>
      <c r="N55" s="632">
        <f t="shared" si="240"/>
        <v>4.111298180927272</v>
      </c>
      <c r="O55" s="629">
        <f t="shared" si="241"/>
        <v>-4.2669215058442882</v>
      </c>
      <c r="P55" s="633">
        <f t="shared" si="242"/>
        <v>-0.72150217605056233</v>
      </c>
      <c r="Q55" s="585">
        <f t="shared" si="113"/>
        <v>313.93586766766106</v>
      </c>
      <c r="R55" s="629">
        <f t="shared" si="410"/>
        <v>5.9253178707586969</v>
      </c>
      <c r="S55" s="634">
        <f t="shared" si="411"/>
        <v>-0.72150217605056233</v>
      </c>
      <c r="T55" s="635">
        <f t="shared" si="412"/>
        <v>-4.2995969878287417</v>
      </c>
      <c r="U55" s="629">
        <f t="shared" si="413"/>
        <v>-4.0771138826118642</v>
      </c>
      <c r="V55" s="636">
        <f t="shared" si="414"/>
        <v>-0.72150217605056233</v>
      </c>
      <c r="W55" s="585">
        <f t="shared" si="224"/>
        <v>223.47859774535092</v>
      </c>
      <c r="X55" s="629">
        <f t="shared" si="415"/>
        <v>5.9253178707586969</v>
      </c>
      <c r="Y55" s="630">
        <f t="shared" si="223"/>
        <v>-0.72150217605056233</v>
      </c>
      <c r="Z55" s="632">
        <f t="shared" si="243"/>
        <v>-0.42622364715935701</v>
      </c>
      <c r="AA55" s="629">
        <f t="shared" si="244"/>
        <v>0.44235699345981483</v>
      </c>
      <c r="AB55" s="629">
        <f t="shared" si="245"/>
        <v>-0.78908408483467052</v>
      </c>
      <c r="AC55" s="636">
        <f t="shared" si="416"/>
        <v>1</v>
      </c>
      <c r="AD55" s="637">
        <f t="shared" si="417"/>
        <v>-0.42622364715935701</v>
      </c>
      <c r="AE55" s="629">
        <f t="shared" si="418"/>
        <v>0.44235699345981483</v>
      </c>
      <c r="AF55" s="633">
        <f t="shared" si="419"/>
        <v>-0.78908408483467052</v>
      </c>
      <c r="AG55" s="602">
        <f t="shared" si="420"/>
        <v>29.274794239802198</v>
      </c>
      <c r="AH55" s="603">
        <f t="shared" si="421"/>
        <v>115.22814089560057</v>
      </c>
      <c r="AI55" s="585">
        <f t="shared" si="422"/>
        <v>-37.900000000001882</v>
      </c>
      <c r="AJ55" s="586">
        <f t="shared" si="423"/>
        <v>-136.06411117866247</v>
      </c>
      <c r="AK55" s="635">
        <f t="shared" si="424"/>
        <v>2.2679489658505858E-7</v>
      </c>
      <c r="AL55" s="629">
        <f t="shared" si="425"/>
        <v>-0.6142852000989274</v>
      </c>
      <c r="AM55" s="634">
        <f t="shared" si="426"/>
        <v>-0.78908408483467052</v>
      </c>
      <c r="AN55" s="581">
        <f t="shared" si="427"/>
        <v>-37.9</v>
      </c>
      <c r="AO55" s="582">
        <f>IF(ROUND(IF(M55="",0,DEGREES(ACOS(AK55))),4)=90,0,IF(M55="","",DEGREES(ACOS(AK55))))</f>
        <v>0</v>
      </c>
      <c r="AP55" s="585">
        <f t="shared" si="428"/>
        <v>-89.999978846323515</v>
      </c>
      <c r="AQ55" s="586">
        <f t="shared" si="246"/>
        <v>0.38473756463226494</v>
      </c>
      <c r="AS55" s="52">
        <f t="shared" si="406"/>
        <v>-136.52140225464908</v>
      </c>
      <c r="AT55" s="72">
        <f t="shared" si="247"/>
        <v>-0.62429934433304834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3.2240000000000002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3.1240000000000001</v>
      </c>
      <c r="II55" s="734" cm="1">
        <f t="array" ref="II55">IFERROR(ROUND(VALUE(IF($IH55&lt;1,$IH55+LARGE((IF($M$9:$M$150="",0,$M$9:$M$150)-MOD(IF($M$9:$M$150="",0,$M$9:$M$150),1)),1),$IH55)),4),"")</f>
        <v>3.1240000000000001</v>
      </c>
      <c r="IJ55" s="533">
        <f t="shared" si="112"/>
        <v>1613</v>
      </c>
      <c r="IK55" s="533" t="str">
        <f t="shared" si="382"/>
        <v>CPS-32193r1</v>
      </c>
      <c r="IL55" s="727">
        <f t="shared" si="225"/>
        <v>9.7618019407361203</v>
      </c>
      <c r="IM55" s="759">
        <v>3.29909084997821E-3</v>
      </c>
      <c r="IN55" s="5">
        <f t="shared" si="226"/>
        <v>0.12</v>
      </c>
      <c r="IO55" s="771">
        <v>60</v>
      </c>
      <c r="IP55" s="9">
        <f t="shared" si="227"/>
        <v>-5.8888365556427669</v>
      </c>
      <c r="IQ55" s="5">
        <f t="shared" si="228"/>
        <v>-0.7419999999999991</v>
      </c>
      <c r="IR55" s="5">
        <f t="shared" si="383"/>
        <v>0.314</v>
      </c>
      <c r="IS55" s="5">
        <f t="shared" si="229"/>
        <v>0.30200377493724107</v>
      </c>
      <c r="IT55" s="727">
        <f t="shared" si="230"/>
        <v>53.297974755549546</v>
      </c>
      <c r="IU55" s="9">
        <f t="shared" si="231"/>
        <v>-5.9253178707586969</v>
      </c>
      <c r="IV55" s="5">
        <f t="shared" si="232"/>
        <v>-0.72150217605056233</v>
      </c>
      <c r="IW55" s="5">
        <f t="shared" si="384"/>
        <v>0.25700000000000001</v>
      </c>
      <c r="IX55" s="5">
        <f t="shared" si="233"/>
        <v>0.25700000000000001</v>
      </c>
      <c r="IY55" s="762">
        <f t="shared" si="234"/>
        <v>37.9</v>
      </c>
    </row>
    <row r="56" spans="1:259" ht="15" customHeight="1" x14ac:dyDescent="0.25">
      <c r="A56" s="79"/>
      <c r="B56" s="707">
        <v>4.7622138996434948</v>
      </c>
      <c r="C56" s="708">
        <v>-4.9086545734851628</v>
      </c>
      <c r="D56" s="709">
        <v>-1.9083057554501588</v>
      </c>
      <c r="E56" s="710">
        <v>0.63004899524760438</v>
      </c>
      <c r="F56" s="708">
        <v>-0.64942301965809468</v>
      </c>
      <c r="G56" s="711">
        <v>0.425779291565062</v>
      </c>
      <c r="H56" s="710">
        <v>0.25700000000000001</v>
      </c>
      <c r="I56" s="708">
        <v>0.41499999999999992</v>
      </c>
      <c r="J56" s="570">
        <v>3.23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CPS-32193r1</v>
      </c>
      <c r="L56" s="320"/>
      <c r="M56" s="168">
        <f t="shared" si="239"/>
        <v>3.23</v>
      </c>
      <c r="N56" s="632">
        <f t="shared" si="240"/>
        <v>4.7622138996434948</v>
      </c>
      <c r="O56" s="629">
        <f t="shared" si="241"/>
        <v>-4.9086545734851628</v>
      </c>
      <c r="P56" s="633">
        <f t="shared" si="242"/>
        <v>-1.9083057554501588</v>
      </c>
      <c r="Q56" s="585">
        <f t="shared" si="113"/>
        <v>314.13246763927555</v>
      </c>
      <c r="R56" s="629">
        <f t="shared" si="410"/>
        <v>6.8391206267878113</v>
      </c>
      <c r="S56" s="634">
        <f t="shared" si="411"/>
        <v>-1.9083057554501588</v>
      </c>
      <c r="T56" s="635">
        <f t="shared" si="412"/>
        <v>-4.9465044340308806</v>
      </c>
      <c r="U56" s="629">
        <f t="shared" si="413"/>
        <v>-4.7228873405859844</v>
      </c>
      <c r="V56" s="636">
        <f t="shared" si="414"/>
        <v>-1.9083057554501588</v>
      </c>
      <c r="W56" s="585">
        <f t="shared" si="224"/>
        <v>223.67519771696541</v>
      </c>
      <c r="X56" s="629">
        <f t="shared" si="415"/>
        <v>6.8391206267878113</v>
      </c>
      <c r="Y56" s="630">
        <f t="shared" si="223"/>
        <v>-1.9083057554501588</v>
      </c>
      <c r="Z56" s="632">
        <f t="shared" si="243"/>
        <v>-0.63004899524760438</v>
      </c>
      <c r="AA56" s="629">
        <f t="shared" si="244"/>
        <v>0.64942301965809468</v>
      </c>
      <c r="AB56" s="629">
        <f t="shared" si="245"/>
        <v>-0.425779291565062</v>
      </c>
      <c r="AC56" s="636">
        <f t="shared" si="416"/>
        <v>1</v>
      </c>
      <c r="AD56" s="637">
        <f t="shared" si="417"/>
        <v>-0.63004899524760438</v>
      </c>
      <c r="AE56" s="629">
        <f t="shared" si="418"/>
        <v>0.64942301965809468</v>
      </c>
      <c r="AF56" s="633">
        <f t="shared" si="419"/>
        <v>-0.425779291565062</v>
      </c>
      <c r="AG56" s="602">
        <f t="shared" si="420"/>
        <v>56.750067716374843</v>
      </c>
      <c r="AH56" s="603">
        <f t="shared" si="421"/>
        <v>129.05373740911517</v>
      </c>
      <c r="AI56" s="585">
        <f t="shared" si="422"/>
        <v>-64.800000000000679</v>
      </c>
      <c r="AJ56" s="586">
        <f t="shared" si="423"/>
        <v>-135.8675179995376</v>
      </c>
      <c r="AK56" s="635">
        <f t="shared" si="424"/>
        <v>2.2679489636301398E-7</v>
      </c>
      <c r="AL56" s="629">
        <f t="shared" si="425"/>
        <v>-0.90482705246599604</v>
      </c>
      <c r="AM56" s="634">
        <f t="shared" si="426"/>
        <v>-0.425779291565062</v>
      </c>
      <c r="AN56" s="581">
        <f t="shared" si="427"/>
        <v>-64.799999999999983</v>
      </c>
      <c r="AO56" s="582">
        <f t="shared" ref="AO56:AO119" si="461">IF(ROUND(IF(M56="",0,DEGREES(ACOS(AK56))),4)=90,0,IF(M56="","",DEGREES(ACOS(AK56))))</f>
        <v>0</v>
      </c>
      <c r="AP56" s="585">
        <f t="shared" si="428"/>
        <v>-89.999985638813143</v>
      </c>
      <c r="AQ56" s="586">
        <f t="shared" si="246"/>
        <v>0.33333246133066824</v>
      </c>
      <c r="AS56" s="52">
        <f t="shared" si="406"/>
        <v>-136.32480228303459</v>
      </c>
      <c r="AT56" s="72">
        <f t="shared" si="247"/>
        <v>-1.8112394514907104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3.23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</v>
      </c>
      <c r="II56" s="734" cm="1">
        <f t="array" ref="II56">IFERROR(ROUND(VALUE(IF($IH56&lt;1,$IH56+LARGE((IF($M$9:$M$150="",0,$M$9:$M$150)-MOD(IF($M$9:$M$150="",0,$M$9:$M$150),1)),1),$IH56)),4),"")</f>
        <v>3.13</v>
      </c>
      <c r="IJ56" s="533">
        <f t="shared" si="112"/>
        <v>1613</v>
      </c>
      <c r="IK56" s="533" t="str">
        <f t="shared" si="382"/>
        <v>CPS-32193r1</v>
      </c>
      <c r="IL56" s="727">
        <f t="shared" si="225"/>
        <v>8.4580746300471219</v>
      </c>
      <c r="IM56" s="759">
        <v>1.0484289128996099E-4</v>
      </c>
      <c r="IN56" s="5">
        <f t="shared" si="226"/>
        <v>0</v>
      </c>
      <c r="IO56" s="771">
        <v>0</v>
      </c>
      <c r="IP56" s="9">
        <f t="shared" si="227"/>
        <v>-6.7944222244729655</v>
      </c>
      <c r="IQ56" s="5">
        <f t="shared" si="228"/>
        <v>-1.9074999039898377</v>
      </c>
      <c r="IR56" s="5">
        <f t="shared" si="383"/>
        <v>0.314</v>
      </c>
      <c r="IS56" s="5">
        <f t="shared" si="229"/>
        <v>0.30140314912083954</v>
      </c>
      <c r="IT56" s="727">
        <f t="shared" si="230"/>
        <v>83.576251790423797</v>
      </c>
      <c r="IU56" s="9">
        <f t="shared" si="231"/>
        <v>-6.8391206267878113</v>
      </c>
      <c r="IV56" s="5">
        <f t="shared" si="232"/>
        <v>-1.9083057554501588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64.799999999999983</v>
      </c>
    </row>
    <row r="57" spans="1:259" ht="15" customHeight="1" x14ac:dyDescent="0.25">
      <c r="A57" s="79"/>
      <c r="B57" s="707">
        <v>-0.55277334349801244</v>
      </c>
      <c r="C57" s="708">
        <v>-3.2299543261218986</v>
      </c>
      <c r="D57" s="709">
        <v>-0.13189999999999991</v>
      </c>
      <c r="E57" s="710">
        <v>0.9512512425641978</v>
      </c>
      <c r="F57" s="708">
        <v>-0.16773125949652035</v>
      </c>
      <c r="G57" s="711">
        <v>0.25881904510252079</v>
      </c>
      <c r="H57" s="710">
        <v>0.314</v>
      </c>
      <c r="I57" s="708">
        <v>0.52</v>
      </c>
      <c r="J57" s="570">
        <v>4.1130000000000004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4.1130000000000004</v>
      </c>
      <c r="N57" s="632">
        <f t="shared" si="240"/>
        <v>-0.55277334349801244</v>
      </c>
      <c r="O57" s="629">
        <f t="shared" si="241"/>
        <v>-3.2299543261218986</v>
      </c>
      <c r="P57" s="633">
        <f t="shared" si="242"/>
        <v>-0.13189999999999991</v>
      </c>
      <c r="Q57" s="585">
        <f t="shared" si="113"/>
        <v>260.28850204313079</v>
      </c>
      <c r="R57" s="629">
        <f t="shared" si="410"/>
        <v>3.2769136879258109</v>
      </c>
      <c r="S57" s="634">
        <f t="shared" si="411"/>
        <v>-0.13189999999999991</v>
      </c>
      <c r="T57" s="635">
        <f t="shared" si="412"/>
        <v>-3.2254398989682111</v>
      </c>
      <c r="U57" s="629">
        <f t="shared" si="413"/>
        <v>0.57853329745095428</v>
      </c>
      <c r="V57" s="636">
        <f t="shared" si="414"/>
        <v>-0.13189999999999991</v>
      </c>
      <c r="W57" s="585">
        <f t="shared" si="224"/>
        <v>169.83123212082066</v>
      </c>
      <c r="X57" s="629">
        <f t="shared" si="415"/>
        <v>3.2769136879258109</v>
      </c>
      <c r="Y57" s="630">
        <f t="shared" si="223"/>
        <v>-0.13189999999999991</v>
      </c>
      <c r="Z57" s="632">
        <f t="shared" si="243"/>
        <v>-0.9512512425641978</v>
      </c>
      <c r="AA57" s="629">
        <f t="shared" si="244"/>
        <v>0.16773125949652035</v>
      </c>
      <c r="AB57" s="629">
        <f t="shared" si="245"/>
        <v>-0.25881904510252079</v>
      </c>
      <c r="AC57" s="636">
        <f t="shared" si="416"/>
        <v>1</v>
      </c>
      <c r="AD57" s="637">
        <f t="shared" si="417"/>
        <v>-0.9512512425641978</v>
      </c>
      <c r="AE57" s="629">
        <f t="shared" si="418"/>
        <v>0.16773125949652035</v>
      </c>
      <c r="AF57" s="633">
        <f t="shared" si="419"/>
        <v>-0.25881904510252079</v>
      </c>
      <c r="AG57" s="602">
        <f t="shared" si="420"/>
        <v>32.94581271579252</v>
      </c>
      <c r="AH57" s="603">
        <f t="shared" si="421"/>
        <v>162.03613987016863</v>
      </c>
      <c r="AI57" s="585">
        <f t="shared" si="422"/>
        <v>-74.999999999999986</v>
      </c>
      <c r="AJ57" s="586">
        <f t="shared" si="423"/>
        <v>-99.999999999999972</v>
      </c>
      <c r="AK57" s="635">
        <f t="shared" si="424"/>
        <v>0.96591358110306957</v>
      </c>
      <c r="AL57" s="629">
        <f t="shared" si="425"/>
        <v>-4.8637159521581208E-3</v>
      </c>
      <c r="AM57" s="634">
        <f t="shared" si="426"/>
        <v>-0.25881904510252079</v>
      </c>
      <c r="AN57" s="581">
        <f t="shared" si="427"/>
        <v>-1.0765730189991891</v>
      </c>
      <c r="AO57" s="582">
        <f t="shared" si="461"/>
        <v>15.002710525214612</v>
      </c>
      <c r="AP57" s="585">
        <f t="shared" si="428"/>
        <v>-0.28850204313076422</v>
      </c>
      <c r="AQ57" s="586">
        <f t="shared" si="246"/>
        <v>0.69565903299743881</v>
      </c>
      <c r="AS57" s="52">
        <f t="shared" si="406"/>
        <v>-190.16876787917934</v>
      </c>
      <c r="AT57" s="72">
        <f t="shared" si="247"/>
        <v>2.5579467345489548E-3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4.1130000000000004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-0.68620748830372047</v>
      </c>
      <c r="C58" s="708">
        <v>-3.9659653919354301</v>
      </c>
      <c r="D58" s="709">
        <v>-6.1199999999999879E-2</v>
      </c>
      <c r="E58" s="710">
        <v>0.94647646894822168</v>
      </c>
      <c r="F58" s="708">
        <v>-0.19354938563005916</v>
      </c>
      <c r="G58" s="711">
        <v>0.25830394702662374</v>
      </c>
      <c r="H58" s="710">
        <v>0.314</v>
      </c>
      <c r="I58" s="708">
        <v>0.52</v>
      </c>
      <c r="J58" s="570">
        <v>4.1159999999999997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4.1159999999999997</v>
      </c>
      <c r="N58" s="632">
        <f t="shared" si="240"/>
        <v>-0.68620748830372047</v>
      </c>
      <c r="O58" s="629">
        <f t="shared" si="241"/>
        <v>-3.9659653919354301</v>
      </c>
      <c r="P58" s="633">
        <f t="shared" si="242"/>
        <v>-6.1199999999999879E-2</v>
      </c>
      <c r="Q58" s="585">
        <f t="shared" si="113"/>
        <v>260.1836393642169</v>
      </c>
      <c r="R58" s="629">
        <f t="shared" si="410"/>
        <v>4.0248928193224787</v>
      </c>
      <c r="S58" s="634">
        <f t="shared" si="411"/>
        <v>-6.1199999999999879E-2</v>
      </c>
      <c r="T58" s="635">
        <f t="shared" si="412"/>
        <v>-3.9603626163950776</v>
      </c>
      <c r="U58" s="629">
        <f t="shared" si="413"/>
        <v>0.71783713591175069</v>
      </c>
      <c r="V58" s="636">
        <f t="shared" si="414"/>
        <v>-6.1199999999999879E-2</v>
      </c>
      <c r="W58" s="585">
        <f t="shared" si="224"/>
        <v>169.72636944190677</v>
      </c>
      <c r="X58" s="629">
        <f t="shared" si="415"/>
        <v>4.0248928193224787</v>
      </c>
      <c r="Y58" s="630">
        <f t="shared" si="223"/>
        <v>-6.1199999999999879E-2</v>
      </c>
      <c r="Z58" s="632">
        <f t="shared" si="243"/>
        <v>-0.94647646894822168</v>
      </c>
      <c r="AA58" s="629">
        <f t="shared" si="244"/>
        <v>0.19354938563005916</v>
      </c>
      <c r="AB58" s="629">
        <f t="shared" si="245"/>
        <v>-0.25830394702662374</v>
      </c>
      <c r="AC58" s="636">
        <f t="shared" si="416"/>
        <v>1</v>
      </c>
      <c r="AD58" s="637">
        <f t="shared" si="417"/>
        <v>-0.94647646894822168</v>
      </c>
      <c r="AE58" s="629">
        <f t="shared" si="418"/>
        <v>0.19354938563005916</v>
      </c>
      <c r="AF58" s="633">
        <f t="shared" si="419"/>
        <v>-0.25830394702662374</v>
      </c>
      <c r="AG58" s="602">
        <f t="shared" si="420"/>
        <v>36.84453845107808</v>
      </c>
      <c r="AH58" s="603">
        <f t="shared" si="421"/>
        <v>161.16930352481771</v>
      </c>
      <c r="AI58" s="585">
        <f t="shared" si="422"/>
        <v>-75.030551868625821</v>
      </c>
      <c r="AJ58" s="586">
        <f t="shared" si="423"/>
        <v>-101.55733743877711</v>
      </c>
      <c r="AK58" s="635">
        <f t="shared" si="424"/>
        <v>0.96561775241509518</v>
      </c>
      <c r="AL58" s="629">
        <f t="shared" si="425"/>
        <v>-2.9350079578896709E-2</v>
      </c>
      <c r="AM58" s="634">
        <f t="shared" si="426"/>
        <v>-0.25830394702662374</v>
      </c>
      <c r="AN58" s="581">
        <f t="shared" si="427"/>
        <v>-6.4824951985888326</v>
      </c>
      <c r="AO58" s="582">
        <f t="shared" si="461"/>
        <v>15.068048717109431</v>
      </c>
      <c r="AP58" s="585">
        <f t="shared" si="428"/>
        <v>-1.7409768029940118</v>
      </c>
      <c r="AQ58" s="586">
        <f t="shared" si="246"/>
        <v>0.56638834262822069</v>
      </c>
      <c r="AS58" s="52">
        <f t="shared" si="406"/>
        <v>-190.27363055809323</v>
      </c>
      <c r="AT58" s="72">
        <f t="shared" si="247"/>
        <v>7.3330768039350305E-2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4.1159999999999997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-0.84920893864886016</v>
      </c>
      <c r="C59" s="708">
        <v>-4.697473742663826</v>
      </c>
      <c r="D59" s="709">
        <v>-0.17390000000000003</v>
      </c>
      <c r="E59" s="710">
        <v>0.92881711756732677</v>
      </c>
      <c r="F59" s="708">
        <v>-0.28194779820658233</v>
      </c>
      <c r="G59" s="711">
        <v>0.2404250427896045</v>
      </c>
      <c r="H59" s="710">
        <v>0.314</v>
      </c>
      <c r="I59" s="708">
        <v>0.52</v>
      </c>
      <c r="J59" s="570">
        <v>4.1189999999999998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4.1189999999999998</v>
      </c>
      <c r="N59" s="632">
        <f t="shared" si="240"/>
        <v>-0.84920893864886016</v>
      </c>
      <c r="O59" s="629">
        <f t="shared" si="241"/>
        <v>-4.697473742663826</v>
      </c>
      <c r="P59" s="633">
        <f t="shared" si="242"/>
        <v>-0.17390000000000003</v>
      </c>
      <c r="Q59" s="585">
        <f t="shared" si="113"/>
        <v>259.75274830710384</v>
      </c>
      <c r="R59" s="629">
        <f t="shared" si="79"/>
        <v>4.7736165937889501</v>
      </c>
      <c r="S59" s="634">
        <f t="shared" si="80"/>
        <v>-0.17390000000000003</v>
      </c>
      <c r="T59" s="635">
        <f t="shared" si="81"/>
        <v>-4.6905467919444588</v>
      </c>
      <c r="U59" s="629">
        <f t="shared" si="82"/>
        <v>0.88667140310081383</v>
      </c>
      <c r="V59" s="636">
        <f t="shared" si="114"/>
        <v>-0.17390000000000003</v>
      </c>
      <c r="W59" s="585">
        <f t="shared" si="224"/>
        <v>169.29547838479371</v>
      </c>
      <c r="X59" s="629">
        <f t="shared" si="83"/>
        <v>4.7736165937889501</v>
      </c>
      <c r="Y59" s="630">
        <f t="shared" si="223"/>
        <v>-0.17390000000000003</v>
      </c>
      <c r="Z59" s="632">
        <f t="shared" si="243"/>
        <v>-0.92881711756732677</v>
      </c>
      <c r="AA59" s="629">
        <f t="shared" si="244"/>
        <v>0.28194779820658233</v>
      </c>
      <c r="AB59" s="629">
        <f t="shared" si="245"/>
        <v>-0.2404250427896045</v>
      </c>
      <c r="AC59" s="636">
        <f t="shared" si="84"/>
        <v>1</v>
      </c>
      <c r="AD59" s="637">
        <f t="shared" si="115"/>
        <v>-0.92881711756732677</v>
      </c>
      <c r="AE59" s="629">
        <f t="shared" si="85"/>
        <v>0.28194779820658233</v>
      </c>
      <c r="AF59" s="633">
        <f t="shared" si="86"/>
        <v>-0.2404250427896045</v>
      </c>
      <c r="AG59" s="602">
        <f t="shared" si="87"/>
        <v>49.544812938347278</v>
      </c>
      <c r="AH59" s="603">
        <f t="shared" si="88"/>
        <v>158.25116968697847</v>
      </c>
      <c r="AI59" s="585">
        <f t="shared" si="89"/>
        <v>-76.088371918877883</v>
      </c>
      <c r="AJ59" s="586">
        <f t="shared" si="90"/>
        <v>-106.88596981660281</v>
      </c>
      <c r="AK59" s="635">
        <f t="shared" si="211"/>
        <v>0.96415925358711341</v>
      </c>
      <c r="AL59" s="629">
        <f t="shared" si="91"/>
        <v>-0.11221734501385036</v>
      </c>
      <c r="AM59" s="634">
        <f t="shared" si="92"/>
        <v>-0.2404250427896045</v>
      </c>
      <c r="AN59" s="581">
        <f t="shared" si="93"/>
        <v>-25.020609907229723</v>
      </c>
      <c r="AO59" s="582">
        <f t="shared" si="461"/>
        <v>15.386217991966889</v>
      </c>
      <c r="AP59" s="585">
        <f t="shared" si="95"/>
        <v>-6.6387181237066715</v>
      </c>
      <c r="AQ59" s="586">
        <f t="shared" si="246"/>
        <v>0.47755696233681</v>
      </c>
      <c r="AS59" s="52">
        <f t="shared" si="406"/>
        <v>-190.70452161520629</v>
      </c>
      <c r="AT59" s="72">
        <f t="shared" si="247"/>
        <v>-3.9070002059876902E-2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4.1189999999999998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-1.0330895775187869</v>
      </c>
      <c r="C60" s="708">
        <v>-5.374630741186909</v>
      </c>
      <c r="D60" s="709">
        <v>-0.46170000000000089</v>
      </c>
      <c r="E60" s="710">
        <v>0.91113575317616635</v>
      </c>
      <c r="F60" s="708">
        <v>-0.36002807284270033</v>
      </c>
      <c r="G60" s="711">
        <v>0.20052786851026871</v>
      </c>
      <c r="H60" s="710">
        <v>0.314</v>
      </c>
      <c r="I60" s="708">
        <v>0.52</v>
      </c>
      <c r="J60" s="570">
        <v>4.1219999999999999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4.1219999999999999</v>
      </c>
      <c r="N60" s="632">
        <f t="shared" si="240"/>
        <v>-1.0330895775187869</v>
      </c>
      <c r="O60" s="629">
        <f t="shared" si="241"/>
        <v>-5.374630741186909</v>
      </c>
      <c r="P60" s="633">
        <f t="shared" si="242"/>
        <v>-0.46170000000000089</v>
      </c>
      <c r="Q60" s="585">
        <f t="shared" si="113"/>
        <v>259.1195438285983</v>
      </c>
      <c r="R60" s="629">
        <f t="shared" si="79"/>
        <v>5.4730183335422229</v>
      </c>
      <c r="S60" s="634">
        <f t="shared" si="80"/>
        <v>-0.46170000000000089</v>
      </c>
      <c r="T60" s="635">
        <f t="shared" si="81"/>
        <v>-5.366214713981849</v>
      </c>
      <c r="U60" s="629">
        <f t="shared" si="82"/>
        <v>1.075950427637814</v>
      </c>
      <c r="V60" s="636">
        <f t="shared" si="114"/>
        <v>-0.46170000000000089</v>
      </c>
      <c r="W60" s="585">
        <f t="shared" si="224"/>
        <v>168.66227390628816</v>
      </c>
      <c r="X60" s="629">
        <f t="shared" si="83"/>
        <v>5.4730183335422229</v>
      </c>
      <c r="Y60" s="630">
        <f t="shared" si="223"/>
        <v>-0.46170000000000089</v>
      </c>
      <c r="Z60" s="632">
        <f t="shared" si="243"/>
        <v>-0.91113575317616635</v>
      </c>
      <c r="AA60" s="629">
        <f t="shared" si="244"/>
        <v>0.36002807284270033</v>
      </c>
      <c r="AB60" s="629">
        <f t="shared" si="245"/>
        <v>-0.20052786851026871</v>
      </c>
      <c r="AC60" s="636">
        <f t="shared" si="84"/>
        <v>1</v>
      </c>
      <c r="AD60" s="637">
        <f t="shared" si="115"/>
        <v>-0.91113575317616635</v>
      </c>
      <c r="AE60" s="629">
        <f t="shared" si="85"/>
        <v>0.36002807284270033</v>
      </c>
      <c r="AF60" s="633">
        <f t="shared" si="86"/>
        <v>-0.20052786851026871</v>
      </c>
      <c r="AG60" s="602">
        <f t="shared" si="87"/>
        <v>60.883136630806128</v>
      </c>
      <c r="AH60" s="603">
        <f t="shared" si="88"/>
        <v>155.66277906920465</v>
      </c>
      <c r="AI60" s="585">
        <f t="shared" si="89"/>
        <v>-78.432170964000605</v>
      </c>
      <c r="AJ60" s="586">
        <f t="shared" si="90"/>
        <v>-111.5610612459927</v>
      </c>
      <c r="AK60" s="635">
        <f t="shared" si="211"/>
        <v>0.9627154811069174</v>
      </c>
      <c r="AL60" s="629">
        <f t="shared" si="91"/>
        <v>-0.18156948088212749</v>
      </c>
      <c r="AM60" s="634">
        <f t="shared" si="92"/>
        <v>-0.20052786851026871</v>
      </c>
      <c r="AN60" s="581">
        <f t="shared" si="93"/>
        <v>-42.159505177110908</v>
      </c>
      <c r="AO60" s="582">
        <f t="shared" si="461"/>
        <v>15.694973736081366</v>
      </c>
      <c r="AP60" s="585">
        <f t="shared" si="95"/>
        <v>-10.680605074591002</v>
      </c>
      <c r="AQ60" s="586">
        <f t="shared" si="246"/>
        <v>0.41653185338041537</v>
      </c>
      <c r="AS60" s="52">
        <f t="shared" si="406"/>
        <v>-191.33772609371184</v>
      </c>
      <c r="AT60" s="72">
        <f t="shared" si="247"/>
        <v>-0.32643027672758224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4.1219999999999999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-1.2177884102978618</v>
      </c>
      <c r="C61" s="708">
        <v>-5.9585288497384328</v>
      </c>
      <c r="D61" s="709">
        <v>-0.90800000000000003</v>
      </c>
      <c r="E61" s="710">
        <v>0.89524031791408243</v>
      </c>
      <c r="F61" s="708">
        <v>-0.42196778879391711</v>
      </c>
      <c r="G61" s="711">
        <v>0.14313615336966701</v>
      </c>
      <c r="H61" s="710">
        <v>0.314</v>
      </c>
      <c r="I61" s="708">
        <v>0.52</v>
      </c>
      <c r="J61" s="570">
        <v>4.125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4.125</v>
      </c>
      <c r="N61" s="632">
        <f t="shared" si="240"/>
        <v>-1.2177884102978618</v>
      </c>
      <c r="O61" s="629">
        <f t="shared" si="241"/>
        <v>-5.9585288497384328</v>
      </c>
      <c r="P61" s="633">
        <f t="shared" si="242"/>
        <v>-0.90800000000000003</v>
      </c>
      <c r="Q61" s="585">
        <f t="shared" si="113"/>
        <v>258.44911371261981</v>
      </c>
      <c r="R61" s="629">
        <f t="shared" si="79"/>
        <v>6.0816999815364952</v>
      </c>
      <c r="S61" s="634">
        <f t="shared" si="80"/>
        <v>-0.90800000000000003</v>
      </c>
      <c r="T61" s="635">
        <f t="shared" si="81"/>
        <v>-5.9486201862315307</v>
      </c>
      <c r="U61" s="629">
        <f t="shared" si="82"/>
        <v>1.2653033412505323</v>
      </c>
      <c r="V61" s="636">
        <f t="shared" si="114"/>
        <v>-0.90800000000000003</v>
      </c>
      <c r="W61" s="585">
        <f t="shared" si="224"/>
        <v>167.99184379030967</v>
      </c>
      <c r="X61" s="629">
        <f t="shared" si="83"/>
        <v>6.0816999815364952</v>
      </c>
      <c r="Y61" s="630">
        <f t="shared" si="223"/>
        <v>-0.90800000000000003</v>
      </c>
      <c r="Z61" s="632">
        <f t="shared" si="243"/>
        <v>-0.89524031791408243</v>
      </c>
      <c r="AA61" s="629">
        <f t="shared" si="244"/>
        <v>0.42196778879391711</v>
      </c>
      <c r="AB61" s="629">
        <f t="shared" si="245"/>
        <v>-0.14313615336966701</v>
      </c>
      <c r="AC61" s="636">
        <f t="shared" si="84"/>
        <v>1</v>
      </c>
      <c r="AD61" s="637">
        <f t="shared" si="115"/>
        <v>-0.89524031791408243</v>
      </c>
      <c r="AE61" s="629">
        <f t="shared" si="85"/>
        <v>0.42196778879391711</v>
      </c>
      <c r="AF61" s="633">
        <f t="shared" si="86"/>
        <v>-0.14313615336966701</v>
      </c>
      <c r="AG61" s="602">
        <f t="shared" si="87"/>
        <v>71.262493942531378</v>
      </c>
      <c r="AH61" s="603">
        <f t="shared" si="88"/>
        <v>153.53931457601627</v>
      </c>
      <c r="AI61" s="585">
        <f t="shared" si="89"/>
        <v>-81.770637180877657</v>
      </c>
      <c r="AJ61" s="586">
        <f t="shared" si="90"/>
        <v>-115.23665033043052</v>
      </c>
      <c r="AK61" s="635">
        <f t="shared" si="211"/>
        <v>0.96160329549416823</v>
      </c>
      <c r="AL61" s="629">
        <f t="shared" si="91"/>
        <v>-0.23416050839817254</v>
      </c>
      <c r="AM61" s="634">
        <f t="shared" si="92"/>
        <v>-0.14313615336966701</v>
      </c>
      <c r="AN61" s="581">
        <f t="shared" si="93"/>
        <v>-58.563653485685201</v>
      </c>
      <c r="AO61" s="582">
        <f t="shared" si="461"/>
        <v>15.928838756316642</v>
      </c>
      <c r="AP61" s="585">
        <f t="shared" si="95"/>
        <v>-13.685764043050305</v>
      </c>
      <c r="AQ61" s="586">
        <f t="shared" si="246"/>
        <v>0.37484488113885855</v>
      </c>
      <c r="AS61" s="52">
        <f t="shared" si="406"/>
        <v>-192.00815620969033</v>
      </c>
      <c r="AT61" s="72">
        <f t="shared" si="247"/>
        <v>-0.77226470025815186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4.125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-1.378488343651759</v>
      </c>
      <c r="C62" s="708">
        <v>-6.4115053297239291</v>
      </c>
      <c r="D62" s="709">
        <v>-1.4772000000000001</v>
      </c>
      <c r="E62" s="710">
        <v>0.88311192382813308</v>
      </c>
      <c r="F62" s="708">
        <v>-0.46281915187565925</v>
      </c>
      <c r="G62" s="711">
        <v>7.6887987681232062E-2</v>
      </c>
      <c r="H62" s="710">
        <v>0.314</v>
      </c>
      <c r="I62" s="708">
        <v>0.52</v>
      </c>
      <c r="J62" s="570">
        <v>4.1280000000000001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4.1280000000000001</v>
      </c>
      <c r="N62" s="632">
        <f t="shared" si="240"/>
        <v>-1.378488343651759</v>
      </c>
      <c r="O62" s="629">
        <f t="shared" si="241"/>
        <v>-6.4115053297239291</v>
      </c>
      <c r="P62" s="633">
        <f t="shared" si="242"/>
        <v>-1.4772000000000001</v>
      </c>
      <c r="Q62" s="585">
        <f t="shared" si="113"/>
        <v>257.86599428752044</v>
      </c>
      <c r="R62" s="629">
        <f t="shared" si="79"/>
        <v>6.5580203344196875</v>
      </c>
      <c r="S62" s="634">
        <f t="shared" si="80"/>
        <v>-1.4772000000000001</v>
      </c>
      <c r="T62" s="635">
        <f t="shared" si="81"/>
        <v>-6.400299729328772</v>
      </c>
      <c r="U62" s="629">
        <f t="shared" si="82"/>
        <v>1.4296132628848122</v>
      </c>
      <c r="V62" s="636">
        <f t="shared" si="114"/>
        <v>-1.4772000000000001</v>
      </c>
      <c r="W62" s="585">
        <f t="shared" si="224"/>
        <v>167.4087243652103</v>
      </c>
      <c r="X62" s="629">
        <f t="shared" si="83"/>
        <v>6.5580203344196875</v>
      </c>
      <c r="Y62" s="630">
        <f t="shared" si="223"/>
        <v>-1.4772000000000001</v>
      </c>
      <c r="Z62" s="632">
        <f t="shared" si="243"/>
        <v>-0.88311192382813308</v>
      </c>
      <c r="AA62" s="629">
        <f t="shared" si="244"/>
        <v>0.46281915187565925</v>
      </c>
      <c r="AB62" s="629">
        <f t="shared" si="245"/>
        <v>-7.6887987681232062E-2</v>
      </c>
      <c r="AC62" s="636">
        <f t="shared" si="84"/>
        <v>1</v>
      </c>
      <c r="AD62" s="637">
        <f t="shared" si="115"/>
        <v>-0.88311192382813308</v>
      </c>
      <c r="AE62" s="629">
        <f t="shared" si="85"/>
        <v>0.46281915187565925</v>
      </c>
      <c r="AF62" s="633">
        <f t="shared" si="86"/>
        <v>-7.6887987681232062E-2</v>
      </c>
      <c r="AG62" s="602">
        <f t="shared" si="87"/>
        <v>80.567617118276189</v>
      </c>
      <c r="AH62" s="603">
        <f t="shared" si="88"/>
        <v>152.02006207222573</v>
      </c>
      <c r="AI62" s="585">
        <f t="shared" si="89"/>
        <v>-85.590290651607219</v>
      </c>
      <c r="AJ62" s="586">
        <f t="shared" si="90"/>
        <v>-117.65802539453225</v>
      </c>
      <c r="AK62" s="635">
        <f t="shared" si="211"/>
        <v>0.96066606859701087</v>
      </c>
      <c r="AL62" s="629">
        <f t="shared" si="91"/>
        <v>-0.26685003653118355</v>
      </c>
      <c r="AM62" s="634">
        <f t="shared" si="92"/>
        <v>-7.6887987681232062E-2</v>
      </c>
      <c r="AN62" s="581">
        <f t="shared" si="93"/>
        <v>-73.926625256470089</v>
      </c>
      <c r="AO62" s="582">
        <f t="shared" si="461"/>
        <v>16.123348044758785</v>
      </c>
      <c r="AP62" s="585">
        <f t="shared" si="95"/>
        <v>-15.524019682052677</v>
      </c>
      <c r="AQ62" s="586">
        <f t="shared" si="246"/>
        <v>0.34761994374788724</v>
      </c>
      <c r="AS62" s="52">
        <f t="shared" si="406"/>
        <v>-192.5912756347897</v>
      </c>
      <c r="AT62" s="72">
        <f t="shared" si="247"/>
        <v>-1.341059756212944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4.1280000000000001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-1.501257923212612</v>
      </c>
      <c r="C63" s="708">
        <v>-6.7311426246919153</v>
      </c>
      <c r="D63" s="709">
        <v>-2.14</v>
      </c>
      <c r="E63" s="710">
        <v>0.83933568767687428</v>
      </c>
      <c r="F63" s="708">
        <v>-0.54026642428356131</v>
      </c>
      <c r="G63" s="711">
        <v>6.0231172857945381E-2</v>
      </c>
      <c r="H63" s="710">
        <v>0.314</v>
      </c>
      <c r="I63" s="708">
        <v>0.52</v>
      </c>
      <c r="J63" s="570">
        <v>4.1310000000000002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4.1310000000000002</v>
      </c>
      <c r="N63" s="632">
        <f t="shared" si="240"/>
        <v>-1.501257923212612</v>
      </c>
      <c r="O63" s="629">
        <f t="shared" si="241"/>
        <v>-6.7311426246919153</v>
      </c>
      <c r="P63" s="633">
        <f t="shared" si="242"/>
        <v>-2.14</v>
      </c>
      <c r="Q63" s="585">
        <f t="shared" si="113"/>
        <v>257.42700488920116</v>
      </c>
      <c r="R63" s="629">
        <f t="shared" si="79"/>
        <v>6.8965249499985868</v>
      </c>
      <c r="S63" s="634">
        <f t="shared" si="80"/>
        <v>-2.14</v>
      </c>
      <c r="T63" s="635">
        <f t="shared" si="81"/>
        <v>-6.7189470477000812</v>
      </c>
      <c r="U63" s="629">
        <f t="shared" si="82"/>
        <v>1.5549298878584104</v>
      </c>
      <c r="V63" s="636">
        <f t="shared" si="114"/>
        <v>-2.14</v>
      </c>
      <c r="W63" s="585">
        <f t="shared" si="224"/>
        <v>166.96973496689102</v>
      </c>
      <c r="X63" s="629">
        <f t="shared" si="83"/>
        <v>6.8965249499985868</v>
      </c>
      <c r="Y63" s="630">
        <f t="shared" si="223"/>
        <v>-2.14</v>
      </c>
      <c r="Z63" s="632">
        <f t="shared" si="243"/>
        <v>-0.83933568767687428</v>
      </c>
      <c r="AA63" s="629">
        <f t="shared" si="244"/>
        <v>0.54026642428356131</v>
      </c>
      <c r="AB63" s="629">
        <f t="shared" si="245"/>
        <v>-6.0231172857945381E-2</v>
      </c>
      <c r="AC63" s="636">
        <f t="shared" si="84"/>
        <v>1</v>
      </c>
      <c r="AD63" s="637">
        <f t="shared" si="115"/>
        <v>-0.83933568767687428</v>
      </c>
      <c r="AE63" s="629">
        <f t="shared" si="85"/>
        <v>0.54026642428356131</v>
      </c>
      <c r="AF63" s="633">
        <f t="shared" si="86"/>
        <v>-6.0231172857945381E-2</v>
      </c>
      <c r="AG63" s="602">
        <f t="shared" si="87"/>
        <v>83.638693099900692</v>
      </c>
      <c r="AH63" s="603">
        <f t="shared" si="88"/>
        <v>147.07003622524468</v>
      </c>
      <c r="AI63" s="585">
        <f t="shared" si="89"/>
        <v>-86.546918004932337</v>
      </c>
      <c r="AJ63" s="586">
        <f t="shared" si="90"/>
        <v>-122.76871011749721</v>
      </c>
      <c r="AK63" s="635">
        <f t="shared" si="211"/>
        <v>0.93681492065792848</v>
      </c>
      <c r="AL63" s="629">
        <f t="shared" si="91"/>
        <v>-0.34460123367282874</v>
      </c>
      <c r="AM63" s="634">
        <f t="shared" si="92"/>
        <v>-6.0231172857945381E-2</v>
      </c>
      <c r="AN63" s="581">
        <f t="shared" si="93"/>
        <v>-80.085700016690708</v>
      </c>
      <c r="AO63" s="582">
        <f t="shared" si="461"/>
        <v>20.47663564456769</v>
      </c>
      <c r="AP63" s="585">
        <f t="shared" si="95"/>
        <v>-20.195715006698375</v>
      </c>
      <c r="AQ63" s="586">
        <f t="shared" si="246"/>
        <v>0.3305579773542322</v>
      </c>
      <c r="AS63" s="52">
        <f t="shared" si="406"/>
        <v>-193.03026503310898</v>
      </c>
      <c r="AT63" s="72">
        <f t="shared" si="247"/>
        <v>-2.0035549024641113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4.1310000000000002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-1.5665323429816334</v>
      </c>
      <c r="C64" s="708">
        <v>-6.8928647633242575</v>
      </c>
      <c r="D64" s="709">
        <v>-2.8497000000000003</v>
      </c>
      <c r="E64" s="710">
        <v>0.79166296594038021</v>
      </c>
      <c r="F64" s="708">
        <v>-0.61044555978044335</v>
      </c>
      <c r="G64" s="711">
        <v>2.5019330583006039E-2</v>
      </c>
      <c r="H64" s="710">
        <v>0.314</v>
      </c>
      <c r="I64" s="708">
        <v>0.52</v>
      </c>
      <c r="J64" s="570">
        <v>4.1340000000000003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4.1340000000000003</v>
      </c>
      <c r="N64" s="632">
        <f t="shared" si="240"/>
        <v>-1.5665323429816334</v>
      </c>
      <c r="O64" s="629">
        <f t="shared" si="241"/>
        <v>-6.8928647633242575</v>
      </c>
      <c r="P64" s="633">
        <f t="shared" si="242"/>
        <v>-2.8497000000000003</v>
      </c>
      <c r="Q64" s="585">
        <f t="shared" si="113"/>
        <v>257.19595390897041</v>
      </c>
      <c r="R64" s="629">
        <f t="shared" si="79"/>
        <v>7.0686355279562045</v>
      </c>
      <c r="S64" s="634">
        <f t="shared" si="80"/>
        <v>-2.8497000000000003</v>
      </c>
      <c r="T64" s="635">
        <f t="shared" si="81"/>
        <v>-6.880143095128636</v>
      </c>
      <c r="U64" s="629">
        <f t="shared" si="82"/>
        <v>1.6214928978069694</v>
      </c>
      <c r="V64" s="636">
        <f t="shared" si="114"/>
        <v>-2.8497000000000003</v>
      </c>
      <c r="W64" s="585">
        <f t="shared" si="224"/>
        <v>166.73868398666028</v>
      </c>
      <c r="X64" s="629">
        <f t="shared" si="83"/>
        <v>7.0686355279562045</v>
      </c>
      <c r="Y64" s="630">
        <f t="shared" si="223"/>
        <v>-2.8497000000000003</v>
      </c>
      <c r="Z64" s="632">
        <f t="shared" si="243"/>
        <v>-0.79166296594038021</v>
      </c>
      <c r="AA64" s="629">
        <f t="shared" si="244"/>
        <v>0.61044555978044335</v>
      </c>
      <c r="AB64" s="629">
        <f t="shared" si="245"/>
        <v>-2.5019330583006039E-2</v>
      </c>
      <c r="AC64" s="636">
        <f t="shared" si="84"/>
        <v>1</v>
      </c>
      <c r="AD64" s="637">
        <f t="shared" si="115"/>
        <v>-0.79166296594038021</v>
      </c>
      <c r="AE64" s="629">
        <f t="shared" si="85"/>
        <v>0.61044555978044335</v>
      </c>
      <c r="AF64" s="633">
        <f t="shared" si="86"/>
        <v>-2.5019330583006039E-2</v>
      </c>
      <c r="AG64" s="602">
        <f t="shared" si="87"/>
        <v>87.653025452818355</v>
      </c>
      <c r="AH64" s="603">
        <f t="shared" si="88"/>
        <v>142.34119093751426</v>
      </c>
      <c r="AI64" s="585">
        <f t="shared" si="89"/>
        <v>-88.566348355068683</v>
      </c>
      <c r="AJ64" s="586">
        <f t="shared" si="90"/>
        <v>-127.63555541352267</v>
      </c>
      <c r="AK64" s="635">
        <f t="shared" si="211"/>
        <v>0.90726257564436474</v>
      </c>
      <c r="AL64" s="629">
        <f t="shared" si="91"/>
        <v>-0.41981978506536788</v>
      </c>
      <c r="AM64" s="634">
        <f t="shared" si="92"/>
        <v>-2.5019330583006039E-2</v>
      </c>
      <c r="AN64" s="581">
        <f t="shared" si="93"/>
        <v>-86.58946856334893</v>
      </c>
      <c r="AO64" s="582">
        <f t="shared" si="461"/>
        <v>24.87024088399324</v>
      </c>
      <c r="AP64" s="585">
        <f t="shared" si="95"/>
        <v>-24.831509322493059</v>
      </c>
      <c r="AQ64" s="586">
        <f t="shared" si="246"/>
        <v>0.32250956297533517</v>
      </c>
      <c r="AS64" s="52">
        <f t="shared" si="406"/>
        <v>-193.26131601333972</v>
      </c>
      <c r="AT64" s="72">
        <f t="shared" si="247"/>
        <v>-2.7130944503945069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4.1340000000000003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-1.5890874419527632</v>
      </c>
      <c r="C65" s="708">
        <v>-6.9505240861645596</v>
      </c>
      <c r="D65" s="709">
        <v>-3.5629000000000004</v>
      </c>
      <c r="E65" s="710">
        <v>0.74006936473780871</v>
      </c>
      <c r="F65" s="708">
        <v>-0.67244658592196338</v>
      </c>
      <c r="G65" s="711">
        <v>1.0626592044113259E-2</v>
      </c>
      <c r="H65" s="710">
        <v>0.314</v>
      </c>
      <c r="I65" s="708">
        <v>0.52</v>
      </c>
      <c r="J65" s="570">
        <v>4.1369999999999996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4.1369999999999996</v>
      </c>
      <c r="N65" s="632">
        <f t="shared" si="240"/>
        <v>-1.5890874419527632</v>
      </c>
      <c r="O65" s="629">
        <f t="shared" si="241"/>
        <v>-6.9505240861645596</v>
      </c>
      <c r="P65" s="633">
        <f t="shared" si="242"/>
        <v>-3.5629000000000004</v>
      </c>
      <c r="Q65" s="585">
        <f t="shared" si="113"/>
        <v>257.12189444018128</v>
      </c>
      <c r="R65" s="629">
        <f t="shared" si="79"/>
        <v>7.1298656348156841</v>
      </c>
      <c r="S65" s="634">
        <f t="shared" si="80"/>
        <v>-3.5629000000000004</v>
      </c>
      <c r="T65" s="635">
        <f t="shared" si="81"/>
        <v>-6.9376205743908068</v>
      </c>
      <c r="U65" s="629">
        <f t="shared" si="82"/>
        <v>1.6445074448949855</v>
      </c>
      <c r="V65" s="636">
        <f t="shared" si="114"/>
        <v>-3.5629000000000004</v>
      </c>
      <c r="W65" s="585">
        <f t="shared" si="224"/>
        <v>166.66462451787115</v>
      </c>
      <c r="X65" s="629">
        <f t="shared" si="83"/>
        <v>7.1298656348156841</v>
      </c>
      <c r="Y65" s="630">
        <f t="shared" si="223"/>
        <v>-3.5629000000000004</v>
      </c>
      <c r="Z65" s="632">
        <f t="shared" si="243"/>
        <v>-0.74006936473780871</v>
      </c>
      <c r="AA65" s="629">
        <f t="shared" si="244"/>
        <v>0.67244658592196338</v>
      </c>
      <c r="AB65" s="629">
        <f t="shared" si="245"/>
        <v>-1.0626592044113259E-2</v>
      </c>
      <c r="AC65" s="636">
        <f t="shared" si="84"/>
        <v>1</v>
      </c>
      <c r="AD65" s="637">
        <f t="shared" si="115"/>
        <v>-0.74006936473780871</v>
      </c>
      <c r="AE65" s="629">
        <f t="shared" si="85"/>
        <v>0.67244658592196338</v>
      </c>
      <c r="AF65" s="633">
        <f t="shared" si="86"/>
        <v>-1.0626592044113259E-2</v>
      </c>
      <c r="AG65" s="602">
        <f t="shared" si="87"/>
        <v>89.09463708875694</v>
      </c>
      <c r="AH65" s="603">
        <f t="shared" si="88"/>
        <v>137.73732471647605</v>
      </c>
      <c r="AI65" s="585">
        <f t="shared" si="89"/>
        <v>-89.391129665506199</v>
      </c>
      <c r="AJ65" s="586">
        <f t="shared" si="90"/>
        <v>-132.25911493348181</v>
      </c>
      <c r="AK65" s="635">
        <f t="shared" si="211"/>
        <v>0.87132727155184941</v>
      </c>
      <c r="AL65" s="629">
        <f t="shared" si="91"/>
        <v>-0.49058726175017808</v>
      </c>
      <c r="AM65" s="634">
        <f t="shared" si="92"/>
        <v>-1.0626592044113259E-2</v>
      </c>
      <c r="AN65" s="581">
        <f t="shared" si="93"/>
        <v>-88.759112345504604</v>
      </c>
      <c r="AO65" s="582">
        <f t="shared" si="461"/>
        <v>29.386754760604187</v>
      </c>
      <c r="AP65" s="585">
        <f t="shared" si="95"/>
        <v>-29.381009373663083</v>
      </c>
      <c r="AQ65" s="586">
        <f t="shared" si="246"/>
        <v>0.31973996193929699</v>
      </c>
      <c r="AS65" s="52">
        <f t="shared" si="406"/>
        <v>-193.33537548212885</v>
      </c>
      <c r="AT65" s="72">
        <f t="shared" si="247"/>
        <v>-3.4262430202078478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4.1369999999999996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-1.6549419970834676</v>
      </c>
      <c r="C66" s="708">
        <v>-6.9813569836692873</v>
      </c>
      <c r="D66" s="709">
        <v>-4.2325999999999997</v>
      </c>
      <c r="E66" s="710">
        <v>0.73805976317313271</v>
      </c>
      <c r="F66" s="708">
        <v>-0.6747291324496586</v>
      </c>
      <c r="G66" s="711">
        <v>2.8954807114413839E-3</v>
      </c>
      <c r="H66" s="710">
        <v>0.26600000000000001</v>
      </c>
      <c r="I66" s="708">
        <v>0.52</v>
      </c>
      <c r="J66" s="570">
        <v>4.1399999999999997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4.1399999999999997</v>
      </c>
      <c r="N66" s="632">
        <f t="shared" si="240"/>
        <v>-1.6549419970834676</v>
      </c>
      <c r="O66" s="629">
        <f t="shared" si="241"/>
        <v>-6.9813569836692873</v>
      </c>
      <c r="P66" s="633">
        <f t="shared" si="242"/>
        <v>-4.2325999999999997</v>
      </c>
      <c r="Q66" s="585">
        <f t="shared" si="113"/>
        <v>256.66410245696284</v>
      </c>
      <c r="R66" s="629">
        <f t="shared" si="79"/>
        <v>7.1748294995169433</v>
      </c>
      <c r="S66" s="634">
        <f t="shared" si="80"/>
        <v>-4.2325999999999997</v>
      </c>
      <c r="T66" s="635">
        <f t="shared" si="81"/>
        <v>-6.9679269191802531</v>
      </c>
      <c r="U66" s="629">
        <f t="shared" si="82"/>
        <v>1.710605973361992</v>
      </c>
      <c r="V66" s="636">
        <f t="shared" si="114"/>
        <v>-4.2325999999999997</v>
      </c>
      <c r="W66" s="585">
        <f t="shared" si="224"/>
        <v>166.2068325346527</v>
      </c>
      <c r="X66" s="629">
        <f t="shared" si="83"/>
        <v>7.1748294995169433</v>
      </c>
      <c r="Y66" s="630">
        <f t="shared" si="223"/>
        <v>-4.2325999999999997</v>
      </c>
      <c r="Z66" s="632">
        <f t="shared" si="243"/>
        <v>-0.73805976317313271</v>
      </c>
      <c r="AA66" s="629">
        <f t="shared" si="244"/>
        <v>0.6747291324496586</v>
      </c>
      <c r="AB66" s="629">
        <f t="shared" si="245"/>
        <v>-2.8954807114413839E-3</v>
      </c>
      <c r="AC66" s="636">
        <f t="shared" si="84"/>
        <v>1</v>
      </c>
      <c r="AD66" s="637">
        <f t="shared" si="115"/>
        <v>-0.73805976317313271</v>
      </c>
      <c r="AE66" s="629">
        <f t="shared" si="85"/>
        <v>0.6747291324496586</v>
      </c>
      <c r="AF66" s="633">
        <f t="shared" si="86"/>
        <v>-2.8954807114413839E-3</v>
      </c>
      <c r="AG66" s="602">
        <f t="shared" si="87"/>
        <v>89.754126807199384</v>
      </c>
      <c r="AH66" s="603">
        <f t="shared" si="88"/>
        <v>137.56639839299712</v>
      </c>
      <c r="AI66" s="585">
        <f t="shared" si="89"/>
        <v>-89.834100943761328</v>
      </c>
      <c r="AJ66" s="586">
        <f t="shared" si="90"/>
        <v>-132.43333888534391</v>
      </c>
      <c r="AK66" s="635">
        <f t="shared" si="211"/>
        <v>0.87379027757562411</v>
      </c>
      <c r="AL66" s="629">
        <f t="shared" si="91"/>
        <v>-0.48629432137930984</v>
      </c>
      <c r="AM66" s="634">
        <f t="shared" si="92"/>
        <v>-2.8954807114413839E-3</v>
      </c>
      <c r="AN66" s="581">
        <f t="shared" si="93"/>
        <v>-89.658855025272402</v>
      </c>
      <c r="AO66" s="582">
        <f t="shared" si="461"/>
        <v>29.097872901100381</v>
      </c>
      <c r="AP66" s="585">
        <f t="shared" si="95"/>
        <v>-29.097441342306727</v>
      </c>
      <c r="AQ66" s="586">
        <f t="shared" si="246"/>
        <v>0.31773622809319996</v>
      </c>
      <c r="AS66" s="52">
        <f t="shared" si="406"/>
        <v>-193.7931674653473</v>
      </c>
      <c r="AT66" s="72">
        <f t="shared" si="247"/>
        <v>-4.0956251091083899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4.1399999999999997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-1.82453490100446</v>
      </c>
      <c r="C67" s="708">
        <v>-4.4323782802727427</v>
      </c>
      <c r="D67" s="709">
        <v>-0.14040042344767714</v>
      </c>
      <c r="E67" s="710">
        <v>-9.9801981783422727E-2</v>
      </c>
      <c r="F67" s="708">
        <v>-0.24245149995106349</v>
      </c>
      <c r="G67" s="711">
        <v>0.96501649447228666</v>
      </c>
      <c r="H67" s="710">
        <v>0.25700000000000001</v>
      </c>
      <c r="I67" s="708">
        <v>0.41499999999999992</v>
      </c>
      <c r="J67" s="570">
        <v>4.2190000000000003</v>
      </c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CPS-32193r1</v>
      </c>
      <c r="L67" s="320"/>
      <c r="M67" s="168">
        <f t="shared" si="239"/>
        <v>4.2190000000000003</v>
      </c>
      <c r="N67" s="632">
        <f t="shared" si="240"/>
        <v>-1.82453490100446</v>
      </c>
      <c r="O67" s="629">
        <f t="shared" si="241"/>
        <v>-4.4323782802727427</v>
      </c>
      <c r="P67" s="633">
        <f t="shared" si="242"/>
        <v>-0.14040042344767714</v>
      </c>
      <c r="Q67" s="585">
        <f t="shared" si="113"/>
        <v>247.62607724161023</v>
      </c>
      <c r="R67" s="629">
        <f>IF(M67="","",SQRT(N67^2+O67^2))</f>
        <v>4.7932144563348</v>
      </c>
      <c r="S67" s="634">
        <f>IF(M67="","",P67)</f>
        <v>-0.14040042344767714</v>
      </c>
      <c r="T67" s="635">
        <f>IF(M67="","",X67*COS(RADIANS(W67)))</f>
        <v>-4.4176759091308098</v>
      </c>
      <c r="U67" s="629">
        <f>IF(M67="","",X67*SIN(RADIANS(W67)))</f>
        <v>1.8598506354818367</v>
      </c>
      <c r="V67" s="636">
        <f>IF(M67="","",Y67)</f>
        <v>-0.14040042344767714</v>
      </c>
      <c r="W67" s="585">
        <f t="shared" si="224"/>
        <v>157.1688073193001</v>
      </c>
      <c r="X67" s="629">
        <f>IF(M67="","",R67)</f>
        <v>4.7932144563348</v>
      </c>
      <c r="Y67" s="630">
        <f t="shared" si="223"/>
        <v>-0.14040042344767714</v>
      </c>
      <c r="Z67" s="632">
        <f t="shared" si="243"/>
        <v>9.9801981783422727E-2</v>
      </c>
      <c r="AA67" s="629">
        <f t="shared" si="244"/>
        <v>0.24245149995106349</v>
      </c>
      <c r="AB67" s="629">
        <f t="shared" si="245"/>
        <v>-0.96501649447228666</v>
      </c>
      <c r="AC67" s="636">
        <f>IF(M67="","",SQRT(Z67^2+AA67^2+AB67^2))</f>
        <v>1</v>
      </c>
      <c r="AD67" s="637">
        <f>IF(M67="","",Z67*(1/SQRT(Z67^2+AA67^2+AB67^2)))</f>
        <v>9.9801981783422727E-2</v>
      </c>
      <c r="AE67" s="629">
        <f>IF(M67="","",AA67*(1/SQRT(Z67^2+AA67^2+AB67^2)))</f>
        <v>0.24245149995106349</v>
      </c>
      <c r="AF67" s="633">
        <f>IF(M67="","",AB67*(1/SQRT(Z67^2+AA67^2+AB67^2)))</f>
        <v>-0.96501649447228666</v>
      </c>
      <c r="AG67" s="602">
        <f>IF(M67="","",DEGREES(ATAN2(-AF67,AE67)))</f>
        <v>14.103133692839959</v>
      </c>
      <c r="AH67" s="603">
        <f>IF(M67="","",DEGREES(ACOS(AD67)))</f>
        <v>84.272232173926696</v>
      </c>
      <c r="AI67" s="585">
        <f>IF(M67="","",DEGREES(-ACOS(-AF67)))</f>
        <v>-15.200000000005415</v>
      </c>
      <c r="AJ67" s="586">
        <f>IF(M67="","",DEGREES(ATAN2(-AE67,AD67)))</f>
        <v>157.62612680273423</v>
      </c>
      <c r="AK67" s="635">
        <f>IF(M67="","",(COS(RADIANS((90-$Q$8)-W67))*AD67)+(-SIN(RADIANS((90-$Q$8)-W67))*AE67))</f>
        <v>2.2679489672383646E-7</v>
      </c>
      <c r="AL67" s="629">
        <f>IF(M67="","",(SIN(RADIANS((90-$Q$8)-W67))*AD67)+(COS(RADIANS((90-$Q$8)-W67))*AE67))</f>
        <v>-0.262189178640858</v>
      </c>
      <c r="AM67" s="634">
        <f>IF(M67="","",AF67)</f>
        <v>-0.96501649447228666</v>
      </c>
      <c r="AN67" s="581">
        <f>IF(M67="","",DEGREES(ATAN2(-AM67,AL67)))</f>
        <v>-15.2</v>
      </c>
      <c r="AO67" s="582">
        <f t="shared" si="461"/>
        <v>0</v>
      </c>
      <c r="AP67" s="585">
        <f>IF(M67="","",DEGREES(ATAN2(AK67,AL67)))</f>
        <v>-89.999950438875999</v>
      </c>
      <c r="AQ67" s="586">
        <f t="shared" si="246"/>
        <v>0.47560448034526498</v>
      </c>
      <c r="AS67" s="52">
        <f t="shared" si="406"/>
        <v>-202.8311926806999</v>
      </c>
      <c r="AT67" s="72">
        <f t="shared" si="247"/>
        <v>2.8508738434832315E-3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4.2190000000000003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4.1189999999999998</v>
      </c>
      <c r="II67" s="734" cm="1">
        <f t="array" ref="II67">IFERROR(ROUND(VALUE(IF($IH67&lt;1,$IH67+LARGE((IF($M$9:$M$150="",0,$M$9:$M$150)-MOD(IF($M$9:$M$150="",0,$M$9:$M$150),1)),1),$IH67)),4),"")</f>
        <v>4.1189999999999998</v>
      </c>
      <c r="IJ67" s="533">
        <f t="shared" si="112"/>
        <v>1613</v>
      </c>
      <c r="IK67" s="533" t="str">
        <f t="shared" si="382"/>
        <v>CPS-32193r1</v>
      </c>
      <c r="IL67" s="727">
        <f t="shared" si="225"/>
        <v>12.126671065493611</v>
      </c>
      <c r="IM67" s="759">
        <v>7.0070353327135902E-3</v>
      </c>
      <c r="IN67" s="5">
        <f t="shared" si="226"/>
        <v>0.18</v>
      </c>
      <c r="IO67" s="771">
        <v>90</v>
      </c>
      <c r="IP67" s="9">
        <f t="shared" si="227"/>
        <v>-4.7736165937889501</v>
      </c>
      <c r="IQ67" s="5">
        <f t="shared" si="228"/>
        <v>-0.17390000000000003</v>
      </c>
      <c r="IR67" s="5">
        <f t="shared" si="383"/>
        <v>0.314</v>
      </c>
      <c r="IS67" s="5">
        <f t="shared" si="229"/>
        <v>0.30274600562635362</v>
      </c>
      <c r="IT67" s="727">
        <f t="shared" si="230"/>
        <v>25.020609907229723</v>
      </c>
      <c r="IU67" s="9">
        <f t="shared" si="231"/>
        <v>-4.7932144563348</v>
      </c>
      <c r="IV67" s="5">
        <f t="shared" si="232"/>
        <v>-0.14040042344767714</v>
      </c>
      <c r="IW67" s="5">
        <f t="shared" si="384"/>
        <v>0.25700000000000001</v>
      </c>
      <c r="IX67" s="5">
        <f t="shared" si="233"/>
        <v>0.25700000000000001</v>
      </c>
      <c r="IY67" s="762">
        <f t="shared" si="234"/>
        <v>15.2</v>
      </c>
    </row>
    <row r="68" spans="1:259" ht="15" customHeight="1" x14ac:dyDescent="0.25">
      <c r="A68" s="79"/>
      <c r="B68" s="707">
        <v>-2.1931905096006483</v>
      </c>
      <c r="C68" s="708">
        <v>-5.714075743414508</v>
      </c>
      <c r="D68" s="709">
        <v>-0.89080268666090301</v>
      </c>
      <c r="E68" s="710">
        <v>-0.24208680124192239</v>
      </c>
      <c r="F68" s="708">
        <v>-0.63072665179985288</v>
      </c>
      <c r="G68" s="711">
        <v>0.7372773368101051</v>
      </c>
      <c r="H68" s="710">
        <v>0.25700000000000001</v>
      </c>
      <c r="I68" s="708">
        <v>0.41499999999999992</v>
      </c>
      <c r="J68" s="570">
        <v>4.2249999999999996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CPS-32193r1</v>
      </c>
      <c r="L68" s="320"/>
      <c r="M68" s="168">
        <f t="shared" si="239"/>
        <v>4.2249999999999996</v>
      </c>
      <c r="N68" s="632">
        <f t="shared" si="240"/>
        <v>-2.1931905096006483</v>
      </c>
      <c r="O68" s="629">
        <f t="shared" si="241"/>
        <v>-5.714075743414508</v>
      </c>
      <c r="P68" s="633">
        <f t="shared" si="242"/>
        <v>-0.89080268666090301</v>
      </c>
      <c r="Q68" s="585">
        <f t="shared" si="113"/>
        <v>249.00207704294041</v>
      </c>
      <c r="R68" s="629">
        <f>IF(M68="","",SQRT(N68^2+O68^2))</f>
        <v>6.1205184594836748</v>
      </c>
      <c r="S68" s="634">
        <f>IF(M68="","",P68)</f>
        <v>-0.89080268666090301</v>
      </c>
      <c r="T68" s="635">
        <f>IF(M68="","",X68*COS(RADIANS(W68)))</f>
        <v>-5.6963903944568681</v>
      </c>
      <c r="U68" s="629">
        <f>IF(M68="","",X68*SIN(RADIANS(W68)))</f>
        <v>2.2387234502769515</v>
      </c>
      <c r="V68" s="636">
        <f>IF(M68="","",Y68)</f>
        <v>-0.89080268666090301</v>
      </c>
      <c r="W68" s="585">
        <f t="shared" si="224"/>
        <v>158.54480712063028</v>
      </c>
      <c r="X68" s="629">
        <f>IF(M68="","",R68)</f>
        <v>6.1205184594836748</v>
      </c>
      <c r="Y68" s="630">
        <f t="shared" si="223"/>
        <v>-0.89080268666090301</v>
      </c>
      <c r="Z68" s="632">
        <f t="shared" si="243"/>
        <v>0.24208680124192239</v>
      </c>
      <c r="AA68" s="629">
        <f t="shared" si="244"/>
        <v>0.63072665179985288</v>
      </c>
      <c r="AB68" s="629">
        <f t="shared" si="245"/>
        <v>-0.7372773368101051</v>
      </c>
      <c r="AC68" s="636">
        <f>IF(M68="","",SQRT(Z68^2+AA68^2+AB68^2))</f>
        <v>1</v>
      </c>
      <c r="AD68" s="637">
        <f>IF(M68="","",Z68*(1/SQRT(Z68^2+AA68^2+AB68^2)))</f>
        <v>0.24208680124192239</v>
      </c>
      <c r="AE68" s="629">
        <f>IF(M68="","",AA68*(1/SQRT(Z68^2+AA68^2+AB68^2)))</f>
        <v>0.63072665179985288</v>
      </c>
      <c r="AF68" s="633">
        <f>IF(M68="","",AB68*(1/SQRT(Z68^2+AA68^2+AB68^2)))</f>
        <v>-0.7372773368101051</v>
      </c>
      <c r="AG68" s="602">
        <f>IF(M68="","",DEGREES(ATAN2(-AF68,AE68)))</f>
        <v>40.546354963045012</v>
      </c>
      <c r="AH68" s="603">
        <f>IF(M68="","",DEGREES(ACOS(AD68)))</f>
        <v>75.990262146578857</v>
      </c>
      <c r="AI68" s="585">
        <f>IF(M68="","",DEGREES(-ACOS(-AF68)))</f>
        <v>-42.500000000001599</v>
      </c>
      <c r="AJ68" s="586">
        <f>IF(M68="","",DEGREES(ATAN2(-AE68,AD68)))</f>
        <v>159.00209627707119</v>
      </c>
      <c r="AK68" s="635">
        <f>IF(M68="","",(COS(RADIANS((90-$Q$8)-W68))*AD68)+(-SIN(RADIANS((90-$Q$8)-W68))*AE68))</f>
        <v>2.2679489691812549E-7</v>
      </c>
      <c r="AL68" s="629">
        <f>IF(M68="","",(SIN(RADIANS((90-$Q$8)-W68))*AD68)+(COS(RADIANS((90-$Q$8)-W68))*AE68))</f>
        <v>-0.67559020761564292</v>
      </c>
      <c r="AM68" s="634">
        <f>IF(M68="","",AF68)</f>
        <v>-0.7372773368101051</v>
      </c>
      <c r="AN68" s="581">
        <f>IF(M68="","",DEGREES(ATAN2(-AM68,AL68)))</f>
        <v>-42.5</v>
      </c>
      <c r="AO68" s="582">
        <f t="shared" si="461"/>
        <v>0</v>
      </c>
      <c r="AP68" s="585">
        <f>IF(M68="","",DEGREES(ATAN2(AK68,AL68)))</f>
        <v>-89.999980765869225</v>
      </c>
      <c r="AQ68" s="586">
        <f t="shared" si="246"/>
        <v>0.37246755042838781</v>
      </c>
      <c r="AS68" s="52">
        <f t="shared" si="406"/>
        <v>-201.45519287936972</v>
      </c>
      <c r="AT68" s="72">
        <f t="shared" si="247"/>
        <v>-0.74850694478733304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4.2249999999999996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4.125</v>
      </c>
      <c r="II68" s="734" cm="1">
        <f t="array" ref="II68">IFERROR(ROUND(VALUE(IF($IH68&lt;1,$IH68+LARGE((IF($M$9:$M$150="",0,$M$9:$M$150)-MOD(IF($M$9:$M$150="",0,$M$9:$M$150),1)),1),$IH68)),4),"")</f>
        <v>4.125</v>
      </c>
      <c r="IJ68" s="533">
        <f t="shared" si="112"/>
        <v>1613</v>
      </c>
      <c r="IK68" s="533" t="str">
        <f t="shared" si="382"/>
        <v>CPS-32193r1</v>
      </c>
      <c r="IL68" s="727">
        <f t="shared" si="225"/>
        <v>9.4470366696793917</v>
      </c>
      <c r="IM68" s="759">
        <v>2.6251540813950901E-3</v>
      </c>
      <c r="IN68" s="5">
        <f t="shared" si="226"/>
        <v>0.1</v>
      </c>
      <c r="IO68" s="771">
        <v>50</v>
      </c>
      <c r="IP68" s="9">
        <f t="shared" si="227"/>
        <v>-6.0816999815364952</v>
      </c>
      <c r="IQ68" s="5">
        <f t="shared" si="228"/>
        <v>-0.90800000000000003</v>
      </c>
      <c r="IR68" s="5">
        <f t="shared" si="383"/>
        <v>0.314</v>
      </c>
      <c r="IS68" s="5">
        <f t="shared" si="229"/>
        <v>0.30194343478516883</v>
      </c>
      <c r="IT68" s="727">
        <f t="shared" si="230"/>
        <v>58.563653485685201</v>
      </c>
      <c r="IU68" s="9">
        <f t="shared" si="231"/>
        <v>-6.1205184594836748</v>
      </c>
      <c r="IV68" s="5">
        <f t="shared" si="232"/>
        <v>-0.89080268666090301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42.5</v>
      </c>
    </row>
    <row r="69" spans="1:259" ht="15" customHeight="1" x14ac:dyDescent="0.25">
      <c r="A69" s="79"/>
      <c r="B69" s="707">
        <v>-2.4904400294237932</v>
      </c>
      <c r="C69" s="708">
        <v>-6.4710272868199192</v>
      </c>
      <c r="D69" s="709">
        <v>-2.1394064524498608</v>
      </c>
      <c r="E69" s="710">
        <v>-0.33621178292065956</v>
      </c>
      <c r="F69" s="708">
        <v>-0.8735954964817414</v>
      </c>
      <c r="G69" s="711">
        <v>0.35184164840469218</v>
      </c>
      <c r="H69" s="710">
        <v>0.25700000000000001</v>
      </c>
      <c r="I69" s="708">
        <v>0.41499999999999992</v>
      </c>
      <c r="J69" s="570">
        <v>4.2309999999999999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CPS-32193r1</v>
      </c>
      <c r="L69" s="320"/>
      <c r="M69" s="168">
        <f t="shared" si="239"/>
        <v>4.2309999999999999</v>
      </c>
      <c r="N69" s="632">
        <f t="shared" si="240"/>
        <v>-2.4904400294237932</v>
      </c>
      <c r="O69" s="629">
        <f t="shared" si="241"/>
        <v>-6.4710272868199192</v>
      </c>
      <c r="P69" s="633">
        <f t="shared" si="242"/>
        <v>-2.1394064524498608</v>
      </c>
      <c r="Q69" s="585">
        <f t="shared" si="113"/>
        <v>248.95027705041943</v>
      </c>
      <c r="R69" s="629">
        <f t="shared" si="79"/>
        <v>6.9337209121022703</v>
      </c>
      <c r="S69" s="634">
        <f t="shared" si="80"/>
        <v>-2.1394064524498608</v>
      </c>
      <c r="T69" s="635">
        <f t="shared" si="81"/>
        <v>-6.450945547954281</v>
      </c>
      <c r="U69" s="629">
        <f t="shared" si="82"/>
        <v>2.5420045681023424</v>
      </c>
      <c r="V69" s="636">
        <f t="shared" si="114"/>
        <v>-2.1394064524498608</v>
      </c>
      <c r="W69" s="585">
        <f t="shared" si="224"/>
        <v>158.4930071281093</v>
      </c>
      <c r="X69" s="629">
        <f t="shared" si="83"/>
        <v>6.9337209121022703</v>
      </c>
      <c r="Y69" s="630">
        <f t="shared" si="223"/>
        <v>-2.1394064524498608</v>
      </c>
      <c r="Z69" s="632">
        <f t="shared" si="243"/>
        <v>0.33621178292065956</v>
      </c>
      <c r="AA69" s="629">
        <f t="shared" si="244"/>
        <v>0.8735954964817414</v>
      </c>
      <c r="AB69" s="629">
        <f t="shared" si="245"/>
        <v>-0.35184164840469218</v>
      </c>
      <c r="AC69" s="636">
        <f t="shared" si="84"/>
        <v>1</v>
      </c>
      <c r="AD69" s="637">
        <f t="shared" si="115"/>
        <v>0.33621178292065956</v>
      </c>
      <c r="AE69" s="629">
        <f t="shared" si="85"/>
        <v>0.8735954964817414</v>
      </c>
      <c r="AF69" s="633">
        <f t="shared" si="86"/>
        <v>-0.35184164840469218</v>
      </c>
      <c r="AG69" s="602">
        <f t="shared" si="87"/>
        <v>68.062828996094453</v>
      </c>
      <c r="AH69" s="603">
        <f t="shared" si="88"/>
        <v>70.3537573099849</v>
      </c>
      <c r="AI69" s="585">
        <f t="shared" si="89"/>
        <v>-69.400000000000588</v>
      </c>
      <c r="AJ69" s="586">
        <f t="shared" si="90"/>
        <v>158.95029093243215</v>
      </c>
      <c r="AK69" s="635">
        <f t="shared" si="211"/>
        <v>2.2679489664056973E-7</v>
      </c>
      <c r="AL69" s="629">
        <f t="shared" si="91"/>
        <v>-0.9360595357389494</v>
      </c>
      <c r="AM69" s="634">
        <f t="shared" si="92"/>
        <v>-0.35184164840469218</v>
      </c>
      <c r="AN69" s="581">
        <f t="shared" si="93"/>
        <v>-69.400000000000034</v>
      </c>
      <c r="AO69" s="582">
        <f t="shared" si="461"/>
        <v>0</v>
      </c>
      <c r="AP69" s="585">
        <f t="shared" si="95"/>
        <v>-89.999986117987277</v>
      </c>
      <c r="AQ69" s="586">
        <f t="shared" si="246"/>
        <v>0.32878473734190172</v>
      </c>
      <c r="AS69" s="52">
        <f t="shared" si="406"/>
        <v>-201.5069928718907</v>
      </c>
      <c r="AT69" s="72">
        <f t="shared" si="247"/>
        <v>-1.9970747383592624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4.2309999999999999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4.1310000000000002</v>
      </c>
      <c r="II69" s="734" cm="1">
        <f t="array" ref="II69">IFERROR(ROUND(VALUE(IF($IH69&lt;1,$IH69+LARGE((IF($M$9:$M$150="",0,$M$9:$M$150)-MOD(IF($M$9:$M$150="",0,$M$9:$M$150),1)),1),$IH69)),4),"")</f>
        <v>4.1310000000000002</v>
      </c>
      <c r="IJ69" s="533">
        <f t="shared" si="112"/>
        <v>1613</v>
      </c>
      <c r="IK69" s="533" t="str">
        <f t="shared" si="382"/>
        <v>CPS-32193r1</v>
      </c>
      <c r="IL69" s="727">
        <f t="shared" si="225"/>
        <v>8.4767278387817271</v>
      </c>
      <c r="IM69" s="759">
        <v>2.0569544799375501E-4</v>
      </c>
      <c r="IN69" s="5">
        <f t="shared" si="226"/>
        <v>0</v>
      </c>
      <c r="IO69" s="771">
        <v>0</v>
      </c>
      <c r="IP69" s="9">
        <f t="shared" si="227"/>
        <v>-6.8965249499985868</v>
      </c>
      <c r="IQ69" s="5">
        <f t="shared" si="228"/>
        <v>-2.14</v>
      </c>
      <c r="IR69" s="5">
        <f t="shared" si="383"/>
        <v>0.314</v>
      </c>
      <c r="IS69" s="5">
        <f t="shared" si="229"/>
        <v>0.29415988508658952</v>
      </c>
      <c r="IT69" s="727">
        <f t="shared" si="230"/>
        <v>80.085700016690708</v>
      </c>
      <c r="IU69" s="9">
        <f t="shared" si="231"/>
        <v>-6.9337209121022703</v>
      </c>
      <c r="IV69" s="5">
        <f t="shared" si="232"/>
        <v>-2.1394064524498608</v>
      </c>
      <c r="IW69" s="5">
        <f t="shared" si="384"/>
        <v>0.25700000000000001</v>
      </c>
      <c r="IX69" s="5">
        <f t="shared" si="233"/>
        <v>0.25700000000000001</v>
      </c>
      <c r="IY69" s="762">
        <f t="shared" si="234"/>
        <v>69.400000000000034</v>
      </c>
    </row>
    <row r="70" spans="1:259" ht="15" customHeight="1" x14ac:dyDescent="0.25">
      <c r="A70" s="79"/>
      <c r="B70" s="707">
        <v>-0.48731718994377859</v>
      </c>
      <c r="C70" s="708">
        <v>-0.24956246269247478</v>
      </c>
      <c r="D70" s="709">
        <v>-0.85849999999999937</v>
      </c>
      <c r="E70" s="710">
        <v>0.40821789367673483</v>
      </c>
      <c r="F70" s="708">
        <v>-0.87542609806559313</v>
      </c>
      <c r="G70" s="711">
        <v>0.25881904510252079</v>
      </c>
      <c r="H70" s="710">
        <v>0.314</v>
      </c>
      <c r="I70" s="708">
        <v>0.52</v>
      </c>
      <c r="J70" s="570">
        <v>5.1020000000000003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5.1020000000000003</v>
      </c>
      <c r="N70" s="632">
        <f t="shared" si="240"/>
        <v>-0.48731718994377859</v>
      </c>
      <c r="O70" s="629">
        <f t="shared" si="241"/>
        <v>-0.24956246269247478</v>
      </c>
      <c r="P70" s="633">
        <f t="shared" si="242"/>
        <v>-0.85849999999999937</v>
      </c>
      <c r="Q70" s="585">
        <f t="shared" si="113"/>
        <v>207.11766853758238</v>
      </c>
      <c r="R70" s="629">
        <f t="shared" si="79"/>
        <v>0.54750293734356681</v>
      </c>
      <c r="S70" s="634">
        <f t="shared" si="80"/>
        <v>-0.85849999999999937</v>
      </c>
      <c r="T70" s="635">
        <f t="shared" si="81"/>
        <v>-0.2456653431249812</v>
      </c>
      <c r="U70" s="629">
        <f t="shared" si="82"/>
        <v>0.48929337374127485</v>
      </c>
      <c r="V70" s="636">
        <f t="shared" si="114"/>
        <v>-0.85849999999999937</v>
      </c>
      <c r="W70" s="585">
        <f t="shared" si="224"/>
        <v>116.66039861527224</v>
      </c>
      <c r="X70" s="629">
        <f t="shared" si="83"/>
        <v>0.54750293734356681</v>
      </c>
      <c r="Y70" s="630">
        <f t="shared" si="223"/>
        <v>-0.85849999999999937</v>
      </c>
      <c r="Z70" s="632">
        <f t="shared" si="243"/>
        <v>-0.40821789367673483</v>
      </c>
      <c r="AA70" s="629">
        <f t="shared" si="244"/>
        <v>0.87542609806559313</v>
      </c>
      <c r="AB70" s="629">
        <f t="shared" si="245"/>
        <v>-0.25881904510252079</v>
      </c>
      <c r="AC70" s="636">
        <f t="shared" si="84"/>
        <v>1</v>
      </c>
      <c r="AD70" s="637">
        <f t="shared" si="115"/>
        <v>-0.40821789367673483</v>
      </c>
      <c r="AE70" s="629">
        <f t="shared" si="85"/>
        <v>0.87542609806559313</v>
      </c>
      <c r="AF70" s="633">
        <f t="shared" si="86"/>
        <v>-0.25881904510252079</v>
      </c>
      <c r="AG70" s="602">
        <f t="shared" si="87"/>
        <v>73.529727079672099</v>
      </c>
      <c r="AH70" s="603">
        <f t="shared" si="88"/>
        <v>114.09293473076309</v>
      </c>
      <c r="AI70" s="585">
        <f t="shared" si="89"/>
        <v>-74.999999999999986</v>
      </c>
      <c r="AJ70" s="586">
        <f t="shared" si="90"/>
        <v>-155</v>
      </c>
      <c r="AK70" s="635">
        <f t="shared" si="211"/>
        <v>0.96526614366315067</v>
      </c>
      <c r="AL70" s="629">
        <f t="shared" si="91"/>
        <v>-3.5692769434286786E-2</v>
      </c>
      <c r="AM70" s="634">
        <f t="shared" si="92"/>
        <v>-0.25881904510252079</v>
      </c>
      <c r="AN70" s="581">
        <f t="shared" si="93"/>
        <v>-7.8519209568737045</v>
      </c>
      <c r="AO70" s="582">
        <f t="shared" si="461"/>
        <v>15.145348622230133</v>
      </c>
      <c r="AP70" s="585">
        <f t="shared" si="95"/>
        <v>-2.1176685375823698</v>
      </c>
      <c r="AQ70" s="586">
        <f t="shared" si="246"/>
        <v>4.156554749701745</v>
      </c>
      <c r="AS70" s="52">
        <f t="shared" si="406"/>
        <v>-243.33960138472776</v>
      </c>
      <c r="AT70" s="72">
        <f t="shared" si="247"/>
        <v>-0.68711786333104197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5.1020000000000003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-1.1616101834990462</v>
      </c>
      <c r="C71" s="708">
        <v>-0.56399044942755527</v>
      </c>
      <c r="D71" s="709">
        <v>-0.65919999999999968</v>
      </c>
      <c r="E71" s="710">
        <v>0.40821789367673478</v>
      </c>
      <c r="F71" s="708">
        <v>-0.87542609806559324</v>
      </c>
      <c r="G71" s="711">
        <v>0.25881904510252074</v>
      </c>
      <c r="H71" s="710">
        <v>0.314</v>
      </c>
      <c r="I71" s="708">
        <v>0.52</v>
      </c>
      <c r="J71" s="570">
        <v>5.1050000000000004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5.1050000000000004</v>
      </c>
      <c r="N71" s="632">
        <f t="shared" si="240"/>
        <v>-1.1616101834990462</v>
      </c>
      <c r="O71" s="629">
        <f t="shared" si="241"/>
        <v>-0.56399044942755527</v>
      </c>
      <c r="P71" s="633">
        <f t="shared" si="242"/>
        <v>-0.65919999999999968</v>
      </c>
      <c r="Q71" s="585">
        <f t="shared" si="113"/>
        <v>205.89771890665907</v>
      </c>
      <c r="R71" s="629">
        <f t="shared" si="79"/>
        <v>1.2912875146357543</v>
      </c>
      <c r="S71" s="634">
        <f t="shared" si="80"/>
        <v>-0.65919999999999968</v>
      </c>
      <c r="T71" s="635">
        <f t="shared" si="81"/>
        <v>-0.55470193158462788</v>
      </c>
      <c r="U71" s="629">
        <f t="shared" si="82"/>
        <v>1.1660742740282313</v>
      </c>
      <c r="V71" s="636">
        <f t="shared" si="114"/>
        <v>-0.65919999999999968</v>
      </c>
      <c r="W71" s="585">
        <f t="shared" si="224"/>
        <v>115.44044898434893</v>
      </c>
      <c r="X71" s="629">
        <f t="shared" si="83"/>
        <v>1.2912875146357543</v>
      </c>
      <c r="Y71" s="630">
        <f t="shared" si="223"/>
        <v>-0.65919999999999968</v>
      </c>
      <c r="Z71" s="632">
        <f t="shared" si="243"/>
        <v>-0.40821789367673478</v>
      </c>
      <c r="AA71" s="629">
        <f t="shared" si="244"/>
        <v>0.87542609806559324</v>
      </c>
      <c r="AB71" s="629">
        <f t="shared" si="245"/>
        <v>-0.25881904510252074</v>
      </c>
      <c r="AC71" s="636">
        <f t="shared" si="84"/>
        <v>1</v>
      </c>
      <c r="AD71" s="637">
        <f t="shared" si="115"/>
        <v>-0.40821789367673478</v>
      </c>
      <c r="AE71" s="629">
        <f t="shared" si="85"/>
        <v>0.87542609806559324</v>
      </c>
      <c r="AF71" s="633">
        <f t="shared" si="86"/>
        <v>-0.25881904510252074</v>
      </c>
      <c r="AG71" s="602">
        <f t="shared" si="87"/>
        <v>73.529727079672099</v>
      </c>
      <c r="AH71" s="603">
        <f t="shared" si="88"/>
        <v>114.09293473076309</v>
      </c>
      <c r="AI71" s="585">
        <f t="shared" si="89"/>
        <v>-75</v>
      </c>
      <c r="AJ71" s="586">
        <f t="shared" si="90"/>
        <v>-155</v>
      </c>
      <c r="AK71" s="635">
        <f t="shared" si="211"/>
        <v>0.96580726569228115</v>
      </c>
      <c r="AL71" s="629">
        <f t="shared" si="91"/>
        <v>-1.5133652177153956E-2</v>
      </c>
      <c r="AM71" s="634">
        <f t="shared" si="92"/>
        <v>-0.25881904510252074</v>
      </c>
      <c r="AN71" s="581">
        <f t="shared" si="93"/>
        <v>-3.3463852357161281</v>
      </c>
      <c r="AO71" s="582">
        <f t="shared" si="461"/>
        <v>15.026223824892131</v>
      </c>
      <c r="AP71" s="585">
        <f t="shared" si="95"/>
        <v>-0.89771890665907406</v>
      </c>
      <c r="AQ71" s="586">
        <f t="shared" si="246"/>
        <v>1.7649094547835746</v>
      </c>
      <c r="AS71" s="52">
        <f t="shared" si="406"/>
        <v>-244.55955101565107</v>
      </c>
      <c r="AT71" s="72">
        <f t="shared" si="247"/>
        <v>-0.48697067608734546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5.1050000000000004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-1.8358125462756107</v>
      </c>
      <c r="C72" s="708">
        <v>-0.87837617433645898</v>
      </c>
      <c r="D72" s="709">
        <v>-0.45980000000000004</v>
      </c>
      <c r="E72" s="710">
        <v>0.40821789367673483</v>
      </c>
      <c r="F72" s="708">
        <v>-0.87542609806559313</v>
      </c>
      <c r="G72" s="711">
        <v>0.25881904510252079</v>
      </c>
      <c r="H72" s="710">
        <v>0.314</v>
      </c>
      <c r="I72" s="708">
        <v>0.52</v>
      </c>
      <c r="J72" s="570">
        <v>5.1079999999999997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5.1079999999999997</v>
      </c>
      <c r="N72" s="632">
        <f t="shared" si="240"/>
        <v>-1.8358125462756107</v>
      </c>
      <c r="O72" s="629">
        <f t="shared" si="241"/>
        <v>-0.87837617433645898</v>
      </c>
      <c r="P72" s="633">
        <f t="shared" si="242"/>
        <v>-0.45980000000000004</v>
      </c>
      <c r="Q72" s="585">
        <f t="shared" si="113"/>
        <v>205.56958775071161</v>
      </c>
      <c r="R72" s="629">
        <f t="shared" si="79"/>
        <v>2.0351295803228098</v>
      </c>
      <c r="S72" s="634">
        <f t="shared" si="80"/>
        <v>-0.45980000000000004</v>
      </c>
      <c r="T72" s="635">
        <f t="shared" si="81"/>
        <v>-0.86369698286840324</v>
      </c>
      <c r="U72" s="629">
        <f t="shared" si="82"/>
        <v>1.8427642091404188</v>
      </c>
      <c r="V72" s="636">
        <f t="shared" si="114"/>
        <v>-0.45980000000000004</v>
      </c>
      <c r="W72" s="585">
        <f t="shared" si="224"/>
        <v>115.11231782840147</v>
      </c>
      <c r="X72" s="629">
        <f t="shared" si="83"/>
        <v>2.0351295803228098</v>
      </c>
      <c r="Y72" s="630">
        <f t="shared" si="223"/>
        <v>-0.45980000000000004</v>
      </c>
      <c r="Z72" s="632">
        <f t="shared" si="243"/>
        <v>-0.40821789367673483</v>
      </c>
      <c r="AA72" s="629">
        <f t="shared" si="244"/>
        <v>0.87542609806559313</v>
      </c>
      <c r="AB72" s="629">
        <f t="shared" si="245"/>
        <v>-0.25881904510252079</v>
      </c>
      <c r="AC72" s="636">
        <f t="shared" si="84"/>
        <v>1</v>
      </c>
      <c r="AD72" s="637">
        <f t="shared" si="115"/>
        <v>-0.40821789367673483</v>
      </c>
      <c r="AE72" s="629">
        <f t="shared" si="85"/>
        <v>0.87542609806559313</v>
      </c>
      <c r="AF72" s="633">
        <f t="shared" si="86"/>
        <v>-0.25881904510252079</v>
      </c>
      <c r="AG72" s="602">
        <f t="shared" si="87"/>
        <v>73.529727079672099</v>
      </c>
      <c r="AH72" s="603">
        <f t="shared" si="88"/>
        <v>114.09293473076309</v>
      </c>
      <c r="AI72" s="585">
        <f t="shared" si="89"/>
        <v>-74.999999999999986</v>
      </c>
      <c r="AJ72" s="586">
        <f t="shared" si="90"/>
        <v>-155</v>
      </c>
      <c r="AK72" s="635">
        <f t="shared" si="211"/>
        <v>0.9658780968618137</v>
      </c>
      <c r="AL72" s="629">
        <f t="shared" si="91"/>
        <v>-9.6022859164066054E-3</v>
      </c>
      <c r="AM72" s="634">
        <f t="shared" si="92"/>
        <v>-0.25881904510252079</v>
      </c>
      <c r="AN72" s="581">
        <f t="shared" si="93"/>
        <v>-2.1247209202540431</v>
      </c>
      <c r="AO72" s="582">
        <f t="shared" si="461"/>
        <v>15.010562415697622</v>
      </c>
      <c r="AP72" s="585">
        <f t="shared" si="95"/>
        <v>-0.56958775071159784</v>
      </c>
      <c r="AQ72" s="586">
        <f t="shared" si="246"/>
        <v>1.1200447642310494</v>
      </c>
      <c r="AS72" s="52">
        <f t="shared" si="406"/>
        <v>-244.88768217159853</v>
      </c>
      <c r="AT72" s="72">
        <f t="shared" si="247"/>
        <v>-0.28734280722904892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5.1079999999999997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-2.5101055398308776</v>
      </c>
      <c r="C73" s="708">
        <v>-1.1928041610715432</v>
      </c>
      <c r="D73" s="709">
        <v>-0.26049999999999929</v>
      </c>
      <c r="E73" s="710">
        <v>0.40821789367673472</v>
      </c>
      <c r="F73" s="708">
        <v>-0.87542609806559324</v>
      </c>
      <c r="G73" s="711">
        <v>0.25881904510252074</v>
      </c>
      <c r="H73" s="710">
        <v>0.314</v>
      </c>
      <c r="I73" s="708">
        <v>0.52</v>
      </c>
      <c r="J73" s="570">
        <v>5.1109999999999998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5.1109999999999998</v>
      </c>
      <c r="N73" s="632">
        <f t="shared" ref="N73:N104" si="465">IF(M73="","",B73)</f>
        <v>-2.5101055398308776</v>
      </c>
      <c r="O73" s="629">
        <f t="shared" ref="O73:O104" si="466">IF(M73="","",C73)</f>
        <v>-1.1928041610715432</v>
      </c>
      <c r="P73" s="633">
        <f t="shared" ref="P73:P104" si="467">IF(M73="","",D73)</f>
        <v>-0.26049999999999929</v>
      </c>
      <c r="Q73" s="585">
        <f t="shared" si="113"/>
        <v>205.41710442829037</v>
      </c>
      <c r="R73" s="629">
        <f>IF(M73="","",SQRT(N73^2+O73^2))</f>
        <v>2.7791026587298369</v>
      </c>
      <c r="S73" s="634">
        <f>IF(M73="","",P73)</f>
        <v>-0.26049999999999929</v>
      </c>
      <c r="T73" s="635">
        <f>IF(M73="","",X73*COS(RADIANS(W73)))</f>
        <v>-1.1727335713280536</v>
      </c>
      <c r="U73" s="629">
        <f>IF(M73="","",X73*SIN(RADIANS(W73)))</f>
        <v>2.5195451094273738</v>
      </c>
      <c r="V73" s="636">
        <f>IF(M73="","",Y73)</f>
        <v>-0.26049999999999929</v>
      </c>
      <c r="W73" s="585">
        <f t="shared" si="224"/>
        <v>114.95983450598024</v>
      </c>
      <c r="X73" s="629">
        <f>IF(M73="","",R73)</f>
        <v>2.7791026587298369</v>
      </c>
      <c r="Y73" s="630">
        <f t="shared" si="223"/>
        <v>-0.26049999999999929</v>
      </c>
      <c r="Z73" s="632">
        <f t="shared" ref="Z73:Z104" si="468">IF(M73="","",-E73)</f>
        <v>-0.40821789367673472</v>
      </c>
      <c r="AA73" s="629">
        <f t="shared" ref="AA73:AA104" si="469">IF(M73="","",-F73)</f>
        <v>0.87542609806559324</v>
      </c>
      <c r="AB73" s="629">
        <f t="shared" ref="AB73:AB104" si="470">IF(M73="","",-G73)</f>
        <v>-0.25881904510252074</v>
      </c>
      <c r="AC73" s="636">
        <f>IF(M73="","",SQRT(Z73^2+AA73^2+AB73^2))</f>
        <v>1</v>
      </c>
      <c r="AD73" s="637">
        <f>IF(M73="","",Z73*(1/SQRT(Z73^2+AA73^2+AB73^2)))</f>
        <v>-0.40821789367673472</v>
      </c>
      <c r="AE73" s="629">
        <f>IF(M73="","",AA73*(1/SQRT(Z73^2+AA73^2+AB73^2)))</f>
        <v>0.87542609806559324</v>
      </c>
      <c r="AF73" s="633">
        <f>IF(M73="","",AB73*(1/SQRT(Z73^2+AA73^2+AB73^2)))</f>
        <v>-0.25881904510252074</v>
      </c>
      <c r="AG73" s="602">
        <f>IF(M73="","",DEGREES(ATAN2(-AF73,AE73)))</f>
        <v>73.529727079672099</v>
      </c>
      <c r="AH73" s="603">
        <f>IF(M73="","",DEGREES(ACOS(AD73)))</f>
        <v>114.09293473076308</v>
      </c>
      <c r="AI73" s="585">
        <f>IF(M73="","",DEGREES(-ACOS(-AF73)))</f>
        <v>-75</v>
      </c>
      <c r="AJ73" s="586">
        <f>IF(M73="","",DEGREES(ATAN2(-AE73,AD73)))</f>
        <v>-155</v>
      </c>
      <c r="AK73" s="635">
        <f>IF(M73="","",(COS(RADIANS((90-$Q$8)-W73))*AD73)+(-SIN(RADIANS((90-$Q$8)-W73))*AE73))</f>
        <v>0.96590023122618129</v>
      </c>
      <c r="AL73" s="629">
        <f>IF(M73="","",(SIN(RADIANS((90-$Q$8)-W73))*AD73)+(COS(RADIANS((90-$Q$8)-W73))*AE73))</f>
        <v>-7.0317287653317573E-3</v>
      </c>
      <c r="AM73" s="634">
        <f>IF(M73="","",AF73)</f>
        <v>-0.25881904510252074</v>
      </c>
      <c r="AN73" s="581">
        <f>IF(M73="","",DEGREES(ATAN2(-AM73,AL73)))</f>
        <v>-1.5562583383428885</v>
      </c>
      <c r="AO73" s="582">
        <f t="shared" si="461"/>
        <v>15.005665033512644</v>
      </c>
      <c r="AP73" s="585">
        <f>IF(M73="","",DEGREES(ATAN2(AK73,AL73)))</f>
        <v>-0.41710442829038979</v>
      </c>
      <c r="AQ73" s="586">
        <f t="shared" ref="AQ73:AQ104" si="471">IF(M73="","",DEGREES(ATAN(($AS$5*SIN(RADIANS(90)))/(($X73*2*PI())-($AS$5*COS(RADIANS(90)))))))</f>
        <v>0.82025429250113413</v>
      </c>
      <c r="AS73" s="52">
        <f t="shared" si="406"/>
        <v>-245.04016549401976</v>
      </c>
      <c r="AT73" s="72">
        <f t="shared" ref="AT73:AT104" si="472">IF(M73="","",Y73+(((AS73-$AS$9)*$AS$6)*-1))</f>
        <v>-8.7936916032922335E-2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5.1109999999999998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-3.1847610565009608</v>
      </c>
      <c r="C74" s="708">
        <v>-1.5074011951113158</v>
      </c>
      <c r="D74" s="709">
        <v>-8.9500000000000648E-2</v>
      </c>
      <c r="E74" s="710">
        <v>0.40821789367673472</v>
      </c>
      <c r="F74" s="708">
        <v>-0.87542609806559324</v>
      </c>
      <c r="G74" s="711">
        <v>0.25881904510252074</v>
      </c>
      <c r="H74" s="710">
        <v>0.314</v>
      </c>
      <c r="I74" s="708">
        <v>0.52</v>
      </c>
      <c r="J74" s="570">
        <v>5.1139999999999999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5.1139999999999999</v>
      </c>
      <c r="N74" s="632">
        <f t="shared" si="465"/>
        <v>-3.1847610565009608</v>
      </c>
      <c r="O74" s="629">
        <f t="shared" si="466"/>
        <v>-1.5074011951113158</v>
      </c>
      <c r="P74" s="633">
        <f t="shared" si="467"/>
        <v>-8.9500000000000648E-2</v>
      </c>
      <c r="Q74" s="585">
        <f t="shared" ref="Q74:Q129" si="520">IF(M74="","",IF(DEGREES(ATAN2(N74,O74))&lt;0,DEGREES(ATAN2(N74,O74))+360,IF(DEGREES(ATAN2(N74,O74))&gt;360,DEGREES(ATAN2(N74,O74))-360,DEGREES(ATAN2(N74,O74)))))</f>
        <v>205.32898436215754</v>
      </c>
      <c r="R74" s="629">
        <f>IF(M74="","",SQRT(N74^2+O74^2))</f>
        <v>3.5234871008743793</v>
      </c>
      <c r="S74" s="634">
        <f>IF(M74="","",P74)</f>
        <v>-8.9500000000000648E-2</v>
      </c>
      <c r="T74" s="635">
        <f>IF(M74="","",X74*COS(RADIANS(W74)))</f>
        <v>-1.4819363084911703</v>
      </c>
      <c r="U74" s="629">
        <f>IF(M74="","",X74*SIN(RADIANS(W74)))</f>
        <v>3.1966898704134095</v>
      </c>
      <c r="V74" s="636">
        <f>IF(M74="","",Y74)</f>
        <v>-8.9500000000000648E-2</v>
      </c>
      <c r="W74" s="585">
        <f t="shared" si="224"/>
        <v>114.87171443984741</v>
      </c>
      <c r="X74" s="629">
        <f>IF(M74="","",R74)</f>
        <v>3.5234871008743793</v>
      </c>
      <c r="Y74" s="630">
        <f t="shared" si="223"/>
        <v>-8.9500000000000648E-2</v>
      </c>
      <c r="Z74" s="632">
        <f t="shared" si="468"/>
        <v>-0.40821789367673472</v>
      </c>
      <c r="AA74" s="629">
        <f t="shared" si="469"/>
        <v>0.87542609806559324</v>
      </c>
      <c r="AB74" s="629">
        <f t="shared" si="470"/>
        <v>-0.25881904510252074</v>
      </c>
      <c r="AC74" s="636">
        <f>IF(M74="","",SQRT(Z74^2+AA74^2+AB74^2))</f>
        <v>1</v>
      </c>
      <c r="AD74" s="637">
        <f>IF(M74="","",Z74*(1/SQRT(Z74^2+AA74^2+AB74^2)))</f>
        <v>-0.40821789367673472</v>
      </c>
      <c r="AE74" s="629">
        <f>IF(M74="","",AA74*(1/SQRT(Z74^2+AA74^2+AB74^2)))</f>
        <v>0.87542609806559324</v>
      </c>
      <c r="AF74" s="633">
        <f>IF(M74="","",AB74*(1/SQRT(Z74^2+AA74^2+AB74^2)))</f>
        <v>-0.25881904510252074</v>
      </c>
      <c r="AG74" s="602">
        <f>IF(M74="","",DEGREES(ATAN2(-AF74,AE74)))</f>
        <v>73.529727079672099</v>
      </c>
      <c r="AH74" s="603">
        <f>IF(M74="","",DEGREES(ACOS(AD74)))</f>
        <v>114.09293473076308</v>
      </c>
      <c r="AI74" s="585">
        <f>IF(M74="","",DEGREES(-ACOS(-AF74)))</f>
        <v>-75</v>
      </c>
      <c r="AJ74" s="586">
        <f>IF(M74="","",DEGREES(ATAN2(-AE74,AD74)))</f>
        <v>-155</v>
      </c>
      <c r="AK74" s="635">
        <f>IF(M74="","",(COS(RADIANS((90-$Q$8)-W74))*AD74)+(-SIN(RADIANS((90-$Q$8)-W74))*AE74))</f>
        <v>0.96590990354795248</v>
      </c>
      <c r="AL74" s="629">
        <f>IF(M74="","",(SIN(RADIANS((90-$Q$8)-W74))*AD74)+(COS(RADIANS((90-$Q$8)-W74))*AE74))</f>
        <v>-5.5461806862720509E-3</v>
      </c>
      <c r="AM74" s="634">
        <f>IF(M74="","",AF74)</f>
        <v>-0.25881904510252074</v>
      </c>
      <c r="AN74" s="581">
        <f>IF(M74="","",DEGREES(ATAN2(-AM74,AL74)))</f>
        <v>-1.22759173036567</v>
      </c>
      <c r="AO74" s="582">
        <f t="shared" si="461"/>
        <v>15.003524474624403</v>
      </c>
      <c r="AP74" s="585">
        <f>IF(M74="","",DEGREES(ATAN2(AK74,AL74)))</f>
        <v>-0.32898436215755789</v>
      </c>
      <c r="AQ74" s="586">
        <f t="shared" si="471"/>
        <v>0.64698115000277268</v>
      </c>
      <c r="AS74" s="52">
        <f t="shared" si="406"/>
        <v>-245.12828556015259</v>
      </c>
      <c r="AT74" s="72">
        <f t="shared" si="472"/>
        <v>8.3124278457446313E-2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5.1139999999999999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-3.8718173591925313</v>
      </c>
      <c r="C75" s="708">
        <v>-1.815753991323364</v>
      </c>
      <c r="D75" s="709">
        <v>-8.0600000000000088E-2</v>
      </c>
      <c r="E75" s="710">
        <v>0.35643095111437173</v>
      </c>
      <c r="F75" s="708">
        <v>-0.89884112878892619</v>
      </c>
      <c r="G75" s="711">
        <v>0.25503255142266373</v>
      </c>
      <c r="H75" s="710">
        <v>0.314</v>
      </c>
      <c r="I75" s="708">
        <v>0.52</v>
      </c>
      <c r="J75" s="570">
        <v>5.117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5.117</v>
      </c>
      <c r="N75" s="632">
        <f t="shared" si="465"/>
        <v>-3.8718173591925313</v>
      </c>
      <c r="O75" s="629">
        <f t="shared" si="466"/>
        <v>-1.815753991323364</v>
      </c>
      <c r="P75" s="633">
        <f t="shared" si="467"/>
        <v>-8.0600000000000088E-2</v>
      </c>
      <c r="Q75" s="585">
        <f t="shared" si="520"/>
        <v>205.12502041762727</v>
      </c>
      <c r="R75" s="629">
        <f>IF(M75="","",SQRT(N75^2+O75^2))</f>
        <v>4.2764391986735122</v>
      </c>
      <c r="S75" s="634">
        <f>IF(M75="","",P75)</f>
        <v>-8.0600000000000088E-2</v>
      </c>
      <c r="T75" s="635">
        <f>IF(M75="","",X75*COS(RADIANS(W75)))</f>
        <v>-1.7847960387290531</v>
      </c>
      <c r="U75" s="629">
        <f>IF(M75="","",X75*SIN(RADIANS(W75)))</f>
        <v>3.8861851885992813</v>
      </c>
      <c r="V75" s="636">
        <f>IF(M75="","",Y75)</f>
        <v>-8.0600000000000088E-2</v>
      </c>
      <c r="W75" s="585">
        <f t="shared" si="224"/>
        <v>114.66775049531714</v>
      </c>
      <c r="X75" s="629">
        <f>IF(M75="","",R75)</f>
        <v>4.2764391986735122</v>
      </c>
      <c r="Y75" s="630">
        <f t="shared" si="223"/>
        <v>-8.0600000000000088E-2</v>
      </c>
      <c r="Z75" s="632">
        <f t="shared" si="468"/>
        <v>-0.35643095111437173</v>
      </c>
      <c r="AA75" s="629">
        <f t="shared" si="469"/>
        <v>0.89884112878892619</v>
      </c>
      <c r="AB75" s="629">
        <f t="shared" si="470"/>
        <v>-0.25503255142266373</v>
      </c>
      <c r="AC75" s="636">
        <f>IF(M75="","",SQRT(Z75^2+AA75^2+AB75^2))</f>
        <v>1</v>
      </c>
      <c r="AD75" s="637">
        <f>IF(M75="","",Z75*(1/SQRT(Z75^2+AA75^2+AB75^2)))</f>
        <v>-0.35643095111437173</v>
      </c>
      <c r="AE75" s="629">
        <f>IF(M75="","",AA75*(1/SQRT(Z75^2+AA75^2+AB75^2)))</f>
        <v>0.89884112878892619</v>
      </c>
      <c r="AF75" s="633">
        <f>IF(M75="","",AB75*(1/SQRT(Z75^2+AA75^2+AB75^2)))</f>
        <v>-0.25503255142266373</v>
      </c>
      <c r="AG75" s="602">
        <f>IF(M75="","",DEGREES(ATAN2(-AF75,AE75)))</f>
        <v>74.159512736648423</v>
      </c>
      <c r="AH75" s="603">
        <f>IF(M75="","",DEGREES(ACOS(AD75)))</f>
        <v>110.88116957989253</v>
      </c>
      <c r="AI75" s="585">
        <f>IF(M75="","",DEGREES(-ACOS(-AF75)))</f>
        <v>-75.224486016503093</v>
      </c>
      <c r="AJ75" s="586">
        <f>IF(M75="","",DEGREES(ATAN2(-AE75,AD75)))</f>
        <v>-158.36944631422904</v>
      </c>
      <c r="AK75" s="635">
        <f>IF(M75="","",(COS(RADIANS((90-$Q$8)-W75))*AD75)+(-SIN(RADIANS((90-$Q$8)-W75))*AE75))</f>
        <v>0.96513464028636631</v>
      </c>
      <c r="AL75" s="629">
        <f>IF(M75="","",(SIN(RADIANS((90-$Q$8)-W75))*AD75)+(COS(RADIANS((90-$Q$8)-W75))*AE75))</f>
        <v>-5.8936608607492724E-2</v>
      </c>
      <c r="AM75" s="634">
        <f>IF(M75="","",AF75)</f>
        <v>-0.25503255142266373</v>
      </c>
      <c r="AN75" s="581">
        <f>IF(M75="","",DEGREES(ATAN2(-AM75,AL75)))</f>
        <v>-13.012307366838211</v>
      </c>
      <c r="AO75" s="582">
        <f t="shared" si="461"/>
        <v>15.174160338663144</v>
      </c>
      <c r="AP75" s="585">
        <f>IF(M75="","",DEGREES(ATAN2(AK75,AL75)))</f>
        <v>-3.4944667318563263</v>
      </c>
      <c r="AQ75" s="586">
        <f t="shared" si="471"/>
        <v>0.53307453840175945</v>
      </c>
      <c r="AS75" s="52">
        <f t="shared" ref="AS75:AS106" si="543">IF(G75="","",IF(AND(W75&lt;(AS74+180),W75&gt;(AS74-180)),W75,IF(W75&gt;(AS74+180),W75-360,IF(W75&lt;(AS74-180),W75+360,"Error"))))</f>
        <v>-245.33224950468286</v>
      </c>
      <c r="AT75" s="72">
        <f t="shared" si="472"/>
        <v>9.2165920085592878E-2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5.117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-4.5588868641010354</v>
      </c>
      <c r="C76" s="708">
        <v>-2.0869291080544863</v>
      </c>
      <c r="D76" s="709">
        <v>-0.24979999972026359</v>
      </c>
      <c r="E76" s="710">
        <v>0.27568910983447303</v>
      </c>
      <c r="F76" s="708">
        <v>-0.93349988196311717</v>
      </c>
      <c r="G76" s="711">
        <v>0.22928908629396724</v>
      </c>
      <c r="H76" s="710">
        <v>0.314</v>
      </c>
      <c r="I76" s="708">
        <v>0.52</v>
      </c>
      <c r="J76" s="570">
        <v>5.12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5.12</v>
      </c>
      <c r="N76" s="632">
        <f t="shared" si="465"/>
        <v>-4.5588868641010354</v>
      </c>
      <c r="O76" s="629">
        <f t="shared" si="466"/>
        <v>-2.0869291080544863</v>
      </c>
      <c r="P76" s="633">
        <f t="shared" si="467"/>
        <v>-0.24979999972026359</v>
      </c>
      <c r="Q76" s="585">
        <f t="shared" si="520"/>
        <v>204.59696333126513</v>
      </c>
      <c r="R76" s="629">
        <f t="shared" si="79"/>
        <v>5.0138530634351524</v>
      </c>
      <c r="S76" s="634">
        <f t="shared" si="80"/>
        <v>-0.24979999972026359</v>
      </c>
      <c r="T76" s="635">
        <f t="shared" si="81"/>
        <v>-2.0504791681173296</v>
      </c>
      <c r="U76" s="629">
        <f t="shared" si="82"/>
        <v>4.575397001663891</v>
      </c>
      <c r="V76" s="636">
        <f t="shared" si="114"/>
        <v>-0.24979999972026359</v>
      </c>
      <c r="W76" s="585">
        <f t="shared" si="224"/>
        <v>114.139693408955</v>
      </c>
      <c r="X76" s="629">
        <f t="shared" si="83"/>
        <v>5.0138530634351524</v>
      </c>
      <c r="Y76" s="630">
        <f t="shared" ref="Y76:Y129" si="644">IF(M76="","",S76)</f>
        <v>-0.24979999972026359</v>
      </c>
      <c r="Z76" s="632">
        <f t="shared" si="468"/>
        <v>-0.27568910983447303</v>
      </c>
      <c r="AA76" s="629">
        <f t="shared" si="469"/>
        <v>0.93349988196311717</v>
      </c>
      <c r="AB76" s="629">
        <f t="shared" si="470"/>
        <v>-0.22928908629396724</v>
      </c>
      <c r="AC76" s="636">
        <f t="shared" si="84"/>
        <v>1</v>
      </c>
      <c r="AD76" s="637">
        <f t="shared" si="115"/>
        <v>-0.27568910983447303</v>
      </c>
      <c r="AE76" s="629">
        <f t="shared" si="85"/>
        <v>0.93349988196311717</v>
      </c>
      <c r="AF76" s="633">
        <f t="shared" si="86"/>
        <v>-0.22928908629396724</v>
      </c>
      <c r="AG76" s="602">
        <f t="shared" si="87"/>
        <v>76.200027584595944</v>
      </c>
      <c r="AH76" s="603">
        <f t="shared" si="88"/>
        <v>106.00308480997202</v>
      </c>
      <c r="AI76" s="585">
        <f t="shared" si="89"/>
        <v>-76.744779090539382</v>
      </c>
      <c r="AJ76" s="586">
        <f t="shared" si="90"/>
        <v>-163.54662804739948</v>
      </c>
      <c r="AK76" s="635">
        <f t="shared" si="211"/>
        <v>0.96354319053354864</v>
      </c>
      <c r="AL76" s="629">
        <f t="shared" si="91"/>
        <v>-0.13788050943809038</v>
      </c>
      <c r="AM76" s="634">
        <f t="shared" si="92"/>
        <v>-0.22928908629396724</v>
      </c>
      <c r="AN76" s="581">
        <f t="shared" si="93"/>
        <v>-31.020141537708611</v>
      </c>
      <c r="AO76" s="582">
        <f t="shared" si="461"/>
        <v>15.518698074444018</v>
      </c>
      <c r="AP76" s="585">
        <f t="shared" si="95"/>
        <v>-8.1435913786646115</v>
      </c>
      <c r="AQ76" s="586">
        <f t="shared" si="471"/>
        <v>0.45467602434218241</v>
      </c>
      <c r="AS76" s="52">
        <f t="shared" si="543"/>
        <v>-245.860306591045</v>
      </c>
      <c r="AT76" s="72">
        <f t="shared" si="472"/>
        <v>-7.6667373324696919E-2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-5.1971703802390099</v>
      </c>
      <c r="C77" s="708">
        <v>-2.3065567828218976</v>
      </c>
      <c r="D77" s="709">
        <v>-0.59329999324960658</v>
      </c>
      <c r="E77" s="710">
        <v>0.20584772241820351</v>
      </c>
      <c r="F77" s="708">
        <v>-0.96132111014650046</v>
      </c>
      <c r="G77" s="711">
        <v>0.18299846546334236</v>
      </c>
      <c r="H77" s="710">
        <v>0.314</v>
      </c>
      <c r="I77" s="708">
        <v>0.52</v>
      </c>
      <c r="J77" s="570">
        <v>5.1230000000000002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5.1230000000000002</v>
      </c>
      <c r="N77" s="632">
        <f t="shared" si="465"/>
        <v>-5.1971703802390099</v>
      </c>
      <c r="O77" s="629">
        <f t="shared" si="466"/>
        <v>-2.3065567828218976</v>
      </c>
      <c r="P77" s="633">
        <f t="shared" si="467"/>
        <v>-0.59329999324960658</v>
      </c>
      <c r="Q77" s="585">
        <f t="shared" si="520"/>
        <v>203.93213237138559</v>
      </c>
      <c r="R77" s="629">
        <f t="shared" si="79"/>
        <v>5.6860165453167122</v>
      </c>
      <c r="S77" s="634">
        <f t="shared" si="80"/>
        <v>-0.59329999324960658</v>
      </c>
      <c r="T77" s="635">
        <f t="shared" si="81"/>
        <v>-2.2650058474620494</v>
      </c>
      <c r="U77" s="629">
        <f t="shared" si="82"/>
        <v>5.2154129907973852</v>
      </c>
      <c r="V77" s="636">
        <f t="shared" si="114"/>
        <v>-0.59329999324960658</v>
      </c>
      <c r="W77" s="585">
        <f t="shared" si="224"/>
        <v>113.47486244907546</v>
      </c>
      <c r="X77" s="629">
        <f t="shared" si="83"/>
        <v>5.6860165453167122</v>
      </c>
      <c r="Y77" s="630">
        <f t="shared" si="644"/>
        <v>-0.59329999324960658</v>
      </c>
      <c r="Z77" s="632">
        <f t="shared" si="468"/>
        <v>-0.20584772241820351</v>
      </c>
      <c r="AA77" s="629">
        <f t="shared" si="469"/>
        <v>0.96132111014650046</v>
      </c>
      <c r="AB77" s="629">
        <f t="shared" si="470"/>
        <v>-0.18299846546334236</v>
      </c>
      <c r="AC77" s="636">
        <f t="shared" si="84"/>
        <v>1</v>
      </c>
      <c r="AD77" s="637">
        <f t="shared" si="115"/>
        <v>-0.20584772241820351</v>
      </c>
      <c r="AE77" s="629">
        <f t="shared" si="85"/>
        <v>0.96132111014650046</v>
      </c>
      <c r="AF77" s="633">
        <f t="shared" si="86"/>
        <v>-0.18299846546334236</v>
      </c>
      <c r="AG77" s="602">
        <f t="shared" si="87"/>
        <v>79.222047105819598</v>
      </c>
      <c r="AH77" s="603">
        <f t="shared" si="88"/>
        <v>101.87912840751848</v>
      </c>
      <c r="AI77" s="585">
        <f t="shared" si="89"/>
        <v>-79.455539109857924</v>
      </c>
      <c r="AJ77" s="586">
        <f t="shared" si="90"/>
        <v>-167.91377139247132</v>
      </c>
      <c r="AK77" s="635">
        <f t="shared" si="211"/>
        <v>0.96217607112490178</v>
      </c>
      <c r="AL77" s="629">
        <f t="shared" si="91"/>
        <v>-0.20181370070614574</v>
      </c>
      <c r="AM77" s="634">
        <f t="shared" si="92"/>
        <v>-0.18299846546334236</v>
      </c>
      <c r="AN77" s="581">
        <f t="shared" si="93"/>
        <v>-47.799224703714586</v>
      </c>
      <c r="AO77" s="582">
        <f t="shared" si="461"/>
        <v>15.808819309363377</v>
      </c>
      <c r="AP77" s="585">
        <f t="shared" si="95"/>
        <v>-11.845903763856912</v>
      </c>
      <c r="AQ77" s="586">
        <f t="shared" si="471"/>
        <v>0.40092908706338337</v>
      </c>
      <c r="AS77" s="52">
        <f t="shared" si="543"/>
        <v>-246.52513755092454</v>
      </c>
      <c r="AT77" s="72">
        <f t="shared" si="472"/>
        <v>-0.4197056786874569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5.1230000000000002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-5.7456470824400805</v>
      </c>
      <c r="C78" s="708">
        <v>-2.4715076750160074</v>
      </c>
      <c r="D78" s="709">
        <v>-1.0844999644808255</v>
      </c>
      <c r="E78" s="710">
        <v>0.15223074921276541</v>
      </c>
      <c r="F78" s="708">
        <v>-0.98079795486883348</v>
      </c>
      <c r="G78" s="711">
        <v>0.12190640146946324</v>
      </c>
      <c r="H78" s="710">
        <v>0.314</v>
      </c>
      <c r="I78" s="708">
        <v>0.52</v>
      </c>
      <c r="J78" s="570">
        <v>5.1260000000000003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5.1260000000000003</v>
      </c>
      <c r="N78" s="632">
        <f t="shared" si="465"/>
        <v>-5.7456470824400805</v>
      </c>
      <c r="O78" s="629">
        <f t="shared" si="466"/>
        <v>-2.4715076750160074</v>
      </c>
      <c r="P78" s="633">
        <f t="shared" si="467"/>
        <v>-1.0844999644808255</v>
      </c>
      <c r="Q78" s="585">
        <f t="shared" si="520"/>
        <v>203.27510561442313</v>
      </c>
      <c r="R78" s="629">
        <f>IF(M78="","",SQRT(N78^2+O78^2))</f>
        <v>6.2546631071237755</v>
      </c>
      <c r="S78" s="634">
        <f>IF(M78="","",P78)</f>
        <v>-1.0844999644808255</v>
      </c>
      <c r="T78" s="635">
        <f>IF(M78="","",X78*COS(RADIANS(W78)))</f>
        <v>-2.4255742140353229</v>
      </c>
      <c r="U78" s="629">
        <f>IF(M78="","",X78*SIN(RADIANS(W78)))</f>
        <v>5.765188662639078</v>
      </c>
      <c r="V78" s="636">
        <f>IF(M78="","",Y78)</f>
        <v>-1.0844999644808255</v>
      </c>
      <c r="W78" s="585">
        <f t="shared" si="224"/>
        <v>112.81783569211299</v>
      </c>
      <c r="X78" s="629">
        <f>IF(M78="","",R78)</f>
        <v>6.2546631071237755</v>
      </c>
      <c r="Y78" s="630">
        <f t="shared" si="644"/>
        <v>-1.0844999644808255</v>
      </c>
      <c r="Z78" s="632">
        <f t="shared" si="468"/>
        <v>-0.15223074921276541</v>
      </c>
      <c r="AA78" s="629">
        <f t="shared" si="469"/>
        <v>0.98079795486883348</v>
      </c>
      <c r="AB78" s="629">
        <f t="shared" si="470"/>
        <v>-0.12190640146946324</v>
      </c>
      <c r="AC78" s="636">
        <f>IF(M78="","",SQRT(Z78^2+AA78^2+AB78^2))</f>
        <v>1</v>
      </c>
      <c r="AD78" s="637">
        <f>IF(M78="","",Z78*(1/SQRT(Z78^2+AA78^2+AB78^2)))</f>
        <v>-0.15223074921276541</v>
      </c>
      <c r="AE78" s="629">
        <f>IF(M78="","",AA78*(1/SQRT(Z78^2+AA78^2+AB78^2)))</f>
        <v>0.98079795486883348</v>
      </c>
      <c r="AF78" s="633">
        <f>IF(M78="","",AB78*(1/SQRT(Z78^2+AA78^2+AB78^2)))</f>
        <v>-0.12190640146946324</v>
      </c>
      <c r="AG78" s="602">
        <f>IF(M78="","",DEGREES(ATAN2(-AF78,AE78)))</f>
        <v>82.914867354814021</v>
      </c>
      <c r="AH78" s="603">
        <f>IF(M78="","",DEGREES(ACOS(AD78)))</f>
        <v>98.756223936744675</v>
      </c>
      <c r="AI78" s="585">
        <f>IF(M78="","",DEGREES(-ACOS(-AF78)))</f>
        <v>-82.997860779021607</v>
      </c>
      <c r="AJ78" s="586">
        <f>IF(M78="","",DEGREES(ATAN2(-AE78,AD78)))</f>
        <v>-171.17745489354121</v>
      </c>
      <c r="AK78" s="635">
        <f>IF(M78="","",(COS(RADIANS((90-$Q$8)-W78))*AD78)+(-SIN(RADIANS((90-$Q$8)-W78))*AE78))</f>
        <v>0.96113224164882793</v>
      </c>
      <c r="AL78" s="629">
        <f>IF(M78="","",(SIN(RADIANS((90-$Q$8)-W78))*AD78)+(COS(RADIANS((90-$Q$8)-W78))*AE78))</f>
        <v>-0.2477168612425589</v>
      </c>
      <c r="AM78" s="634">
        <f>IF(M78="","",AF78)</f>
        <v>-0.12190640146946324</v>
      </c>
      <c r="AN78" s="581">
        <f>IF(M78="","",DEGREES(ATAN2(-AM78,AL78)))</f>
        <v>-63.797282442926594</v>
      </c>
      <c r="AO78" s="582">
        <f t="shared" si="461"/>
        <v>16.026887213378529</v>
      </c>
      <c r="AP78" s="585">
        <f>IF(M78="","",DEGREES(ATAN2(AK78,AL78)))</f>
        <v>-14.452560507964346</v>
      </c>
      <c r="AQ78" s="586">
        <f t="shared" si="471"/>
        <v>0.36447940386448147</v>
      </c>
      <c r="AS78" s="52">
        <f t="shared" si="543"/>
        <v>-247.18216430788701</v>
      </c>
      <c r="AT78" s="72">
        <f t="shared" si="472"/>
        <v>-0.9104493813374519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5.1260000000000003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-6.1662940486142706</v>
      </c>
      <c r="C79" s="708">
        <v>-2.5835812010297716</v>
      </c>
      <c r="D79" s="709">
        <v>-1.6889998858658863</v>
      </c>
      <c r="E79" s="710">
        <v>0.11829808969597205</v>
      </c>
      <c r="F79" s="708">
        <v>-0.99150575944823682</v>
      </c>
      <c r="G79" s="711">
        <v>5.4054518361179756E-2</v>
      </c>
      <c r="H79" s="710">
        <v>0.314</v>
      </c>
      <c r="I79" s="708">
        <v>0.52</v>
      </c>
      <c r="J79" s="570">
        <v>5.1289999999999996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5.1289999999999996</v>
      </c>
      <c r="N79" s="632">
        <f t="shared" si="465"/>
        <v>-6.1662940486142706</v>
      </c>
      <c r="O79" s="629">
        <f t="shared" si="466"/>
        <v>-2.5835812010297716</v>
      </c>
      <c r="P79" s="633">
        <f t="shared" si="467"/>
        <v>-1.6889998858658863</v>
      </c>
      <c r="Q79" s="585">
        <f t="shared" si="520"/>
        <v>202.73292517125424</v>
      </c>
      <c r="R79" s="629">
        <f>IF(M79="","",SQRT(N79^2+O79^2))</f>
        <v>6.6856618308354641</v>
      </c>
      <c r="S79" s="634">
        <f>IF(M79="","",P79)</f>
        <v>-1.6889998858658863</v>
      </c>
      <c r="T79" s="635">
        <f>IF(M79="","",X79*COS(RADIANS(W79)))</f>
        <v>-2.5342870795380956</v>
      </c>
      <c r="U79" s="629">
        <f>IF(M79="","",X79*SIN(RADIANS(W79)))</f>
        <v>6.1867166667608497</v>
      </c>
      <c r="V79" s="636">
        <f>IF(M79="","",Y79)</f>
        <v>-1.6889998858658863</v>
      </c>
      <c r="W79" s="585">
        <f t="shared" ref="W79:W129" si="645">IF(M79="","",IF(Q79-$Q$8&lt;0,360+Q79-$Q$8,Q79-$Q$8))</f>
        <v>112.2756552489441</v>
      </c>
      <c r="X79" s="629">
        <f>IF(M79="","",R79)</f>
        <v>6.6856618308354641</v>
      </c>
      <c r="Y79" s="630">
        <f t="shared" si="644"/>
        <v>-1.6889998858658863</v>
      </c>
      <c r="Z79" s="632">
        <f t="shared" si="468"/>
        <v>-0.11829808969597205</v>
      </c>
      <c r="AA79" s="629">
        <f t="shared" si="469"/>
        <v>0.99150575944823682</v>
      </c>
      <c r="AB79" s="629">
        <f t="shared" si="470"/>
        <v>-5.4054518361179756E-2</v>
      </c>
      <c r="AC79" s="636">
        <f>IF(M79="","",SQRT(Z79^2+AA79^2+AB79^2))</f>
        <v>1</v>
      </c>
      <c r="AD79" s="637">
        <f>IF(M79="","",Z79*(1/SQRT(Z79^2+AA79^2+AB79^2)))</f>
        <v>-0.11829808969597205</v>
      </c>
      <c r="AE79" s="629">
        <f>IF(M79="","",AA79*(1/SQRT(Z79^2+AA79^2+AB79^2)))</f>
        <v>0.99150575944823682</v>
      </c>
      <c r="AF79" s="633">
        <f>IF(M79="","",AB79*(1/SQRT(Z79^2+AA79^2+AB79^2)))</f>
        <v>-5.4054518361179756E-2</v>
      </c>
      <c r="AG79" s="602">
        <f>IF(M79="","",DEGREES(ATAN2(-AF79,AE79)))</f>
        <v>86.879460525273132</v>
      </c>
      <c r="AH79" s="603">
        <f>IF(M79="","",DEGREES(ACOS(AD79)))</f>
        <v>96.793890664962419</v>
      </c>
      <c r="AI79" s="585">
        <f>IF(M79="","",DEGREES(-ACOS(-AF79)))</f>
        <v>-86.901394018388402</v>
      </c>
      <c r="AJ79" s="586">
        <f>IF(M79="","",DEGREES(ATAN2(-AE79,AD79)))</f>
        <v>-173.19611503915704</v>
      </c>
      <c r="AK79" s="635">
        <f>IF(M79="","",(COS(RADIANS((90-$Q$8)-W79))*AD79)+(-SIN(RADIANS((90-$Q$8)-W79))*AE79))</f>
        <v>0.96019645425387501</v>
      </c>
      <c r="AL79" s="629">
        <f>IF(M79="","",(SIN(RADIANS((90-$Q$8)-W79))*AD79)+(COS(RADIANS((90-$Q$8)-W79))*AE79))</f>
        <v>-0.27404539456635169</v>
      </c>
      <c r="AM79" s="634">
        <f>IF(M79="","",AF79)</f>
        <v>-5.4054518361179756E-2</v>
      </c>
      <c r="AN79" s="581">
        <f>IF(M79="","",DEGREES(ATAN2(-AM79,AL79)))</f>
        <v>-78.84183890744751</v>
      </c>
      <c r="AO79" s="582">
        <f t="shared" si="461"/>
        <v>16.2199562379082</v>
      </c>
      <c r="AP79" s="585">
        <f>IF(M79="","",DEGREES(ATAN2(AK79,AL79)))</f>
        <v>-15.929040210411268</v>
      </c>
      <c r="AQ79" s="586">
        <f t="shared" si="471"/>
        <v>0.34098340228588059</v>
      </c>
      <c r="AS79" s="52">
        <f t="shared" si="543"/>
        <v>-247.7243447510559</v>
      </c>
      <c r="AT79" s="72">
        <f t="shared" si="472"/>
        <v>-1.5145727885258675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5.1289999999999996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-6.4446633176814814</v>
      </c>
      <c r="C80" s="708">
        <v>-2.6510460383865868</v>
      </c>
      <c r="D80" s="709">
        <v>-2.3720999999999992</v>
      </c>
      <c r="E80" s="710">
        <v>3.3710228907062115E-2</v>
      </c>
      <c r="F80" s="708">
        <v>-0.99883035899966599</v>
      </c>
      <c r="G80" s="711">
        <v>3.4663156342603758E-2</v>
      </c>
      <c r="H80" s="710">
        <v>0.314</v>
      </c>
      <c r="I80" s="708">
        <v>0.52</v>
      </c>
      <c r="J80" s="570">
        <v>5.1319999999999997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5.1319999999999997</v>
      </c>
      <c r="N80" s="632">
        <f t="shared" si="465"/>
        <v>-6.4446633176814814</v>
      </c>
      <c r="O80" s="629">
        <f t="shared" si="466"/>
        <v>-2.6510460383865868</v>
      </c>
      <c r="P80" s="633">
        <f t="shared" si="467"/>
        <v>-2.3720999999999992</v>
      </c>
      <c r="Q80" s="585">
        <f t="shared" si="520"/>
        <v>202.3600726922196</v>
      </c>
      <c r="R80" s="629">
        <f t="shared" si="79"/>
        <v>6.9686247119438498</v>
      </c>
      <c r="S80" s="634">
        <f t="shared" si="80"/>
        <v>-2.3720999999999992</v>
      </c>
      <c r="T80" s="635">
        <f t="shared" si="81"/>
        <v>-2.5995281641748575</v>
      </c>
      <c r="U80" s="629">
        <f t="shared" si="82"/>
        <v>6.4656154927103575</v>
      </c>
      <c r="V80" s="636">
        <f t="shared" si="114"/>
        <v>-2.3720999999999992</v>
      </c>
      <c r="W80" s="585">
        <f t="shared" si="645"/>
        <v>111.90280276990947</v>
      </c>
      <c r="X80" s="629">
        <f t="shared" si="83"/>
        <v>6.9686247119438498</v>
      </c>
      <c r="Y80" s="630">
        <f t="shared" si="644"/>
        <v>-2.3720999999999992</v>
      </c>
      <c r="Z80" s="632">
        <f t="shared" si="468"/>
        <v>-3.3710228907062115E-2</v>
      </c>
      <c r="AA80" s="629">
        <f t="shared" si="469"/>
        <v>0.99883035899966599</v>
      </c>
      <c r="AB80" s="629">
        <f t="shared" si="470"/>
        <v>-3.4663156342603758E-2</v>
      </c>
      <c r="AC80" s="636">
        <f t="shared" si="84"/>
        <v>1</v>
      </c>
      <c r="AD80" s="637">
        <f t="shared" si="115"/>
        <v>-3.3710228907062115E-2</v>
      </c>
      <c r="AE80" s="629">
        <f t="shared" si="85"/>
        <v>0.99883035899966599</v>
      </c>
      <c r="AF80" s="633">
        <f t="shared" si="86"/>
        <v>-3.4663156342603758E-2</v>
      </c>
      <c r="AG80" s="602">
        <f t="shared" si="87"/>
        <v>88.01241940642123</v>
      </c>
      <c r="AH80" s="603">
        <f t="shared" si="88"/>
        <v>91.931819840755438</v>
      </c>
      <c r="AI80" s="585">
        <f t="shared" si="89"/>
        <v>-88.013549503355222</v>
      </c>
      <c r="AJ80" s="586">
        <f t="shared" si="90"/>
        <v>-178.0670180975614</v>
      </c>
      <c r="AK80" s="635">
        <f t="shared" si="211"/>
        <v>0.93655391326252435</v>
      </c>
      <c r="AL80" s="629">
        <f t="shared" si="91"/>
        <v>-0.34880543737880598</v>
      </c>
      <c r="AM80" s="634">
        <f t="shared" si="92"/>
        <v>-3.4663156342603758E-2</v>
      </c>
      <c r="AN80" s="581">
        <f t="shared" si="93"/>
        <v>-84.324764164302479</v>
      </c>
      <c r="AO80" s="582">
        <f t="shared" si="461"/>
        <v>20.519341845279211</v>
      </c>
      <c r="AP80" s="585">
        <f t="shared" si="95"/>
        <v>-20.427090789781008</v>
      </c>
      <c r="AQ80" s="586">
        <f t="shared" si="471"/>
        <v>0.32713798678440331</v>
      </c>
      <c r="AS80" s="52">
        <f t="shared" si="543"/>
        <v>-248.09719723009053</v>
      </c>
      <c r="AT80" s="72">
        <f t="shared" si="472"/>
        <v>-2.1974139773273178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5.1319999999999997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-6.5590130969491485</v>
      </c>
      <c r="C81" s="708">
        <v>-2.6772251878049396</v>
      </c>
      <c r="D81" s="709">
        <v>-3.0773997083455362</v>
      </c>
      <c r="E81" s="710">
        <v>-4.7043106141940849E-2</v>
      </c>
      <c r="F81" s="708">
        <v>-0.99889281541969532</v>
      </c>
      <c r="G81" s="711">
        <v>-2.9911107082816399E-4</v>
      </c>
      <c r="H81" s="710">
        <v>0.314</v>
      </c>
      <c r="I81" s="708">
        <v>0.52</v>
      </c>
      <c r="J81" s="570">
        <v>5.1349999999999998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5.1349999999999998</v>
      </c>
      <c r="N81" s="632">
        <f t="shared" si="465"/>
        <v>-6.5590130969491485</v>
      </c>
      <c r="O81" s="629">
        <f t="shared" si="466"/>
        <v>-2.6772251878049396</v>
      </c>
      <c r="P81" s="633">
        <f t="shared" si="467"/>
        <v>-3.0773997083455362</v>
      </c>
      <c r="Q81" s="585">
        <f t="shared" si="520"/>
        <v>202.20405498961691</v>
      </c>
      <c r="R81" s="629">
        <f t="shared" si="79"/>
        <v>7.0843621810412589</v>
      </c>
      <c r="S81" s="634">
        <f t="shared" si="80"/>
        <v>-3.0773997083455362</v>
      </c>
      <c r="T81" s="635">
        <f t="shared" si="81"/>
        <v>-2.624793879322548</v>
      </c>
      <c r="U81" s="629">
        <f t="shared" si="82"/>
        <v>6.5801705603455716</v>
      </c>
      <c r="V81" s="636">
        <f t="shared" si="114"/>
        <v>-3.0773997083455362</v>
      </c>
      <c r="W81" s="585">
        <f t="shared" si="645"/>
        <v>111.74678506730677</v>
      </c>
      <c r="X81" s="629">
        <f t="shared" si="83"/>
        <v>7.0843621810412589</v>
      </c>
      <c r="Y81" s="630">
        <f t="shared" si="644"/>
        <v>-3.0773997083455362</v>
      </c>
      <c r="Z81" s="632">
        <f t="shared" si="468"/>
        <v>4.7043106141940849E-2</v>
      </c>
      <c r="AA81" s="629">
        <f t="shared" si="469"/>
        <v>0.99889281541969532</v>
      </c>
      <c r="AB81" s="629">
        <f t="shared" si="470"/>
        <v>2.9911107082816399E-4</v>
      </c>
      <c r="AC81" s="636">
        <f t="shared" si="84"/>
        <v>1</v>
      </c>
      <c r="AD81" s="637">
        <f t="shared" si="115"/>
        <v>4.7043106141940849E-2</v>
      </c>
      <c r="AE81" s="629">
        <f t="shared" si="85"/>
        <v>0.99889281541969532</v>
      </c>
      <c r="AF81" s="633">
        <f t="shared" si="86"/>
        <v>2.9911107082816399E-4</v>
      </c>
      <c r="AG81" s="602">
        <f t="shared" si="87"/>
        <v>90.017156797193167</v>
      </c>
      <c r="AH81" s="603">
        <f t="shared" si="88"/>
        <v>87.303633404493183</v>
      </c>
      <c r="AI81" s="585">
        <f t="shared" si="89"/>
        <v>-90.017137802219636</v>
      </c>
      <c r="AJ81" s="586">
        <f t="shared" si="90"/>
        <v>177.30363328378556</v>
      </c>
      <c r="AK81" s="635">
        <f t="shared" si="211"/>
        <v>0.9070408748026404</v>
      </c>
      <c r="AL81" s="629">
        <f t="shared" si="91"/>
        <v>-0.42104247050603849</v>
      </c>
      <c r="AM81" s="634">
        <f t="shared" si="92"/>
        <v>2.9911107082816399E-4</v>
      </c>
      <c r="AN81" s="581">
        <f t="shared" si="93"/>
        <v>-90.040703255090818</v>
      </c>
      <c r="AO81" s="582">
        <f t="shared" si="461"/>
        <v>24.900427227349812</v>
      </c>
      <c r="AP81" s="585">
        <f t="shared" si="95"/>
        <v>-24.900421705831352</v>
      </c>
      <c r="AQ81" s="586">
        <f t="shared" si="471"/>
        <v>0.32179363554150325</v>
      </c>
      <c r="AS81" s="52">
        <f t="shared" si="543"/>
        <v>-248.25321493269323</v>
      </c>
      <c r="AT81" s="72">
        <f t="shared" si="472"/>
        <v>-2.9026053400460472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5.1349999999999998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-6.6028394439362756</v>
      </c>
      <c r="C82" s="708">
        <v>-2.6880622926950379</v>
      </c>
      <c r="D82" s="709">
        <v>-3.7810999999999981</v>
      </c>
      <c r="E82" s="710">
        <v>-0.12634328779504606</v>
      </c>
      <c r="F82" s="708">
        <v>-0.99192948526027358</v>
      </c>
      <c r="G82" s="711">
        <v>1.0642833289437706E-2</v>
      </c>
      <c r="H82" s="710">
        <v>0.314</v>
      </c>
      <c r="I82" s="708">
        <v>0.52</v>
      </c>
      <c r="J82" s="570">
        <v>5.1379999999999999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5.1379999999999999</v>
      </c>
      <c r="N82" s="632">
        <f t="shared" si="465"/>
        <v>-6.6028394439362756</v>
      </c>
      <c r="O82" s="629">
        <f t="shared" si="466"/>
        <v>-2.6880622926950379</v>
      </c>
      <c r="P82" s="633">
        <f t="shared" si="467"/>
        <v>-3.7810999999999981</v>
      </c>
      <c r="Q82" s="585">
        <f t="shared" si="520"/>
        <v>202.15158339223655</v>
      </c>
      <c r="R82" s="629">
        <f t="shared" si="79"/>
        <v>7.1290369343838869</v>
      </c>
      <c r="S82" s="634">
        <f t="shared" si="80"/>
        <v>-3.7810999999999981</v>
      </c>
      <c r="T82" s="635">
        <f t="shared" si="81"/>
        <v>-2.6352808706070148</v>
      </c>
      <c r="U82" s="629">
        <f t="shared" si="82"/>
        <v>6.6240820001583876</v>
      </c>
      <c r="V82" s="636">
        <f t="shared" si="114"/>
        <v>-3.7810999999999981</v>
      </c>
      <c r="W82" s="585">
        <f t="shared" si="645"/>
        <v>111.69431346992641</v>
      </c>
      <c r="X82" s="629">
        <f t="shared" si="83"/>
        <v>7.1290369343838869</v>
      </c>
      <c r="Y82" s="630">
        <f t="shared" si="644"/>
        <v>-3.7810999999999981</v>
      </c>
      <c r="Z82" s="632">
        <f t="shared" si="468"/>
        <v>0.12634328779504606</v>
      </c>
      <c r="AA82" s="629">
        <f t="shared" si="469"/>
        <v>0.99192948526027358</v>
      </c>
      <c r="AB82" s="629">
        <f t="shared" si="470"/>
        <v>-1.0642833289437706E-2</v>
      </c>
      <c r="AC82" s="636">
        <f t="shared" si="84"/>
        <v>1</v>
      </c>
      <c r="AD82" s="637">
        <f t="shared" si="115"/>
        <v>0.12634328779504606</v>
      </c>
      <c r="AE82" s="629">
        <f t="shared" si="85"/>
        <v>0.99192948526027358</v>
      </c>
      <c r="AF82" s="633">
        <f t="shared" si="86"/>
        <v>-1.0642833289437706E-2</v>
      </c>
      <c r="AG82" s="602">
        <f t="shared" si="87"/>
        <v>89.38527280370738</v>
      </c>
      <c r="AH82" s="603">
        <f t="shared" si="88"/>
        <v>82.741664430071935</v>
      </c>
      <c r="AI82" s="585">
        <f t="shared" si="89"/>
        <v>-89.390199058069072</v>
      </c>
      <c r="AJ82" s="586">
        <f t="shared" si="90"/>
        <v>172.74125110606698</v>
      </c>
      <c r="AK82" s="635">
        <f t="shared" si="211"/>
        <v>0.87107593356291724</v>
      </c>
      <c r="AL82" s="629">
        <f t="shared" si="91"/>
        <v>-0.49103304172638473</v>
      </c>
      <c r="AM82" s="634">
        <f t="shared" si="92"/>
        <v>-1.0642833289437706E-2</v>
      </c>
      <c r="AN82" s="581">
        <f t="shared" si="93"/>
        <v>-88.75834431494566</v>
      </c>
      <c r="AO82" s="582">
        <f t="shared" si="461"/>
        <v>29.416088356019259</v>
      </c>
      <c r="AP82" s="585">
        <f t="shared" si="95"/>
        <v>-29.410332286169581</v>
      </c>
      <c r="AQ82" s="586">
        <f t="shared" si="471"/>
        <v>0.31977712869055763</v>
      </c>
      <c r="AS82" s="52">
        <f t="shared" si="543"/>
        <v>-248.30568653007359</v>
      </c>
      <c r="AT82" s="72">
        <f t="shared" si="472"/>
        <v>-3.606269193091217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5.1379999999999999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-6.6658688960079786</v>
      </c>
      <c r="C83" s="708">
        <v>-2.6518024227071191</v>
      </c>
      <c r="D83" s="709">
        <v>-4.431165</v>
      </c>
      <c r="E83" s="710">
        <v>-0.12937205941253366</v>
      </c>
      <c r="F83" s="708">
        <v>-0.99159189510342893</v>
      </c>
      <c r="G83" s="711">
        <v>2.8954807114412173E-3</v>
      </c>
      <c r="H83" s="710">
        <v>0.26600000000000001</v>
      </c>
      <c r="I83" s="708">
        <v>0.52</v>
      </c>
      <c r="J83" s="570">
        <v>5.141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5.141</v>
      </c>
      <c r="N83" s="632">
        <f t="shared" si="465"/>
        <v>-6.6658688960079786</v>
      </c>
      <c r="O83" s="629">
        <f t="shared" si="466"/>
        <v>-2.6518024227071191</v>
      </c>
      <c r="P83" s="633">
        <f t="shared" si="467"/>
        <v>-4.431165</v>
      </c>
      <c r="Q83" s="585">
        <f t="shared" si="520"/>
        <v>201.69355156740357</v>
      </c>
      <c r="R83" s="629">
        <f t="shared" si="79"/>
        <v>7.1739713010188417</v>
      </c>
      <c r="S83" s="634">
        <f t="shared" si="80"/>
        <v>-4.431165</v>
      </c>
      <c r="T83" s="635">
        <f t="shared" si="81"/>
        <v>-2.5985191311319382</v>
      </c>
      <c r="U83" s="629">
        <f t="shared" si="82"/>
        <v>6.68682006285374</v>
      </c>
      <c r="V83" s="636">
        <f t="shared" si="114"/>
        <v>-4.431165</v>
      </c>
      <c r="W83" s="585">
        <f t="shared" si="645"/>
        <v>111.23628164509344</v>
      </c>
      <c r="X83" s="629">
        <f t="shared" si="83"/>
        <v>7.1739713010188417</v>
      </c>
      <c r="Y83" s="630">
        <f t="shared" si="644"/>
        <v>-4.431165</v>
      </c>
      <c r="Z83" s="632">
        <f t="shared" si="468"/>
        <v>0.12937205941253366</v>
      </c>
      <c r="AA83" s="629">
        <f t="shared" si="469"/>
        <v>0.99159189510342893</v>
      </c>
      <c r="AB83" s="629">
        <f t="shared" si="470"/>
        <v>-2.8954807114412173E-3</v>
      </c>
      <c r="AC83" s="636">
        <f t="shared" si="84"/>
        <v>1</v>
      </c>
      <c r="AD83" s="637">
        <f t="shared" si="115"/>
        <v>0.12937205941253366</v>
      </c>
      <c r="AE83" s="629">
        <f t="shared" si="85"/>
        <v>0.99159189510342893</v>
      </c>
      <c r="AF83" s="633">
        <f t="shared" si="86"/>
        <v>-2.8954807114412173E-3</v>
      </c>
      <c r="AG83" s="602">
        <f t="shared" si="87"/>
        <v>89.832694928496664</v>
      </c>
      <c r="AH83" s="603">
        <f t="shared" si="88"/>
        <v>82.566692450572987</v>
      </c>
      <c r="AI83" s="585">
        <f t="shared" si="89"/>
        <v>-89.834100943761342</v>
      </c>
      <c r="AJ83" s="586">
        <f t="shared" si="90"/>
        <v>172.56666111465609</v>
      </c>
      <c r="AK83" s="635">
        <f t="shared" si="211"/>
        <v>0.87354021469709353</v>
      </c>
      <c r="AL83" s="629">
        <f t="shared" si="91"/>
        <v>-0.48674337129375012</v>
      </c>
      <c r="AM83" s="634">
        <f t="shared" si="92"/>
        <v>-2.8954807114412173E-3</v>
      </c>
      <c r="AN83" s="581">
        <f t="shared" si="93"/>
        <v>-89.659169744517158</v>
      </c>
      <c r="AO83" s="582">
        <f t="shared" si="461"/>
        <v>29.127321490019025</v>
      </c>
      <c r="AP83" s="585">
        <f t="shared" si="95"/>
        <v>-29.126890452747489</v>
      </c>
      <c r="AQ83" s="586">
        <f t="shared" si="471"/>
        <v>0.31777423704958152</v>
      </c>
      <c r="AS83" s="52">
        <f t="shared" si="543"/>
        <v>-248.76371835490656</v>
      </c>
      <c r="AT83" s="72">
        <f t="shared" si="472"/>
        <v>-4.2560161154350853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5.141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1313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-4.2006252208732127</v>
      </c>
      <c r="C84" s="708">
        <v>-0.85578631527701243</v>
      </c>
      <c r="D84" s="709">
        <v>-4.4600134514005699E-2</v>
      </c>
      <c r="E84" s="710">
        <v>-0.10412512486216932</v>
      </c>
      <c r="F84" s="708">
        <v>-2.1213468114397935E-2</v>
      </c>
      <c r="G84" s="711">
        <v>0.994337944133179</v>
      </c>
      <c r="H84" s="710">
        <v>0.25700000000000001</v>
      </c>
      <c r="I84" s="708">
        <v>0.41499999999999992</v>
      </c>
      <c r="J84" s="570">
        <v>5.2169999999999996</v>
      </c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CPS-32193r1</v>
      </c>
      <c r="L84" s="320"/>
      <c r="M84" s="168">
        <f t="shared" si="464"/>
        <v>5.2169999999999996</v>
      </c>
      <c r="N84" s="632">
        <f t="shared" si="465"/>
        <v>-4.2006252208732127</v>
      </c>
      <c r="O84" s="629">
        <f t="shared" si="466"/>
        <v>-0.85578631527701243</v>
      </c>
      <c r="P84" s="633">
        <f t="shared" si="467"/>
        <v>-4.4600134514005699E-2</v>
      </c>
      <c r="Q84" s="585">
        <f t="shared" si="520"/>
        <v>191.51518534302068</v>
      </c>
      <c r="R84" s="629">
        <f t="shared" si="79"/>
        <v>4.2869129293293948</v>
      </c>
      <c r="S84" s="634">
        <f t="shared" si="80"/>
        <v>-4.4600134514005699E-2</v>
      </c>
      <c r="T84" s="635">
        <f t="shared" si="81"/>
        <v>-0.82223479118277276</v>
      </c>
      <c r="U84" s="629">
        <f t="shared" si="82"/>
        <v>4.2073212869734773</v>
      </c>
      <c r="V84" s="636">
        <f t="shared" si="114"/>
        <v>-4.4600134514005699E-2</v>
      </c>
      <c r="W84" s="585">
        <f t="shared" si="645"/>
        <v>101.05791542071054</v>
      </c>
      <c r="X84" s="629">
        <f t="shared" si="83"/>
        <v>4.2869129293293948</v>
      </c>
      <c r="Y84" s="630">
        <f t="shared" si="644"/>
        <v>-4.4600134514005699E-2</v>
      </c>
      <c r="Z84" s="632">
        <f t="shared" si="468"/>
        <v>0.10412512486216932</v>
      </c>
      <c r="AA84" s="629">
        <f t="shared" si="469"/>
        <v>2.1213468114397935E-2</v>
      </c>
      <c r="AB84" s="629">
        <f t="shared" si="470"/>
        <v>-0.994337944133179</v>
      </c>
      <c r="AC84" s="636">
        <f t="shared" si="84"/>
        <v>1</v>
      </c>
      <c r="AD84" s="637">
        <f t="shared" si="115"/>
        <v>0.10412512486216932</v>
      </c>
      <c r="AE84" s="629">
        <f t="shared" si="85"/>
        <v>2.1213468114397935E-2</v>
      </c>
      <c r="AF84" s="633">
        <f t="shared" si="86"/>
        <v>-0.994337944133179</v>
      </c>
      <c r="AG84" s="602">
        <f t="shared" si="87"/>
        <v>1.222177878390698</v>
      </c>
      <c r="AH84" s="603">
        <f t="shared" si="88"/>
        <v>84.023236387832398</v>
      </c>
      <c r="AI84" s="585">
        <f t="shared" si="89"/>
        <v>-6.1000000000138055</v>
      </c>
      <c r="AJ84" s="586">
        <f t="shared" si="90"/>
        <v>101.51530762697077</v>
      </c>
      <c r="AK84" s="635">
        <f t="shared" si="211"/>
        <v>2.2679489669261144E-7</v>
      </c>
      <c r="AL84" s="629">
        <f t="shared" si="91"/>
        <v>-0.10626407133623055</v>
      </c>
      <c r="AM84" s="634">
        <f t="shared" si="92"/>
        <v>-0.994337944133179</v>
      </c>
      <c r="AN84" s="581">
        <f t="shared" si="93"/>
        <v>-6.100000000000005</v>
      </c>
      <c r="AO84" s="582">
        <f t="shared" si="461"/>
        <v>0</v>
      </c>
      <c r="AP84" s="585">
        <f t="shared" si="95"/>
        <v>-89.999877716049909</v>
      </c>
      <c r="AQ84" s="586">
        <f t="shared" si="471"/>
        <v>0.5317722124134</v>
      </c>
      <c r="AS84" s="52">
        <f t="shared" si="543"/>
        <v>-258.94208457928949</v>
      </c>
      <c r="AT84" s="72">
        <f t="shared" si="472"/>
        <v>0.13761705992895296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5.2169999999999996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5.117</v>
      </c>
      <c r="II84" s="734" cm="1">
        <f t="array" ref="II84">IFERROR(ROUND(VALUE(IF($IH84&lt;1,$IH84+LARGE((IF($M$9:$M$150="",0,$M$9:$M$150)-MOD(IF($M$9:$M$150="",0,$M$9:$M$150),1)),1),$IH84)),4),"")</f>
        <v>5.117</v>
      </c>
      <c r="IJ84" s="533">
        <f t="shared" si="542"/>
        <v>1613</v>
      </c>
      <c r="IK84" s="533" t="str">
        <f t="shared" si="517"/>
        <v>CPS-32193r1</v>
      </c>
      <c r="IL84" s="727">
        <f t="shared" si="647"/>
        <v>13.609835074606593</v>
      </c>
      <c r="IM84" s="759">
        <v>8.5903926450488204E-3</v>
      </c>
      <c r="IN84" s="5">
        <f t="shared" si="648"/>
        <v>0.2</v>
      </c>
      <c r="IO84" s="771">
        <v>100</v>
      </c>
      <c r="IP84" s="9">
        <f t="shared" si="649"/>
        <v>-4.2764391986735122</v>
      </c>
      <c r="IQ84" s="5">
        <f t="shared" si="650"/>
        <v>-8.0600000000000088E-2</v>
      </c>
      <c r="IR84" s="5">
        <f t="shared" si="518"/>
        <v>0.314</v>
      </c>
      <c r="IS84" s="5">
        <f t="shared" si="651"/>
        <v>0.30305227704991899</v>
      </c>
      <c r="IT84" s="727">
        <f t="shared" si="652"/>
        <v>13.012307366838211</v>
      </c>
      <c r="IU84" s="9">
        <f t="shared" si="653"/>
        <v>-4.2869129293293948</v>
      </c>
      <c r="IV84" s="5">
        <f t="shared" si="654"/>
        <v>-4.4600134514005699E-2</v>
      </c>
      <c r="IW84" s="5">
        <f t="shared" si="519"/>
        <v>0.25700000000000001</v>
      </c>
      <c r="IX84" s="5">
        <f t="shared" si="655"/>
        <v>0.25700000000000001</v>
      </c>
      <c r="IY84" s="762">
        <f t="shared" si="656"/>
        <v>6.100000000000005</v>
      </c>
    </row>
    <row r="85" spans="1:259" ht="15" customHeight="1" x14ac:dyDescent="0.25">
      <c r="A85" s="79"/>
      <c r="B85" s="707">
        <v>-5.5543511997255219</v>
      </c>
      <c r="C85" s="708">
        <v>-1.3658301997643263</v>
      </c>
      <c r="D85" s="709">
        <v>-0.56960171791878011</v>
      </c>
      <c r="E85" s="710">
        <v>-0.53455607324440235</v>
      </c>
      <c r="F85" s="708">
        <v>-0.13144903865028892</v>
      </c>
      <c r="G85" s="711">
        <v>0.83484786326338534</v>
      </c>
      <c r="H85" s="710">
        <v>0.25700000000000001</v>
      </c>
      <c r="I85" s="708">
        <v>0.41499999999999992</v>
      </c>
      <c r="J85" s="570">
        <v>5.2229999999999999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5.2229999999999999</v>
      </c>
      <c r="N85" s="632">
        <f t="shared" si="465"/>
        <v>-5.5543511997255219</v>
      </c>
      <c r="O85" s="629">
        <f t="shared" si="466"/>
        <v>-1.3658301997643263</v>
      </c>
      <c r="P85" s="633">
        <f t="shared" si="467"/>
        <v>-0.56960171791878011</v>
      </c>
      <c r="Q85" s="585">
        <f t="shared" si="520"/>
        <v>193.81508501095624</v>
      </c>
      <c r="R85" s="629">
        <f t="shared" si="79"/>
        <v>5.7198172509688279</v>
      </c>
      <c r="S85" s="634">
        <f t="shared" si="80"/>
        <v>-0.56960171791878011</v>
      </c>
      <c r="T85" s="635">
        <f t="shared" si="81"/>
        <v>-1.3214586417722627</v>
      </c>
      <c r="U85" s="629">
        <f t="shared" si="82"/>
        <v>5.5650747023347318</v>
      </c>
      <c r="V85" s="636">
        <f t="shared" si="114"/>
        <v>-0.56960171791878011</v>
      </c>
      <c r="W85" s="585">
        <f t="shared" si="645"/>
        <v>103.35781508864611</v>
      </c>
      <c r="X85" s="629">
        <f t="shared" si="83"/>
        <v>5.7198172509688279</v>
      </c>
      <c r="Y85" s="630">
        <f t="shared" si="644"/>
        <v>-0.56960171791878011</v>
      </c>
      <c r="Z85" s="632">
        <f t="shared" si="468"/>
        <v>0.53455607324440235</v>
      </c>
      <c r="AA85" s="629">
        <f t="shared" si="469"/>
        <v>0.13144903865028892</v>
      </c>
      <c r="AB85" s="629">
        <f t="shared" si="470"/>
        <v>-0.83484786326338534</v>
      </c>
      <c r="AC85" s="636">
        <f t="shared" si="84"/>
        <v>1</v>
      </c>
      <c r="AD85" s="637">
        <f t="shared" si="115"/>
        <v>0.53455607324440235</v>
      </c>
      <c r="AE85" s="629">
        <f t="shared" si="85"/>
        <v>0.13144903865028892</v>
      </c>
      <c r="AF85" s="633">
        <f t="shared" si="86"/>
        <v>-0.83484786326338534</v>
      </c>
      <c r="AG85" s="602">
        <f t="shared" si="87"/>
        <v>8.947913375722516</v>
      </c>
      <c r="AH85" s="603">
        <f t="shared" si="88"/>
        <v>57.686189597011875</v>
      </c>
      <c r="AI85" s="585">
        <f t="shared" si="89"/>
        <v>-33.400000000002201</v>
      </c>
      <c r="AJ85" s="586">
        <f t="shared" si="90"/>
        <v>103.81510861648763</v>
      </c>
      <c r="AK85" s="635">
        <f t="shared" si="211"/>
        <v>2.2679489675159203E-7</v>
      </c>
      <c r="AL85" s="629">
        <f t="shared" si="91"/>
        <v>-0.55048074008498116</v>
      </c>
      <c r="AM85" s="634">
        <f t="shared" si="92"/>
        <v>-0.83484786326338534</v>
      </c>
      <c r="AN85" s="581">
        <f t="shared" si="93"/>
        <v>-33.399999999999984</v>
      </c>
      <c r="AO85" s="582">
        <f t="shared" si="461"/>
        <v>0</v>
      </c>
      <c r="AP85" s="585">
        <f t="shared" si="95"/>
        <v>-89.99997639446859</v>
      </c>
      <c r="AQ85" s="586">
        <f t="shared" si="471"/>
        <v>0.39855991213944569</v>
      </c>
      <c r="AS85" s="52">
        <f t="shared" si="543"/>
        <v>-256.64218491135387</v>
      </c>
      <c r="AT85" s="72">
        <f t="shared" si="472"/>
        <v>-0.38898167602299893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5.2229999999999999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5.1230000000000002</v>
      </c>
      <c r="II85" s="734" cm="1">
        <f t="array" ref="II85">IFERROR(ROUND(VALUE(IF($IH85&lt;1,$IH85+LARGE((IF($M$9:$M$150="",0,$M$9:$M$150)-MOD(IF($M$9:$M$150="",0,$M$9:$M$150),1)),1),$IH85)),4),"")</f>
        <v>5.1230000000000002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10.117047360429353</v>
      </c>
      <c r="IM85" s="759">
        <v>3.9795148545027298E-3</v>
      </c>
      <c r="IN85" s="5">
        <f t="shared" si="648"/>
        <v>0.14000000000000001</v>
      </c>
      <c r="IO85" s="771">
        <v>70</v>
      </c>
      <c r="IP85" s="9">
        <f t="shared" si="649"/>
        <v>-5.6860165453167122</v>
      </c>
      <c r="IQ85" s="5">
        <f t="shared" si="650"/>
        <v>-0.59329999324960658</v>
      </c>
      <c r="IR85" s="5">
        <f t="shared" si="518"/>
        <v>0.314</v>
      </c>
      <c r="IS85" s="5">
        <f t="shared" si="651"/>
        <v>0.30212328633321917</v>
      </c>
      <c r="IT85" s="727">
        <f t="shared" si="652"/>
        <v>47.799224703714586</v>
      </c>
      <c r="IU85" s="9">
        <f t="shared" si="653"/>
        <v>-5.7198172509688279</v>
      </c>
      <c r="IV85" s="5">
        <f t="shared" si="654"/>
        <v>-0.56960171791878011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33.399999999999984</v>
      </c>
    </row>
    <row r="86" spans="1:259" ht="15" customHeight="1" x14ac:dyDescent="0.25">
      <c r="A86" s="79"/>
      <c r="B86" s="707">
        <v>-6.5260299557766688</v>
      </c>
      <c r="C86" s="708">
        <v>-1.6440073680477585</v>
      </c>
      <c r="D86" s="709">
        <v>-1.6862050855945381</v>
      </c>
      <c r="E86" s="710">
        <v>-0.84315256833771834</v>
      </c>
      <c r="F86" s="708">
        <v>-0.21240334022987367</v>
      </c>
      <c r="G86" s="711">
        <v>0.49394186658421857</v>
      </c>
      <c r="H86" s="710">
        <v>0.25700000000000001</v>
      </c>
      <c r="I86" s="708">
        <v>0.41499999999999992</v>
      </c>
      <c r="J86" s="570">
        <v>5.2290000000000001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CPS-32193r1</v>
      </c>
      <c r="L86" s="320"/>
      <c r="M86" s="168">
        <f t="shared" si="464"/>
        <v>5.2290000000000001</v>
      </c>
      <c r="N86" s="632">
        <f t="shared" si="465"/>
        <v>-6.5260299557766688</v>
      </c>
      <c r="O86" s="629">
        <f t="shared" si="466"/>
        <v>-1.6440073680477585</v>
      </c>
      <c r="P86" s="633">
        <f t="shared" si="467"/>
        <v>-1.6862050855945381</v>
      </c>
      <c r="Q86" s="585">
        <f t="shared" si="520"/>
        <v>194.13948496411868</v>
      </c>
      <c r="R86" s="629">
        <f t="shared" si="79"/>
        <v>6.7299202974396168</v>
      </c>
      <c r="S86" s="634">
        <f t="shared" si="80"/>
        <v>-1.6862050855945381</v>
      </c>
      <c r="T86" s="635">
        <f t="shared" si="81"/>
        <v>-1.5918721956171473</v>
      </c>
      <c r="U86" s="629">
        <f t="shared" si="82"/>
        <v>6.5389425844482512</v>
      </c>
      <c r="V86" s="636">
        <f t="shared" si="114"/>
        <v>-1.6862050855945381</v>
      </c>
      <c r="W86" s="585">
        <f t="shared" si="645"/>
        <v>103.68221504180855</v>
      </c>
      <c r="X86" s="629">
        <f t="shared" si="83"/>
        <v>6.7299202974396168</v>
      </c>
      <c r="Y86" s="630">
        <f t="shared" si="644"/>
        <v>-1.6862050855945381</v>
      </c>
      <c r="Z86" s="632">
        <f t="shared" si="468"/>
        <v>0.84315256833771834</v>
      </c>
      <c r="AA86" s="629">
        <f t="shared" si="469"/>
        <v>0.21240334022987367</v>
      </c>
      <c r="AB86" s="629">
        <f t="shared" si="470"/>
        <v>-0.49394186658421857</v>
      </c>
      <c r="AC86" s="636">
        <f t="shared" si="84"/>
        <v>1</v>
      </c>
      <c r="AD86" s="637">
        <f t="shared" si="115"/>
        <v>0.84315256833771834</v>
      </c>
      <c r="AE86" s="629">
        <f t="shared" si="85"/>
        <v>0.21240334022987367</v>
      </c>
      <c r="AF86" s="633">
        <f t="shared" si="86"/>
        <v>-0.49394186658421857</v>
      </c>
      <c r="AG86" s="602">
        <f t="shared" si="87"/>
        <v>23.26852102289233</v>
      </c>
      <c r="AH86" s="603">
        <f t="shared" si="88"/>
        <v>32.525464189796153</v>
      </c>
      <c r="AI86" s="585">
        <f t="shared" si="89"/>
        <v>-60.400000000000823</v>
      </c>
      <c r="AJ86" s="586">
        <f t="shared" si="90"/>
        <v>104.13949990887564</v>
      </c>
      <c r="AK86" s="635">
        <f t="shared" si="211"/>
        <v>2.2679489680710319E-7</v>
      </c>
      <c r="AL86" s="629">
        <f t="shared" si="91"/>
        <v>-0.86949492950519658</v>
      </c>
      <c r="AM86" s="634">
        <f t="shared" si="92"/>
        <v>-0.49394186658421857</v>
      </c>
      <c r="AN86" s="581">
        <f t="shared" si="93"/>
        <v>-60.399999999999984</v>
      </c>
      <c r="AO86" s="582">
        <f t="shared" si="461"/>
        <v>0</v>
      </c>
      <c r="AP86" s="585">
        <f t="shared" si="95"/>
        <v>-89.999985055243044</v>
      </c>
      <c r="AQ86" s="586">
        <f t="shared" si="471"/>
        <v>0.33874102064842043</v>
      </c>
      <c r="AS86" s="52">
        <f t="shared" si="543"/>
        <v>-256.31778495819145</v>
      </c>
      <c r="AT86" s="72">
        <f t="shared" si="472"/>
        <v>-1.5058103214440086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5.2290000000000001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5.1289999999999996</v>
      </c>
      <c r="II86" s="734" cm="1">
        <f t="array" ref="II86">IFERROR(ROUND(VALUE(IF($IH86&lt;1,$IH86+LARGE((IF($M$9:$M$150="",0,$M$9:$M$150)-MOD(IF($M$9:$M$150="",0,$M$9:$M$150),1)),1),$IH86)),4),"")</f>
        <v>5.1289999999999996</v>
      </c>
      <c r="IJ86" s="533">
        <f t="shared" si="542"/>
        <v>1613</v>
      </c>
      <c r="IK86" s="533" t="str">
        <f t="shared" si="517"/>
        <v>CPS-32193r1</v>
      </c>
      <c r="IL86" s="727">
        <f t="shared" si="647"/>
        <v>8.5934402071355578</v>
      </c>
      <c r="IM86" s="759">
        <v>3.2726726057113201E-4</v>
      </c>
      <c r="IN86" s="5">
        <f t="shared" si="648"/>
        <v>0</v>
      </c>
      <c r="IO86" s="771">
        <v>0</v>
      </c>
      <c r="IP86" s="9">
        <f t="shared" si="649"/>
        <v>-6.6856618308354641</v>
      </c>
      <c r="IQ86" s="5">
        <f t="shared" si="650"/>
        <v>-1.6889998858658863</v>
      </c>
      <c r="IR86" s="5">
        <f t="shared" si="518"/>
        <v>0.314</v>
      </c>
      <c r="IS86" s="5">
        <f t="shared" si="651"/>
        <v>0.30150168663571675</v>
      </c>
      <c r="IT86" s="727">
        <f t="shared" si="652"/>
        <v>78.84183890744751</v>
      </c>
      <c r="IU86" s="9">
        <f t="shared" si="653"/>
        <v>-6.7299202974396168</v>
      </c>
      <c r="IV86" s="5">
        <f t="shared" si="654"/>
        <v>-1.6862050855945381</v>
      </c>
      <c r="IW86" s="5">
        <f t="shared" si="519"/>
        <v>0.25700000000000001</v>
      </c>
      <c r="IX86" s="5">
        <f t="shared" si="655"/>
        <v>0.25700000000000001</v>
      </c>
      <c r="IY86" s="762">
        <f t="shared" si="656"/>
        <v>60.399999999999984</v>
      </c>
    </row>
    <row r="87" spans="1:259" ht="15" customHeight="1" x14ac:dyDescent="0.25">
      <c r="A87" s="79"/>
      <c r="B87" s="707">
        <v>-2.4911483076891638</v>
      </c>
      <c r="C87" s="708">
        <v>1.7197117834077351</v>
      </c>
      <c r="D87" s="709">
        <v>-0.19400000000000031</v>
      </c>
      <c r="E87" s="710">
        <v>-0.55403229322232306</v>
      </c>
      <c r="F87" s="708">
        <v>-0.79124011523622428</v>
      </c>
      <c r="G87" s="711">
        <v>0.25881904510252079</v>
      </c>
      <c r="H87" s="710">
        <v>0.314</v>
      </c>
      <c r="I87" s="708">
        <v>0.52</v>
      </c>
      <c r="J87" s="570">
        <v>6.1120000000000001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6.1120000000000001</v>
      </c>
      <c r="N87" s="632">
        <f t="shared" si="465"/>
        <v>-2.4911483076891638</v>
      </c>
      <c r="O87" s="629">
        <f t="shared" si="466"/>
        <v>1.7197117834077351</v>
      </c>
      <c r="P87" s="633">
        <f t="shared" si="467"/>
        <v>-0.19400000000000031</v>
      </c>
      <c r="Q87" s="585">
        <f t="shared" si="520"/>
        <v>145.38155819288767</v>
      </c>
      <c r="R87" s="629">
        <f t="shared" si="79"/>
        <v>3.0270825077777443</v>
      </c>
      <c r="S87" s="634">
        <f t="shared" si="80"/>
        <v>-0.19400000000000031</v>
      </c>
      <c r="T87" s="635">
        <f t="shared" si="81"/>
        <v>1.7395383249135083</v>
      </c>
      <c r="U87" s="629">
        <f t="shared" si="82"/>
        <v>2.4773443291256676</v>
      </c>
      <c r="V87" s="636">
        <f t="shared" si="114"/>
        <v>-0.19400000000000031</v>
      </c>
      <c r="W87" s="585">
        <f t="shared" si="645"/>
        <v>54.924288270577534</v>
      </c>
      <c r="X87" s="629">
        <f t="shared" si="83"/>
        <v>3.0270825077777443</v>
      </c>
      <c r="Y87" s="630">
        <f t="shared" si="644"/>
        <v>-0.19400000000000031</v>
      </c>
      <c r="Z87" s="632">
        <f t="shared" si="468"/>
        <v>0.55403229322232306</v>
      </c>
      <c r="AA87" s="629">
        <f t="shared" si="469"/>
        <v>0.79124011523622428</v>
      </c>
      <c r="AB87" s="629">
        <f t="shared" si="470"/>
        <v>-0.25881904510252079</v>
      </c>
      <c r="AC87" s="636">
        <f t="shared" si="84"/>
        <v>1</v>
      </c>
      <c r="AD87" s="637">
        <f t="shared" si="115"/>
        <v>0.55403229322232306</v>
      </c>
      <c r="AE87" s="629">
        <f t="shared" si="85"/>
        <v>0.79124011523622428</v>
      </c>
      <c r="AF87" s="633">
        <f t="shared" si="86"/>
        <v>-0.25881904510252079</v>
      </c>
      <c r="AG87" s="602">
        <f t="shared" si="87"/>
        <v>71.886791265237349</v>
      </c>
      <c r="AH87" s="603">
        <f t="shared" si="88"/>
        <v>56.355912619133406</v>
      </c>
      <c r="AI87" s="585">
        <f t="shared" si="89"/>
        <v>-74.999999999999986</v>
      </c>
      <c r="AJ87" s="586">
        <f t="shared" si="90"/>
        <v>145.00000000000003</v>
      </c>
      <c r="AK87" s="635">
        <f t="shared" si="211"/>
        <v>0.96590440781735554</v>
      </c>
      <c r="AL87" s="629">
        <f t="shared" si="91"/>
        <v>-6.4324840632118963E-3</v>
      </c>
      <c r="AM87" s="634">
        <f t="shared" si="92"/>
        <v>-0.25881904510252079</v>
      </c>
      <c r="AN87" s="581">
        <f t="shared" si="93"/>
        <v>-1.4236909554715977</v>
      </c>
      <c r="AO87" s="582">
        <f t="shared" si="461"/>
        <v>15.004740758498182</v>
      </c>
      <c r="AP87" s="585">
        <f t="shared" si="95"/>
        <v>-0.38155819288763454</v>
      </c>
      <c r="AQ87" s="586">
        <f t="shared" si="471"/>
        <v>0.75306680581382601</v>
      </c>
      <c r="AS87" s="52">
        <f t="shared" si="543"/>
        <v>-305.07571172942244</v>
      </c>
      <c r="AT87" s="72">
        <f t="shared" si="472"/>
        <v>2.025443551943959E-2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6.1120000000000001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-3.1024814783420389</v>
      </c>
      <c r="C88" s="708">
        <v>2.1477718778565205</v>
      </c>
      <c r="D88" s="709">
        <v>-6.6700000000000134E-2</v>
      </c>
      <c r="E88" s="710">
        <v>-0.55403229322232306</v>
      </c>
      <c r="F88" s="708">
        <v>-0.79124011523622428</v>
      </c>
      <c r="G88" s="711">
        <v>0.25881904510252079</v>
      </c>
      <c r="H88" s="710">
        <v>0.314</v>
      </c>
      <c r="I88" s="708">
        <v>0.52</v>
      </c>
      <c r="J88" s="570">
        <v>6.1150000000000002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6.1150000000000002</v>
      </c>
      <c r="N88" s="632">
        <f t="shared" si="465"/>
        <v>-3.1024814783420389</v>
      </c>
      <c r="O88" s="629">
        <f t="shared" si="466"/>
        <v>2.1477718778565205</v>
      </c>
      <c r="P88" s="633">
        <f t="shared" si="467"/>
        <v>-6.6700000000000134E-2</v>
      </c>
      <c r="Q88" s="585">
        <f t="shared" si="520"/>
        <v>145.30609384274925</v>
      </c>
      <c r="R88" s="629">
        <f t="shared" si="79"/>
        <v>3.7733692322335388</v>
      </c>
      <c r="S88" s="634">
        <f t="shared" si="80"/>
        <v>-6.6700000000000134E-2</v>
      </c>
      <c r="T88" s="635">
        <f t="shared" si="81"/>
        <v>2.1724637031066449</v>
      </c>
      <c r="U88" s="629">
        <f t="shared" si="82"/>
        <v>3.0852417768225053</v>
      </c>
      <c r="V88" s="636">
        <f t="shared" si="114"/>
        <v>-6.6700000000000134E-2</v>
      </c>
      <c r="W88" s="585">
        <f t="shared" si="645"/>
        <v>54.848823920439116</v>
      </c>
      <c r="X88" s="629">
        <f t="shared" si="83"/>
        <v>3.7733692322335388</v>
      </c>
      <c r="Y88" s="630">
        <f t="shared" si="644"/>
        <v>-6.6700000000000134E-2</v>
      </c>
      <c r="Z88" s="632">
        <f t="shared" si="468"/>
        <v>0.55403229322232306</v>
      </c>
      <c r="AA88" s="629">
        <f t="shared" si="469"/>
        <v>0.79124011523622428</v>
      </c>
      <c r="AB88" s="629">
        <f t="shared" si="470"/>
        <v>-0.25881904510252079</v>
      </c>
      <c r="AC88" s="636">
        <f t="shared" si="84"/>
        <v>1</v>
      </c>
      <c r="AD88" s="637">
        <f t="shared" si="115"/>
        <v>0.55403229322232306</v>
      </c>
      <c r="AE88" s="629">
        <f t="shared" si="85"/>
        <v>0.79124011523622428</v>
      </c>
      <c r="AF88" s="633">
        <f t="shared" si="86"/>
        <v>-0.25881904510252079</v>
      </c>
      <c r="AG88" s="602">
        <f t="shared" si="87"/>
        <v>71.886791265237349</v>
      </c>
      <c r="AH88" s="603">
        <f t="shared" si="88"/>
        <v>56.355912619133406</v>
      </c>
      <c r="AI88" s="585">
        <f t="shared" si="89"/>
        <v>-74.999999999999986</v>
      </c>
      <c r="AJ88" s="586">
        <f t="shared" si="90"/>
        <v>145.00000000000003</v>
      </c>
      <c r="AK88" s="635">
        <f t="shared" si="211"/>
        <v>0.96591204224439675</v>
      </c>
      <c r="AL88" s="629">
        <f t="shared" si="91"/>
        <v>-5.1602848252889633E-3</v>
      </c>
      <c r="AM88" s="634">
        <f t="shared" si="92"/>
        <v>-0.25881904510252079</v>
      </c>
      <c r="AN88" s="581">
        <f t="shared" si="93"/>
        <v>-1.1422010073123026</v>
      </c>
      <c r="AO88" s="582">
        <f t="shared" si="461"/>
        <v>15.003051124437279</v>
      </c>
      <c r="AP88" s="585">
        <f t="shared" si="95"/>
        <v>-0.30609384274921642</v>
      </c>
      <c r="AQ88" s="586">
        <f t="shared" si="471"/>
        <v>0.60413969686209401</v>
      </c>
      <c r="AS88" s="52">
        <f t="shared" si="543"/>
        <v>-305.15117607956086</v>
      </c>
      <c r="AT88" s="72">
        <f t="shared" si="472"/>
        <v>0.147606841318147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6.1150000000000002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-3.7067334012135138</v>
      </c>
      <c r="C89" s="708">
        <v>2.5979748250993446</v>
      </c>
      <c r="D89" s="709">
        <v>-0.11740000000000023</v>
      </c>
      <c r="E89" s="710">
        <v>-0.6245337363656841</v>
      </c>
      <c r="F89" s="708">
        <v>-0.74022597675896173</v>
      </c>
      <c r="G89" s="711">
        <v>0.24904440461965663</v>
      </c>
      <c r="H89" s="710">
        <v>0.314</v>
      </c>
      <c r="I89" s="708">
        <v>0.52</v>
      </c>
      <c r="J89" s="570">
        <v>6.1180000000000003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6.1180000000000003</v>
      </c>
      <c r="N89" s="632">
        <f t="shared" si="465"/>
        <v>-3.7067334012135138</v>
      </c>
      <c r="O89" s="629">
        <f t="shared" si="466"/>
        <v>2.5979748250993446</v>
      </c>
      <c r="P89" s="633">
        <f t="shared" si="467"/>
        <v>-0.11740000000000023</v>
      </c>
      <c r="Q89" s="585">
        <f t="shared" si="520"/>
        <v>144.97415965859082</v>
      </c>
      <c r="R89" s="629">
        <f t="shared" si="79"/>
        <v>4.5265158454955037</v>
      </c>
      <c r="S89" s="634">
        <f t="shared" si="80"/>
        <v>-0.11740000000000023</v>
      </c>
      <c r="T89" s="635">
        <f t="shared" si="81"/>
        <v>2.6274747150240234</v>
      </c>
      <c r="U89" s="629">
        <f t="shared" si="82"/>
        <v>3.6858814849953196</v>
      </c>
      <c r="V89" s="636">
        <f t="shared" si="114"/>
        <v>-0.11740000000000023</v>
      </c>
      <c r="W89" s="585">
        <f t="shared" si="645"/>
        <v>54.516889736280689</v>
      </c>
      <c r="X89" s="629">
        <f t="shared" si="83"/>
        <v>4.5265158454955037</v>
      </c>
      <c r="Y89" s="630">
        <f t="shared" si="644"/>
        <v>-0.11740000000000023</v>
      </c>
      <c r="Z89" s="632">
        <f t="shared" si="468"/>
        <v>0.6245337363656841</v>
      </c>
      <c r="AA89" s="629">
        <f t="shared" si="469"/>
        <v>0.74022597675896173</v>
      </c>
      <c r="AB89" s="629">
        <f t="shared" si="470"/>
        <v>-0.24904440461965663</v>
      </c>
      <c r="AC89" s="636">
        <f t="shared" si="84"/>
        <v>1</v>
      </c>
      <c r="AD89" s="637">
        <f t="shared" si="115"/>
        <v>0.6245337363656841</v>
      </c>
      <c r="AE89" s="629">
        <f t="shared" si="85"/>
        <v>0.74022597675896173</v>
      </c>
      <c r="AF89" s="633">
        <f t="shared" si="86"/>
        <v>-0.24904440461965663</v>
      </c>
      <c r="AG89" s="602">
        <f t="shared" si="87"/>
        <v>71.404808668644677</v>
      </c>
      <c r="AH89" s="603">
        <f t="shared" si="88"/>
        <v>51.352026879628021</v>
      </c>
      <c r="AI89" s="585">
        <f t="shared" si="89"/>
        <v>-75.579027811208974</v>
      </c>
      <c r="AJ89" s="586">
        <f t="shared" si="90"/>
        <v>139.84544416910799</v>
      </c>
      <c r="AK89" s="635">
        <f t="shared" si="211"/>
        <v>0.96461460117205211</v>
      </c>
      <c r="AL89" s="629">
        <f t="shared" si="91"/>
        <v>-8.6576877590517465E-2</v>
      </c>
      <c r="AM89" s="634">
        <f t="shared" si="92"/>
        <v>-0.24904440461965663</v>
      </c>
      <c r="AN89" s="581">
        <f t="shared" si="93"/>
        <v>-19.169307505574039</v>
      </c>
      <c r="AO89" s="582">
        <f t="shared" si="461"/>
        <v>15.287578773577964</v>
      </c>
      <c r="AP89" s="585">
        <f t="shared" si="95"/>
        <v>-5.1287154894828335</v>
      </c>
      <c r="AQ89" s="586">
        <f t="shared" si="471"/>
        <v>0.50362530406588735</v>
      </c>
      <c r="AS89" s="52">
        <f t="shared" si="543"/>
        <v>-305.48311026371931</v>
      </c>
      <c r="AT89" s="72">
        <f t="shared" si="472"/>
        <v>9.7137351168256947E-2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6.1180000000000003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-4.2653448725248841</v>
      </c>
      <c r="C90" s="708">
        <v>3.0556510033294821</v>
      </c>
      <c r="D90" s="709">
        <v>-0.34680000000000011</v>
      </c>
      <c r="E90" s="710">
        <v>-0.69157326765835014</v>
      </c>
      <c r="F90" s="708">
        <v>-0.6892245262893768</v>
      </c>
      <c r="G90" s="711">
        <v>0.21609249830000185</v>
      </c>
      <c r="H90" s="710">
        <v>0.314</v>
      </c>
      <c r="I90" s="708">
        <v>0.52</v>
      </c>
      <c r="J90" s="570">
        <v>6.1210000000000004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6.1210000000000004</v>
      </c>
      <c r="N90" s="632">
        <f t="shared" si="465"/>
        <v>-4.2653448725248841</v>
      </c>
      <c r="O90" s="629">
        <f t="shared" si="466"/>
        <v>3.0556510033294821</v>
      </c>
      <c r="P90" s="633">
        <f t="shared" si="467"/>
        <v>-0.34680000000000011</v>
      </c>
      <c r="Q90" s="585">
        <f t="shared" si="520"/>
        <v>144.38256169894285</v>
      </c>
      <c r="R90" s="629">
        <f t="shared" si="79"/>
        <v>5.2469200428177665</v>
      </c>
      <c r="S90" s="634">
        <f t="shared" si="80"/>
        <v>-0.34680000000000011</v>
      </c>
      <c r="T90" s="635">
        <f t="shared" si="81"/>
        <v>3.0895944734808838</v>
      </c>
      <c r="U90" s="629">
        <f t="shared" si="82"/>
        <v>4.2408225528969234</v>
      </c>
      <c r="V90" s="636">
        <f t="shared" si="114"/>
        <v>-0.34680000000000011</v>
      </c>
      <c r="W90" s="585">
        <f t="shared" si="645"/>
        <v>53.925291776632719</v>
      </c>
      <c r="X90" s="629">
        <f t="shared" si="83"/>
        <v>5.2469200428177665</v>
      </c>
      <c r="Y90" s="630">
        <f t="shared" si="644"/>
        <v>-0.34680000000000011</v>
      </c>
      <c r="Z90" s="632">
        <f t="shared" si="468"/>
        <v>0.69157326765835014</v>
      </c>
      <c r="AA90" s="629">
        <f t="shared" si="469"/>
        <v>0.6892245262893768</v>
      </c>
      <c r="AB90" s="629">
        <f t="shared" si="470"/>
        <v>-0.21609249830000185</v>
      </c>
      <c r="AC90" s="636">
        <f t="shared" si="84"/>
        <v>1</v>
      </c>
      <c r="AD90" s="637">
        <f t="shared" si="115"/>
        <v>0.69157326765835014</v>
      </c>
      <c r="AE90" s="629">
        <f t="shared" si="85"/>
        <v>0.6892245262893768</v>
      </c>
      <c r="AF90" s="633">
        <f t="shared" si="86"/>
        <v>-0.21609249830000185</v>
      </c>
      <c r="AG90" s="602">
        <f t="shared" si="87"/>
        <v>72.592232005296594</v>
      </c>
      <c r="AH90" s="603">
        <f t="shared" si="88"/>
        <v>46.245223980967566</v>
      </c>
      <c r="AI90" s="585">
        <f t="shared" si="89"/>
        <v>-77.520370336030041</v>
      </c>
      <c r="AJ90" s="586">
        <f t="shared" si="90"/>
        <v>134.90253979372767</v>
      </c>
      <c r="AK90" s="635">
        <f t="shared" si="211"/>
        <v>0.96303866024023765</v>
      </c>
      <c r="AL90" s="629">
        <f t="shared" si="91"/>
        <v>-0.16081222298429981</v>
      </c>
      <c r="AM90" s="634">
        <f t="shared" si="92"/>
        <v>-0.21609249830000185</v>
      </c>
      <c r="AN90" s="581">
        <f t="shared" si="93"/>
        <v>-36.655972072210915</v>
      </c>
      <c r="AO90" s="582">
        <f t="shared" si="461"/>
        <v>15.626377657349314</v>
      </c>
      <c r="AP90" s="585">
        <f t="shared" si="95"/>
        <v>-9.4800219052151711</v>
      </c>
      <c r="AQ90" s="586">
        <f t="shared" si="471"/>
        <v>0.43448021233698908</v>
      </c>
      <c r="AS90" s="52">
        <f t="shared" si="543"/>
        <v>-306.07470822336728</v>
      </c>
      <c r="AT90" s="72">
        <f t="shared" si="472"/>
        <v>-0.13185181691532075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6.1210000000000004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-4.7458381287709077</v>
      </c>
      <c r="C91" s="708">
        <v>3.4864618791231363</v>
      </c>
      <c r="D91" s="709">
        <v>-0.74199999999999922</v>
      </c>
      <c r="E91" s="710">
        <v>-0.74631951697701793</v>
      </c>
      <c r="F91" s="708">
        <v>-0.64516354004506249</v>
      </c>
      <c r="G91" s="711">
        <v>0.16361902449200016</v>
      </c>
      <c r="H91" s="710">
        <v>0.314</v>
      </c>
      <c r="I91" s="708">
        <v>0.52</v>
      </c>
      <c r="J91" s="570">
        <v>6.1239999999999997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6.1239999999999997</v>
      </c>
      <c r="N91" s="632">
        <f t="shared" si="465"/>
        <v>-4.7458381287709077</v>
      </c>
      <c r="O91" s="629">
        <f t="shared" si="466"/>
        <v>3.4864618791231363</v>
      </c>
      <c r="P91" s="633">
        <f t="shared" si="467"/>
        <v>-0.74199999999999922</v>
      </c>
      <c r="Q91" s="585">
        <f t="shared" si="520"/>
        <v>143.69766960839721</v>
      </c>
      <c r="R91" s="629">
        <f t="shared" si="79"/>
        <v>5.8888365556427678</v>
      </c>
      <c r="S91" s="634">
        <f t="shared" si="80"/>
        <v>-0.74199999999999922</v>
      </c>
      <c r="T91" s="635">
        <f t="shared" si="81"/>
        <v>3.5242263407129713</v>
      </c>
      <c r="U91" s="629">
        <f t="shared" si="82"/>
        <v>4.7178622996543087</v>
      </c>
      <c r="V91" s="636">
        <f t="shared" si="114"/>
        <v>-0.74199999999999922</v>
      </c>
      <c r="W91" s="585">
        <f t="shared" si="645"/>
        <v>53.240399686087073</v>
      </c>
      <c r="X91" s="629">
        <f t="shared" si="83"/>
        <v>5.8888365556427678</v>
      </c>
      <c r="Y91" s="630">
        <f t="shared" si="644"/>
        <v>-0.74199999999999922</v>
      </c>
      <c r="Z91" s="632">
        <f t="shared" si="468"/>
        <v>0.74631951697701793</v>
      </c>
      <c r="AA91" s="629">
        <f t="shared" si="469"/>
        <v>0.64516354004506249</v>
      </c>
      <c r="AB91" s="629">
        <f t="shared" si="470"/>
        <v>-0.16361902449200016</v>
      </c>
      <c r="AC91" s="636">
        <f t="shared" si="84"/>
        <v>1</v>
      </c>
      <c r="AD91" s="637">
        <f t="shared" si="115"/>
        <v>0.74631951697701793</v>
      </c>
      <c r="AE91" s="629">
        <f t="shared" si="85"/>
        <v>0.64516354004506249</v>
      </c>
      <c r="AF91" s="633">
        <f t="shared" si="86"/>
        <v>-0.16361902449200016</v>
      </c>
      <c r="AG91" s="602">
        <f t="shared" si="87"/>
        <v>75.769326830126204</v>
      </c>
      <c r="AH91" s="603">
        <f t="shared" si="88"/>
        <v>41.727439024971851</v>
      </c>
      <c r="AI91" s="585">
        <f t="shared" si="89"/>
        <v>-80.582979812456969</v>
      </c>
      <c r="AJ91" s="586">
        <f t="shared" si="90"/>
        <v>130.84211039812035</v>
      </c>
      <c r="AK91" s="635">
        <f t="shared" si="211"/>
        <v>0.96179546158357043</v>
      </c>
      <c r="AL91" s="629">
        <f t="shared" si="91"/>
        <v>-0.21949556920706415</v>
      </c>
      <c r="AM91" s="634">
        <f t="shared" si="92"/>
        <v>-0.16361902449200016</v>
      </c>
      <c r="AN91" s="581">
        <f t="shared" si="93"/>
        <v>-53.297974755549482</v>
      </c>
      <c r="AO91" s="582">
        <f t="shared" si="461"/>
        <v>15.88867072153991</v>
      </c>
      <c r="AP91" s="585">
        <f t="shared" si="95"/>
        <v>-12.855559210276834</v>
      </c>
      <c r="AQ91" s="586">
        <f t="shared" si="471"/>
        <v>0.38712093974502199</v>
      </c>
      <c r="AS91" s="52">
        <f t="shared" si="543"/>
        <v>-306.75960031391293</v>
      </c>
      <c r="AT91" s="72">
        <f t="shared" si="472"/>
        <v>-0.52657619740799655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6.1239999999999997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-5.1286549812334457</v>
      </c>
      <c r="C92" s="708">
        <v>3.8540062539551783</v>
      </c>
      <c r="D92" s="709">
        <v>-1.2759000000000009</v>
      </c>
      <c r="E92" s="710">
        <v>-0.78405269032165936</v>
      </c>
      <c r="F92" s="708">
        <v>-0.61269004573941965</v>
      </c>
      <c r="G92" s="711">
        <v>9.9359381294349763E-2</v>
      </c>
      <c r="H92" s="710">
        <v>0.314</v>
      </c>
      <c r="I92" s="708">
        <v>0.52</v>
      </c>
      <c r="J92" s="570">
        <v>6.1269999999999998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6.1269999999999998</v>
      </c>
      <c r="N92" s="632">
        <f t="shared" si="465"/>
        <v>-5.1286549812334457</v>
      </c>
      <c r="O92" s="629">
        <f t="shared" si="466"/>
        <v>3.8540062539551783</v>
      </c>
      <c r="P92" s="633">
        <f t="shared" si="467"/>
        <v>-1.2759000000000009</v>
      </c>
      <c r="Q92" s="585">
        <f t="shared" si="520"/>
        <v>143.07640861220924</v>
      </c>
      <c r="R92" s="629">
        <f t="shared" si="79"/>
        <v>6.4153305543873778</v>
      </c>
      <c r="S92" s="634">
        <f t="shared" si="80"/>
        <v>-1.2759000000000009</v>
      </c>
      <c r="T92" s="635">
        <f t="shared" si="81"/>
        <v>3.8948141878411717</v>
      </c>
      <c r="U92" s="629">
        <f t="shared" si="82"/>
        <v>5.097733669411082</v>
      </c>
      <c r="V92" s="636">
        <f t="shared" si="114"/>
        <v>-1.2759000000000009</v>
      </c>
      <c r="W92" s="585">
        <f t="shared" si="645"/>
        <v>52.619138689899103</v>
      </c>
      <c r="X92" s="629">
        <f t="shared" si="83"/>
        <v>6.4153305543873778</v>
      </c>
      <c r="Y92" s="630">
        <f t="shared" si="644"/>
        <v>-1.2759000000000009</v>
      </c>
      <c r="Z92" s="632">
        <f t="shared" si="468"/>
        <v>0.78405269032165936</v>
      </c>
      <c r="AA92" s="629">
        <f t="shared" si="469"/>
        <v>0.61269004573941965</v>
      </c>
      <c r="AB92" s="629">
        <f t="shared" si="470"/>
        <v>-9.9359381294349763E-2</v>
      </c>
      <c r="AC92" s="636">
        <f t="shared" si="84"/>
        <v>1</v>
      </c>
      <c r="AD92" s="637">
        <f t="shared" si="115"/>
        <v>0.78405269032165936</v>
      </c>
      <c r="AE92" s="629">
        <f t="shared" si="85"/>
        <v>0.61269004573941965</v>
      </c>
      <c r="AF92" s="633">
        <f t="shared" si="86"/>
        <v>-9.9359381294349763E-2</v>
      </c>
      <c r="AG92" s="602">
        <f t="shared" si="87"/>
        <v>80.788587229683799</v>
      </c>
      <c r="AH92" s="603">
        <f t="shared" si="88"/>
        <v>38.366851607389151</v>
      </c>
      <c r="AI92" s="585">
        <f t="shared" si="89"/>
        <v>-84.297717991664001</v>
      </c>
      <c r="AJ92" s="586">
        <f t="shared" si="90"/>
        <v>128.00548793777793</v>
      </c>
      <c r="AK92" s="635">
        <f t="shared" si="211"/>
        <v>0.96082653492393655</v>
      </c>
      <c r="AL92" s="629">
        <f t="shared" si="91"/>
        <v>-0.25872781670099843</v>
      </c>
      <c r="AM92" s="634">
        <f t="shared" si="92"/>
        <v>-9.9359381294349763E-2</v>
      </c>
      <c r="AN92" s="581">
        <f t="shared" si="93"/>
        <v>-68.991685994932666</v>
      </c>
      <c r="AO92" s="582">
        <f t="shared" si="461"/>
        <v>16.090207795088553</v>
      </c>
      <c r="AP92" s="585">
        <f t="shared" si="95"/>
        <v>-15.07092067443129</v>
      </c>
      <c r="AQ92" s="586">
        <f t="shared" si="471"/>
        <v>0.35535151030758749</v>
      </c>
      <c r="AS92" s="52">
        <f t="shared" si="543"/>
        <v>-307.3808613101009</v>
      </c>
      <c r="AT92" s="73">
        <f t="shared" si="472"/>
        <v>-1.0600447661606454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6.1269999999999998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-5.3969071328416289</v>
      </c>
      <c r="C93" s="708">
        <v>4.1276588862421351</v>
      </c>
      <c r="D93" s="709">
        <v>-1.9074999999999991</v>
      </c>
      <c r="E93" s="710">
        <v>-0.80443567367126312</v>
      </c>
      <c r="F93" s="708">
        <v>-0.59320804348434941</v>
      </c>
      <c r="G93" s="711">
        <v>3.1423941040736453E-2</v>
      </c>
      <c r="H93" s="710">
        <v>0.314</v>
      </c>
      <c r="I93" s="708">
        <v>0.52</v>
      </c>
      <c r="J93" s="570">
        <v>6.13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6.13</v>
      </c>
      <c r="N93" s="632">
        <f t="shared" si="465"/>
        <v>-5.3969071328416289</v>
      </c>
      <c r="O93" s="629">
        <f t="shared" si="466"/>
        <v>4.1276588862421351</v>
      </c>
      <c r="P93" s="633">
        <f t="shared" si="467"/>
        <v>-1.9074999999999991</v>
      </c>
      <c r="Q93" s="585">
        <f t="shared" si="520"/>
        <v>142.59054209451469</v>
      </c>
      <c r="R93" s="629">
        <f t="shared" si="79"/>
        <v>6.7944223066932272</v>
      </c>
      <c r="S93" s="634">
        <f t="shared" si="80"/>
        <v>-1.9074999999999991</v>
      </c>
      <c r="T93" s="635">
        <f t="shared" si="81"/>
        <v>4.1705989668019683</v>
      </c>
      <c r="U93" s="629">
        <f t="shared" si="82"/>
        <v>5.3637933162828775</v>
      </c>
      <c r="V93" s="636">
        <f t="shared" si="114"/>
        <v>-1.9074999999999991</v>
      </c>
      <c r="W93" s="585">
        <f t="shared" si="645"/>
        <v>52.133272172204556</v>
      </c>
      <c r="X93" s="629">
        <f t="shared" si="83"/>
        <v>6.7944223066932272</v>
      </c>
      <c r="Y93" s="630">
        <f t="shared" si="644"/>
        <v>-1.9074999999999991</v>
      </c>
      <c r="Z93" s="632">
        <f t="shared" si="468"/>
        <v>0.80443567367126312</v>
      </c>
      <c r="AA93" s="629">
        <f t="shared" si="469"/>
        <v>0.59320804348434941</v>
      </c>
      <c r="AB93" s="629">
        <f t="shared" si="470"/>
        <v>-3.1423941040736453E-2</v>
      </c>
      <c r="AC93" s="636">
        <f t="shared" si="84"/>
        <v>1</v>
      </c>
      <c r="AD93" s="637">
        <f t="shared" si="115"/>
        <v>0.80443567367126312</v>
      </c>
      <c r="AE93" s="629">
        <f t="shared" si="85"/>
        <v>0.59320804348434941</v>
      </c>
      <c r="AF93" s="633">
        <f t="shared" si="86"/>
        <v>-3.1423941040736453E-2</v>
      </c>
      <c r="AG93" s="602">
        <f t="shared" si="87"/>
        <v>86.967711511209401</v>
      </c>
      <c r="AH93" s="603">
        <f t="shared" si="88"/>
        <v>36.444209627347554</v>
      </c>
      <c r="AI93" s="585">
        <f t="shared" si="89"/>
        <v>-88.199244356155688</v>
      </c>
      <c r="AJ93" s="586">
        <f t="shared" si="90"/>
        <v>126.40585582356502</v>
      </c>
      <c r="AK93" s="635">
        <f t="shared" si="211"/>
        <v>0.9598939370539703</v>
      </c>
      <c r="AL93" s="629">
        <f t="shared" si="91"/>
        <v>-0.27859677947976569</v>
      </c>
      <c r="AM93" s="634">
        <f t="shared" si="92"/>
        <v>-3.1423941040736453E-2</v>
      </c>
      <c r="AN93" s="581">
        <f t="shared" si="93"/>
        <v>-83.56460052472508</v>
      </c>
      <c r="AO93" s="582">
        <f t="shared" si="461"/>
        <v>16.281894059266889</v>
      </c>
      <c r="AP93" s="585">
        <f t="shared" si="95"/>
        <v>-16.184686270949673</v>
      </c>
      <c r="AQ93" s="586">
        <f t="shared" si="471"/>
        <v>0.33552529846492474</v>
      </c>
      <c r="AS93" s="52">
        <f t="shared" si="543"/>
        <v>-307.86672782779544</v>
      </c>
      <c r="AT93" s="73">
        <f t="shared" si="472"/>
        <v>-1.6913073588566891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-5.5556016936518535</v>
      </c>
      <c r="C94" s="708">
        <v>4.2959102647483691</v>
      </c>
      <c r="D94" s="709">
        <v>-2.6084999999999994</v>
      </c>
      <c r="E94" s="710">
        <v>-0.850215389820693</v>
      </c>
      <c r="F94" s="708">
        <v>-0.5263438206002875</v>
      </c>
      <c r="G94" s="711">
        <v>9.7966028774995606E-3</v>
      </c>
      <c r="H94" s="710">
        <v>0.314</v>
      </c>
      <c r="I94" s="708">
        <v>0.52</v>
      </c>
      <c r="J94" s="570">
        <v>6.133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6.133</v>
      </c>
      <c r="N94" s="632">
        <f t="shared" si="465"/>
        <v>-5.5556016936518535</v>
      </c>
      <c r="O94" s="629">
        <f t="shared" si="466"/>
        <v>4.2959102647483691</v>
      </c>
      <c r="P94" s="633">
        <f t="shared" si="467"/>
        <v>-2.6084999999999994</v>
      </c>
      <c r="Q94" s="585">
        <f t="shared" si="520"/>
        <v>142.28674531682952</v>
      </c>
      <c r="R94" s="629">
        <f t="shared" si="79"/>
        <v>7.0227882768368968</v>
      </c>
      <c r="S94" s="634">
        <f t="shared" si="80"/>
        <v>-2.6084999999999994</v>
      </c>
      <c r="T94" s="635">
        <f t="shared" si="81"/>
        <v>4.3401114935512028</v>
      </c>
      <c r="U94" s="629">
        <f t="shared" si="82"/>
        <v>5.5211400457534578</v>
      </c>
      <c r="V94" s="636">
        <f t="shared" si="114"/>
        <v>-2.6084999999999994</v>
      </c>
      <c r="W94" s="585">
        <f t="shared" si="645"/>
        <v>51.829475394519392</v>
      </c>
      <c r="X94" s="629">
        <f t="shared" si="83"/>
        <v>7.0227882768368968</v>
      </c>
      <c r="Y94" s="630">
        <f t="shared" si="644"/>
        <v>-2.6084999999999994</v>
      </c>
      <c r="Z94" s="632">
        <f t="shared" si="468"/>
        <v>0.850215389820693</v>
      </c>
      <c r="AA94" s="629">
        <f t="shared" si="469"/>
        <v>0.5263438206002875</v>
      </c>
      <c r="AB94" s="629">
        <f t="shared" si="470"/>
        <v>-9.7966028774995606E-3</v>
      </c>
      <c r="AC94" s="636">
        <f t="shared" si="84"/>
        <v>1</v>
      </c>
      <c r="AD94" s="637">
        <f t="shared" si="115"/>
        <v>0.850215389820693</v>
      </c>
      <c r="AE94" s="629">
        <f t="shared" si="85"/>
        <v>0.5263438206002875</v>
      </c>
      <c r="AF94" s="633">
        <f t="shared" si="86"/>
        <v>-9.7966028774995606E-3</v>
      </c>
      <c r="AG94" s="602">
        <f t="shared" si="87"/>
        <v>88.933702319731154</v>
      </c>
      <c r="AH94" s="603">
        <f t="shared" si="88"/>
        <v>31.764895902932505</v>
      </c>
      <c r="AI94" s="585">
        <f t="shared" si="89"/>
        <v>-89.438687022787633</v>
      </c>
      <c r="AJ94" s="586">
        <f t="shared" si="90"/>
        <v>121.76045484630426</v>
      </c>
      <c r="AK94" s="635">
        <f t="shared" si="211"/>
        <v>0.93646645496054104</v>
      </c>
      <c r="AL94" s="629">
        <f t="shared" si="91"/>
        <v>-0.3506203150213883</v>
      </c>
      <c r="AM94" s="634">
        <f t="shared" si="92"/>
        <v>-9.7966028774995606E-3</v>
      </c>
      <c r="AN94" s="581">
        <f t="shared" si="93"/>
        <v>-88.399527992990002</v>
      </c>
      <c r="AO94" s="582">
        <f t="shared" si="461"/>
        <v>20.533632817411426</v>
      </c>
      <c r="AP94" s="585">
        <f t="shared" si="95"/>
        <v>-20.526290470525279</v>
      </c>
      <c r="AQ94" s="586">
        <f t="shared" si="471"/>
        <v>0.32461497480790158</v>
      </c>
      <c r="AS94" s="52">
        <f t="shared" si="543"/>
        <v>-308.17052460548064</v>
      </c>
      <c r="AT94" s="73">
        <f t="shared" si="472"/>
        <v>-2.3920963888721856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6.133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-5.6183290250986717</v>
      </c>
      <c r="C95" s="708">
        <v>4.3637595970189338</v>
      </c>
      <c r="D95" s="709">
        <v>-3.3190999999999988</v>
      </c>
      <c r="E95" s="710">
        <v>-0.8885721169014883</v>
      </c>
      <c r="F95" s="708">
        <v>-0.45827002850841048</v>
      </c>
      <c r="G95" s="711">
        <v>-2.0692366614490032E-2</v>
      </c>
      <c r="H95" s="710">
        <v>0.314</v>
      </c>
      <c r="I95" s="708">
        <v>0.52</v>
      </c>
      <c r="J95" s="570">
        <v>6.1360000000000001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6.1360000000000001</v>
      </c>
      <c r="N95" s="632">
        <f t="shared" si="465"/>
        <v>-5.6183290250986717</v>
      </c>
      <c r="O95" s="629">
        <f t="shared" si="466"/>
        <v>4.3637595970189338</v>
      </c>
      <c r="P95" s="633">
        <f t="shared" si="467"/>
        <v>-3.3190999999999988</v>
      </c>
      <c r="Q95" s="585">
        <f t="shared" si="520"/>
        <v>142.16349086810905</v>
      </c>
      <c r="R95" s="629">
        <f t="shared" si="79"/>
        <v>7.1139313220497877</v>
      </c>
      <c r="S95" s="634">
        <f t="shared" si="80"/>
        <v>-3.3190999999999988</v>
      </c>
      <c r="T95" s="635">
        <f t="shared" si="81"/>
        <v>4.408459278122689</v>
      </c>
      <c r="U95" s="629">
        <f t="shared" si="82"/>
        <v>5.5833238888653964</v>
      </c>
      <c r="V95" s="636">
        <f t="shared" si="114"/>
        <v>-3.3190999999999988</v>
      </c>
      <c r="W95" s="585">
        <f t="shared" si="645"/>
        <v>51.706220945798918</v>
      </c>
      <c r="X95" s="629">
        <f t="shared" si="83"/>
        <v>7.1139313220497877</v>
      </c>
      <c r="Y95" s="630">
        <f t="shared" si="644"/>
        <v>-3.3190999999999988</v>
      </c>
      <c r="Z95" s="632">
        <f t="shared" si="468"/>
        <v>0.8885721169014883</v>
      </c>
      <c r="AA95" s="629">
        <f t="shared" si="469"/>
        <v>0.45827002850841048</v>
      </c>
      <c r="AB95" s="629">
        <f t="shared" si="470"/>
        <v>2.0692366614490032E-2</v>
      </c>
      <c r="AC95" s="636">
        <f t="shared" si="84"/>
        <v>1</v>
      </c>
      <c r="AD95" s="637">
        <f t="shared" si="115"/>
        <v>0.8885721169014883</v>
      </c>
      <c r="AE95" s="629">
        <f t="shared" si="85"/>
        <v>0.45827002850841048</v>
      </c>
      <c r="AF95" s="633">
        <f t="shared" si="86"/>
        <v>2.0692366614490032E-2</v>
      </c>
      <c r="AG95" s="602">
        <f t="shared" si="87"/>
        <v>92.585332787902345</v>
      </c>
      <c r="AH95" s="603">
        <f t="shared" si="88"/>
        <v>27.305635448606537</v>
      </c>
      <c r="AI95" s="585">
        <f t="shared" si="89"/>
        <v>-91.185669897592334</v>
      </c>
      <c r="AJ95" s="586">
        <f t="shared" si="90"/>
        <v>117.28185850603806</v>
      </c>
      <c r="AK95" s="635">
        <f t="shared" si="211"/>
        <v>0.9069847055277408</v>
      </c>
      <c r="AL95" s="629">
        <f t="shared" si="91"/>
        <v>-0.42065492972583707</v>
      </c>
      <c r="AM95" s="634">
        <f t="shared" si="92"/>
        <v>2.0692366614490032E-2</v>
      </c>
      <c r="AN95" s="581">
        <f t="shared" si="93"/>
        <v>-92.816157160586286</v>
      </c>
      <c r="AO95" s="582">
        <f t="shared" si="461"/>
        <v>24.908069685048375</v>
      </c>
      <c r="AP95" s="585">
        <f t="shared" si="95"/>
        <v>-24.881632362071006</v>
      </c>
      <c r="AQ95" s="586">
        <f t="shared" si="471"/>
        <v>0.32045612438107052</v>
      </c>
      <c r="AS95" s="52">
        <f t="shared" si="543"/>
        <v>-308.29377905420108</v>
      </c>
      <c r="AT95" s="73">
        <f t="shared" si="472"/>
        <v>-3.1026107955050182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6.1360000000000001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-5.6292970799593993</v>
      </c>
      <c r="C96" s="708">
        <v>4.3742472932660634</v>
      </c>
      <c r="D96" s="709">
        <v>-4.0192000000000005</v>
      </c>
      <c r="E96" s="710">
        <v>-0.92221040568032142</v>
      </c>
      <c r="F96" s="708">
        <v>-0.38654242095333474</v>
      </c>
      <c r="G96" s="711">
        <v>1.0626592044113939E-2</v>
      </c>
      <c r="H96" s="710">
        <v>0.314</v>
      </c>
      <c r="I96" s="708">
        <v>0.52</v>
      </c>
      <c r="J96" s="570">
        <v>6.1390000000000002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6.1390000000000002</v>
      </c>
      <c r="N96" s="632">
        <f t="shared" si="465"/>
        <v>-5.6292970799593993</v>
      </c>
      <c r="O96" s="629">
        <f t="shared" si="466"/>
        <v>4.3742472932660634</v>
      </c>
      <c r="P96" s="633">
        <f t="shared" si="467"/>
        <v>-4.0192000000000005</v>
      </c>
      <c r="Q96" s="585">
        <f t="shared" si="520"/>
        <v>142.15099427089132</v>
      </c>
      <c r="R96" s="629">
        <f t="shared" si="79"/>
        <v>7.1290269319932369</v>
      </c>
      <c r="S96" s="634">
        <f t="shared" si="80"/>
        <v>-4.0192000000000005</v>
      </c>
      <c r="T96" s="635">
        <f t="shared" si="81"/>
        <v>4.4190341740125465</v>
      </c>
      <c r="U96" s="629">
        <f t="shared" si="82"/>
        <v>5.5942078944202782</v>
      </c>
      <c r="V96" s="636">
        <f t="shared" si="114"/>
        <v>-4.0192000000000005</v>
      </c>
      <c r="W96" s="585">
        <f t="shared" si="645"/>
        <v>51.693724348581185</v>
      </c>
      <c r="X96" s="629">
        <f t="shared" si="83"/>
        <v>7.1290269319932369</v>
      </c>
      <c r="Y96" s="630">
        <f t="shared" si="644"/>
        <v>-4.0192000000000005</v>
      </c>
      <c r="Z96" s="632">
        <f t="shared" si="468"/>
        <v>0.92221040568032142</v>
      </c>
      <c r="AA96" s="629">
        <f t="shared" si="469"/>
        <v>0.38654242095333474</v>
      </c>
      <c r="AB96" s="629">
        <f t="shared" si="470"/>
        <v>-1.0626592044113939E-2</v>
      </c>
      <c r="AC96" s="636">
        <f t="shared" si="84"/>
        <v>1</v>
      </c>
      <c r="AD96" s="637">
        <f t="shared" si="115"/>
        <v>0.92221040568032142</v>
      </c>
      <c r="AE96" s="629">
        <f t="shared" si="85"/>
        <v>0.38654242095333474</v>
      </c>
      <c r="AF96" s="633">
        <f t="shared" si="86"/>
        <v>-1.0626592044113939E-2</v>
      </c>
      <c r="AG96" s="602">
        <f t="shared" si="87"/>
        <v>88.425255485369675</v>
      </c>
      <c r="AH96" s="603">
        <f t="shared" si="88"/>
        <v>22.748602199763912</v>
      </c>
      <c r="AI96" s="585">
        <f t="shared" si="89"/>
        <v>-89.39112966550617</v>
      </c>
      <c r="AJ96" s="586">
        <f t="shared" si="90"/>
        <v>112.74088506651819</v>
      </c>
      <c r="AK96" s="635">
        <f t="shared" si="211"/>
        <v>0.87107799586972878</v>
      </c>
      <c r="AL96" s="629">
        <f t="shared" si="91"/>
        <v>-0.49102973499891522</v>
      </c>
      <c r="AM96" s="634">
        <f t="shared" si="92"/>
        <v>-1.0626592044113939E-2</v>
      </c>
      <c r="AN96" s="581">
        <f t="shared" si="93"/>
        <v>-88.760230176278384</v>
      </c>
      <c r="AO96" s="582">
        <f t="shared" si="461"/>
        <v>29.415847773082636</v>
      </c>
      <c r="AP96" s="585">
        <f t="shared" si="95"/>
        <v>-29.410109204373118</v>
      </c>
      <c r="AQ96" s="586">
        <f t="shared" si="471"/>
        <v>0.31977757734496326</v>
      </c>
      <c r="AS96" s="52">
        <f t="shared" si="543"/>
        <v>-308.30627565141879</v>
      </c>
      <c r="AT96" s="73">
        <f t="shared" si="472"/>
        <v>-3.8027021173125077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6.1390000000000002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-5.5858600909220941</v>
      </c>
      <c r="C97" s="708">
        <v>4.5013123080552377</v>
      </c>
      <c r="D97" s="709">
        <v>-4.6697999999999995</v>
      </c>
      <c r="E97" s="710">
        <v>-0.92353185290885076</v>
      </c>
      <c r="F97" s="708">
        <v>-0.38351524842605983</v>
      </c>
      <c r="G97" s="711">
        <v>2.2295487082446409E-3</v>
      </c>
      <c r="H97" s="710">
        <v>0.26600000000000001</v>
      </c>
      <c r="I97" s="708">
        <v>0.52</v>
      </c>
      <c r="J97" s="570">
        <v>6.1420000000000003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6.1420000000000003</v>
      </c>
      <c r="N97" s="632">
        <f t="shared" si="465"/>
        <v>-5.5858600909220941</v>
      </c>
      <c r="O97" s="629">
        <f t="shared" si="466"/>
        <v>4.5013123080552377</v>
      </c>
      <c r="P97" s="633">
        <f t="shared" si="467"/>
        <v>-4.6697999999999995</v>
      </c>
      <c r="Q97" s="585">
        <f t="shared" si="520"/>
        <v>141.13672582005913</v>
      </c>
      <c r="R97" s="629">
        <f t="shared" si="79"/>
        <v>7.1738166585162846</v>
      </c>
      <c r="S97" s="634">
        <f t="shared" si="80"/>
        <v>-4.6697999999999995</v>
      </c>
      <c r="T97" s="635">
        <f t="shared" si="81"/>
        <v>4.5457484810733737</v>
      </c>
      <c r="U97" s="629">
        <f t="shared" si="82"/>
        <v>5.5497582106633132</v>
      </c>
      <c r="V97" s="636">
        <f t="shared" si="114"/>
        <v>-4.6697999999999995</v>
      </c>
      <c r="W97" s="585">
        <f t="shared" si="645"/>
        <v>50.679455897748994</v>
      </c>
      <c r="X97" s="629">
        <f t="shared" si="83"/>
        <v>7.1738166585162846</v>
      </c>
      <c r="Y97" s="630">
        <f t="shared" si="644"/>
        <v>-4.6697999999999995</v>
      </c>
      <c r="Z97" s="632">
        <f t="shared" si="468"/>
        <v>0.92353185290885076</v>
      </c>
      <c r="AA97" s="629">
        <f t="shared" si="469"/>
        <v>0.38351524842605983</v>
      </c>
      <c r="AB97" s="629">
        <f t="shared" si="470"/>
        <v>-2.2295487082446409E-3</v>
      </c>
      <c r="AC97" s="636">
        <f t="shared" si="84"/>
        <v>1</v>
      </c>
      <c r="AD97" s="637">
        <f t="shared" si="115"/>
        <v>0.92353185290885076</v>
      </c>
      <c r="AE97" s="629">
        <f t="shared" si="85"/>
        <v>0.38351524842605983</v>
      </c>
      <c r="AF97" s="633">
        <f t="shared" si="86"/>
        <v>-2.2295487082446409E-3</v>
      </c>
      <c r="AG97" s="602">
        <f t="shared" si="87"/>
        <v>89.666917305979723</v>
      </c>
      <c r="AH97" s="603">
        <f t="shared" si="88"/>
        <v>22.551998011702274</v>
      </c>
      <c r="AI97" s="585">
        <f t="shared" si="89"/>
        <v>-89.872256162965215</v>
      </c>
      <c r="AJ97" s="586">
        <f t="shared" si="90"/>
        <v>112.55165509138318</v>
      </c>
      <c r="AK97" s="635">
        <f t="shared" si="211"/>
        <v>0.87810549344673783</v>
      </c>
      <c r="AL97" s="629">
        <f t="shared" si="91"/>
        <v>-0.47846188091761133</v>
      </c>
      <c r="AM97" s="634">
        <f t="shared" si="92"/>
        <v>-2.2295487082446409E-3</v>
      </c>
      <c r="AN97" s="581">
        <f t="shared" si="93"/>
        <v>-89.73301361780284</v>
      </c>
      <c r="AO97" s="582">
        <f t="shared" si="461"/>
        <v>28.585332079960409</v>
      </c>
      <c r="AP97" s="585">
        <f t="shared" si="95"/>
        <v>-28.585070728675937</v>
      </c>
      <c r="AQ97" s="586">
        <f t="shared" si="471"/>
        <v>0.31778108701492613</v>
      </c>
      <c r="AS97" s="52">
        <f t="shared" si="543"/>
        <v>-309.32054410225101</v>
      </c>
      <c r="AT97" s="73">
        <f t="shared" si="472"/>
        <v>-4.4525977642216512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6.1420000000000003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1313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-3.6236151786402071</v>
      </c>
      <c r="C98" s="708">
        <v>3.8324693511512988</v>
      </c>
      <c r="D98" s="709">
        <v>-0.3176009578844885</v>
      </c>
      <c r="E98" s="710">
        <v>-0.28272302445517888</v>
      </c>
      <c r="F98" s="708">
        <v>0.29901799073154989</v>
      </c>
      <c r="G98" s="711">
        <v>0.91140327663542187</v>
      </c>
      <c r="H98" s="710">
        <v>0.25700000000000001</v>
      </c>
      <c r="I98" s="708">
        <v>0.41499999999999992</v>
      </c>
      <c r="J98" s="570">
        <v>6.2210000000000001</v>
      </c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CPS-32193r1</v>
      </c>
      <c r="L98" s="320"/>
      <c r="M98" s="168">
        <f t="shared" si="464"/>
        <v>6.2210000000000001</v>
      </c>
      <c r="N98" s="632">
        <f t="shared" si="465"/>
        <v>-3.6236151786402071</v>
      </c>
      <c r="O98" s="629">
        <f t="shared" si="466"/>
        <v>3.8324693511512988</v>
      </c>
      <c r="P98" s="633">
        <f t="shared" si="467"/>
        <v>-0.3176009578844885</v>
      </c>
      <c r="Q98" s="585">
        <f t="shared" si="520"/>
        <v>133.3954937344659</v>
      </c>
      <c r="R98" s="629">
        <f t="shared" si="79"/>
        <v>5.274315907336776</v>
      </c>
      <c r="S98" s="634">
        <f t="shared" si="80"/>
        <v>-0.3176009578844885</v>
      </c>
      <c r="T98" s="635">
        <f t="shared" si="81"/>
        <v>3.8612665778723638</v>
      </c>
      <c r="U98" s="629">
        <f t="shared" si="82"/>
        <v>3.5929136790342744</v>
      </c>
      <c r="V98" s="636">
        <f t="shared" si="114"/>
        <v>-0.3176009578844885</v>
      </c>
      <c r="W98" s="585">
        <f t="shared" si="645"/>
        <v>42.938223812155769</v>
      </c>
      <c r="X98" s="629">
        <f t="shared" si="83"/>
        <v>5.274315907336776</v>
      </c>
      <c r="Y98" s="630">
        <f t="shared" si="644"/>
        <v>-0.3176009578844885</v>
      </c>
      <c r="Z98" s="632">
        <f t="shared" si="468"/>
        <v>0.28272302445517888</v>
      </c>
      <c r="AA98" s="629">
        <f t="shared" si="469"/>
        <v>-0.29901799073154989</v>
      </c>
      <c r="AB98" s="629">
        <f t="shared" si="470"/>
        <v>-0.91140327663542187</v>
      </c>
      <c r="AC98" s="636">
        <f t="shared" si="84"/>
        <v>1</v>
      </c>
      <c r="AD98" s="637">
        <f t="shared" si="115"/>
        <v>0.28272302445517888</v>
      </c>
      <c r="AE98" s="629">
        <f t="shared" si="85"/>
        <v>-0.29901799073154989</v>
      </c>
      <c r="AF98" s="633">
        <f t="shared" si="86"/>
        <v>-0.91140327663542187</v>
      </c>
      <c r="AG98" s="602">
        <f t="shared" si="87"/>
        <v>-18.163901444040953</v>
      </c>
      <c r="AH98" s="603">
        <f t="shared" si="88"/>
        <v>73.577209240422548</v>
      </c>
      <c r="AI98" s="585">
        <f t="shared" si="89"/>
        <v>-24.300000000003248</v>
      </c>
      <c r="AJ98" s="586">
        <f t="shared" si="90"/>
        <v>43.395525311469541</v>
      </c>
      <c r="AK98" s="635">
        <f t="shared" si="211"/>
        <v>2.2679489672383646E-7</v>
      </c>
      <c r="AL98" s="629">
        <f t="shared" si="91"/>
        <v>-0.41151435860509833</v>
      </c>
      <c r="AM98" s="634">
        <f t="shared" si="92"/>
        <v>-0.91140327663542187</v>
      </c>
      <c r="AN98" s="581">
        <f t="shared" si="93"/>
        <v>-24.300000000000004</v>
      </c>
      <c r="AO98" s="582">
        <f t="shared" si="461"/>
        <v>0</v>
      </c>
      <c r="AP98" s="585">
        <f t="shared" si="95"/>
        <v>-89.999968422996375</v>
      </c>
      <c r="AQ98" s="586">
        <f t="shared" si="471"/>
        <v>0.43222352000225134</v>
      </c>
      <c r="AS98" s="52">
        <f t="shared" si="543"/>
        <v>-317.0617761878442</v>
      </c>
      <c r="AT98" s="73">
        <f t="shared" si="472"/>
        <v>-9.5022866491144609E-2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Nose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6.2210000000000001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0.121</v>
      </c>
      <c r="II98" s="734" cm="1">
        <f t="array" ref="II98">IFERROR(ROUND(VALUE(IF($IH98&lt;1,$IH98+LARGE((IF($M$9:$M$150="",0,$M$9:$M$150)-MOD(IF($M$9:$M$150="",0,$M$9:$M$150),1)),1),$IH98)),4),"")</f>
        <v>6.1210000000000004</v>
      </c>
      <c r="IJ98" s="533">
        <f t="shared" si="542"/>
        <v>1613</v>
      </c>
      <c r="IK98" s="533" t="str">
        <f t="shared" si="517"/>
        <v>CPS-32193r1</v>
      </c>
      <c r="IL98" s="727">
        <f t="shared" si="647"/>
        <v>10.98706796447695</v>
      </c>
      <c r="IM98" s="759">
        <v>5.4624626161902997E-3</v>
      </c>
      <c r="IN98" s="5">
        <f t="shared" si="648"/>
        <v>0.18</v>
      </c>
      <c r="IO98" s="771">
        <v>90</v>
      </c>
      <c r="IP98" s="9">
        <f t="shared" si="649"/>
        <v>-5.2469200428177665</v>
      </c>
      <c r="IQ98" s="5">
        <f t="shared" si="650"/>
        <v>-0.34680000000000011</v>
      </c>
      <c r="IR98" s="5">
        <f t="shared" si="518"/>
        <v>0.314</v>
      </c>
      <c r="IS98" s="5">
        <f t="shared" si="651"/>
        <v>0.30239413931543463</v>
      </c>
      <c r="IT98" s="727">
        <f t="shared" si="652"/>
        <v>36.655972072210915</v>
      </c>
      <c r="IU98" s="9">
        <f t="shared" si="653"/>
        <v>-5.274315907336776</v>
      </c>
      <c r="IV98" s="5">
        <f t="shared" si="654"/>
        <v>-0.3176009578844885</v>
      </c>
      <c r="IW98" s="5">
        <f t="shared" si="519"/>
        <v>0.25700000000000001</v>
      </c>
      <c r="IX98" s="5">
        <f t="shared" si="655"/>
        <v>0.25700000000000001</v>
      </c>
      <c r="IY98" s="762">
        <f t="shared" si="656"/>
        <v>24.300000000000004</v>
      </c>
    </row>
    <row r="99" spans="1:259" ht="15" customHeight="1" x14ac:dyDescent="0.25">
      <c r="A99" s="79"/>
      <c r="B99" s="707">
        <v>-4.4957472782962737</v>
      </c>
      <c r="C99" s="708">
        <v>4.635495031929695</v>
      </c>
      <c r="D99" s="709">
        <v>-1.265903817965915</v>
      </c>
      <c r="E99" s="710">
        <v>-0.54485465442122327</v>
      </c>
      <c r="F99" s="708">
        <v>0.56179082648925638</v>
      </c>
      <c r="G99" s="711">
        <v>0.62251463663760376</v>
      </c>
      <c r="H99" s="710">
        <v>0.25700000000000001</v>
      </c>
      <c r="I99" s="708">
        <v>0.41499999999999992</v>
      </c>
      <c r="J99" s="570">
        <v>6.2270000000000003</v>
      </c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CPS-32193r1</v>
      </c>
      <c r="L99" s="320"/>
      <c r="M99" s="168">
        <f t="shared" si="464"/>
        <v>6.2270000000000003</v>
      </c>
      <c r="N99" s="632">
        <f t="shared" si="465"/>
        <v>-4.4957472782962737</v>
      </c>
      <c r="O99" s="629">
        <f t="shared" si="466"/>
        <v>4.635495031929695</v>
      </c>
      <c r="P99" s="633">
        <f t="shared" si="467"/>
        <v>-1.265903817965915</v>
      </c>
      <c r="Q99" s="585">
        <f t="shared" si="520"/>
        <v>134.12319362939903</v>
      </c>
      <c r="R99" s="629">
        <f t="shared" si="79"/>
        <v>6.4575194758787395</v>
      </c>
      <c r="S99" s="634">
        <f t="shared" si="80"/>
        <v>-1.265903817965915</v>
      </c>
      <c r="T99" s="635">
        <f t="shared" si="81"/>
        <v>4.6712269800241115</v>
      </c>
      <c r="U99" s="629">
        <f t="shared" si="82"/>
        <v>4.4586092318623365</v>
      </c>
      <c r="V99" s="636">
        <f t="shared" si="114"/>
        <v>-1.265903817965915</v>
      </c>
      <c r="W99" s="585">
        <f t="shared" si="645"/>
        <v>43.665923707088893</v>
      </c>
      <c r="X99" s="629">
        <f t="shared" si="83"/>
        <v>6.4575194758787395</v>
      </c>
      <c r="Y99" s="630">
        <f t="shared" si="644"/>
        <v>-1.265903817965915</v>
      </c>
      <c r="Z99" s="632">
        <f t="shared" si="468"/>
        <v>0.54485465442122327</v>
      </c>
      <c r="AA99" s="629">
        <f t="shared" si="469"/>
        <v>-0.56179082648925638</v>
      </c>
      <c r="AB99" s="629">
        <f t="shared" si="470"/>
        <v>-0.62251463663760376</v>
      </c>
      <c r="AC99" s="636">
        <f t="shared" si="84"/>
        <v>1</v>
      </c>
      <c r="AD99" s="637">
        <f t="shared" si="115"/>
        <v>0.54485465442122327</v>
      </c>
      <c r="AE99" s="629">
        <f t="shared" si="85"/>
        <v>-0.56179082648925638</v>
      </c>
      <c r="AF99" s="633">
        <f t="shared" si="86"/>
        <v>-0.62251463663760376</v>
      </c>
      <c r="AG99" s="602">
        <f t="shared" si="87"/>
        <v>-42.064799588012519</v>
      </c>
      <c r="AH99" s="603">
        <f t="shared" si="88"/>
        <v>56.985268216080584</v>
      </c>
      <c r="AI99" s="585">
        <f t="shared" si="89"/>
        <v>-51.500000000001151</v>
      </c>
      <c r="AJ99" s="586">
        <f t="shared" si="90"/>
        <v>44.12321023335376</v>
      </c>
      <c r="AK99" s="635">
        <f t="shared" si="211"/>
        <v>2.2679489697363664E-7</v>
      </c>
      <c r="AL99" s="629">
        <f t="shared" si="91"/>
        <v>-0.78260815685239382</v>
      </c>
      <c r="AM99" s="634">
        <f t="shared" si="92"/>
        <v>-0.62251463663760376</v>
      </c>
      <c r="AN99" s="581">
        <f t="shared" si="93"/>
        <v>-51.499999999999993</v>
      </c>
      <c r="AO99" s="582">
        <f t="shared" si="461"/>
        <v>0</v>
      </c>
      <c r="AP99" s="585">
        <f t="shared" si="95"/>
        <v>-89.999983396045266</v>
      </c>
      <c r="AQ99" s="586">
        <f t="shared" si="471"/>
        <v>0.353029950714706</v>
      </c>
      <c r="AS99" s="52">
        <f t="shared" si="543"/>
        <v>-316.33407629291111</v>
      </c>
      <c r="AT99" s="73">
        <f t="shared" si="472"/>
        <v>-1.0438310737218301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6.2270000000000003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0.127</v>
      </c>
      <c r="II99" s="734" cm="1">
        <f t="array" ref="II99">IFERROR(ROUND(VALUE(IF($IH99&lt;1,$IH99+LARGE((IF($M$9:$M$150="",0,$M$9:$M$150)-MOD(IF($M$9:$M$150="",0,$M$9:$M$150),1)),1),$IH99)),4),"")</f>
        <v>6.1269999999999998</v>
      </c>
      <c r="IJ99" s="533">
        <f t="shared" si="542"/>
        <v>1613</v>
      </c>
      <c r="IK99" s="533" t="str">
        <f t="shared" si="517"/>
        <v>CPS-32193r1</v>
      </c>
      <c r="IL99" s="727">
        <f t="shared" si="647"/>
        <v>8.9532149828102092</v>
      </c>
      <c r="IM99" s="759">
        <v>1.4958182027378E-3</v>
      </c>
      <c r="IN99" s="5">
        <f t="shared" si="648"/>
        <v>0</v>
      </c>
      <c r="IO99" s="771">
        <v>0</v>
      </c>
      <c r="IP99" s="9">
        <f t="shared" si="649"/>
        <v>-6.4153305543873778</v>
      </c>
      <c r="IQ99" s="5">
        <f t="shared" si="650"/>
        <v>-1.2759000000000009</v>
      </c>
      <c r="IR99" s="5">
        <f t="shared" si="518"/>
        <v>0.314</v>
      </c>
      <c r="IS99" s="5">
        <f t="shared" si="651"/>
        <v>0.3016995319661161</v>
      </c>
      <c r="IT99" s="727">
        <f t="shared" si="652"/>
        <v>68.991685994932666</v>
      </c>
      <c r="IU99" s="9">
        <f t="shared" si="653"/>
        <v>-6.4575194758787395</v>
      </c>
      <c r="IV99" s="5">
        <f t="shared" si="654"/>
        <v>-1.265903817965915</v>
      </c>
      <c r="IW99" s="5">
        <f t="shared" si="519"/>
        <v>0.25700000000000001</v>
      </c>
      <c r="IX99" s="5">
        <f t="shared" si="655"/>
        <v>0.25700000000000001</v>
      </c>
      <c r="IY99" s="762">
        <f t="shared" si="656"/>
        <v>51.499999999999993</v>
      </c>
    </row>
    <row r="100" spans="1:259" ht="15" customHeight="1" x14ac:dyDescent="0.25">
      <c r="A100" s="79"/>
      <c r="B100" s="707">
        <v>-4.9008647554717575</v>
      </c>
      <c r="C100" s="708">
        <v>5.082427913960017</v>
      </c>
      <c r="D100" s="709">
        <v>-2.61320788143497</v>
      </c>
      <c r="E100" s="710">
        <v>-0.67971010694791001</v>
      </c>
      <c r="F100" s="708">
        <v>0.70489111453816311</v>
      </c>
      <c r="G100" s="711">
        <v>0.20278729535650719</v>
      </c>
      <c r="H100" s="710">
        <v>0.25700000000000001</v>
      </c>
      <c r="I100" s="708">
        <v>0.41499999999999992</v>
      </c>
      <c r="J100" s="570">
        <v>6.2329999999999997</v>
      </c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CPS-32193r1</v>
      </c>
      <c r="L100" s="320"/>
      <c r="M100" s="168">
        <f t="shared" si="464"/>
        <v>6.2329999999999997</v>
      </c>
      <c r="N100" s="632">
        <f t="shared" si="465"/>
        <v>-4.9008647554717575</v>
      </c>
      <c r="O100" s="629">
        <f t="shared" si="466"/>
        <v>5.082427913960017</v>
      </c>
      <c r="P100" s="633">
        <f t="shared" si="467"/>
        <v>-2.61320788143497</v>
      </c>
      <c r="Q100" s="585">
        <f t="shared" si="520"/>
        <v>133.95809365323652</v>
      </c>
      <c r="R100" s="629">
        <f t="shared" si="79"/>
        <v>7.0604212942306228</v>
      </c>
      <c r="S100" s="634">
        <f t="shared" si="80"/>
        <v>-2.61320788143497</v>
      </c>
      <c r="T100" s="635">
        <f t="shared" si="81"/>
        <v>5.1213787824714121</v>
      </c>
      <c r="U100" s="629">
        <f t="shared" si="82"/>
        <v>4.860146933836142</v>
      </c>
      <c r="V100" s="636">
        <f t="shared" si="114"/>
        <v>-2.61320788143497</v>
      </c>
      <c r="W100" s="585">
        <f t="shared" si="645"/>
        <v>43.500823730926385</v>
      </c>
      <c r="X100" s="629">
        <f t="shared" si="83"/>
        <v>7.0604212942306228</v>
      </c>
      <c r="Y100" s="630">
        <f t="shared" si="644"/>
        <v>-2.61320788143497</v>
      </c>
      <c r="Z100" s="632">
        <f t="shared" si="468"/>
        <v>0.67971010694791001</v>
      </c>
      <c r="AA100" s="629">
        <f t="shared" si="469"/>
        <v>-0.70489111453816311</v>
      </c>
      <c r="AB100" s="629">
        <f t="shared" si="470"/>
        <v>-0.20278729535650719</v>
      </c>
      <c r="AC100" s="636">
        <f t="shared" si="84"/>
        <v>1</v>
      </c>
      <c r="AD100" s="637">
        <f t="shared" si="115"/>
        <v>0.67971010694791001</v>
      </c>
      <c r="AE100" s="629">
        <f t="shared" si="85"/>
        <v>-0.70489111453816311</v>
      </c>
      <c r="AF100" s="633">
        <f t="shared" si="86"/>
        <v>-0.20278729535650719</v>
      </c>
      <c r="AG100" s="602">
        <f t="shared" si="87"/>
        <v>-73.950214520711157</v>
      </c>
      <c r="AH100" s="603">
        <f t="shared" si="88"/>
        <v>47.17900607045307</v>
      </c>
      <c r="AI100" s="585">
        <f t="shared" si="89"/>
        <v>-78.30000000000031</v>
      </c>
      <c r="AJ100" s="586">
        <f t="shared" si="90"/>
        <v>43.95810692334242</v>
      </c>
      <c r="AK100" s="635">
        <f t="shared" si="211"/>
        <v>2.2679489680710319E-7</v>
      </c>
      <c r="AL100" s="629">
        <f t="shared" si="91"/>
        <v>-0.97922281062174066</v>
      </c>
      <c r="AM100" s="634">
        <f t="shared" si="92"/>
        <v>-0.20278729535650719</v>
      </c>
      <c r="AN100" s="581">
        <f t="shared" si="93"/>
        <v>-78.3</v>
      </c>
      <c r="AO100" s="582">
        <f t="shared" si="461"/>
        <v>0</v>
      </c>
      <c r="AP100" s="585">
        <f t="shared" si="95"/>
        <v>-89.999986729894104</v>
      </c>
      <c r="AQ100" s="586">
        <f t="shared" si="471"/>
        <v>0.32288476903794561</v>
      </c>
      <c r="AS100" s="52">
        <f t="shared" si="543"/>
        <v>-316.49917626907359</v>
      </c>
      <c r="AT100" s="73">
        <f t="shared" si="472"/>
        <v>-2.3910204844296614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6.2329999999999997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0.13300000000000001</v>
      </c>
      <c r="II100" s="734" cm="1">
        <f t="array" ref="II100">IFERROR(ROUND(VALUE(IF($IH100&lt;1,$IH100+LARGE((IF($M$9:$M$150="",0,$M$9:$M$150)-MOD(IF($M$9:$M$150="",0,$M$9:$M$150),1)),1),$IH100)),4),"")</f>
        <v>6.133</v>
      </c>
      <c r="IJ100" s="533">
        <f t="shared" si="542"/>
        <v>1613</v>
      </c>
      <c r="IK100" s="533" t="str">
        <f t="shared" si="517"/>
        <v>CPS-32193r1</v>
      </c>
      <c r="IL100" s="727">
        <f t="shared" si="647"/>
        <v>8.328651663593007</v>
      </c>
      <c r="IM100" s="759">
        <v>1.3925035016250801E-4</v>
      </c>
      <c r="IN100" s="5">
        <f t="shared" si="648"/>
        <v>0</v>
      </c>
      <c r="IO100" s="771">
        <v>0</v>
      </c>
      <c r="IP100" s="9">
        <f t="shared" si="649"/>
        <v>-7.0227882768368968</v>
      </c>
      <c r="IQ100" s="5">
        <f t="shared" si="650"/>
        <v>-2.6084999999999994</v>
      </c>
      <c r="IR100" s="5">
        <f t="shared" si="518"/>
        <v>0.314</v>
      </c>
      <c r="IS100" s="5">
        <f t="shared" si="651"/>
        <v>0.29405046685760988</v>
      </c>
      <c r="IT100" s="727">
        <f t="shared" si="652"/>
        <v>88.399527992990002</v>
      </c>
      <c r="IU100" s="9">
        <f t="shared" si="653"/>
        <v>-7.0604212942306228</v>
      </c>
      <c r="IV100" s="5">
        <f t="shared" si="654"/>
        <v>-2.61320788143497</v>
      </c>
      <c r="IW100" s="5">
        <f t="shared" si="519"/>
        <v>0.25700000000000001</v>
      </c>
      <c r="IX100" s="5">
        <f t="shared" si="655"/>
        <v>0.25700000000000001</v>
      </c>
      <c r="IY100" s="762">
        <f t="shared" si="656"/>
        <v>78.3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0.93969262078590843</v>
      </c>
      <c r="F154" s="170">
        <f t="shared" si="929"/>
        <v>0</v>
      </c>
      <c r="G154" s="170">
        <f t="shared" si="929"/>
        <v>-0.34202014332566871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0.96592582628906831</v>
      </c>
      <c r="F155" s="170">
        <f t="shared" si="929"/>
        <v>0</v>
      </c>
      <c r="G155" s="170">
        <f t="shared" si="929"/>
        <v>-0.25881904510252074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0.96592582628906831</v>
      </c>
      <c r="F156" s="170">
        <f t="shared" si="929"/>
        <v>0</v>
      </c>
      <c r="G156" s="170">
        <f t="shared" si="929"/>
        <v>-0.25881904510252074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0.96592582628906831</v>
      </c>
      <c r="F157" s="170">
        <f t="shared" si="929"/>
        <v>0</v>
      </c>
      <c r="G157" s="170">
        <f t="shared" si="929"/>
        <v>-0.25881904510252074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0.96592582628906831</v>
      </c>
      <c r="F158" s="170">
        <f t="shared" si="929"/>
        <v>0</v>
      </c>
      <c r="G158" s="170">
        <f t="shared" si="929"/>
        <v>-0.25881904510252074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0.96570865380505444</v>
      </c>
      <c r="F159" s="170">
        <f t="shared" si="929"/>
        <v>-2.6167800051928508E-2</v>
      </c>
      <c r="G159" s="170">
        <f t="shared" si="929"/>
        <v>-0.2583061017600472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0.96366601986653133</v>
      </c>
      <c r="F160" s="170">
        <f t="shared" si="929"/>
        <v>-0.11637697776714716</v>
      </c>
      <c r="G160" s="170">
        <f t="shared" si="929"/>
        <v>-0.24042504278960444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0.95980608973268622</v>
      </c>
      <c r="F161" s="170">
        <f t="shared" si="929"/>
        <v>-0.19638947095956888</v>
      </c>
      <c r="G161" s="170">
        <f t="shared" si="929"/>
        <v>-0.20050796943830337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0.95490338748671622</v>
      </c>
      <c r="F162" s="170">
        <f t="shared" si="929"/>
        <v>-0.26015825513602048</v>
      </c>
      <c r="G162" s="170">
        <f t="shared" si="929"/>
        <v>-0.14309857738976828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0.95006317167603416</v>
      </c>
      <c r="F163" s="170">
        <f t="shared" si="929"/>
        <v>-0.30243711276099194</v>
      </c>
      <c r="G163" s="170">
        <f t="shared" si="929"/>
        <v>-7.6887987681232561E-2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0.92038734544739464</v>
      </c>
      <c r="F164" s="170">
        <f t="shared" si="929"/>
        <v>-0.38634961928802436</v>
      </c>
      <c r="G164" s="170">
        <f t="shared" si="929"/>
        <v>-6.0175626430450518E-2</v>
      </c>
      <c r="H164" s="139"/>
      <c r="I164" s="86"/>
      <c r="J164" s="79">
        <f t="shared" si="930"/>
        <v>1.131</v>
      </c>
    </row>
    <row r="165" spans="5:16" x14ac:dyDescent="0.25">
      <c r="E165" s="170">
        <f t="shared" si="929"/>
        <v>0.88562514774950651</v>
      </c>
      <c r="F165" s="170">
        <f t="shared" si="929"/>
        <v>-0.4637296976209776</v>
      </c>
      <c r="G165" s="170">
        <f t="shared" si="929"/>
        <v>-2.4957267839684077E-2</v>
      </c>
      <c r="H165" s="139"/>
      <c r="I165" s="86"/>
      <c r="J165" s="79">
        <f t="shared" si="930"/>
        <v>1.1339999999999999</v>
      </c>
    </row>
    <row r="166" spans="5:16" x14ac:dyDescent="0.25">
      <c r="E166" s="170">
        <f t="shared" si="929"/>
        <v>0.84559843601209483</v>
      </c>
      <c r="F166" s="170">
        <f t="shared" si="929"/>
        <v>-0.53371342039850611</v>
      </c>
      <c r="G166" s="170">
        <f t="shared" si="929"/>
        <v>-1.0642833289437797E-2</v>
      </c>
      <c r="H166" s="139"/>
      <c r="I166" s="86"/>
      <c r="J166" s="79">
        <f t="shared" si="930"/>
        <v>1.137</v>
      </c>
    </row>
    <row r="167" spans="5:16" x14ac:dyDescent="0.25">
      <c r="E167" s="170">
        <f t="shared" si="929"/>
        <v>0.84401246122792728</v>
      </c>
      <c r="F167" s="170">
        <f t="shared" si="929"/>
        <v>-0.53631574793532444</v>
      </c>
      <c r="G167" s="170">
        <f t="shared" si="929"/>
        <v>-2.8954807114411622E-3</v>
      </c>
      <c r="H167" s="139"/>
      <c r="I167" s="86"/>
      <c r="J167" s="79">
        <f t="shared" si="930"/>
        <v>1.1399999999999999</v>
      </c>
    </row>
    <row r="168" spans="5:16" x14ac:dyDescent="0.25">
      <c r="E168" s="170">
        <f t="shared" si="929"/>
        <v>-6.885865292561591E-3</v>
      </c>
      <c r="F168" s="170">
        <f t="shared" si="929"/>
        <v>-2.70592455222535E-2</v>
      </c>
      <c r="G168" s="170">
        <f t="shared" si="929"/>
        <v>-0.99961011504032871</v>
      </c>
      <c r="H168" s="139"/>
      <c r="I168" s="86"/>
      <c r="J168" s="79">
        <f t="shared" si="930"/>
        <v>1.216</v>
      </c>
    </row>
    <row r="169" spans="5:16" x14ac:dyDescent="0.25">
      <c r="E169" s="170">
        <f t="shared" si="929"/>
        <v>-9.4927645344282066E-2</v>
      </c>
      <c r="F169" s="170">
        <f t="shared" si="929"/>
        <v>-0.47230852698202624</v>
      </c>
      <c r="G169" s="170">
        <f t="shared" si="929"/>
        <v>-0.87630668004384105</v>
      </c>
      <c r="H169" s="139"/>
      <c r="I169" s="86"/>
      <c r="J169" s="79">
        <f t="shared" si="930"/>
        <v>1.222</v>
      </c>
    </row>
    <row r="170" spans="5:16" x14ac:dyDescent="0.25">
      <c r="E170" s="170">
        <f t="shared" si="929"/>
        <v>-0.15603861606286906</v>
      </c>
      <c r="F170" s="170">
        <f t="shared" si="929"/>
        <v>-0.81322559482121459</v>
      </c>
      <c r="G170" s="170">
        <f t="shared" si="929"/>
        <v>-0.56063899456322741</v>
      </c>
      <c r="H170" s="139"/>
      <c r="I170" s="86"/>
      <c r="J170" s="79">
        <f t="shared" si="930"/>
        <v>1.228</v>
      </c>
    </row>
    <row r="171" spans="5:16" x14ac:dyDescent="0.25">
      <c r="E171" s="170">
        <f t="shared" si="929"/>
        <v>0.408217893676735</v>
      </c>
      <c r="F171" s="170">
        <f t="shared" si="929"/>
        <v>-0.87542609806559313</v>
      </c>
      <c r="G171" s="170">
        <f t="shared" si="929"/>
        <v>-0.25881904510252079</v>
      </c>
      <c r="H171" s="139"/>
      <c r="I171" s="86"/>
      <c r="J171" s="79">
        <f t="shared" si="930"/>
        <v>2.1110000000000002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0.408217893676735</v>
      </c>
      <c r="F172" s="170">
        <f t="shared" si="929"/>
        <v>-0.87542609806559302</v>
      </c>
      <c r="G172" s="170">
        <f t="shared" si="929"/>
        <v>-0.25881904510252079</v>
      </c>
      <c r="H172" s="139"/>
      <c r="I172" s="86"/>
      <c r="J172" s="79">
        <f t="shared" si="930"/>
        <v>2.1139999999999999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0.35636689730441939</v>
      </c>
      <c r="F173" s="170">
        <f t="shared" si="929"/>
        <v>-0.89886823473847799</v>
      </c>
      <c r="G173" s="170">
        <f t="shared" si="929"/>
        <v>-0.25502653015667598</v>
      </c>
      <c r="H173" s="139"/>
      <c r="I173" s="86"/>
      <c r="J173" s="79">
        <f t="shared" si="930"/>
        <v>2.117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0.27572067983057269</v>
      </c>
      <c r="F174" s="170">
        <f t="shared" si="933"/>
        <v>-0.9334882678574784</v>
      </c>
      <c r="G174" s="170">
        <f t="shared" si="933"/>
        <v>-0.22929840925355699</v>
      </c>
      <c r="H174" s="139"/>
      <c r="I174" s="86"/>
      <c r="J174" s="79">
        <f t="shared" si="930"/>
        <v>2.12</v>
      </c>
    </row>
    <row r="175" spans="5:16" x14ac:dyDescent="0.25">
      <c r="E175" s="170">
        <f t="shared" si="933"/>
        <v>0.20583271171662623</v>
      </c>
      <c r="F175" s="170">
        <f t="shared" si="933"/>
        <v>-0.96132576887754195</v>
      </c>
      <c r="G175" s="170">
        <f t="shared" si="933"/>
        <v>-0.18299087649219897</v>
      </c>
      <c r="H175" s="139"/>
      <c r="I175" s="86"/>
      <c r="J175" s="79">
        <f t="shared" si="930"/>
        <v>2.1230000000000002</v>
      </c>
    </row>
    <row r="176" spans="5:16" x14ac:dyDescent="0.25">
      <c r="E176" s="170">
        <f t="shared" si="933"/>
        <v>0.15217579364889652</v>
      </c>
      <c r="F176" s="170">
        <f t="shared" si="933"/>
        <v>-0.98081155940843856</v>
      </c>
      <c r="G176" s="170">
        <f t="shared" si="933"/>
        <v>-0.12186555197477072</v>
      </c>
      <c r="H176" s="139"/>
      <c r="I176" s="86"/>
      <c r="J176" s="79">
        <f t="shared" si="930"/>
        <v>2.1259999999999999</v>
      </c>
    </row>
    <row r="177" spans="5:10" x14ac:dyDescent="0.25">
      <c r="E177" s="170">
        <f t="shared" si="933"/>
        <v>0.11826190796794885</v>
      </c>
      <c r="F177" s="170">
        <f t="shared" si="933"/>
        <v>-0.99151210907801712</v>
      </c>
      <c r="G177" s="170">
        <f t="shared" si="933"/>
        <v>-5.4017207216244929E-2</v>
      </c>
      <c r="H177" s="139"/>
      <c r="I177" s="86"/>
      <c r="J177" s="79">
        <f t="shared" si="930"/>
        <v>2.129</v>
      </c>
    </row>
    <row r="178" spans="5:10" x14ac:dyDescent="0.25">
      <c r="E178" s="170">
        <f t="shared" si="933"/>
        <v>3.3710228907062441E-2</v>
      </c>
      <c r="F178" s="170">
        <f t="shared" si="933"/>
        <v>-0.99883035899966599</v>
      </c>
      <c r="G178" s="170">
        <f t="shared" si="933"/>
        <v>-3.4663156342603536E-2</v>
      </c>
      <c r="H178" s="139"/>
      <c r="I178" s="86"/>
      <c r="J178" s="79">
        <f t="shared" si="930"/>
        <v>2.1320000000000001</v>
      </c>
    </row>
    <row r="179" spans="5:10" x14ac:dyDescent="0.25">
      <c r="E179" s="170">
        <f t="shared" si="933"/>
        <v>-4.701411927306802E-2</v>
      </c>
      <c r="F179" s="170">
        <f t="shared" si="933"/>
        <v>-0.99889419713725203</v>
      </c>
      <c r="G179" s="170">
        <f t="shared" si="933"/>
        <v>2.3561515754124199E-4</v>
      </c>
      <c r="H179" s="139"/>
      <c r="I179" s="86"/>
      <c r="J179" s="79">
        <f t="shared" si="930"/>
        <v>2.1349999999999998</v>
      </c>
    </row>
    <row r="180" spans="5:10" x14ac:dyDescent="0.25">
      <c r="E180" s="170">
        <f t="shared" si="933"/>
        <v>-0.12634964665423415</v>
      </c>
      <c r="F180" s="170">
        <f t="shared" si="933"/>
        <v>-0.99192884943017878</v>
      </c>
      <c r="G180" s="170">
        <f t="shared" si="933"/>
        <v>-1.0626592044113384E-2</v>
      </c>
      <c r="H180" s="139"/>
      <c r="I180" s="86"/>
      <c r="J180" s="79">
        <f t="shared" si="930"/>
        <v>2.1379999999999999</v>
      </c>
    </row>
    <row r="181" spans="5:10" x14ac:dyDescent="0.25">
      <c r="E181" s="170">
        <f t="shared" si="933"/>
        <v>-0.12937205941253274</v>
      </c>
      <c r="F181" s="170">
        <f t="shared" si="933"/>
        <v>-0.99159189510342904</v>
      </c>
      <c r="G181" s="170">
        <f t="shared" si="933"/>
        <v>-2.8954807114418279E-3</v>
      </c>
      <c r="H181" s="139"/>
      <c r="I181" s="86"/>
      <c r="J181" s="79">
        <f t="shared" si="930"/>
        <v>2.141</v>
      </c>
    </row>
    <row r="182" spans="5:10" x14ac:dyDescent="0.25">
      <c r="E182" s="170">
        <f t="shared" si="933"/>
        <v>-0.32834560463616502</v>
      </c>
      <c r="F182" s="170">
        <f t="shared" si="933"/>
        <v>-7.6304502930568896E-2</v>
      </c>
      <c r="G182" s="170">
        <f t="shared" si="933"/>
        <v>-0.94147054481201375</v>
      </c>
      <c r="H182" s="139"/>
      <c r="I182" s="86"/>
      <c r="J182" s="79">
        <f t="shared" si="930"/>
        <v>2.2200000000000002</v>
      </c>
    </row>
    <row r="183" spans="5:10" x14ac:dyDescent="0.25">
      <c r="E183" s="170">
        <f t="shared" si="933"/>
        <v>-0.70819103231347147</v>
      </c>
      <c r="F183" s="170">
        <f t="shared" si="933"/>
        <v>-0.17777067235852981</v>
      </c>
      <c r="G183" s="170">
        <f t="shared" si="933"/>
        <v>-0.68327377368078157</v>
      </c>
      <c r="H183" s="139"/>
      <c r="I183" s="86"/>
      <c r="J183" s="79">
        <f t="shared" si="930"/>
        <v>2.226</v>
      </c>
    </row>
    <row r="184" spans="5:10" x14ac:dyDescent="0.25">
      <c r="E184" s="170">
        <f t="shared" si="933"/>
        <v>-0.93189574276632148</v>
      </c>
      <c r="F184" s="170">
        <f t="shared" si="933"/>
        <v>-0.2318065731704301</v>
      </c>
      <c r="G184" s="170">
        <f t="shared" si="933"/>
        <v>-0.27899110603922178</v>
      </c>
      <c r="H184" s="139"/>
      <c r="I184" s="86"/>
      <c r="J184" s="79">
        <f t="shared" si="930"/>
        <v>2.2320000000000002</v>
      </c>
    </row>
    <row r="185" spans="5:10" x14ac:dyDescent="0.25">
      <c r="E185" s="170">
        <f t="shared" si="933"/>
        <v>-0.55403229322232372</v>
      </c>
      <c r="F185" s="170">
        <f t="shared" si="933"/>
        <v>-0.79124011523622362</v>
      </c>
      <c r="G185" s="170">
        <f t="shared" si="933"/>
        <v>-0.25881904510252074</v>
      </c>
      <c r="H185" s="139"/>
      <c r="I185" s="86"/>
      <c r="J185" s="79">
        <f t="shared" si="930"/>
        <v>3.1030000000000002</v>
      </c>
    </row>
    <row r="186" spans="5:10" x14ac:dyDescent="0.25">
      <c r="E186" s="170">
        <f t="shared" si="933"/>
        <v>-0.55403229322232361</v>
      </c>
      <c r="F186" s="170">
        <f t="shared" si="933"/>
        <v>-0.79124011523622384</v>
      </c>
      <c r="G186" s="170">
        <f t="shared" si="933"/>
        <v>-0.25881904510252074</v>
      </c>
      <c r="H186" s="139"/>
      <c r="I186" s="86"/>
      <c r="J186" s="79">
        <f t="shared" si="930"/>
        <v>3.1059999999999999</v>
      </c>
    </row>
    <row r="187" spans="5:10" x14ac:dyDescent="0.25">
      <c r="E187" s="170">
        <f t="shared" si="933"/>
        <v>-0.55403229322232361</v>
      </c>
      <c r="F187" s="170">
        <f t="shared" si="933"/>
        <v>-0.79124011523622384</v>
      </c>
      <c r="G187" s="170">
        <f t="shared" si="933"/>
        <v>-0.25881904510252074</v>
      </c>
      <c r="H187" s="139"/>
      <c r="I187" s="86"/>
      <c r="J187" s="79">
        <f t="shared" si="930"/>
        <v>3.109</v>
      </c>
    </row>
    <row r="188" spans="5:10" x14ac:dyDescent="0.25">
      <c r="E188" s="170">
        <f t="shared" si="933"/>
        <v>-0.55403229322232372</v>
      </c>
      <c r="F188" s="170">
        <f t="shared" si="933"/>
        <v>-0.79124011523622373</v>
      </c>
      <c r="G188" s="170">
        <f t="shared" si="933"/>
        <v>-0.25881904510252074</v>
      </c>
      <c r="H188" s="139"/>
      <c r="I188" s="86"/>
      <c r="J188" s="79">
        <f t="shared" si="930"/>
        <v>3.1120000000000001</v>
      </c>
    </row>
    <row r="189" spans="5:10" x14ac:dyDescent="0.25">
      <c r="E189" s="170">
        <f t="shared" si="933"/>
        <v>-0.55403229322232372</v>
      </c>
      <c r="F189" s="170">
        <f t="shared" si="933"/>
        <v>-0.79124011523622373</v>
      </c>
      <c r="G189" s="170">
        <f t="shared" si="933"/>
        <v>-0.25881904510252068</v>
      </c>
      <c r="H189" s="139"/>
      <c r="I189" s="86"/>
      <c r="J189" s="79">
        <f t="shared" si="930"/>
        <v>3.1150000000000002</v>
      </c>
    </row>
    <row r="190" spans="5:10" x14ac:dyDescent="0.25">
      <c r="E190" s="170">
        <f t="shared" si="933"/>
        <v>-0.62453373636568454</v>
      </c>
      <c r="F190" s="170">
        <f t="shared" si="933"/>
        <v>-0.74022597675896129</v>
      </c>
      <c r="G190" s="170">
        <f t="shared" si="933"/>
        <v>-0.24904440461965666</v>
      </c>
      <c r="H190" s="139"/>
      <c r="I190" s="86"/>
      <c r="J190" s="79">
        <f t="shared" si="930"/>
        <v>3.1179999999999999</v>
      </c>
    </row>
    <row r="191" spans="5:10" x14ac:dyDescent="0.25">
      <c r="E191" s="170">
        <f t="shared" si="933"/>
        <v>-0.69152322789268561</v>
      </c>
      <c r="F191" s="170">
        <f t="shared" si="933"/>
        <v>-0.68926765207877161</v>
      </c>
      <c r="G191" s="170">
        <f t="shared" si="933"/>
        <v>-0.21611508295974741</v>
      </c>
      <c r="H191" s="139"/>
      <c r="I191" s="86"/>
      <c r="J191" s="79">
        <f t="shared" si="930"/>
        <v>3.121</v>
      </c>
    </row>
    <row r="192" spans="5:10" x14ac:dyDescent="0.25">
      <c r="E192" s="170">
        <f t="shared" si="933"/>
        <v>-0.74631951697701848</v>
      </c>
      <c r="F192" s="170">
        <f t="shared" si="933"/>
        <v>-0.64516354004506193</v>
      </c>
      <c r="G192" s="170">
        <f t="shared" si="933"/>
        <v>-0.16361902449200016</v>
      </c>
      <c r="H192" s="139"/>
      <c r="I192" s="86"/>
      <c r="J192" s="79">
        <f t="shared" si="930"/>
        <v>3.1240000000000001</v>
      </c>
    </row>
    <row r="193" spans="5:10" x14ac:dyDescent="0.25">
      <c r="E193" s="170">
        <f t="shared" si="933"/>
        <v>-0.78406186617346185</v>
      </c>
      <c r="F193" s="170">
        <f t="shared" si="933"/>
        <v>-0.61268008924649631</v>
      </c>
      <c r="G193" s="170">
        <f t="shared" si="933"/>
        <v>-9.9348368147109067E-2</v>
      </c>
      <c r="H193" s="139"/>
      <c r="I193" s="86"/>
      <c r="J193" s="79">
        <f t="shared" si="930"/>
        <v>3.1269999999999998</v>
      </c>
    </row>
    <row r="194" spans="5:10" x14ac:dyDescent="0.25">
      <c r="E194" s="170">
        <f t="shared" ref="E194:G213" si="934">E49*-1</f>
        <v>-0.80446440650174</v>
      </c>
      <c r="F194" s="170">
        <f t="shared" si="934"/>
        <v>-0.59317184737844908</v>
      </c>
      <c r="G194" s="170">
        <f t="shared" si="934"/>
        <v>-3.1371613752586104E-2</v>
      </c>
      <c r="H194" s="139"/>
      <c r="I194" s="86"/>
      <c r="J194" s="79">
        <f t="shared" si="930"/>
        <v>3.13</v>
      </c>
    </row>
    <row r="195" spans="5:10" x14ac:dyDescent="0.25">
      <c r="E195" s="170">
        <f t="shared" si="934"/>
        <v>-0.85021538982069367</v>
      </c>
      <c r="F195" s="170">
        <f t="shared" si="934"/>
        <v>-0.5263438206002865</v>
      </c>
      <c r="G195" s="170">
        <f t="shared" si="934"/>
        <v>-9.7966028774993941E-3</v>
      </c>
      <c r="H195" s="139"/>
      <c r="I195" s="86"/>
      <c r="J195" s="79">
        <f t="shared" si="930"/>
        <v>3.133</v>
      </c>
    </row>
    <row r="196" spans="5:10" x14ac:dyDescent="0.25">
      <c r="E196" s="170">
        <f t="shared" si="934"/>
        <v>-0.88857211690148863</v>
      </c>
      <c r="F196" s="170">
        <f t="shared" si="934"/>
        <v>-0.45827002850840975</v>
      </c>
      <c r="G196" s="170">
        <f t="shared" si="934"/>
        <v>2.0692366614490813E-2</v>
      </c>
      <c r="H196" s="139"/>
      <c r="I196" s="86"/>
      <c r="J196" s="79">
        <f t="shared" si="930"/>
        <v>3.1360000000000001</v>
      </c>
    </row>
    <row r="197" spans="5:10" x14ac:dyDescent="0.25">
      <c r="E197" s="170">
        <f t="shared" si="934"/>
        <v>-0.92220777689574174</v>
      </c>
      <c r="F197" s="170">
        <f t="shared" si="934"/>
        <v>-0.38654824580197911</v>
      </c>
      <c r="G197" s="170">
        <f t="shared" si="934"/>
        <v>-1.0642833289438033E-2</v>
      </c>
      <c r="H197" s="139"/>
      <c r="I197" s="86"/>
      <c r="J197" s="79">
        <f t="shared" si="930"/>
        <v>3.1389999999999998</v>
      </c>
    </row>
    <row r="198" spans="5:10" x14ac:dyDescent="0.25">
      <c r="E198" s="170">
        <f t="shared" si="934"/>
        <v>-0.92353185290885109</v>
      </c>
      <c r="F198" s="170">
        <f t="shared" si="934"/>
        <v>-0.38351524842605944</v>
      </c>
      <c r="G198" s="170">
        <f t="shared" si="934"/>
        <v>-2.2295487082439058E-3</v>
      </c>
      <c r="H198" s="139"/>
      <c r="I198" s="86"/>
      <c r="J198" s="79">
        <f t="shared" si="930"/>
        <v>3.1419999999999999</v>
      </c>
    </row>
    <row r="199" spans="5:10" x14ac:dyDescent="0.25">
      <c r="E199" s="170">
        <f t="shared" si="934"/>
        <v>-0.12345550748776978</v>
      </c>
      <c r="F199" s="170">
        <f t="shared" si="934"/>
        <v>0.13637022058804033</v>
      </c>
      <c r="G199" s="170">
        <f t="shared" si="934"/>
        <v>-0.98293534914952907</v>
      </c>
      <c r="H199" s="139"/>
      <c r="I199" s="86"/>
      <c r="J199" s="79">
        <f t="shared" si="930"/>
        <v>3.218</v>
      </c>
    </row>
    <row r="200" spans="5:10" x14ac:dyDescent="0.25">
      <c r="E200" s="170">
        <f t="shared" si="934"/>
        <v>-0.42622364715935701</v>
      </c>
      <c r="F200" s="170">
        <f t="shared" si="934"/>
        <v>0.44235699345981483</v>
      </c>
      <c r="G200" s="170">
        <f t="shared" si="934"/>
        <v>-0.78908408483467052</v>
      </c>
      <c r="H200" s="139"/>
      <c r="I200" s="86"/>
      <c r="J200" s="79">
        <f t="shared" si="930"/>
        <v>3.2240000000000002</v>
      </c>
    </row>
    <row r="201" spans="5:10" x14ac:dyDescent="0.25">
      <c r="E201" s="170">
        <f t="shared" si="934"/>
        <v>-0.63004899524760438</v>
      </c>
      <c r="F201" s="170">
        <f t="shared" si="934"/>
        <v>0.64942301965809468</v>
      </c>
      <c r="G201" s="170">
        <f t="shared" si="934"/>
        <v>-0.425779291565062</v>
      </c>
      <c r="H201" s="139"/>
      <c r="I201" s="86"/>
      <c r="J201" s="79">
        <f t="shared" si="930"/>
        <v>3.23</v>
      </c>
    </row>
    <row r="202" spans="5:10" x14ac:dyDescent="0.25">
      <c r="E202" s="170">
        <f t="shared" si="934"/>
        <v>-0.9512512425641978</v>
      </c>
      <c r="F202" s="170">
        <f t="shared" si="934"/>
        <v>0.16773125949652035</v>
      </c>
      <c r="G202" s="170">
        <f t="shared" si="934"/>
        <v>-0.25881904510252079</v>
      </c>
      <c r="H202" s="139"/>
      <c r="I202" s="86"/>
      <c r="J202" s="79">
        <f t="shared" si="930"/>
        <v>4.1130000000000004</v>
      </c>
    </row>
    <row r="203" spans="5:10" x14ac:dyDescent="0.25">
      <c r="E203" s="170">
        <f t="shared" si="934"/>
        <v>-0.94647646894822168</v>
      </c>
      <c r="F203" s="170">
        <f t="shared" si="934"/>
        <v>0.19354938563005916</v>
      </c>
      <c r="G203" s="170">
        <f t="shared" si="934"/>
        <v>-0.25830394702662374</v>
      </c>
      <c r="H203" s="139"/>
      <c r="I203" s="86"/>
      <c r="J203" s="79">
        <f t="shared" si="930"/>
        <v>4.1159999999999997</v>
      </c>
    </row>
    <row r="204" spans="5:10" x14ac:dyDescent="0.25">
      <c r="E204" s="170">
        <f t="shared" si="934"/>
        <v>-0.92881711756732677</v>
      </c>
      <c r="F204" s="170">
        <f t="shared" si="934"/>
        <v>0.28194779820658233</v>
      </c>
      <c r="G204" s="170">
        <f t="shared" si="934"/>
        <v>-0.2404250427896045</v>
      </c>
      <c r="H204" s="139"/>
      <c r="I204" s="86"/>
      <c r="J204" s="79">
        <f t="shared" si="930"/>
        <v>4.1189999999999998</v>
      </c>
    </row>
    <row r="205" spans="5:10" x14ac:dyDescent="0.25">
      <c r="E205" s="170">
        <f t="shared" si="934"/>
        <v>-0.91113575317616635</v>
      </c>
      <c r="F205" s="170">
        <f t="shared" si="934"/>
        <v>0.36002807284270033</v>
      </c>
      <c r="G205" s="170">
        <f t="shared" si="934"/>
        <v>-0.20052786851026871</v>
      </c>
      <c r="H205" s="139"/>
      <c r="I205" s="86"/>
      <c r="J205" s="79">
        <f t="shared" si="930"/>
        <v>4.1219999999999999</v>
      </c>
    </row>
    <row r="206" spans="5:10" x14ac:dyDescent="0.25">
      <c r="E206" s="170">
        <f t="shared" si="934"/>
        <v>-0.89524031791408243</v>
      </c>
      <c r="F206" s="170">
        <f t="shared" si="934"/>
        <v>0.42196778879391711</v>
      </c>
      <c r="G206" s="170">
        <f t="shared" si="934"/>
        <v>-0.14313615336966701</v>
      </c>
      <c r="H206" s="139"/>
      <c r="I206" s="86"/>
      <c r="J206" s="79">
        <f t="shared" si="930"/>
        <v>4.125</v>
      </c>
    </row>
    <row r="207" spans="5:10" x14ac:dyDescent="0.25">
      <c r="E207" s="170">
        <f t="shared" si="934"/>
        <v>-0.88311192382813308</v>
      </c>
      <c r="F207" s="170">
        <f t="shared" si="934"/>
        <v>0.46281915187565925</v>
      </c>
      <c r="G207" s="170">
        <f t="shared" si="934"/>
        <v>-7.6887987681232062E-2</v>
      </c>
      <c r="H207" s="139"/>
      <c r="I207" s="86"/>
      <c r="J207" s="79">
        <f t="shared" si="930"/>
        <v>4.1280000000000001</v>
      </c>
    </row>
    <row r="208" spans="5:10" x14ac:dyDescent="0.25">
      <c r="E208" s="170">
        <f t="shared" si="934"/>
        <v>-0.83933568767687428</v>
      </c>
      <c r="F208" s="170">
        <f t="shared" si="934"/>
        <v>0.54026642428356131</v>
      </c>
      <c r="G208" s="170">
        <f t="shared" si="934"/>
        <v>-6.0231172857945381E-2</v>
      </c>
      <c r="H208" s="139"/>
      <c r="I208" s="86"/>
      <c r="J208" s="79">
        <f t="shared" si="930"/>
        <v>4.1310000000000002</v>
      </c>
    </row>
    <row r="209" spans="5:10" x14ac:dyDescent="0.25">
      <c r="E209" s="170">
        <f t="shared" si="934"/>
        <v>-0.79166296594038021</v>
      </c>
      <c r="F209" s="170">
        <f t="shared" si="934"/>
        <v>0.61044555978044335</v>
      </c>
      <c r="G209" s="170">
        <f t="shared" si="934"/>
        <v>-2.5019330583006039E-2</v>
      </c>
      <c r="H209" s="139"/>
      <c r="I209" s="86"/>
      <c r="J209" s="79">
        <f t="shared" si="930"/>
        <v>4.1340000000000003</v>
      </c>
    </row>
    <row r="210" spans="5:10" x14ac:dyDescent="0.25">
      <c r="E210" s="170">
        <f t="shared" si="934"/>
        <v>-0.74006936473780871</v>
      </c>
      <c r="F210" s="170">
        <f t="shared" si="934"/>
        <v>0.67244658592196338</v>
      </c>
      <c r="G210" s="170">
        <f t="shared" si="934"/>
        <v>-1.0626592044113259E-2</v>
      </c>
      <c r="H210" s="139"/>
      <c r="I210" s="86"/>
      <c r="J210" s="79">
        <f t="shared" si="930"/>
        <v>4.1369999999999996</v>
      </c>
    </row>
    <row r="211" spans="5:10" x14ac:dyDescent="0.25">
      <c r="E211" s="170">
        <f t="shared" si="934"/>
        <v>-0.73805976317313271</v>
      </c>
      <c r="F211" s="170">
        <f t="shared" si="934"/>
        <v>0.6747291324496586</v>
      </c>
      <c r="G211" s="170">
        <f t="shared" si="934"/>
        <v>-2.8954807114413839E-3</v>
      </c>
      <c r="H211" s="139"/>
      <c r="I211" s="86"/>
      <c r="J211" s="79">
        <f t="shared" si="930"/>
        <v>4.1399999999999997</v>
      </c>
    </row>
    <row r="212" spans="5:10" x14ac:dyDescent="0.25">
      <c r="E212" s="170">
        <f t="shared" si="934"/>
        <v>9.9801981783422727E-2</v>
      </c>
      <c r="F212" s="170">
        <f t="shared" si="934"/>
        <v>0.24245149995106349</v>
      </c>
      <c r="G212" s="170">
        <f t="shared" si="934"/>
        <v>-0.96501649447228666</v>
      </c>
      <c r="H212" s="139"/>
      <c r="I212" s="86"/>
      <c r="J212" s="79">
        <f t="shared" si="930"/>
        <v>4.2190000000000003</v>
      </c>
    </row>
    <row r="213" spans="5:10" x14ac:dyDescent="0.25">
      <c r="E213" s="170">
        <f t="shared" si="934"/>
        <v>0.24208680124192239</v>
      </c>
      <c r="F213" s="170">
        <f t="shared" si="934"/>
        <v>0.63072665179985288</v>
      </c>
      <c r="G213" s="170">
        <f t="shared" si="934"/>
        <v>-0.7372773368101051</v>
      </c>
      <c r="H213" s="139"/>
      <c r="I213" s="86"/>
      <c r="J213" s="79">
        <f t="shared" si="930"/>
        <v>4.2249999999999996</v>
      </c>
    </row>
    <row r="214" spans="5:10" x14ac:dyDescent="0.25">
      <c r="E214" s="170">
        <f t="shared" ref="E214:G233" si="935">E69*-1</f>
        <v>0.33621178292065956</v>
      </c>
      <c r="F214" s="170">
        <f t="shared" si="935"/>
        <v>0.8735954964817414</v>
      </c>
      <c r="G214" s="170">
        <f t="shared" si="935"/>
        <v>-0.35184164840469218</v>
      </c>
      <c r="H214" s="139"/>
      <c r="I214" s="86"/>
      <c r="J214" s="79">
        <f t="shared" si="930"/>
        <v>4.2309999999999999</v>
      </c>
    </row>
    <row r="215" spans="5:10" x14ac:dyDescent="0.25">
      <c r="E215" s="170">
        <f t="shared" si="935"/>
        <v>-0.40821789367673483</v>
      </c>
      <c r="F215" s="170">
        <f t="shared" si="935"/>
        <v>0.87542609806559313</v>
      </c>
      <c r="G215" s="170">
        <f t="shared" si="935"/>
        <v>-0.25881904510252079</v>
      </c>
      <c r="H215" s="139"/>
      <c r="I215" s="86"/>
      <c r="J215" s="79">
        <f t="shared" si="930"/>
        <v>5.1020000000000003</v>
      </c>
    </row>
    <row r="216" spans="5:10" x14ac:dyDescent="0.25">
      <c r="E216" s="170">
        <f t="shared" si="935"/>
        <v>-0.40821789367673478</v>
      </c>
      <c r="F216" s="170">
        <f t="shared" si="935"/>
        <v>0.87542609806559324</v>
      </c>
      <c r="G216" s="170">
        <f t="shared" si="935"/>
        <v>-0.25881904510252074</v>
      </c>
      <c r="H216" s="139"/>
      <c r="I216" s="86"/>
      <c r="J216" s="79">
        <f t="shared" si="930"/>
        <v>5.1050000000000004</v>
      </c>
    </row>
    <row r="217" spans="5:10" x14ac:dyDescent="0.25">
      <c r="E217" s="170">
        <f t="shared" si="935"/>
        <v>-0.40821789367673483</v>
      </c>
      <c r="F217" s="170">
        <f t="shared" si="935"/>
        <v>0.87542609806559313</v>
      </c>
      <c r="G217" s="170">
        <f t="shared" si="935"/>
        <v>-0.25881904510252079</v>
      </c>
      <c r="H217" s="139"/>
      <c r="I217" s="86"/>
      <c r="J217" s="79">
        <f t="shared" si="930"/>
        <v>5.1079999999999997</v>
      </c>
    </row>
    <row r="218" spans="5:10" x14ac:dyDescent="0.25">
      <c r="E218" s="170">
        <f t="shared" si="935"/>
        <v>-0.40821789367673472</v>
      </c>
      <c r="F218" s="170">
        <f t="shared" si="935"/>
        <v>0.87542609806559324</v>
      </c>
      <c r="G218" s="170">
        <f t="shared" si="935"/>
        <v>-0.25881904510252074</v>
      </c>
      <c r="H218" s="139"/>
      <c r="I218" s="86"/>
      <c r="J218" s="79">
        <f t="shared" si="930"/>
        <v>5.1109999999999998</v>
      </c>
    </row>
    <row r="219" spans="5:10" x14ac:dyDescent="0.25">
      <c r="E219" s="170">
        <f t="shared" si="935"/>
        <v>-0.40821789367673472</v>
      </c>
      <c r="F219" s="170">
        <f t="shared" si="935"/>
        <v>0.87542609806559324</v>
      </c>
      <c r="G219" s="170">
        <f t="shared" si="935"/>
        <v>-0.25881904510252074</v>
      </c>
      <c r="H219" s="139"/>
      <c r="I219" s="86"/>
      <c r="J219" s="79">
        <f t="shared" ref="J219:J282" si="936">J74</f>
        <v>5.1139999999999999</v>
      </c>
    </row>
    <row r="220" spans="5:10" x14ac:dyDescent="0.25">
      <c r="E220" s="170">
        <f t="shared" si="935"/>
        <v>-0.35643095111437173</v>
      </c>
      <c r="F220" s="170">
        <f t="shared" si="935"/>
        <v>0.89884112878892619</v>
      </c>
      <c r="G220" s="170">
        <f t="shared" si="935"/>
        <v>-0.25503255142266373</v>
      </c>
      <c r="H220" s="139"/>
      <c r="I220" s="86"/>
      <c r="J220" s="79">
        <f t="shared" si="936"/>
        <v>5.117</v>
      </c>
    </row>
    <row r="221" spans="5:10" x14ac:dyDescent="0.25">
      <c r="E221" s="170">
        <f t="shared" si="935"/>
        <v>-0.27568910983447303</v>
      </c>
      <c r="F221" s="170">
        <f t="shared" si="935"/>
        <v>0.93349988196311717</v>
      </c>
      <c r="G221" s="170">
        <f t="shared" si="935"/>
        <v>-0.22928908629396724</v>
      </c>
      <c r="H221" s="139"/>
      <c r="I221" s="86"/>
      <c r="J221" s="79">
        <f t="shared" si="936"/>
        <v>5.12</v>
      </c>
    </row>
    <row r="222" spans="5:10" x14ac:dyDescent="0.25">
      <c r="E222" s="170">
        <f t="shared" si="935"/>
        <v>-0.20584772241820351</v>
      </c>
      <c r="F222" s="170">
        <f t="shared" si="935"/>
        <v>0.96132111014650046</v>
      </c>
      <c r="G222" s="170">
        <f t="shared" si="935"/>
        <v>-0.18299846546334236</v>
      </c>
      <c r="H222" s="139"/>
      <c r="I222" s="86"/>
      <c r="J222" s="79">
        <f t="shared" si="936"/>
        <v>5.1230000000000002</v>
      </c>
    </row>
    <row r="223" spans="5:10" x14ac:dyDescent="0.25">
      <c r="E223" s="170">
        <f t="shared" si="935"/>
        <v>-0.15223074921276541</v>
      </c>
      <c r="F223" s="170">
        <f t="shared" si="935"/>
        <v>0.98079795486883348</v>
      </c>
      <c r="G223" s="170">
        <f t="shared" si="935"/>
        <v>-0.12190640146946324</v>
      </c>
      <c r="H223" s="139"/>
      <c r="I223" s="86"/>
      <c r="J223" s="79">
        <f t="shared" si="936"/>
        <v>5.1260000000000003</v>
      </c>
    </row>
    <row r="224" spans="5:10" x14ac:dyDescent="0.25">
      <c r="E224" s="170">
        <f t="shared" si="935"/>
        <v>-0.11829808969597205</v>
      </c>
      <c r="F224" s="170">
        <f t="shared" si="935"/>
        <v>0.99150575944823682</v>
      </c>
      <c r="G224" s="170">
        <f t="shared" si="935"/>
        <v>-5.4054518361179756E-2</v>
      </c>
      <c r="H224" s="139"/>
      <c r="I224" s="86"/>
      <c r="J224" s="79">
        <f t="shared" si="936"/>
        <v>5.1289999999999996</v>
      </c>
    </row>
    <row r="225" spans="5:10" x14ac:dyDescent="0.25">
      <c r="E225" s="170">
        <f t="shared" si="935"/>
        <v>-3.3710228907062115E-2</v>
      </c>
      <c r="F225" s="170">
        <f t="shared" si="935"/>
        <v>0.99883035899966599</v>
      </c>
      <c r="G225" s="170">
        <f t="shared" si="935"/>
        <v>-3.4663156342603758E-2</v>
      </c>
      <c r="H225" s="139"/>
      <c r="I225" s="86"/>
      <c r="J225" s="79">
        <f t="shared" si="936"/>
        <v>5.1319999999999997</v>
      </c>
    </row>
    <row r="226" spans="5:10" x14ac:dyDescent="0.25">
      <c r="E226" s="170">
        <f t="shared" si="935"/>
        <v>4.7043106141940849E-2</v>
      </c>
      <c r="F226" s="170">
        <f t="shared" si="935"/>
        <v>0.99889281541969532</v>
      </c>
      <c r="G226" s="170">
        <f t="shared" si="935"/>
        <v>2.9911107082816399E-4</v>
      </c>
      <c r="H226" s="139"/>
      <c r="I226" s="86"/>
      <c r="J226" s="79">
        <f t="shared" si="936"/>
        <v>5.1349999999999998</v>
      </c>
    </row>
    <row r="227" spans="5:10" x14ac:dyDescent="0.25">
      <c r="E227" s="170">
        <f t="shared" si="935"/>
        <v>0.12634328779504606</v>
      </c>
      <c r="F227" s="170">
        <f t="shared" si="935"/>
        <v>0.99192948526027358</v>
      </c>
      <c r="G227" s="170">
        <f t="shared" si="935"/>
        <v>-1.0642833289437706E-2</v>
      </c>
      <c r="H227" s="139"/>
      <c r="I227" s="86"/>
      <c r="J227" s="79">
        <f t="shared" si="936"/>
        <v>5.1379999999999999</v>
      </c>
    </row>
    <row r="228" spans="5:10" x14ac:dyDescent="0.25">
      <c r="E228" s="170">
        <f t="shared" si="935"/>
        <v>0.12937205941253366</v>
      </c>
      <c r="F228" s="170">
        <f t="shared" si="935"/>
        <v>0.99159189510342893</v>
      </c>
      <c r="G228" s="170">
        <f t="shared" si="935"/>
        <v>-2.8954807114412173E-3</v>
      </c>
      <c r="H228" s="139"/>
      <c r="I228" s="86"/>
      <c r="J228" s="79">
        <f t="shared" si="936"/>
        <v>5.141</v>
      </c>
    </row>
    <row r="229" spans="5:10" x14ac:dyDescent="0.25">
      <c r="E229" s="170">
        <f t="shared" si="935"/>
        <v>0.10412512486216932</v>
      </c>
      <c r="F229" s="170">
        <f t="shared" si="935"/>
        <v>2.1213468114397935E-2</v>
      </c>
      <c r="G229" s="170">
        <f t="shared" si="935"/>
        <v>-0.994337944133179</v>
      </c>
      <c r="H229" s="139"/>
      <c r="I229" s="86"/>
      <c r="J229" s="79">
        <f t="shared" si="936"/>
        <v>5.2169999999999996</v>
      </c>
    </row>
    <row r="230" spans="5:10" x14ac:dyDescent="0.25">
      <c r="E230" s="170">
        <f t="shared" si="935"/>
        <v>0.53455607324440235</v>
      </c>
      <c r="F230" s="170">
        <f t="shared" si="935"/>
        <v>0.13144903865028892</v>
      </c>
      <c r="G230" s="170">
        <f t="shared" si="935"/>
        <v>-0.83484786326338534</v>
      </c>
      <c r="H230" s="139"/>
      <c r="I230" s="86"/>
      <c r="J230" s="79">
        <f t="shared" si="936"/>
        <v>5.2229999999999999</v>
      </c>
    </row>
    <row r="231" spans="5:10" x14ac:dyDescent="0.25">
      <c r="E231" s="170">
        <f t="shared" si="935"/>
        <v>0.84315256833771834</v>
      </c>
      <c r="F231" s="170">
        <f t="shared" si="935"/>
        <v>0.21240334022987367</v>
      </c>
      <c r="G231" s="170">
        <f t="shared" si="935"/>
        <v>-0.49394186658421857</v>
      </c>
      <c r="H231" s="139"/>
      <c r="I231" s="86"/>
      <c r="J231" s="79">
        <f t="shared" si="936"/>
        <v>5.2290000000000001</v>
      </c>
    </row>
    <row r="232" spans="5:10" x14ac:dyDescent="0.25">
      <c r="E232" s="170">
        <f t="shared" si="935"/>
        <v>0.55403229322232306</v>
      </c>
      <c r="F232" s="170">
        <f t="shared" si="935"/>
        <v>0.79124011523622428</v>
      </c>
      <c r="G232" s="170">
        <f t="shared" si="935"/>
        <v>-0.25881904510252079</v>
      </c>
      <c r="H232" s="139"/>
      <c r="I232" s="86"/>
      <c r="J232" s="79">
        <f t="shared" si="936"/>
        <v>6.1120000000000001</v>
      </c>
    </row>
    <row r="233" spans="5:10" x14ac:dyDescent="0.25">
      <c r="E233" s="170">
        <f t="shared" si="935"/>
        <v>0.55403229322232306</v>
      </c>
      <c r="F233" s="170">
        <f t="shared" si="935"/>
        <v>0.79124011523622428</v>
      </c>
      <c r="G233" s="170">
        <f t="shared" si="935"/>
        <v>-0.25881904510252079</v>
      </c>
      <c r="H233" s="139"/>
      <c r="I233" s="86"/>
      <c r="J233" s="79">
        <f t="shared" si="936"/>
        <v>6.1150000000000002</v>
      </c>
    </row>
    <row r="234" spans="5:10" x14ac:dyDescent="0.25">
      <c r="E234" s="170">
        <f t="shared" ref="E234:G253" si="937">E89*-1</f>
        <v>0.6245337363656841</v>
      </c>
      <c r="F234" s="170">
        <f t="shared" si="937"/>
        <v>0.74022597675896173</v>
      </c>
      <c r="G234" s="170">
        <f t="shared" si="937"/>
        <v>-0.24904440461965663</v>
      </c>
      <c r="H234" s="139"/>
      <c r="I234" s="86"/>
      <c r="J234" s="79">
        <f t="shared" si="936"/>
        <v>6.1180000000000003</v>
      </c>
    </row>
    <row r="235" spans="5:10" x14ac:dyDescent="0.25">
      <c r="E235" s="170">
        <f t="shared" si="937"/>
        <v>0.69157326765835014</v>
      </c>
      <c r="F235" s="170">
        <f t="shared" si="937"/>
        <v>0.6892245262893768</v>
      </c>
      <c r="G235" s="170">
        <f t="shared" si="937"/>
        <v>-0.21609249830000185</v>
      </c>
      <c r="H235" s="139"/>
      <c r="I235" s="86"/>
      <c r="J235" s="79">
        <f t="shared" si="936"/>
        <v>6.1210000000000004</v>
      </c>
    </row>
    <row r="236" spans="5:10" x14ac:dyDescent="0.25">
      <c r="E236" s="170">
        <f t="shared" si="937"/>
        <v>0.74631951697701793</v>
      </c>
      <c r="F236" s="170">
        <f t="shared" si="937"/>
        <v>0.64516354004506249</v>
      </c>
      <c r="G236" s="170">
        <f t="shared" si="937"/>
        <v>-0.16361902449200016</v>
      </c>
      <c r="H236" s="139"/>
      <c r="I236" s="86"/>
      <c r="J236" s="79">
        <f t="shared" si="936"/>
        <v>6.1239999999999997</v>
      </c>
    </row>
    <row r="237" spans="5:10" x14ac:dyDescent="0.25">
      <c r="E237" s="170">
        <f t="shared" si="937"/>
        <v>0.78405269032165936</v>
      </c>
      <c r="F237" s="170">
        <f t="shared" si="937"/>
        <v>0.61269004573941965</v>
      </c>
      <c r="G237" s="170">
        <f t="shared" si="937"/>
        <v>-9.9359381294349763E-2</v>
      </c>
      <c r="H237" s="139"/>
      <c r="I237" s="86"/>
      <c r="J237" s="79">
        <f t="shared" si="936"/>
        <v>6.1269999999999998</v>
      </c>
    </row>
    <row r="238" spans="5:10" x14ac:dyDescent="0.25">
      <c r="E238" s="170">
        <f t="shared" si="937"/>
        <v>0.80443567367126312</v>
      </c>
      <c r="F238" s="170">
        <f t="shared" si="937"/>
        <v>0.59320804348434941</v>
      </c>
      <c r="G238" s="170">
        <f t="shared" si="937"/>
        <v>-3.1423941040736453E-2</v>
      </c>
      <c r="H238" s="139"/>
      <c r="I238" s="86"/>
      <c r="J238" s="79">
        <f t="shared" si="936"/>
        <v>6.13</v>
      </c>
    </row>
    <row r="239" spans="5:10" x14ac:dyDescent="0.25">
      <c r="E239" s="170">
        <f t="shared" si="937"/>
        <v>0.850215389820693</v>
      </c>
      <c r="F239" s="170">
        <f t="shared" si="937"/>
        <v>0.5263438206002875</v>
      </c>
      <c r="G239" s="170">
        <f t="shared" si="937"/>
        <v>-9.7966028774995606E-3</v>
      </c>
      <c r="H239" s="139"/>
      <c r="I239" s="86"/>
      <c r="J239" s="79">
        <f t="shared" si="936"/>
        <v>6.133</v>
      </c>
    </row>
    <row r="240" spans="5:10" x14ac:dyDescent="0.25">
      <c r="E240" s="170">
        <f t="shared" si="937"/>
        <v>0.8885721169014883</v>
      </c>
      <c r="F240" s="170">
        <f t="shared" si="937"/>
        <v>0.45827002850841048</v>
      </c>
      <c r="G240" s="170">
        <f t="shared" si="937"/>
        <v>2.0692366614490032E-2</v>
      </c>
      <c r="H240" s="139"/>
      <c r="I240" s="86"/>
      <c r="J240" s="79">
        <f t="shared" si="936"/>
        <v>6.1360000000000001</v>
      </c>
    </row>
    <row r="241" spans="5:10" x14ac:dyDescent="0.25">
      <c r="E241" s="170">
        <f t="shared" si="937"/>
        <v>0.92221040568032142</v>
      </c>
      <c r="F241" s="170">
        <f t="shared" si="937"/>
        <v>0.38654242095333474</v>
      </c>
      <c r="G241" s="170">
        <f t="shared" si="937"/>
        <v>-1.0626592044113939E-2</v>
      </c>
      <c r="H241" s="139"/>
      <c r="I241" s="86"/>
      <c r="J241" s="79">
        <f t="shared" si="936"/>
        <v>6.1390000000000002</v>
      </c>
    </row>
    <row r="242" spans="5:10" x14ac:dyDescent="0.25">
      <c r="E242" s="170">
        <f t="shared" si="937"/>
        <v>0.92353185290885076</v>
      </c>
      <c r="F242" s="170">
        <f t="shared" si="937"/>
        <v>0.38351524842605983</v>
      </c>
      <c r="G242" s="170">
        <f t="shared" si="937"/>
        <v>-2.2295487082446409E-3</v>
      </c>
      <c r="H242" s="139"/>
      <c r="I242" s="86"/>
      <c r="J242" s="79">
        <f t="shared" si="936"/>
        <v>6.1420000000000003</v>
      </c>
    </row>
    <row r="243" spans="5:10" x14ac:dyDescent="0.25">
      <c r="E243" s="170">
        <f t="shared" si="937"/>
        <v>0.28272302445517888</v>
      </c>
      <c r="F243" s="170">
        <f t="shared" si="937"/>
        <v>-0.29901799073154989</v>
      </c>
      <c r="G243" s="170">
        <f t="shared" si="937"/>
        <v>-0.91140327663542187</v>
      </c>
      <c r="H243" s="139"/>
      <c r="I243" s="86"/>
      <c r="J243" s="79">
        <f t="shared" si="936"/>
        <v>6.2210000000000001</v>
      </c>
    </row>
    <row r="244" spans="5:10" x14ac:dyDescent="0.25">
      <c r="E244" s="170">
        <f t="shared" si="937"/>
        <v>0.54485465442122327</v>
      </c>
      <c r="F244" s="170">
        <f t="shared" si="937"/>
        <v>-0.56179082648925638</v>
      </c>
      <c r="G244" s="170">
        <f t="shared" si="937"/>
        <v>-0.62251463663760376</v>
      </c>
      <c r="H244" s="139"/>
      <c r="I244" s="86"/>
      <c r="J244" s="79">
        <f t="shared" si="936"/>
        <v>6.2270000000000003</v>
      </c>
    </row>
    <row r="245" spans="5:10" x14ac:dyDescent="0.25">
      <c r="E245" s="170">
        <f t="shared" si="937"/>
        <v>0.67971010694791001</v>
      </c>
      <c r="F245" s="170">
        <f t="shared" si="937"/>
        <v>-0.70489111453816311</v>
      </c>
      <c r="G245" s="170">
        <f t="shared" si="937"/>
        <v>-0.20278729535650719</v>
      </c>
      <c r="H245" s="139"/>
      <c r="I245" s="86"/>
      <c r="J245" s="79">
        <f t="shared" si="936"/>
        <v>6.2329999999999997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7D1A70D-0E60-43CC-A5C2-E1C604B2941D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3D00790-C224-4C4E-BACE-733AF25E62C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14.75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1.1399999999999999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1.216</v>
      </c>
      <c r="N178" s="869" t="str">
        <f>Assy.Model!K23</f>
        <v>CPS-32193r1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1.222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1.228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2.1110000000000002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2.1139999999999999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2.117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2.1230000000000002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2.1259999999999999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2.129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2.1320000000000001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2.1349999999999998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2.1379999999999999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2.141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2.2200000000000002</v>
      </c>
      <c r="N192" s="869" t="str">
        <f>Assy.Model!K37</f>
        <v>CPS-32193r1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2.226</v>
      </c>
      <c r="N193" s="869" t="str">
        <f>Assy.Model!K38</f>
        <v>CPS-32193r1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2.2320000000000002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3.1030000000000002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3.1059999999999999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3.1120000000000001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3.1150000000000002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3.1179999999999999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3.1240000000000001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3.1269999999999998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3.133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3.1360000000000001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3.1389999999999998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3.1419999999999999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3.218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3.2240000000000002</v>
      </c>
      <c r="N210" s="869" t="str">
        <f>Assy.Model!K55</f>
        <v>CPS-32193r1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3.23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4.1130000000000004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4.1159999999999997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4.1189999999999998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4.1219999999999999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4.125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4.1280000000000001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4.1310000000000002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4.1340000000000003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4.1369999999999996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4.1399999999999997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4.2190000000000003</v>
      </c>
      <c r="N222" s="869" t="str">
        <f>Assy.Model!K67</f>
        <v>CPS-32193r1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4.2249999999999996</v>
      </c>
      <c r="N223" s="869" t="str">
        <f>Assy.Model!K68</f>
        <v>CPS-32193r1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4.2309999999999999</v>
      </c>
      <c r="N224" s="869" t="str">
        <f>Assy.Model!K69</f>
        <v>CPS-32193r1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5.1020000000000003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5.1050000000000004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5.1079999999999997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5.1109999999999998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5.1139999999999999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5.117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5.1230000000000002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5.1260000000000003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5.1289999999999996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5.1319999999999997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5.1349999999999998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5.1379999999999999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5.141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5.2169999999999996</v>
      </c>
      <c r="N239" s="869" t="str">
        <f>Assy.Model!K84</f>
        <v>CPS-32193r1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5.2229999999999999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5.2290000000000001</v>
      </c>
      <c r="N241" s="869" t="str">
        <f>Assy.Model!K86</f>
        <v>CPS-32193r1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6.1120000000000001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6.1150000000000002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6.1180000000000003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6.1210000000000004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6.1239999999999997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6.1269999999999998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6.133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6.1360000000000001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6.1390000000000002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6.1420000000000003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6.2210000000000001</v>
      </c>
      <c r="N253" s="869" t="str">
        <f>Assy.Model!K98</f>
        <v>CPS-32193r1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6.2270000000000003</v>
      </c>
      <c r="N254" s="869" t="str">
        <f>Assy.Model!K99</f>
        <v>CPS-32193r1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6.2329999999999997</v>
      </c>
      <c r="N255" s="869" t="str">
        <f>Assy.Model!K100</f>
        <v>CPS-32193r1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2023-03-28T19:52:14Z</dcterms:modified>
</cp:coreProperties>
</file>