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68\"/>
    </mc:Choice>
  </mc:AlternateContent>
  <xr:revisionPtr revIDLastSave="0" documentId="13_ncr:1_{9FA078AD-49C2-4A0B-9562-32AA69B52F1D}" xr6:coauthVersionLast="46" xr6:coauthVersionMax="46" xr10:uidLastSave="{00000000-0000-0000-0000-000000000000}"/>
  <bookViews>
    <workbookView xWindow="-120" yWindow="-120" windowWidth="29040" windowHeight="15840" tabRatio="731" activeTab="3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List!$A$1:$O$65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68" i="7" l="1"/>
  <c r="AE68" i="7"/>
  <c r="AD68" i="7"/>
  <c r="AF67" i="7"/>
  <c r="AE67" i="7"/>
  <c r="AD67" i="7"/>
  <c r="AF66" i="7"/>
  <c r="AE66" i="7"/>
  <c r="AD66" i="7"/>
  <c r="AF65" i="7"/>
  <c r="AE65" i="7"/>
  <c r="AD65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46" i="7"/>
  <c r="AE46" i="7"/>
  <c r="AD46" i="7"/>
  <c r="AF44" i="7"/>
  <c r="AE44" i="7"/>
  <c r="AD44" i="7"/>
  <c r="AF45" i="7"/>
  <c r="AE45" i="7"/>
  <c r="AD45" i="7"/>
  <c r="AF43" i="7"/>
  <c r="AE43" i="7"/>
  <c r="AD43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6" i="7"/>
  <c r="AE26" i="7"/>
  <c r="AD26" i="7"/>
  <c r="AF25" i="7"/>
  <c r="AE25" i="7"/>
  <c r="AD25" i="7"/>
  <c r="AF24" i="7"/>
  <c r="AE24" i="7"/>
  <c r="AD24" i="7"/>
  <c r="AF23" i="7"/>
  <c r="AE23" i="7"/>
  <c r="AD23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Q112" i="8" l="1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AQ107" i="8"/>
  <c r="AR107" i="8"/>
  <c r="Q107" i="8"/>
  <c r="S107" i="8"/>
  <c r="T107" i="8"/>
  <c r="N107" i="8"/>
  <c r="O107" i="8"/>
  <c r="I107" i="8"/>
  <c r="J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V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Q55" i="8" s="1"/>
  <c r="T55" i="8"/>
  <c r="U55" i="8"/>
  <c r="W55" i="8"/>
  <c r="A13" i="8"/>
  <c r="AQ104" i="8"/>
  <c r="AR104" i="8"/>
  <c r="Q104" i="8"/>
  <c r="S104" i="8"/>
  <c r="I104" i="8"/>
  <c r="J104" i="8" s="1"/>
  <c r="T104" i="8"/>
  <c r="V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V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V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V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S42" i="8" s="1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R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V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R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V87" i="8" s="1"/>
  <c r="N87" i="8"/>
  <c r="AR69" i="8"/>
  <c r="AQ69" i="8"/>
  <c r="S69" i="8"/>
  <c r="Q69" i="8"/>
  <c r="N69" i="8"/>
  <c r="U69" i="8" s="1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V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S36" i="8" s="1"/>
  <c r="V36" i="8"/>
  <c r="N36" i="8"/>
  <c r="I36" i="8"/>
  <c r="J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R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R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S48" i="8" s="1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V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V89" i="8" s="1"/>
  <c r="AR86" i="8"/>
  <c r="AQ86" i="8"/>
  <c r="O86" i="8"/>
  <c r="P86" i="8"/>
  <c r="Q86" i="8"/>
  <c r="T86" i="8"/>
  <c r="R86" i="8"/>
  <c r="I86" i="8"/>
  <c r="J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R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V90" i="8"/>
  <c r="S83" i="8"/>
  <c r="AQ80" i="8"/>
  <c r="AR80" i="8"/>
  <c r="N80" i="8"/>
  <c r="O80" i="8"/>
  <c r="P80" i="8"/>
  <c r="Q80" i="8"/>
  <c r="T80" i="8"/>
  <c r="I80" i="8"/>
  <c r="J80" i="8" s="1"/>
  <c r="V80" i="8" s="1"/>
  <c r="R80" i="8"/>
  <c r="S80" i="8"/>
  <c r="AQ102" i="8"/>
  <c r="AR102" i="8"/>
  <c r="Q102" i="8"/>
  <c r="S102" i="8"/>
  <c r="I102" i="8"/>
  <c r="J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R36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R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42" i="8"/>
  <c r="AN113" i="8"/>
  <c r="AE114" i="8"/>
  <c r="AH114" i="8" s="1"/>
  <c r="AL114" i="8" s="1"/>
  <c r="AO36" i="8"/>
  <c r="AP113" i="8"/>
  <c r="AB116" i="8"/>
  <c r="AE116" i="8" s="1"/>
  <c r="AO42" i="8"/>
  <c r="AO113" i="8"/>
  <c r="AO48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0" i="8"/>
  <c r="K44" i="8"/>
  <c r="K38" i="8"/>
  <c r="K20" i="8"/>
  <c r="K56" i="8"/>
  <c r="K51" i="8"/>
  <c r="K45" i="8"/>
  <c r="K21" i="8"/>
  <c r="K11" i="8"/>
  <c r="K8" i="8"/>
  <c r="K5" i="8"/>
  <c r="K48" i="8"/>
  <c r="K42" i="8"/>
  <c r="K36" i="8"/>
  <c r="K24" i="8"/>
  <c r="K55" i="8"/>
  <c r="K43" i="8"/>
  <c r="K37" i="8"/>
  <c r="K31" i="8"/>
  <c r="K19" i="8"/>
  <c r="K10" i="8"/>
  <c r="K4" i="8"/>
  <c r="K52" i="8"/>
  <c r="K40" i="8"/>
  <c r="K34" i="8"/>
  <c r="K28" i="8"/>
  <c r="K16" i="8"/>
  <c r="K53" i="8"/>
  <c r="K41" i="8"/>
  <c r="K29" i="8"/>
  <c r="K9" i="8"/>
  <c r="K6" i="8"/>
  <c r="K111" i="8"/>
  <c r="K109" i="8"/>
  <c r="K108" i="8"/>
  <c r="K107" i="8"/>
  <c r="K106" i="8"/>
  <c r="K105" i="8"/>
  <c r="K104" i="8"/>
  <c r="K103" i="8"/>
  <c r="K102" i="8"/>
  <c r="K101" i="8"/>
  <c r="K100" i="8"/>
  <c r="K98" i="8"/>
  <c r="K96" i="8"/>
  <c r="K95" i="8"/>
  <c r="K94" i="8"/>
  <c r="K93" i="8"/>
  <c r="K92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K110" i="8" l="1"/>
  <c r="K57" i="8"/>
  <c r="S57" i="8"/>
  <c r="U58" i="8"/>
  <c r="R11" i="8"/>
  <c r="V102" i="8"/>
  <c r="Q57" i="8"/>
  <c r="V75" i="8"/>
  <c r="U101" i="8"/>
  <c r="R17" i="8"/>
  <c r="U75" i="8"/>
  <c r="V70" i="8"/>
  <c r="V93" i="8"/>
  <c r="K17" i="8"/>
  <c r="V71" i="8"/>
  <c r="V82" i="8"/>
  <c r="V107" i="8"/>
  <c r="V111" i="8"/>
  <c r="V110" i="8"/>
  <c r="V62" i="8"/>
  <c r="V63" i="8"/>
  <c r="R9" i="8"/>
  <c r="V77" i="8"/>
  <c r="K58" i="8"/>
  <c r="V78" i="8"/>
  <c r="Q48" i="8"/>
  <c r="S50" i="8"/>
  <c r="AN50" i="8" s="1"/>
  <c r="V86" i="8"/>
  <c r="U96" i="8"/>
  <c r="V66" i="8"/>
  <c r="K54" i="8"/>
  <c r="S11" i="8"/>
  <c r="AN11" i="8" s="1"/>
  <c r="V105" i="8"/>
  <c r="R41" i="8"/>
  <c r="S6" i="8"/>
  <c r="AN6" i="8" s="1"/>
  <c r="R4" i="8"/>
  <c r="R48" i="8"/>
  <c r="AP48" i="8" s="1"/>
  <c r="R42" i="8"/>
  <c r="V95" i="8"/>
  <c r="V85" i="8"/>
  <c r="V58" i="8"/>
  <c r="Q11" i="8"/>
  <c r="U79" i="8"/>
  <c r="R57" i="8"/>
  <c r="AP57" i="8" s="1"/>
  <c r="V100" i="8"/>
  <c r="U92" i="8"/>
  <c r="U98" i="8"/>
  <c r="V74" i="8"/>
  <c r="U90" i="8"/>
  <c r="V83" i="8"/>
  <c r="U63" i="8"/>
  <c r="AP11" i="8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Q6" i="8"/>
  <c r="V92" i="8"/>
  <c r="R43" i="8"/>
  <c r="Q24" i="8"/>
  <c r="AP24" i="8" s="1"/>
  <c r="V101" i="8"/>
  <c r="S29" i="8"/>
  <c r="R8" i="8"/>
  <c r="S10" i="8"/>
  <c r="S5" i="8"/>
  <c r="AP114" i="8"/>
  <c r="V68" i="8"/>
  <c r="R37" i="8"/>
  <c r="AP37" i="8" s="1"/>
  <c r="V76" i="8"/>
  <c r="AP42" i="8"/>
  <c r="V67" i="8"/>
  <c r="R55" i="8"/>
  <c r="AP55" i="8" s="1"/>
  <c r="U111" i="8"/>
  <c r="R38" i="8"/>
  <c r="U68" i="8"/>
  <c r="R14" i="8"/>
  <c r="S34" i="8"/>
  <c r="U59" i="8"/>
  <c r="U76" i="8"/>
  <c r="U67" i="8"/>
  <c r="R56" i="8"/>
  <c r="V64" i="8"/>
  <c r="R52" i="8"/>
  <c r="V61" i="8"/>
  <c r="U61" i="8"/>
  <c r="V79" i="8"/>
  <c r="U62" i="8"/>
  <c r="Q16" i="8"/>
  <c r="AP16" i="8" s="1"/>
  <c r="Q40" i="8"/>
  <c r="AP40" i="8" s="1"/>
  <c r="S9" i="8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AP34" i="8" s="1"/>
  <c r="U108" i="8"/>
  <c r="V84" i="8"/>
  <c r="V106" i="8"/>
  <c r="V88" i="8"/>
  <c r="R53" i="8"/>
  <c r="Q5" i="8"/>
  <c r="AP5" i="8" s="1"/>
  <c r="S51" i="8"/>
  <c r="AN51" i="8" s="1"/>
  <c r="AW59" i="8"/>
  <c r="AT59" i="8" s="1"/>
  <c r="AV59" i="8"/>
  <c r="Z59" i="8"/>
  <c r="AA59" i="8" s="1"/>
  <c r="AJ59" i="8"/>
  <c r="AN9" i="8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W68" i="8"/>
  <c r="AJ68" i="8"/>
  <c r="Z68" i="8"/>
  <c r="AA68" i="8" s="1"/>
  <c r="AE52" i="8"/>
  <c r="AD52" i="8"/>
  <c r="AF52" i="8"/>
  <c r="AG52" i="8"/>
  <c r="AB52" i="8"/>
  <c r="AO11" i="8"/>
  <c r="AC14" i="8"/>
  <c r="AH14" i="8"/>
  <c r="W86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AJ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P29" i="8" s="1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V111" i="8"/>
  <c r="AW111" i="8"/>
  <c r="AJ111" i="8"/>
  <c r="Z111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W66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W71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W96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W84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AP44" i="8" s="1"/>
  <c r="W110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V79" i="8"/>
  <c r="AW79" i="8"/>
  <c r="Z79" i="8"/>
  <c r="AA79" i="8" s="1"/>
  <c r="AJ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AP4" i="8" s="1"/>
  <c r="U94" i="8"/>
  <c r="AH50" i="8"/>
  <c r="AC50" i="8"/>
  <c r="AO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P19" i="8" s="1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P9" i="8" s="1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67" i="8"/>
  <c r="AV67" i="8"/>
  <c r="AJ67" i="8"/>
  <c r="Z67" i="8"/>
  <c r="AA67" i="8" s="1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AP17" i="8" s="1"/>
  <c r="U64" i="8"/>
  <c r="AE44" i="8"/>
  <c r="AB44" i="8"/>
  <c r="AD44" i="8"/>
  <c r="AF44" i="8"/>
  <c r="AG44" i="8"/>
  <c r="W68" i="8"/>
  <c r="AC68" i="8" s="1"/>
  <c r="AF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P53" i="8" s="1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N38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W89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W78" i="8"/>
  <c r="AC78" i="8" s="1"/>
  <c r="AF78" i="8" s="1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AP14" i="8" s="1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W100" i="8"/>
  <c r="AV87" i="8"/>
  <c r="AW87" i="8"/>
  <c r="Z87" i="8"/>
  <c r="AA87" i="8" s="1"/>
  <c r="AJ87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W63" i="8"/>
  <c r="AV63" i="8"/>
  <c r="AJ63" i="8"/>
  <c r="Z63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W61" i="8"/>
  <c r="AV61" i="8"/>
  <c r="AJ61" i="8"/>
  <c r="Z61" i="8"/>
  <c r="AB61" i="8" s="1"/>
  <c r="AA61" i="8"/>
  <c r="AV75" i="8"/>
  <c r="AW75" i="8"/>
  <c r="AT75" i="8" s="1"/>
  <c r="Z75" i="8"/>
  <c r="AA75" i="8" s="1"/>
  <c r="AJ75" i="8"/>
  <c r="AW96" i="8"/>
  <c r="Z96" i="8"/>
  <c r="AA96" i="8" s="1"/>
  <c r="AV96" i="8"/>
  <c r="AJ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O19" i="8"/>
  <c r="AB36" i="8"/>
  <c r="AD36" i="8"/>
  <c r="AE36" i="8"/>
  <c r="AF36" i="8"/>
  <c r="AG36" i="8"/>
  <c r="AW108" i="8"/>
  <c r="AT108" i="8" s="1"/>
  <c r="AV108" i="8"/>
  <c r="Z108" i="8"/>
  <c r="AJ108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AO6" i="8" l="1"/>
  <c r="AO57" i="8"/>
  <c r="AN57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J12" i="8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S30" i="8"/>
  <c r="AN30" i="8" s="1"/>
  <c r="AT12" i="8"/>
  <c r="AU12" i="8"/>
  <c r="AV12" i="8"/>
  <c r="AW12" i="8"/>
  <c r="AJ12" i="8"/>
  <c r="AA12" i="8"/>
  <c r="AI12" i="8"/>
  <c r="Z12" i="8"/>
  <c r="Q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O30" i="8"/>
  <c r="AW84" i="8"/>
  <c r="AT84" i="8" s="1"/>
  <c r="AV84" i="8"/>
  <c r="Z84" i="8"/>
  <c r="AJ84" i="8"/>
  <c r="AW80" i="8"/>
  <c r="AT80" i="8" s="1"/>
  <c r="AV80" i="8"/>
  <c r="Z80" i="8"/>
  <c r="AJ80" i="8"/>
  <c r="W91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S22" i="8"/>
  <c r="AN22" i="8" s="1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Q30" i="8"/>
  <c r="AP30" i="8" s="1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71" i="1"/>
  <c r="E67" i="1"/>
  <c r="E65" i="1"/>
  <c r="E61" i="1"/>
  <c r="E57" i="1"/>
  <c r="E51" i="1"/>
  <c r="E47" i="1"/>
  <c r="E43" i="1"/>
  <c r="E39" i="1"/>
  <c r="E35" i="1"/>
  <c r="E31" i="1"/>
  <c r="E27" i="1"/>
  <c r="E21" i="1"/>
  <c r="E17" i="1"/>
  <c r="E13" i="1"/>
  <c r="E73" i="1"/>
  <c r="E69" i="1"/>
  <c r="E63" i="1"/>
  <c r="E59" i="1"/>
  <c r="E55" i="1"/>
  <c r="E53" i="1"/>
  <c r="E49" i="1"/>
  <c r="E45" i="1"/>
  <c r="E41" i="1"/>
  <c r="E37" i="1"/>
  <c r="E33" i="1"/>
  <c r="E29" i="1"/>
  <c r="E25" i="1"/>
  <c r="E23" i="1"/>
  <c r="E19" i="1"/>
  <c r="E15" i="1"/>
  <c r="E11" i="1"/>
  <c r="P2" i="1" a="1"/>
  <c r="P2" i="1" s="1"/>
  <c r="Q2" i="1" s="1"/>
  <c r="AP92" i="8" l="1"/>
  <c r="Q33" i="8"/>
  <c r="AP33" i="8" s="1"/>
  <c r="S33" i="8"/>
  <c r="Q27" i="8"/>
  <c r="AP27" i="8" s="1"/>
  <c r="AO22" i="8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C95" i="8"/>
  <c r="AF95" i="8" s="1"/>
  <c r="AE68" i="8"/>
  <c r="AI101" i="8"/>
  <c r="AM101" i="8" s="1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101" i="8" l="1"/>
  <c r="AN23" i="8"/>
  <c r="AN33" i="8"/>
  <c r="AO33" i="8"/>
  <c r="AP58" i="8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107" i="8"/>
  <c r="AO62" i="8"/>
  <c r="AN62" i="8"/>
  <c r="AH90" i="8"/>
  <c r="AL90" i="8" s="1"/>
  <c r="AP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P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P93" i="8" s="1"/>
  <c r="AG104" i="8"/>
  <c r="AK104" i="8" s="1"/>
  <c r="AP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P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P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103" i="8" l="1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P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O110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106" i="8" l="1"/>
  <c r="AE91" i="8"/>
  <c r="AH91" i="8" s="1"/>
  <c r="AL91" i="8" s="1"/>
  <c r="AH99" i="8"/>
  <c r="AL99" i="8" s="1"/>
  <c r="AP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7" i="8" l="1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<sst xmlns="http://schemas.openxmlformats.org/spreadsheetml/2006/main" count="1492" uniqueCount="1245">
  <si>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</si>
  <si>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</si>
  <si>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</si>
  <si>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</si>
  <si>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</si>
  <si>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</si>
  <si>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</si>
  <si>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</si>
  <si>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</si>
  <si>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</si>
  <si>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</si>
  <si>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</si>
  <si>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</si>
  <si>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</si>
  <si>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</si>
  <si>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</si>
  <si>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</si>
  <si>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</si>
  <si>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</si>
  <si>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</si>
  <si>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</si>
  <si>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</si>
  <si>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</si>
  <si>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</si>
  <si>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</si>
  <si>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</si>
  <si>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</si>
  <si>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</si>
  <si>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</si>
  <si>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</si>
  <si>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</si>
  <si>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</si>
  <si>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</si>
  <si>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</si>
  <si>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</si>
  <si>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</si>
  <si>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</si>
  <si>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</si>
  <si>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</si>
  <si>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</si>
  <si>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</si>
  <si>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</si>
  <si>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</si>
  <si>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</si>
  <si>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</si>
  <si>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</si>
  <si>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</si>
  <si>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</si>
  <si>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</si>
  <si>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</si>
  <si>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</si>
  <si>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</si>
  <si>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</si>
  <si>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</si>
  <si>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</si>
  <si>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</si>
  <si>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</si>
  <si>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</si>
  <si>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</si>
  <si>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</si>
  <si>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</si>
  <si>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</si>
  <si>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</si>
  <si>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</si>
  <si>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</si>
  <si>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</si>
  <si>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</si>
  <si>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</si>
  <si>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</si>
  <si>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</si>
  <si>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</si>
  <si>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</si>
  <si>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</si>
  <si>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</si>
  <si>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</si>
  <si>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</si>
  <si>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</si>
  <si>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</si>
  <si>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</si>
  <si>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</si>
  <si>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</si>
  <si>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</si>
  <si>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</si>
  <si>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</si>
  <si>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</si>
  <si>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</si>
  <si>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</si>
  <si>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</si>
  <si>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</si>
  <si>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</si>
  <si>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</si>
  <si>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</si>
  <si>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</si>
  <si>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</si>
  <si>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</si>
  <si>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</si>
  <si>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</si>
  <si>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</si>
  <si>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</si>
  <si>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</si>
  <si>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</si>
  <si>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</si>
  <si>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</si>
  <si>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</si>
  <si>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</si>
  <si>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</si>
  <si>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</si>
  <si>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</si>
  <si>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</si>
  <si>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</si>
  <si>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</si>
  <si>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</si>
  <si>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</si>
  <si>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</si>
  <si>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</si>
  <si>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</si>
  <si>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</si>
  <si>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</si>
  <si>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</si>
  <si>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</si>
  <si>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</si>
  <si>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</si>
  <si>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</si>
  <si>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</si>
  <si>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</si>
  <si>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</si>
  <si>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</si>
  <si>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</si>
  <si>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</si>
  <si>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</si>
  <si>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</si>
  <si>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</si>
  <si>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</si>
  <si>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</si>
  <si>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</si>
  <si>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</si>
  <si>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</si>
  <si>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</si>
  <si>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</si>
  <si>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</si>
  <si>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</si>
  <si>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</si>
  <si>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</si>
  <si>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</si>
  <si>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</si>
  <si>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</si>
  <si>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</si>
  <si>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</si>
  <si>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</si>
  <si>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</si>
  <si>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</si>
  <si>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</si>
  <si>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</si>
  <si>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</si>
  <si>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</si>
  <si>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</si>
  <si>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</si>
  <si>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</si>
  <si>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</si>
  <si>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</si>
  <si>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</si>
  <si>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</si>
  <si>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</si>
  <si>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</si>
  <si>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</si>
  <si>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</si>
  <si>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</si>
  <si>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</si>
  <si>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</si>
  <si>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</si>
  <si>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</si>
  <si>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</si>
  <si>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</si>
  <si>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</si>
  <si>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</si>
  <si>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</si>
  <si>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</si>
  <si>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</si>
  <si>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</si>
  <si>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</si>
  <si>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</si>
  <si>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</si>
  <si>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</si>
  <si>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</si>
  <si>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</si>
  <si>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</si>
  <si>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</si>
  <si>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</si>
  <si>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</si>
  <si>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</si>
  <si>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</si>
  <si>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</si>
  <si>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</si>
  <si>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</si>
  <si>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</si>
  <si>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</si>
  <si>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</si>
  <si>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</si>
  <si>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</si>
  <si>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</si>
  <si>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</si>
  <si>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</si>
  <si>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</si>
  <si>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</si>
  <si>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</si>
  <si>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</si>
  <si>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</si>
  <si>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</si>
  <si>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</si>
  <si>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</si>
  <si>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</si>
  <si>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</si>
  <si>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</si>
  <si>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</si>
  <si>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</si>
  <si>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</si>
  <si>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</si>
  <si>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</si>
  <si>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</si>
  <si>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</si>
  <si>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</si>
  <si>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</si>
  <si>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</si>
  <si>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</si>
  <si>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</si>
  <si>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</si>
  <si>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</si>
  <si>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</si>
  <si>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</si>
  <si>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</si>
  <si>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</si>
  <si>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</si>
  <si>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</si>
  <si>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</si>
  <si>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</si>
  <si>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</si>
  <si>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</si>
  <si>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</si>
  <si>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</si>
  <si>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</si>
  <si>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</si>
  <si>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</si>
  <si>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</si>
  <si>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</si>
  <si>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</si>
  <si>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</si>
  <si>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</si>
  <si>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</si>
  <si>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</si>
  <si>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</si>
  <si>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</si>
  <si>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</si>
  <si>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</si>
  <si>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</si>
  <si>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</si>
  <si>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</si>
  <si>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</si>
  <si>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</si>
  <si>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</si>
  <si>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</si>
  <si>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</si>
  <si>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</si>
  <si>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</si>
  <si>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</si>
  <si>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</si>
  <si>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</si>
  <si>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</si>
  <si>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</si>
  <si>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</si>
  <si>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</si>
  <si>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</si>
  <si>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</si>
  <si>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</si>
  <si>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</si>
  <si>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</si>
  <si>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</si>
  <si>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</si>
  <si>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</si>
  <si>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</si>
  <si>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</si>
  <si>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</si>
  <si>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</si>
  <si>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</si>
  <si>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</si>
  <si>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</si>
  <si>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</si>
  <si>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</si>
  <si>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</si>
  <si>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</si>
  <si>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</si>
  <si>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</si>
  <si>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</si>
  <si>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</si>
  <si>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</si>
  <si>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</si>
  <si>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</si>
  <si>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</si>
  <si>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</si>
  <si>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</si>
  <si>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</si>
  <si>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</si>
  <si>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</si>
  <si>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</si>
  <si>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</si>
  <si>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</si>
  <si>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</si>
  <si>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</si>
  <si>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</si>
  <si>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</si>
  <si>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</si>
  <si>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</si>
  <si>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</si>
  <si>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</si>
  <si>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</si>
  <si>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</si>
  <si>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</si>
  <si>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</si>
  <si>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</si>
  <si>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</si>
  <si>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</si>
  <si>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</si>
  <si>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</si>
  <si>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</si>
  <si>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</si>
  <si>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</si>
  <si>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</si>
  <si>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</si>
  <si>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</si>
  <si>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</si>
  <si>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</si>
  <si>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</si>
  <si>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</si>
  <si>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</si>
  <si>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</si>
  <si>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</si>
  <si>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</si>
  <si>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</si>
  <si>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</si>
  <si>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</si>
  <si>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</si>
  <si>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</si>
  <si>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</si>
  <si>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</si>
  <si>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</si>
  <si>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</si>
  <si>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</si>
  <si>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</si>
  <si>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</si>
  <si>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</si>
  <si>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</si>
  <si>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</si>
  <si>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</si>
  <si>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</si>
  <si>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</si>
  <si>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</si>
  <si>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</si>
  <si>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</si>
  <si>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</si>
  <si>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</si>
  <si>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</si>
  <si>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</si>
  <si>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</si>
  <si>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</si>
  <si>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</si>
  <si>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</si>
  <si>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</si>
  <si>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</si>
  <si>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</si>
  <si>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</si>
  <si>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</si>
  <si>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</si>
  <si>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</si>
  <si>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</si>
  <si>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</si>
  <si>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</si>
  <si>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</si>
  <si>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</si>
  <si>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</si>
  <si>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</si>
  <si>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</si>
  <si>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</si>
  <si>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</si>
  <si>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</si>
  <si>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</si>
  <si>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</si>
  <si>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</si>
  <si>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</si>
  <si>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</si>
  <si>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</si>
  <si>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</si>
  <si>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</si>
  <si>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</si>
  <si>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</si>
  <si>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</si>
  <si>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</si>
  <si>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</si>
  <si>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</si>
  <si>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</si>
  <si>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</si>
  <si>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</si>
  <si>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</si>
  <si>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</si>
  <si>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</si>
  <si>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</si>
  <si>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</si>
  <si>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</si>
  <si>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</si>
  <si>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</si>
  <si>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</si>
  <si>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</si>
  <si>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</si>
  <si>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</si>
  <si>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</si>
  <si>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</si>
  <si>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</si>
  <si>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</si>
  <si>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</si>
  <si>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</si>
  <si>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</si>
  <si>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</si>
  <si>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</si>
  <si>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</si>
  <si>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</si>
  <si>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</si>
  <si>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</si>
  <si>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</si>
  <si>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</si>
  <si>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</si>
  <si>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</si>
  <si>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</si>
  <si>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</si>
  <si>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</si>
  <si>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</si>
  <si>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</si>
  <si>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</si>
  <si>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</si>
  <si>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</si>
  <si>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</si>
  <si>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</si>
  <si>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</si>
  <si>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</si>
  <si>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</si>
  <si>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</si>
  <si>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</si>
  <si>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</si>
  <si>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</si>
  <si>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</si>
  <si>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</si>
  <si>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</si>
  <si>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</si>
  <si>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</si>
  <si>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</si>
  <si>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</si>
  <si>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</si>
  <si>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</si>
  <si>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</si>
  <si>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</si>
  <si>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</si>
  <si>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</si>
  <si>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</si>
  <si>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</si>
  <si>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</si>
  <si>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</si>
  <si>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</si>
  <si>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</si>
  <si>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</si>
  <si>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</si>
  <si>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</si>
  <si>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</si>
  <si>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</si>
  <si>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</si>
  <si>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</si>
  <si>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</si>
  <si>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</si>
  <si>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</si>
  <si>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</si>
  <si>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</si>
  <si>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</si>
  <si>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</si>
  <si>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</si>
  <si>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</si>
  <si>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</si>
  <si>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</si>
  <si>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</si>
  <si>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</si>
  <si>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</si>
  <si>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</si>
  <si>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</si>
  <si>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</si>
  <si>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</si>
  <si>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</si>
  <si>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</si>
  <si>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</si>
  <si>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</si>
  <si>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</si>
  <si>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</si>
  <si>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</si>
  <si>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</si>
  <si>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</si>
  <si>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</si>
  <si>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</si>
  <si>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</si>
  <si>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</si>
  <si>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</si>
  <si>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</si>
  <si>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</si>
  <si>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</si>
  <si>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</si>
  <si>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</si>
  <si>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</si>
  <si>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</si>
  <si>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</si>
  <si>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</si>
  <si>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</si>
  <si>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</si>
  <si>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</si>
  <si>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</si>
  <si>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</si>
  <si>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</si>
  <si>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</si>
  <si>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</si>
  <si>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</si>
  <si>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</si>
  <si>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</si>
  <si>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</si>
  <si>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</si>
  <si>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</si>
  <si>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</si>
  <si>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</si>
  <si>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</si>
  <si>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</si>
  <si>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</si>
  <si>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</si>
  <si>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</si>
  <si>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</si>
  <si>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</si>
  <si>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</si>
  <si>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</si>
  <si>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</si>
  <si>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</si>
  <si>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</si>
  <si>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</si>
  <si>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</si>
  <si>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</si>
  <si>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</si>
  <si>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</si>
  <si>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</si>
  <si>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</si>
  <si>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</si>
  <si>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</si>
  <si>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</si>
  <si>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</si>
  <si>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</si>
  <si>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</si>
  <si>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</si>
  <si>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</si>
  <si>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</si>
  <si>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</si>
  <si>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</si>
  <si>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</si>
  <si>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</si>
  <si>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</si>
  <si>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</si>
  <si>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</si>
  <si>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</si>
  <si>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</si>
  <si>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</si>
  <si>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</si>
  <si>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</si>
  <si>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</si>
  <si>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</si>
  <si>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</si>
  <si>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</si>
  <si>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</si>
  <si>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</si>
  <si>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</si>
  <si>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</si>
  <si>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</si>
  <si>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</si>
  <si>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</si>
  <si>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</si>
  <si>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</si>
  <si>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</si>
  <si>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</si>
  <si>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</si>
  <si>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</si>
  <si>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</si>
  <si>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</si>
  <si>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</si>
  <si>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</si>
  <si>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</si>
  <si>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</si>
  <si>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</si>
  <si>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</si>
  <si>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</si>
  <si>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</si>
  <si>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</si>
  <si>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</si>
  <si>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</si>
  <si>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</si>
  <si>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</si>
  <si>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</si>
  <si>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</si>
  <si>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</si>
  <si>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</si>
  <si>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</si>
  <si>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</si>
  <si>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</si>
  <si>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</si>
  <si>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</si>
  <si>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</si>
  <si>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</si>
  <si>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</si>
  <si>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</si>
  <si>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</si>
  <si>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</si>
  <si>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</si>
  <si>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</si>
  <si>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</si>
  <si>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</si>
  <si>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</si>
  <si>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</si>
  <si>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</si>
  <si>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</si>
  <si>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</si>
  <si>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</si>
  <si>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</si>
  <si>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</si>
  <si>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</si>
  <si>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</si>
  <si>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</si>
  <si>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</si>
  <si>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</si>
  <si>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</si>
  <si>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</si>
  <si>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</si>
  <si>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</si>
  <si>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</si>
  <si>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</si>
  <si>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</si>
  <si>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</si>
  <si>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</si>
  <si>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</si>
  <si>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</si>
  <si>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</si>
  <si>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</si>
  <si>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</si>
  <si>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</si>
  <si>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</si>
  <si>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</si>
  <si>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</si>
  <si>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</si>
  <si>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</si>
  <si>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</si>
  <si>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</si>
  <si>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</si>
  <si>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</si>
  <si>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</si>
  <si>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</si>
  <si>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</si>
  <si>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</si>
  <si>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</si>
  <si>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</si>
  <si>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</si>
  <si>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</si>
  <si>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</si>
  <si>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</si>
  <si>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</si>
  <si>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</si>
  <si>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</si>
  <si>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</si>
  <si>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</si>
  <si>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</si>
  <si>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</si>
  <si>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</si>
  <si>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</si>
  <si>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</si>
  <si>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</si>
  <si>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</si>
  <si>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</si>
  <si>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</si>
  <si>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</si>
  <si>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</si>
  <si>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</si>
  <si>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</si>
  <si>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</si>
  <si>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</si>
  <si>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</si>
  <si>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</si>
  <si>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</si>
  <si>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</si>
  <si>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</si>
  <si>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</si>
  <si>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</si>
  <si>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</si>
  <si>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</si>
  <si>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</si>
  <si>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</si>
  <si>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</si>
  <si>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</si>
  <si>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</si>
  <si>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</si>
  <si>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</si>
  <si>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</si>
  <si>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</si>
  <si>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</si>
  <si>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</si>
  <si>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</si>
  <si>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</si>
  <si>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</si>
  <si>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</si>
  <si>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</si>
  <si>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</si>
  <si>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</si>
  <si>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</si>
  <si>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</si>
  <si>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</si>
  <si>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</si>
  <si>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</si>
  <si>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</si>
  <si>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</si>
  <si>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</si>
  <si>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</si>
  <si>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</si>
  <si>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</si>
  <si>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</si>
  <si>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</si>
  <si>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</si>
  <si>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</si>
  <si>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</si>
  <si>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</si>
  <si>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</si>
  <si>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</si>
  <si>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</si>
  <si>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</si>
  <si>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</si>
  <si>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</si>
  <si>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</si>
  <si>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</si>
  <si>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</si>
  <si>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</si>
  <si>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</si>
  <si>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</si>
  <si>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</si>
  <si>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</si>
  <si>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</si>
  <si>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</si>
  <si>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</si>
  <si>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</si>
  <si>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</si>
  <si>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</si>
  <si>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</si>
  <si>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</si>
  <si>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</si>
  <si>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</si>
  <si>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</si>
  <si>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</si>
  <si>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</si>
  <si>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</si>
  <si>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</si>
  <si>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</si>
  <si>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</si>
  <si>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</si>
  <si>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</si>
  <si>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</si>
  <si>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</si>
  <si>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</si>
  <si>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</si>
  <si>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</si>
  <si>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</si>
  <si>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</si>
  <si>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</si>
  <si>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</si>
  <si>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</si>
  <si>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</si>
  <si>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</si>
  <si>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</si>
  <si>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</si>
  <si>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</si>
  <si>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</si>
  <si>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</si>
  <si>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</si>
  <si>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</si>
  <si>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</si>
  <si>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</si>
  <si>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</si>
  <si>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</si>
  <si>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</si>
  <si>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</si>
  <si>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</si>
  <si>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</si>
  <si>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</si>
  <si>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</si>
  <si>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</si>
  <si>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</si>
  <si>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</si>
  <si>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</si>
  <si>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</si>
  <si>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</si>
  <si>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</si>
  <si>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</si>
  <si>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</si>
  <si>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3.1002-3.1005; (3.1002-5.1003)</t>
  </si>
  <si>
    <t>6.1030-6.1036; (6.1030-6.1042)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</si>
  <si>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</si>
  <si>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</si>
  <si>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</si>
  <si>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</si>
  <si>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</si>
  <si>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</si>
  <si>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</si>
  <si>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</si>
  <si>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</si>
  <si>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</si>
  <si>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</si>
  <si>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</si>
  <si>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</si>
  <si>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</si>
  <si>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</si>
  <si>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</si>
  <si>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</si>
  <si>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</si>
  <si>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</si>
  <si>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</si>
  <si>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</si>
  <si>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</si>
  <si>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</si>
  <si>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</si>
  <si>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</si>
  <si>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</si>
  <si>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</si>
  <si>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</si>
  <si>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</si>
  <si>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</si>
  <si>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</si>
  <si>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</si>
  <si>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</si>
  <si>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</si>
  <si>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</si>
  <si>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</si>
  <si>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</si>
  <si>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</si>
  <si>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</si>
  <si>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</si>
  <si>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</si>
  <si>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</si>
  <si>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</si>
  <si>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</si>
  <si>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</si>
  <si>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</si>
  <si>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</si>
  <si>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</si>
  <si>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</si>
  <si>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</si>
  <si>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</si>
  <si>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</si>
  <si>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</si>
  <si>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</si>
  <si>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</si>
  <si>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</si>
  <si>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</si>
  <si>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</si>
  <si>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</si>
  <si>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</si>
  <si>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</si>
  <si>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</si>
  <si>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</si>
  <si>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</si>
  <si>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</si>
  <si>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</si>
  <si>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</si>
  <si>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</si>
  <si>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</si>
  <si>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</si>
  <si>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</si>
  <si>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</si>
  <si>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</si>
  <si>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</si>
  <si>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</si>
  <si>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</si>
  <si>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</si>
  <si>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</si>
  <si>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</si>
  <si>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</si>
  <si>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</si>
  <si>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</si>
  <si>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</si>
  <si>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</si>
  <si>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</si>
  <si>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</si>
  <si>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</si>
  <si>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</si>
  <si>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</si>
  <si>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</si>
  <si>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</si>
  <si>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.1226 in.; (.8335 in.)</t>
  </si>
  <si>
    <t>1.1004-1.1007; (1.1004-1.1012)</t>
  </si>
  <si>
    <t>.0942 in.; (.7401 in.)</t>
  </si>
  <si>
    <t>1.1007-1.1012; (1.1007-1.1018)</t>
  </si>
  <si>
    <t>.0770 in.; (.7230 in.)</t>
  </si>
  <si>
    <t>1.1012-1.1018; (1.1012-1.1024)</t>
  </si>
  <si>
    <t>1.1018-1.1024; (1.1018-1.1030)</t>
  </si>
  <si>
    <t>1.1024-1.1030; (1.1024-6.1009)</t>
  </si>
  <si>
    <t>1.1030-2.1011; (1.1030-6.1027)</t>
  </si>
  <si>
    <t>.0850 in.; (.7310 in.)</t>
  </si>
  <si>
    <t>2.1011-2.1017; (2.1011-2.1023)</t>
  </si>
  <si>
    <t>2.1017-2.1023; (2.1017-2.1029)</t>
  </si>
  <si>
    <t>2.1023-2.1029; (2.1023-3.1008)</t>
  </si>
  <si>
    <t>2.1029-3.1002; (2.1029-3.1005)</t>
  </si>
  <si>
    <t>.1226 in.; (.5687 in.)</t>
  </si>
  <si>
    <t>.1033 in.; (.7979 in.)</t>
  </si>
  <si>
    <t>3.1005-3.1008; (3.1005-3.1014)</t>
  </si>
  <si>
    <t>.0970 in.; (.7418 in.)</t>
  </si>
  <si>
    <t>3.1008-3.1014; (3.1008-3.1020)</t>
  </si>
  <si>
    <t>.0829 in.; (.7321 in.)</t>
  </si>
  <si>
    <t>3.1014-3.1020; (3.1014-3.1026)</t>
  </si>
  <si>
    <t>3.1020-3.1026; (3.1020-3.1032)</t>
  </si>
  <si>
    <t>3.1026-3.1032; (3.1026-4.1013)</t>
  </si>
  <si>
    <t>3.1032-4.1013; (3.1032-4.1031)</t>
  </si>
  <si>
    <t>.0814 in.; (.7271 in.)</t>
  </si>
  <si>
    <t>4.1013-4.1019; (4.1013-4.1025)</t>
  </si>
  <si>
    <t>4.1019-4.1025; (4.1019-4.1031)</t>
  </si>
  <si>
    <t>4.1025-4.1031; (4.1025-5.1010)</t>
  </si>
  <si>
    <t>4.1031-5.1003; (4.1031-5.1028)</t>
  </si>
  <si>
    <t>.1225 in.; (.8465 in.)</t>
  </si>
  <si>
    <t>5.1003-5.1006; (5.1003-5.1010)</t>
  </si>
  <si>
    <t>.0973 in.; (.7656 in.)</t>
  </si>
  <si>
    <t>5.1006-5.1010; (5.1006-5.1016)</t>
  </si>
  <si>
    <t>.0893 in.; (.7334 in.)</t>
  </si>
  <si>
    <t>5.1010-5.1016; (5.1010-5.1022)</t>
  </si>
  <si>
    <t>5.1016-5.1022; (5.1016-5.1028)</t>
  </si>
  <si>
    <t>5.1022-5.1028; (5.1022-6.1009)</t>
  </si>
  <si>
    <t>.0933 in.; (.7380 in.)</t>
  </si>
  <si>
    <t>6.1009-6.1015; (6.1009-6.1021)</t>
  </si>
  <si>
    <t>6.1015-6.1021; (6.1015-6.1027)</t>
  </si>
  <si>
    <t>6.1021-6.1027; ( )</t>
  </si>
  <si>
    <t>.1236 in.; (.2100 in.)</t>
  </si>
  <si>
    <t>.0834 in.; (.7915 in.)</t>
  </si>
  <si>
    <t>.0996 in.; (2.4228 in.)</t>
  </si>
  <si>
    <t>3.0641 in.; (2.6208 in.)</t>
  </si>
  <si>
    <t>.0854 in.; (.7840 in.)</t>
  </si>
  <si>
    <t>.1002 in.; (2.4557 in.)</t>
  </si>
  <si>
    <t>2.9124 in.; (2.7742 in.)</t>
  </si>
  <si>
    <t>.0819 in.; (.6828 in.)</t>
  </si>
  <si>
    <t>-.0179 in.; (2.3969 in.)</t>
  </si>
  <si>
    <t>2.8335 in.; (2.6231 in.)</t>
  </si>
  <si>
    <t>.0867 in.; (1.0025 in.)</t>
  </si>
  <si>
    <t>.3350 in.; (2.4100 in.)</t>
  </si>
  <si>
    <t>2.8598 in.; (2.8911 in.)</t>
  </si>
  <si>
    <t>5.1028-6.1009; (5.1028-6.1027)</t>
  </si>
  <si>
    <t>.0839 in.; (1.0977 in.)</t>
  </si>
  <si>
    <t>.4539 in.; ( )</t>
  </si>
  <si>
    <t>.0815 in.; (.8062 in.)</t>
  </si>
  <si>
    <t>.0998 in.; (2.8889 in.)</t>
  </si>
  <si>
    <t>3.1003 in.; (3.1473 in.)</t>
  </si>
  <si>
    <t>1.1012.1-00</t>
  </si>
  <si>
    <t>1.1012.1</t>
  </si>
  <si>
    <t>1.1012.2-00</t>
  </si>
  <si>
    <t>1.1012.2</t>
  </si>
  <si>
    <t>1.1012.1-01</t>
  </si>
  <si>
    <t>1.1012.2-01</t>
  </si>
  <si>
    <t>1.1012.1-02</t>
  </si>
  <si>
    <t>1.1012.2-02</t>
  </si>
  <si>
    <t>1.1012.1-03</t>
  </si>
  <si>
    <t>1.1012.2-03</t>
  </si>
  <si>
    <t>1.1018.1-00</t>
  </si>
  <si>
    <t>1.1018.1</t>
  </si>
  <si>
    <t>1.1018.2-00</t>
  </si>
  <si>
    <t>1.1018.2</t>
  </si>
  <si>
    <t>1.1018.1-01</t>
  </si>
  <si>
    <t>1.1018.2-01</t>
  </si>
  <si>
    <t>1.1018.1-02</t>
  </si>
  <si>
    <t>1.1018.2-02</t>
  </si>
  <si>
    <t>1.1018.1-03</t>
  </si>
  <si>
    <t>1.1018.2-03</t>
  </si>
  <si>
    <t>1.1024.1-00</t>
  </si>
  <si>
    <t>1.1024.1</t>
  </si>
  <si>
    <t>1.1024.2-00</t>
  </si>
  <si>
    <t>1.1024.2</t>
  </si>
  <si>
    <t>1.1024.1-01</t>
  </si>
  <si>
    <t>1.1024.2-01</t>
  </si>
  <si>
    <t>1.1024.1-02</t>
  </si>
  <si>
    <t>1.1024.2-02</t>
  </si>
  <si>
    <t>1.1024.1-03</t>
  </si>
  <si>
    <t>1.1024.2-03</t>
  </si>
  <si>
    <t>1.1030.1-00</t>
  </si>
  <si>
    <t>1.1030.1</t>
  </si>
  <si>
    <t>1.1030.2-00</t>
  </si>
  <si>
    <t>1.1030.2</t>
  </si>
  <si>
    <t>1.1030.1-01</t>
  </si>
  <si>
    <t>1.1030.2-01</t>
  </si>
  <si>
    <t>1.1030.1-02</t>
  </si>
  <si>
    <t>1.1030.2-02</t>
  </si>
  <si>
    <t>1.1030.1-03</t>
  </si>
  <si>
    <t>1.1030.2-03</t>
  </si>
  <si>
    <t>2.1011.1-00</t>
  </si>
  <si>
    <t>2.1011.1</t>
  </si>
  <si>
    <t>2.1011.2-00</t>
  </si>
  <si>
    <t>2.1011.2</t>
  </si>
  <si>
    <t>2.1011.1-01</t>
  </si>
  <si>
    <t>2.1011.2-01</t>
  </si>
  <si>
    <t>2.1011.1-02</t>
  </si>
  <si>
    <t>2.1011.2-02</t>
  </si>
  <si>
    <t>2.1011.1-03</t>
  </si>
  <si>
    <t>2.1011.2-03</t>
  </si>
  <si>
    <t>2.1017.1-00</t>
  </si>
  <si>
    <t>2.1017.1</t>
  </si>
  <si>
    <t>2.1017.2-00</t>
  </si>
  <si>
    <t>2.1017.2</t>
  </si>
  <si>
    <t>2.1017.1-01</t>
  </si>
  <si>
    <t>2.1017.2-01</t>
  </si>
  <si>
    <t>2.1017.1-02</t>
  </si>
  <si>
    <t>2.1017.2-02</t>
  </si>
  <si>
    <t>2.1017.1-03</t>
  </si>
  <si>
    <t>2.1017.2-03</t>
  </si>
  <si>
    <t>2.1023.1-00</t>
  </si>
  <si>
    <t>2.1023.1</t>
  </si>
  <si>
    <t>2.1023.2-00</t>
  </si>
  <si>
    <t>2.1023.2</t>
  </si>
  <si>
    <t>2.1023.1-01</t>
  </si>
  <si>
    <t>2.1023.2-01</t>
  </si>
  <si>
    <t>2.1023.1-02</t>
  </si>
  <si>
    <t>2.1023.2-02</t>
  </si>
  <si>
    <t>2.1023.1-03</t>
  </si>
  <si>
    <t>2.1023.2-03</t>
  </si>
  <si>
    <t>2.1029.1-00</t>
  </si>
  <si>
    <t>2.1029.1</t>
  </si>
  <si>
    <t>2.1029.2-00</t>
  </si>
  <si>
    <t>2.1029.2</t>
  </si>
  <si>
    <t>2.1029.1-01</t>
  </si>
  <si>
    <t>2.1029.2-01</t>
  </si>
  <si>
    <t>2.1029.1-02</t>
  </si>
  <si>
    <t>2.1029.2-02</t>
  </si>
  <si>
    <t>2.1029.1-03</t>
  </si>
  <si>
    <t>2.1029.2-03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</si>
  <si>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</si>
  <si>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</si>
  <si>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</si>
  <si>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</si>
  <si>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</si>
  <si>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</si>
  <si>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</si>
  <si>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</si>
  <si>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</si>
  <si>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</si>
  <si>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</si>
  <si>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</si>
  <si>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</si>
  <si>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</si>
  <si>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</si>
  <si>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</si>
  <si>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</si>
  <si>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</si>
  <si>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</si>
  <si>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</si>
  <si>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3.1010.1-00</t>
  </si>
  <si>
    <t>3.1010.1</t>
  </si>
  <si>
    <t>3.1010.2-00</t>
  </si>
  <si>
    <t>3.1010.2</t>
  </si>
  <si>
    <t>3.1010.1-01</t>
  </si>
  <si>
    <t>3.1010.2-01</t>
  </si>
  <si>
    <t>3.1010.1-02</t>
  </si>
  <si>
    <t>3.1010.2-02</t>
  </si>
  <si>
    <t>3.1010.1-03</t>
  </si>
  <si>
    <t>3.1010.2-03</t>
  </si>
  <si>
    <t>3.1016.1-00</t>
  </si>
  <si>
    <t>3.1016.1</t>
  </si>
  <si>
    <t>3.1016.2-00</t>
  </si>
  <si>
    <t>3.1016.2</t>
  </si>
  <si>
    <t>3.1016.1-01</t>
  </si>
  <si>
    <t>3.1016.2-01</t>
  </si>
  <si>
    <t>3.1016.1-02</t>
  </si>
  <si>
    <t>3.1016.2-02</t>
  </si>
  <si>
    <t>3.1016.1-03</t>
  </si>
  <si>
    <t>3.1016.2-03</t>
  </si>
  <si>
    <t>3.1022.1-00</t>
  </si>
  <si>
    <t>3.1022.1</t>
  </si>
  <si>
    <t>3.1022.2-00</t>
  </si>
  <si>
    <t>3.1022.2</t>
  </si>
  <si>
    <t>3.1022.1-01</t>
  </si>
  <si>
    <t>3.1022.2-01</t>
  </si>
  <si>
    <t>3.1022.1-02</t>
  </si>
  <si>
    <t>3.1022.2-02</t>
  </si>
  <si>
    <t>3.1022.1-03</t>
  </si>
  <si>
    <t>3.1022.2-03</t>
  </si>
  <si>
    <t>3.1028.1-00</t>
  </si>
  <si>
    <t>3.1028.1</t>
  </si>
  <si>
    <t>3.1028.2-00</t>
  </si>
  <si>
    <t>3.1028.2</t>
  </si>
  <si>
    <t>3.1028.1-01</t>
  </si>
  <si>
    <t>3.1028.2-01</t>
  </si>
  <si>
    <t>3.1028.1-02</t>
  </si>
  <si>
    <t>3.1028.2-02</t>
  </si>
  <si>
    <t>3.1028.1-03</t>
  </si>
  <si>
    <t>3.1028.2-03</t>
  </si>
  <si>
    <t>4.1009.1-00</t>
  </si>
  <si>
    <t>4.1009.1</t>
  </si>
  <si>
    <t>4.1009.2-00</t>
  </si>
  <si>
    <t>4.1009.2</t>
  </si>
  <si>
    <t>4.1009.1-01</t>
  </si>
  <si>
    <t>4.1009.2-01</t>
  </si>
  <si>
    <t>4.1009.1-02</t>
  </si>
  <si>
    <t>4.1009.2-02</t>
  </si>
  <si>
    <t>4.1009.1-03</t>
  </si>
  <si>
    <t>4.1009.2-03</t>
  </si>
  <si>
    <t>4.1015.1-00</t>
  </si>
  <si>
    <t>4.1015.1</t>
  </si>
  <si>
    <t>4.1015.2-00</t>
  </si>
  <si>
    <t>4.1015.2</t>
  </si>
  <si>
    <t>4.1015.1-01</t>
  </si>
  <si>
    <t>4.1015.2-01</t>
  </si>
  <si>
    <t>4.1015.1-02</t>
  </si>
  <si>
    <t>4.1015.2-02</t>
  </si>
  <si>
    <t>4.1015.1-03</t>
  </si>
  <si>
    <t>4.1015.2-03</t>
  </si>
  <si>
    <t>4.1010.1-00</t>
  </si>
  <si>
    <t>4.1010.1</t>
  </si>
  <si>
    <t>4.1010.2-00</t>
  </si>
  <si>
    <t>4.1010.2</t>
  </si>
  <si>
    <t>4.1010.1-01</t>
  </si>
  <si>
    <t>4.1010.2-01</t>
  </si>
  <si>
    <t>4.1010.1-02</t>
  </si>
  <si>
    <t>4.1010.2-02</t>
  </si>
  <si>
    <t>4.1010.1-03</t>
  </si>
  <si>
    <t>4.1010.2-03</t>
  </si>
  <si>
    <t>4.1027.1-00</t>
  </si>
  <si>
    <t>4.1027.1</t>
  </si>
  <si>
    <t>4.1027.2-00</t>
  </si>
  <si>
    <t>4.1027.2</t>
  </si>
  <si>
    <t>4.1027.1-01</t>
  </si>
  <si>
    <t>4.1027.2-01</t>
  </si>
  <si>
    <t>4.1027.1-02</t>
  </si>
  <si>
    <t>4.1027.2-02</t>
  </si>
  <si>
    <t>4.1027.1-03</t>
  </si>
  <si>
    <t>4.1027.2-03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</si>
  <si>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</si>
  <si>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</si>
  <si>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</si>
  <si>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</si>
  <si>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</si>
  <si>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</si>
  <si>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</si>
  <si>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</si>
  <si>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</si>
  <si>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</si>
  <si>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</si>
  <si>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</si>
  <si>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</si>
  <si>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</si>
  <si>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</si>
  <si>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</si>
  <si>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</si>
  <si>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</si>
  <si>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</si>
  <si>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</si>
  <si>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</si>
  <si>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</si>
  <si>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</si>
  <si>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</si>
  <si>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</si>
  <si>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</si>
  <si>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</si>
  <si>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</si>
  <si>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</si>
  <si>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</si>
  <si>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5.1014.1-00</t>
  </si>
  <si>
    <t>5.1014.1</t>
  </si>
  <si>
    <t>5.1014.2-00</t>
  </si>
  <si>
    <t>5.1014.2</t>
  </si>
  <si>
    <t>5.1014.1-01</t>
  </si>
  <si>
    <t>5.1014.2-01</t>
  </si>
  <si>
    <t>5.1014.1-02</t>
  </si>
  <si>
    <t>5.1014.2-02</t>
  </si>
  <si>
    <t>5.1014.1-03</t>
  </si>
  <si>
    <t>5.1014.2-03</t>
  </si>
  <si>
    <t>5.1020.1-00</t>
  </si>
  <si>
    <t>5.1020.1</t>
  </si>
  <si>
    <t>5.1020.2-00</t>
  </si>
  <si>
    <t>5.1020.2</t>
  </si>
  <si>
    <t>5.1020.1-01</t>
  </si>
  <si>
    <t>5.1020.2-01</t>
  </si>
  <si>
    <t>5.1020.1-02</t>
  </si>
  <si>
    <t>5.1020.2-02</t>
  </si>
  <si>
    <t>5.1020.1-03</t>
  </si>
  <si>
    <t>5.1020.2-03</t>
  </si>
  <si>
    <t>5.1026.1-00</t>
  </si>
  <si>
    <t>5.1026.1</t>
  </si>
  <si>
    <t>5.1026.2-00</t>
  </si>
  <si>
    <t>5.1026.2</t>
  </si>
  <si>
    <t>5.1026.1-01</t>
  </si>
  <si>
    <t>5.1026.2-01</t>
  </si>
  <si>
    <t>5.1026.1-02</t>
  </si>
  <si>
    <t>5.1026.2-02</t>
  </si>
  <si>
    <t>5.1026.1-03</t>
  </si>
  <si>
    <t>5.1026.2-03</t>
  </si>
  <si>
    <t>5.1032.1-00</t>
  </si>
  <si>
    <t>5.1032.1</t>
  </si>
  <si>
    <t>5.1032.2-00</t>
  </si>
  <si>
    <t>5.1032.2</t>
  </si>
  <si>
    <t>5.1032.1-01</t>
  </si>
  <si>
    <t>5.1032.2-01</t>
  </si>
  <si>
    <t>5.1032.1-02</t>
  </si>
  <si>
    <t>5.1032.2-02</t>
  </si>
  <si>
    <t>5.1032.1-03</t>
  </si>
  <si>
    <t>5.1032.2-03</t>
  </si>
  <si>
    <t>6.1013.1-00</t>
  </si>
  <si>
    <t>6.1013.1</t>
  </si>
  <si>
    <t>6.1013.2-00</t>
  </si>
  <si>
    <t>6.1013.2</t>
  </si>
  <si>
    <t>6.1013.1-01</t>
  </si>
  <si>
    <t>6.1013.2-01</t>
  </si>
  <si>
    <t>6.1013.1-02</t>
  </si>
  <si>
    <t>6.1013.2-02</t>
  </si>
  <si>
    <t>6.1013.1-03</t>
  </si>
  <si>
    <t>6.1013.2-03</t>
  </si>
  <si>
    <t>6.1019.1-00</t>
  </si>
  <si>
    <t>6.1019.1</t>
  </si>
  <si>
    <t>6.1019.2-00</t>
  </si>
  <si>
    <t>6.1019.2</t>
  </si>
  <si>
    <t>6.1019.1-01</t>
  </si>
  <si>
    <t>6.1019.2-01</t>
  </si>
  <si>
    <t>6.1019.1-02</t>
  </si>
  <si>
    <t>6.1019.2-02</t>
  </si>
  <si>
    <t>6.1019.1-03</t>
  </si>
  <si>
    <t>6.1019.2-03</t>
  </si>
  <si>
    <t>6.1025.1-00</t>
  </si>
  <si>
    <t>6.1025.1</t>
  </si>
  <si>
    <t>6.1025.2-00</t>
  </si>
  <si>
    <t>6.1025.2</t>
  </si>
  <si>
    <t>6.1025.1-01</t>
  </si>
  <si>
    <t>6.1025.2-01</t>
  </si>
  <si>
    <t>6.1025.1-02</t>
  </si>
  <si>
    <t>6.1025.2-02</t>
  </si>
  <si>
    <t>6.1025.1-03</t>
  </si>
  <si>
    <t>6.1025.2-03</t>
  </si>
  <si>
    <t>6.1031.1-00</t>
  </si>
  <si>
    <t>6.1031.1</t>
  </si>
  <si>
    <t>6.1031.2-00</t>
  </si>
  <si>
    <t>6.1031.2</t>
  </si>
  <si>
    <t>6.1031.1-01</t>
  </si>
  <si>
    <t>6.1031.2-01</t>
  </si>
  <si>
    <t>6.1031.1-02</t>
  </si>
  <si>
    <t>6.1031.2-02</t>
  </si>
  <si>
    <t>6.1031.1-03</t>
  </si>
  <si>
    <t>6.1031.2-03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</si>
</sst>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393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14" xfId="0" applyNumberFormat="1" applyBorder="1"/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49" fontId="0" fillId="0" borderId="5" xfId="0" applyNumberFormat="1" applyBorder="1"/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0" fillId="0" borderId="2" xfId="0" applyNumberFormat="1" applyBorder="1"/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73</xdr:row>
          <xdr:rowOff>0</xdr:rowOff>
        </xdr:from>
        <xdr:to>
          <xdr:col>66</xdr:col>
          <xdr:colOff>200025</xdr:colOff>
          <xdr:row>75</xdr:row>
          <xdr:rowOff>85725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148071</xdr:colOff>
      <xdr:row>8</xdr:row>
      <xdr:rowOff>121227</xdr:rowOff>
    </xdr:from>
    <xdr:to>
      <xdr:col>31</xdr:col>
      <xdr:colOff>493569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78321" y="1463386"/>
          <a:ext cx="7619134" cy="2493819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73"/>
  <sheetViews>
    <sheetView zoomScale="110" zoomScaleNormal="110" zoomScaleSheetLayoutView="100" workbookViewId="0">
      <pane ySplit="3" topLeftCell="A4" activePane="bottomLeft" state="frozen"/>
      <selection pane="bottomLeft" activeCell="J74" sqref="J74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199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5"/>
      <c r="B1" s="265"/>
      <c r="C1" s="366"/>
      <c r="D1" s="366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69" t="s">
        <v>2</v>
      </c>
      <c r="C2" s="360" t="s">
        <v>3</v>
      </c>
      <c r="D2" s="354" t="s">
        <v>4</v>
      </c>
      <c r="E2" s="356" t="s">
        <v>0</v>
      </c>
      <c r="F2" s="361" t="s">
        <v>5</v>
      </c>
      <c r="G2" s="348"/>
      <c r="H2" s="349"/>
      <c r="I2" s="347" t="s">
        <v>6</v>
      </c>
      <c r="J2" s="348"/>
      <c r="K2" s="349"/>
      <c r="L2" s="3"/>
      <c r="M2" s="134" t="s">
        <v>57</v>
      </c>
      <c r="N2" s="135">
        <v>180</v>
      </c>
      <c r="O2" s="5"/>
      <c r="P2" s="141" t="str">
        <f t="array" ref="P2">MIN(IF(ISNUMBER(VALUE(LEFT(P3:P271,SEARCH(CHAR(32),P3:P271)-1))),VALUE(LEFT(P3:P271,SEARCH(CHAR(32),P3:P271)-1)),100))
&amp;" ("&amp;
MIN(IF(ISNUMBER(VALUE(MID(P3:P271,SEARCH(CHAR(40),P3:P271)+1,SEARCH(CHAR(32),P3:P271,SEARCH(CHAR(40),P3:P271))-SEARCH(CHAR(40),P3:P271)))),VALUE(MID(P3:P271,SEARCH(CHAR(40),P3:P271)+1,SEARCH(CHAR(32),P3:P271,SEARCH(CHAR(40),P3:P271))-SEARCH(CHAR(40),P3:P271))),100))
&amp;")"</f>
        <v>-0.0179 (0.21)</v>
      </c>
      <c r="Q2" s="141" t="str">
        <f>IFERROR(
    MATCH(TEXT(LEFT(P2,SEARCH(CHAR(32),P2)-1),"#.0000")&amp;" in.*",P3:P283,0)+2
&amp;" ("&amp;
MATCH("*"&amp;TEXT(MID(P2,SEARCH(CHAR(40),P2)+1,SEARCH(CHAR(41),P2,SEARCH(CHAR(40),P2))-(SEARCH(CHAR(40),P2)+1)),"#.0000")&amp;" in.)",P3:P283,0)+2
&amp;")",
   IFERROR(
    MATCH(TEXT(LEFT(P2,SEARCH(CHAR(32),P2)-1),"#.0000")&amp;" in.*",P3:P283,0)+2
&amp;" (?)",
   IFERROR(
    "? ("&amp;
MATCH("*"&amp;TEXT(MID(P2,SEARCH(CHAR(40),P2)+1,SEARCH(CHAR(41),P2,SEARCH(CHAR(40),P2))-(SEARCH(CHAR(40),P2)+1)),"#.0000")&amp;" in).",P3:P283,0)+2
&amp;")",
   "?")))</f>
        <v>52 (12)</v>
      </c>
      <c r="BA2" s="188"/>
      <c r="BB2" s="188"/>
      <c r="BC2" s="188"/>
      <c r="BD2" s="188"/>
      <c r="BE2" s="188"/>
      <c r="BF2" s="188"/>
      <c r="BG2" s="188"/>
      <c r="BH2" s="188"/>
      <c r="BI2" s="188"/>
      <c r="BJ2" s="188"/>
    </row>
    <row r="3" spans="1:62" ht="13.5" customHeight="1" x14ac:dyDescent="0.2">
      <c r="A3" s="150"/>
      <c r="B3" s="346"/>
      <c r="C3" s="357"/>
      <c r="D3" s="355"/>
      <c r="E3" s="357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5.5555555555555559E-2</v>
      </c>
      <c r="O3" s="12"/>
      <c r="BA3" s="188"/>
      <c r="BB3" s="188"/>
      <c r="BC3" s="188"/>
      <c r="BD3" s="188"/>
      <c r="BE3" s="188"/>
      <c r="BF3" s="188"/>
      <c r="BG3" s="188"/>
      <c r="BH3" s="188"/>
      <c r="BI3" s="188"/>
      <c r="BJ3" s="188"/>
    </row>
    <row r="4" spans="1:62" x14ac:dyDescent="0.2">
      <c r="A4" s="150"/>
      <c r="B4" s="10"/>
      <c r="C4" s="97"/>
      <c r="D4" s="242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1"/>
      <c r="AB4" s="261"/>
      <c r="BA4" s="188"/>
      <c r="BB4" s="188"/>
      <c r="BC4" s="188"/>
      <c r="BD4" s="188"/>
      <c r="BE4" s="188"/>
      <c r="BF4" s="188"/>
      <c r="BG4" s="188"/>
      <c r="BH4" s="188"/>
      <c r="BI4" s="188"/>
      <c r="BJ4" s="188"/>
    </row>
    <row r="5" spans="1:62" ht="12.75" customHeight="1" x14ac:dyDescent="0.2">
      <c r="A5" s="150"/>
      <c r="B5" s="10"/>
      <c r="C5" s="97"/>
      <c r="D5" s="242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12"/>
      <c r="M5" s="12"/>
      <c r="N5" s="12"/>
      <c r="O5" s="12"/>
      <c r="AA5" s="262"/>
      <c r="AB5" s="263"/>
      <c r="BA5" s="188"/>
      <c r="BB5" s="188"/>
      <c r="BC5" s="188"/>
      <c r="BD5" s="188"/>
      <c r="BE5" s="188"/>
      <c r="BF5" s="188"/>
      <c r="BG5" s="188"/>
      <c r="BH5" s="188"/>
      <c r="BI5" s="188"/>
      <c r="BJ5" s="188"/>
    </row>
    <row r="6" spans="1:62" ht="12.75" customHeight="1" x14ac:dyDescent="0.2">
      <c r="A6" s="150"/>
      <c r="B6" s="10"/>
      <c r="C6" s="97"/>
      <c r="D6" s="242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262"/>
      <c r="AB6" s="263"/>
      <c r="BA6" s="188"/>
      <c r="BB6" s="188"/>
      <c r="BC6" s="188"/>
      <c r="BD6" s="188"/>
      <c r="BE6" s="188"/>
      <c r="BF6" s="188"/>
      <c r="BG6" s="188"/>
      <c r="BH6" s="188"/>
      <c r="BI6" s="188"/>
      <c r="BJ6" s="188"/>
    </row>
    <row r="7" spans="1:62" ht="12.75" customHeight="1" x14ac:dyDescent="0.2">
      <c r="A7" s="150"/>
      <c r="B7" s="10"/>
      <c r="C7" s="97"/>
      <c r="D7" s="242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262"/>
      <c r="AB7" s="264"/>
      <c r="BA7" s="188"/>
      <c r="BB7" s="188"/>
      <c r="BC7" s="188"/>
      <c r="BD7" s="188"/>
      <c r="BE7" s="188"/>
      <c r="BF7" s="188"/>
      <c r="BG7" s="188"/>
      <c r="BH7" s="188"/>
      <c r="BI7" s="188"/>
      <c r="BJ7" s="188"/>
    </row>
    <row r="8" spans="1:62" x14ac:dyDescent="0.2">
      <c r="A8" s="150"/>
      <c r="B8" s="24"/>
      <c r="C8" s="98"/>
      <c r="D8" s="243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188"/>
      <c r="BB8" s="188"/>
      <c r="BC8" s="188"/>
      <c r="BD8" s="188"/>
      <c r="BE8" s="188"/>
      <c r="BF8" s="188"/>
      <c r="BG8" s="188"/>
      <c r="BH8" s="188"/>
      <c r="BI8" s="188"/>
      <c r="BJ8" s="188"/>
    </row>
    <row r="9" spans="1:62" ht="13.5" thickBot="1" x14ac:dyDescent="0.25">
      <c r="A9" s="185"/>
      <c r="B9" s="24"/>
      <c r="C9" s="98"/>
      <c r="D9" s="242">
        <v>6</v>
      </c>
      <c r="E9" s="21" t="s">
        <v>1</v>
      </c>
      <c r="F9" s="23"/>
      <c r="G9" s="24"/>
      <c r="H9" s="14"/>
      <c r="I9" s="26"/>
      <c r="J9" s="27"/>
      <c r="K9" s="18">
        <v>55</v>
      </c>
      <c r="L9" s="212"/>
      <c r="M9" s="12"/>
      <c r="N9" s="12"/>
      <c r="O9" s="12"/>
      <c r="BA9" s="188"/>
      <c r="BB9" s="188"/>
      <c r="BC9" s="188"/>
      <c r="BD9" s="188"/>
      <c r="BE9" s="188"/>
      <c r="BF9" s="188"/>
      <c r="BG9" s="188"/>
      <c r="BH9" s="188"/>
      <c r="BI9" s="188"/>
      <c r="BJ9" s="188"/>
    </row>
    <row r="10" spans="1:62" ht="14.25" thickTop="1" thickBot="1" x14ac:dyDescent="0.25">
      <c r="A10" s="28"/>
      <c r="B10" s="350" t="s">
        <v>643</v>
      </c>
      <c r="C10" s="351" t="s">
        <v>642</v>
      </c>
      <c r="D10" s="177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4"/>
      <c r="M10" s="30"/>
      <c r="N10" s="214"/>
      <c r="O10" s="31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</row>
    <row r="11" spans="1:62" ht="13.5" thickTop="1" x14ac:dyDescent="0.2">
      <c r="A11" s="28"/>
      <c r="B11" s="346"/>
      <c r="C11" s="345"/>
      <c r="D11" s="178">
        <f>D10+0.00001</f>
        <v>1.1001200000000002</v>
      </c>
      <c r="E11" s="180">
        <f>D10</f>
        <v>1.1001100000000001</v>
      </c>
      <c r="F11" s="32"/>
      <c r="G11" s="33">
        <v>0.34329999999999999</v>
      </c>
      <c r="H11" s="34">
        <v>-0.49519999999999997</v>
      </c>
      <c r="I11" s="72">
        <v>15</v>
      </c>
      <c r="J11" s="33">
        <v>20</v>
      </c>
      <c r="K11" s="34"/>
      <c r="L11" s="253"/>
      <c r="M11" s="213"/>
      <c r="N11" s="213"/>
      <c r="O11" s="34"/>
      <c r="P11" s="59" t="s">
        <v>801</v>
      </c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</row>
    <row r="12" spans="1:62" ht="13.5" thickBot="1" x14ac:dyDescent="0.25">
      <c r="A12" s="28"/>
      <c r="B12" s="358" t="s">
        <v>644</v>
      </c>
      <c r="C12" s="359" t="s">
        <v>642</v>
      </c>
      <c r="D12" s="179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6"/>
      <c r="M12" s="206"/>
      <c r="N12" s="216"/>
      <c r="O12" s="37"/>
      <c r="P12" s="60" t="s">
        <v>936</v>
      </c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</row>
    <row r="13" spans="1:62" ht="13.5" thickTop="1" x14ac:dyDescent="0.2">
      <c r="A13" s="28"/>
      <c r="B13" s="346"/>
      <c r="C13" s="345"/>
      <c r="D13" s="179">
        <f>D12+0.00001</f>
        <v>1.1004200000000002</v>
      </c>
      <c r="E13" s="181">
        <f>D12</f>
        <v>1.1004100000000001</v>
      </c>
      <c r="F13" s="35"/>
      <c r="G13" s="36">
        <v>1.0692999999999999</v>
      </c>
      <c r="H13" s="37">
        <v>-0.30070000000000002</v>
      </c>
      <c r="I13" s="74">
        <v>15</v>
      </c>
      <c r="J13" s="36">
        <v>15</v>
      </c>
      <c r="K13" s="37"/>
      <c r="L13" s="254"/>
      <c r="M13" s="213"/>
      <c r="N13" s="213"/>
      <c r="O13" s="37"/>
      <c r="P13" s="57" t="s">
        <v>896</v>
      </c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</row>
    <row r="14" spans="1:62" ht="13.5" thickBot="1" x14ac:dyDescent="0.25">
      <c r="A14" s="28"/>
      <c r="B14" s="352" t="s">
        <v>645</v>
      </c>
      <c r="C14" s="353" t="s">
        <v>642</v>
      </c>
      <c r="D14" s="178">
        <f>B14+0.00001</f>
        <v>1.1007100000000001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0</v>
      </c>
      <c r="L14" s="245"/>
      <c r="M14" s="210"/>
      <c r="N14" s="215"/>
      <c r="O14" s="34"/>
      <c r="P14" s="58" t="s">
        <v>895</v>
      </c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</row>
    <row r="15" spans="1:62" ht="13.5" thickTop="1" x14ac:dyDescent="0.2">
      <c r="A15" s="28"/>
      <c r="B15" s="346"/>
      <c r="C15" s="345"/>
      <c r="D15" s="178">
        <f>D14+0.00001</f>
        <v>1.1007200000000001</v>
      </c>
      <c r="E15" s="180">
        <f>D14</f>
        <v>1.1007100000000001</v>
      </c>
      <c r="F15" s="32"/>
      <c r="G15" s="33">
        <v>1.7943</v>
      </c>
      <c r="H15" s="34">
        <v>-0.1065</v>
      </c>
      <c r="I15" s="72">
        <v>15</v>
      </c>
      <c r="J15" s="33">
        <v>15</v>
      </c>
      <c r="K15" s="34"/>
      <c r="L15" s="253"/>
      <c r="M15" s="213"/>
      <c r="N15" s="213"/>
      <c r="O15" s="34"/>
      <c r="P15" s="57" t="s">
        <v>898</v>
      </c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</row>
    <row r="16" spans="1:62" ht="13.5" thickBot="1" x14ac:dyDescent="0.25">
      <c r="A16" s="28"/>
      <c r="B16" s="358">
        <v>1.1012</v>
      </c>
      <c r="C16" s="359" t="s">
        <v>642</v>
      </c>
      <c r="D16" s="179">
        <f>B16+0.00001</f>
        <v>1.10121</v>
      </c>
      <c r="E16" s="127">
        <f>VALUE(LEFT(B16,1))</f>
        <v>1</v>
      </c>
      <c r="F16" s="35"/>
      <c r="G16" s="36"/>
      <c r="H16" s="37"/>
      <c r="I16" s="74"/>
      <c r="J16" s="36"/>
      <c r="K16" s="73">
        <v>-0.90900000000000003</v>
      </c>
      <c r="L16" s="246"/>
      <c r="M16" s="206"/>
      <c r="N16" s="216"/>
      <c r="O16" s="37"/>
      <c r="P16" s="58" t="s">
        <v>897</v>
      </c>
      <c r="BA16" s="188"/>
      <c r="BB16" s="188"/>
      <c r="BC16" s="188"/>
      <c r="BD16" s="188"/>
      <c r="BE16" s="188"/>
      <c r="BF16" s="188"/>
      <c r="BG16" s="188"/>
      <c r="BH16" s="188"/>
      <c r="BI16" s="188"/>
      <c r="BJ16" s="188"/>
    </row>
    <row r="17" spans="1:62" ht="13.5" thickTop="1" x14ac:dyDescent="0.2">
      <c r="A17" s="28"/>
      <c r="B17" s="346"/>
      <c r="C17" s="345"/>
      <c r="D17" s="179">
        <f>D16+0.00001</f>
        <v>1.1012200000000001</v>
      </c>
      <c r="E17" s="181">
        <f>D16</f>
        <v>1.10121</v>
      </c>
      <c r="F17" s="35"/>
      <c r="G17" s="36">
        <v>2.6175000000000002</v>
      </c>
      <c r="H17" s="37">
        <v>-0.1008</v>
      </c>
      <c r="I17" s="74">
        <v>-10</v>
      </c>
      <c r="J17" s="36">
        <v>15</v>
      </c>
      <c r="K17" s="37">
        <v>-4.4238</v>
      </c>
      <c r="L17" s="254"/>
      <c r="M17" s="213"/>
      <c r="N17" s="213"/>
      <c r="O17" s="37"/>
      <c r="P17" s="57" t="s">
        <v>900</v>
      </c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</row>
    <row r="18" spans="1:62" ht="13.5" thickBot="1" x14ac:dyDescent="0.25">
      <c r="A18" s="28"/>
      <c r="B18" s="352">
        <v>1.1017999999999999</v>
      </c>
      <c r="C18" s="353" t="s">
        <v>642</v>
      </c>
      <c r="D18" s="178">
        <f>B18+0.00001</f>
        <v>1.10181</v>
      </c>
      <c r="E18" s="132">
        <f>VALUE(LEFT(B18,1))</f>
        <v>1</v>
      </c>
      <c r="F18" s="32"/>
      <c r="G18" s="33"/>
      <c r="H18" s="34"/>
      <c r="I18" s="72"/>
      <c r="J18" s="33"/>
      <c r="K18" s="71">
        <v>-1.9044000000000008</v>
      </c>
      <c r="L18" s="245"/>
      <c r="M18" s="210"/>
      <c r="N18" s="215"/>
      <c r="O18" s="34"/>
      <c r="P18" s="58" t="s">
        <v>899</v>
      </c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</row>
    <row r="19" spans="1:62" ht="13.5" thickTop="1" x14ac:dyDescent="0.2">
      <c r="A19" s="28"/>
      <c r="B19" s="346"/>
      <c r="C19" s="345"/>
      <c r="D19" s="178">
        <f>D18+0.00001</f>
        <v>1.10182</v>
      </c>
      <c r="E19" s="180">
        <f>D18</f>
        <v>1.10181</v>
      </c>
      <c r="F19" s="32"/>
      <c r="G19" s="33">
        <v>3.2848999999999999</v>
      </c>
      <c r="H19" s="34">
        <v>-0.52470000000000006</v>
      </c>
      <c r="I19" s="72">
        <v>-33.700000000000003</v>
      </c>
      <c r="J19" s="33">
        <v>17</v>
      </c>
      <c r="K19" s="34">
        <v>-7.1757</v>
      </c>
      <c r="L19" s="253"/>
      <c r="M19" s="213"/>
      <c r="N19" s="213"/>
      <c r="O19" s="34"/>
      <c r="P19" s="57" t="s">
        <v>901</v>
      </c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</row>
    <row r="20" spans="1:62" ht="13.5" thickBot="1" x14ac:dyDescent="0.25">
      <c r="A20" s="28"/>
      <c r="B20" s="358">
        <v>1.1024</v>
      </c>
      <c r="C20" s="359" t="s">
        <v>642</v>
      </c>
      <c r="D20" s="179">
        <f>B20+0.00001</f>
        <v>1.1024100000000001</v>
      </c>
      <c r="E20" s="127">
        <f>VALUE(LEFT(B20,1))</f>
        <v>1</v>
      </c>
      <c r="F20" s="35"/>
      <c r="G20" s="36"/>
      <c r="H20" s="37"/>
      <c r="I20" s="74"/>
      <c r="J20" s="36"/>
      <c r="K20" s="73">
        <v>-2.4651999999999994</v>
      </c>
      <c r="L20" s="246"/>
      <c r="M20" s="206"/>
      <c r="N20" s="216"/>
      <c r="O20" s="37"/>
      <c r="P20" s="58" t="s">
        <v>937</v>
      </c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</row>
    <row r="21" spans="1:62" ht="13.5" thickTop="1" x14ac:dyDescent="0.2">
      <c r="A21" s="28"/>
      <c r="B21" s="346"/>
      <c r="C21" s="345"/>
      <c r="D21" s="179">
        <f>D20+0.00001</f>
        <v>1.1024200000000002</v>
      </c>
      <c r="E21" s="181">
        <f>D20</f>
        <v>1.1024100000000001</v>
      </c>
      <c r="F21" s="35"/>
      <c r="G21" s="36">
        <v>3.6240999999999999</v>
      </c>
      <c r="H21" s="37">
        <v>-1.2188000000000001</v>
      </c>
      <c r="I21" s="74">
        <v>-55.3</v>
      </c>
      <c r="J21" s="36">
        <v>25</v>
      </c>
      <c r="K21" s="37">
        <v>-8.5772999999999993</v>
      </c>
      <c r="L21" s="254"/>
      <c r="M21" s="213"/>
      <c r="N21" s="213"/>
      <c r="O21" s="37"/>
      <c r="P21" s="57" t="s">
        <v>902</v>
      </c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</row>
    <row r="22" spans="1:62" ht="13.5" thickBot="1" x14ac:dyDescent="0.25">
      <c r="A22" s="28"/>
      <c r="B22" s="352">
        <v>1.103</v>
      </c>
      <c r="C22" s="353" t="s">
        <v>642</v>
      </c>
      <c r="D22" s="178">
        <f>B22+0.00001</f>
        <v>1.10301</v>
      </c>
      <c r="E22" s="132">
        <f>VALUE(LEFT(B22,1))</f>
        <v>1</v>
      </c>
      <c r="F22" s="32"/>
      <c r="G22" s="210"/>
      <c r="H22" s="34"/>
      <c r="I22" s="72"/>
      <c r="J22" s="210"/>
      <c r="K22" s="71">
        <v>-2.6416000000000004</v>
      </c>
      <c r="L22" s="245"/>
      <c r="M22" s="210"/>
      <c r="N22" s="215"/>
      <c r="O22" s="34"/>
      <c r="P22" s="58" t="s">
        <v>938</v>
      </c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</row>
    <row r="23" spans="1:62" ht="14.25" thickTop="1" thickBot="1" x14ac:dyDescent="0.25">
      <c r="A23" s="28"/>
      <c r="B23" s="362"/>
      <c r="C23" s="363"/>
      <c r="D23" s="290">
        <f>D22+0.00001</f>
        <v>1.1030200000000001</v>
      </c>
      <c r="E23" s="291">
        <f>D22</f>
        <v>1.10301</v>
      </c>
      <c r="F23" s="292"/>
      <c r="G23" s="293">
        <v>3.6829999999999998</v>
      </c>
      <c r="H23" s="294">
        <v>-2.004</v>
      </c>
      <c r="I23" s="295">
        <v>-90</v>
      </c>
      <c r="J23" s="293">
        <v>30</v>
      </c>
      <c r="K23" s="294"/>
      <c r="L23" s="296"/>
      <c r="M23" s="218"/>
      <c r="N23" s="218"/>
      <c r="O23" s="294"/>
      <c r="P23" s="57" t="s">
        <v>903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</row>
    <row r="24" spans="1:62" ht="14.25" thickTop="1" thickBot="1" x14ac:dyDescent="0.25">
      <c r="A24" s="28"/>
      <c r="B24" s="313">
        <v>2.1011000000000002</v>
      </c>
      <c r="C24" s="315" t="s">
        <v>642</v>
      </c>
      <c r="D24" s="195">
        <f>B24+0.00001</f>
        <v>2.1011100000000003</v>
      </c>
      <c r="E24" s="125">
        <f>VALUE(LEFT(B24,1))</f>
        <v>2</v>
      </c>
      <c r="F24" s="76"/>
      <c r="G24" s="271"/>
      <c r="H24" s="78"/>
      <c r="I24" s="79"/>
      <c r="J24" s="271"/>
      <c r="K24" s="75">
        <v>-0.73250000000000004</v>
      </c>
      <c r="L24" s="250"/>
      <c r="M24" s="271"/>
      <c r="N24" s="217"/>
      <c r="O24" s="78"/>
      <c r="P24" s="58" t="s">
        <v>939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</row>
    <row r="25" spans="1:62" ht="13.5" thickTop="1" x14ac:dyDescent="0.2">
      <c r="A25" s="28"/>
      <c r="B25" s="346"/>
      <c r="C25" s="345"/>
      <c r="D25" s="179">
        <f>D24+0.00001</f>
        <v>2.1011200000000003</v>
      </c>
      <c r="E25" s="181">
        <f>D24</f>
        <v>2.1011100000000003</v>
      </c>
      <c r="F25" s="35"/>
      <c r="G25" s="36">
        <v>2.4823</v>
      </c>
      <c r="H25" s="37">
        <v>-6.8099999999999994E-2</v>
      </c>
      <c r="I25" s="74">
        <v>-8.1</v>
      </c>
      <c r="J25" s="36">
        <v>15</v>
      </c>
      <c r="K25" s="37">
        <v>-3.8673000000000002</v>
      </c>
      <c r="L25" s="254"/>
      <c r="M25" s="213"/>
      <c r="N25" s="213"/>
      <c r="O25" s="37"/>
      <c r="P25" s="57" t="s">
        <v>905</v>
      </c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</row>
    <row r="26" spans="1:62" ht="13.5" thickBot="1" x14ac:dyDescent="0.25">
      <c r="A26" s="28"/>
      <c r="B26" s="370">
        <v>2.1017000000000001</v>
      </c>
      <c r="C26" s="344" t="s">
        <v>642</v>
      </c>
      <c r="D26" s="191">
        <f>B26+0.00001</f>
        <v>2.1017100000000002</v>
      </c>
      <c r="E26" s="131">
        <f>VALUE(LEFT(B26,1))</f>
        <v>2</v>
      </c>
      <c r="F26" s="38"/>
      <c r="G26" s="39"/>
      <c r="H26" s="40"/>
      <c r="I26" s="82"/>
      <c r="J26" s="39"/>
      <c r="K26" s="81">
        <v>-1.7558</v>
      </c>
      <c r="L26" s="247"/>
      <c r="M26" s="211"/>
      <c r="N26" s="219"/>
      <c r="O26" s="40"/>
      <c r="P26" s="58" t="s">
        <v>904</v>
      </c>
      <c r="BA26" s="188"/>
      <c r="BB26" s="188"/>
      <c r="BC26" s="188"/>
      <c r="BD26" s="188"/>
      <c r="BE26" s="188"/>
      <c r="BF26" s="188"/>
      <c r="BG26" s="188"/>
      <c r="BH26" s="188"/>
      <c r="BI26" s="188"/>
      <c r="BJ26" s="188"/>
    </row>
    <row r="27" spans="1:62" ht="13.5" thickTop="1" x14ac:dyDescent="0.2">
      <c r="A27" s="28"/>
      <c r="B27" s="346"/>
      <c r="C27" s="345"/>
      <c r="D27" s="191">
        <f>D26+0.00001</f>
        <v>2.1017200000000003</v>
      </c>
      <c r="E27" s="200">
        <f>D26</f>
        <v>2.1017100000000002</v>
      </c>
      <c r="F27" s="38"/>
      <c r="G27" s="39">
        <v>3.1918000000000002</v>
      </c>
      <c r="H27" s="40">
        <v>-0.4299</v>
      </c>
      <c r="I27" s="82">
        <v>-30</v>
      </c>
      <c r="J27" s="39">
        <v>16</v>
      </c>
      <c r="K27" s="40">
        <v>-6.7914000000000003</v>
      </c>
      <c r="L27" s="255"/>
      <c r="M27" s="213"/>
      <c r="N27" s="213"/>
      <c r="O27" s="40"/>
      <c r="P27" s="57" t="s">
        <v>906</v>
      </c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</row>
    <row r="28" spans="1:62" ht="13.5" thickBot="1" x14ac:dyDescent="0.25">
      <c r="A28" s="28"/>
      <c r="B28" s="327">
        <v>2.1023000000000001</v>
      </c>
      <c r="C28" s="328" t="s">
        <v>642</v>
      </c>
      <c r="D28" s="179">
        <f>B28+0.00001</f>
        <v>2.1023100000000001</v>
      </c>
      <c r="E28" s="127">
        <f>VALUE(LEFT(B28,1))</f>
        <v>2</v>
      </c>
      <c r="F28" s="35"/>
      <c r="G28" s="36"/>
      <c r="H28" s="37"/>
      <c r="I28" s="74"/>
      <c r="J28" s="36"/>
      <c r="K28" s="73">
        <v>-2.4220999999999999</v>
      </c>
      <c r="L28" s="246"/>
      <c r="M28" s="206"/>
      <c r="N28" s="216"/>
      <c r="O28" s="37"/>
      <c r="P28" s="58" t="s">
        <v>940</v>
      </c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</row>
    <row r="29" spans="1:62" ht="13.5" thickTop="1" x14ac:dyDescent="0.2">
      <c r="A29" s="28"/>
      <c r="B29" s="346"/>
      <c r="C29" s="345"/>
      <c r="D29" s="179">
        <f>D28+0.00001</f>
        <v>2.1023200000000002</v>
      </c>
      <c r="E29" s="181">
        <f>D28</f>
        <v>2.1023100000000001</v>
      </c>
      <c r="F29" s="35"/>
      <c r="G29" s="36">
        <v>3.5985999999999998</v>
      </c>
      <c r="H29" s="37">
        <v>-1.0918000000000001</v>
      </c>
      <c r="I29" s="74">
        <v>-51.7</v>
      </c>
      <c r="J29" s="36">
        <v>24</v>
      </c>
      <c r="K29" s="37">
        <v>-8.4718999999999998</v>
      </c>
      <c r="L29" s="254"/>
      <c r="M29" s="213"/>
      <c r="N29" s="213"/>
      <c r="O29" s="37"/>
      <c r="P29" s="57" t="s">
        <v>907</v>
      </c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</row>
    <row r="30" spans="1:62" ht="13.5" thickBot="1" x14ac:dyDescent="0.25">
      <c r="A30" s="28"/>
      <c r="B30" s="364">
        <v>2.1029</v>
      </c>
      <c r="C30" s="365" t="s">
        <v>642</v>
      </c>
      <c r="D30" s="191">
        <f>B30+0.00001</f>
        <v>2.1029100000000001</v>
      </c>
      <c r="E30" s="131">
        <f>VALUE(LEFT(B30,1))</f>
        <v>2</v>
      </c>
      <c r="F30" s="38"/>
      <c r="G30" s="289"/>
      <c r="H30" s="40"/>
      <c r="I30" s="82"/>
      <c r="J30" s="289"/>
      <c r="K30" s="81">
        <v>-2.6416000000000004</v>
      </c>
      <c r="L30" s="247"/>
      <c r="M30" s="289"/>
      <c r="N30" s="219"/>
      <c r="O30" s="40"/>
      <c r="P30" s="58" t="s">
        <v>941</v>
      </c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</row>
    <row r="31" spans="1:62" ht="14.25" thickTop="1" thickBot="1" x14ac:dyDescent="0.25">
      <c r="A31" s="28"/>
      <c r="B31" s="324"/>
      <c r="C31" s="326"/>
      <c r="D31" s="272">
        <f>D30+0.00001</f>
        <v>2.1029200000000001</v>
      </c>
      <c r="E31" s="273">
        <f>D30</f>
        <v>2.1029100000000001</v>
      </c>
      <c r="F31" s="274"/>
      <c r="G31" s="275">
        <v>3.6829999999999998</v>
      </c>
      <c r="H31" s="276">
        <v>-1.8859999999999999</v>
      </c>
      <c r="I31" s="277">
        <v>-90</v>
      </c>
      <c r="J31" s="275">
        <v>30</v>
      </c>
      <c r="K31" s="276"/>
      <c r="L31" s="278"/>
      <c r="M31" s="218"/>
      <c r="N31" s="218"/>
      <c r="O31" s="276"/>
      <c r="P31" s="57" t="s">
        <v>908</v>
      </c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</row>
    <row r="32" spans="1:62" ht="14.25" thickTop="1" thickBot="1" x14ac:dyDescent="0.25">
      <c r="A32" s="28"/>
      <c r="B32" s="313">
        <v>3.1002999999999998</v>
      </c>
      <c r="C32" s="315" t="s">
        <v>642</v>
      </c>
      <c r="D32" s="195">
        <f>B32+0.00001</f>
        <v>3.1003099999999999</v>
      </c>
      <c r="E32" s="125">
        <f>VALUE(LEFT(B32,1))</f>
        <v>3</v>
      </c>
      <c r="F32" s="76"/>
      <c r="G32" s="271"/>
      <c r="H32" s="78"/>
      <c r="I32" s="79"/>
      <c r="J32" s="271"/>
      <c r="K32" s="75">
        <v>0</v>
      </c>
      <c r="L32" s="250"/>
      <c r="M32" s="271"/>
      <c r="N32" s="217"/>
      <c r="O32" s="78"/>
      <c r="P32" s="58" t="s">
        <v>942</v>
      </c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</row>
    <row r="33" spans="1:62" ht="13.5" thickTop="1" x14ac:dyDescent="0.2">
      <c r="A33" s="28"/>
      <c r="B33" s="314"/>
      <c r="C33" s="316"/>
      <c r="D33" s="179">
        <f>D32+0.00001</f>
        <v>3.10032</v>
      </c>
      <c r="E33" s="181">
        <f>D32</f>
        <v>3.1003099999999999</v>
      </c>
      <c r="F33" s="35"/>
      <c r="G33" s="36">
        <v>0.82769999999999999</v>
      </c>
      <c r="H33" s="37">
        <v>-0.36549999999999999</v>
      </c>
      <c r="I33" s="74">
        <v>15</v>
      </c>
      <c r="J33" s="36">
        <v>15</v>
      </c>
      <c r="K33" s="37"/>
      <c r="L33" s="254"/>
      <c r="M33" s="213"/>
      <c r="N33" s="213"/>
      <c r="O33" s="37"/>
      <c r="P33" s="57" t="s">
        <v>802</v>
      </c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</row>
    <row r="34" spans="1:62" ht="13.5" thickBot="1" x14ac:dyDescent="0.25">
      <c r="A34" s="28"/>
      <c r="B34" s="317">
        <v>3.1006</v>
      </c>
      <c r="C34" s="319" t="s">
        <v>642</v>
      </c>
      <c r="D34" s="193">
        <f>B34+0.00001</f>
        <v>3.1006100000000001</v>
      </c>
      <c r="E34" s="130">
        <f>VALUE(LEFT(B34,1))</f>
        <v>3</v>
      </c>
      <c r="F34" s="41"/>
      <c r="G34" s="42"/>
      <c r="H34" s="43"/>
      <c r="I34" s="84"/>
      <c r="J34" s="42"/>
      <c r="K34" s="83">
        <v>0</v>
      </c>
      <c r="L34" s="248"/>
      <c r="M34" s="221"/>
      <c r="N34" s="222"/>
      <c r="O34" s="220"/>
      <c r="P34" s="58" t="s">
        <v>909</v>
      </c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</row>
    <row r="35" spans="1:62" ht="13.5" thickTop="1" x14ac:dyDescent="0.2">
      <c r="A35" s="28"/>
      <c r="B35" s="318"/>
      <c r="C35" s="320"/>
      <c r="D35" s="193">
        <f>D34+0.00001</f>
        <v>3.1006200000000002</v>
      </c>
      <c r="E35" s="202">
        <f>D34</f>
        <v>3.1006100000000001</v>
      </c>
      <c r="F35" s="41"/>
      <c r="G35" s="42">
        <v>1.5526</v>
      </c>
      <c r="H35" s="43">
        <v>-0.17119999999999999</v>
      </c>
      <c r="I35" s="84">
        <v>15</v>
      </c>
      <c r="J35" s="42">
        <v>15</v>
      </c>
      <c r="K35" s="43"/>
      <c r="L35" s="257"/>
      <c r="M35" s="213"/>
      <c r="N35" s="213"/>
      <c r="O35" s="220"/>
      <c r="P35" s="57" t="s">
        <v>911</v>
      </c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</row>
    <row r="36" spans="1:62" ht="13.5" thickBot="1" x14ac:dyDescent="0.25">
      <c r="A36" s="28"/>
      <c r="B36" s="327">
        <v>3.101</v>
      </c>
      <c r="C36" s="328" t="s">
        <v>642</v>
      </c>
      <c r="D36" s="179">
        <f>B36+0.00001</f>
        <v>3.10101</v>
      </c>
      <c r="E36" s="127">
        <f>VALUE(LEFT(B36,1))</f>
        <v>3</v>
      </c>
      <c r="F36" s="35"/>
      <c r="G36" s="36"/>
      <c r="H36" s="37"/>
      <c r="I36" s="74"/>
      <c r="J36" s="36"/>
      <c r="K36" s="73">
        <v>-0.56499999999999995</v>
      </c>
      <c r="L36" s="246"/>
      <c r="M36" s="206"/>
      <c r="N36" s="216"/>
      <c r="O36" s="37"/>
      <c r="P36" s="58" t="s">
        <v>910</v>
      </c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</row>
    <row r="37" spans="1:62" ht="13.5" thickTop="1" x14ac:dyDescent="0.2">
      <c r="A37" s="28"/>
      <c r="B37" s="314"/>
      <c r="C37" s="316"/>
      <c r="D37" s="179">
        <f>D36+0.00001</f>
        <v>3.1010200000000001</v>
      </c>
      <c r="E37" s="181">
        <f>D36</f>
        <v>3.10101</v>
      </c>
      <c r="F37" s="35"/>
      <c r="G37" s="36">
        <v>2.3447</v>
      </c>
      <c r="H37" s="37">
        <v>-4.8800000000000003E-2</v>
      </c>
      <c r="I37" s="74">
        <v>-4.3</v>
      </c>
      <c r="J37" s="36">
        <v>15</v>
      </c>
      <c r="K37" s="37">
        <v>-3.3007</v>
      </c>
      <c r="L37" s="254"/>
      <c r="M37" s="213"/>
      <c r="N37" s="213"/>
      <c r="O37" s="37"/>
      <c r="P37" s="57" t="s">
        <v>913</v>
      </c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</row>
    <row r="38" spans="1:62" ht="13.5" thickBot="1" x14ac:dyDescent="0.25">
      <c r="A38" s="28"/>
      <c r="B38" s="317">
        <v>3.1015999999999999</v>
      </c>
      <c r="C38" s="319" t="s">
        <v>642</v>
      </c>
      <c r="D38" s="193">
        <f>B38+0.00001</f>
        <v>3.10161</v>
      </c>
      <c r="E38" s="130">
        <f>VALUE(LEFT(B38,1))</f>
        <v>3</v>
      </c>
      <c r="F38" s="41"/>
      <c r="G38" s="42"/>
      <c r="H38" s="43"/>
      <c r="I38" s="84"/>
      <c r="J38" s="42"/>
      <c r="K38" s="83">
        <v>-1.5970999999999997</v>
      </c>
      <c r="L38" s="248"/>
      <c r="M38" s="221"/>
      <c r="N38" s="222"/>
      <c r="O38" s="220"/>
      <c r="P38" s="58" t="s">
        <v>912</v>
      </c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</row>
    <row r="39" spans="1:62" ht="13.5" thickTop="1" x14ac:dyDescent="0.2">
      <c r="A39" s="28"/>
      <c r="B39" s="318"/>
      <c r="C39" s="320"/>
      <c r="D39" s="193">
        <f>D38+0.00001</f>
        <v>3.10162</v>
      </c>
      <c r="E39" s="202">
        <f>D38</f>
        <v>3.10161</v>
      </c>
      <c r="F39" s="41"/>
      <c r="G39" s="42">
        <v>3.0903999999999998</v>
      </c>
      <c r="H39" s="43">
        <v>-0.34389999999999998</v>
      </c>
      <c r="I39" s="84">
        <v>-26.4</v>
      </c>
      <c r="J39" s="42">
        <v>15</v>
      </c>
      <c r="K39" s="43">
        <v>-6.3731999999999998</v>
      </c>
      <c r="L39" s="257"/>
      <c r="M39" s="213"/>
      <c r="N39" s="213"/>
      <c r="O39" s="220"/>
      <c r="P39" s="57" t="s">
        <v>915</v>
      </c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</row>
    <row r="40" spans="1:62" s="4" customFormat="1" ht="13.5" thickBot="1" x14ac:dyDescent="0.25">
      <c r="A40" s="28"/>
      <c r="B40" s="327">
        <v>3.1021999999999998</v>
      </c>
      <c r="C40" s="328" t="s">
        <v>642</v>
      </c>
      <c r="D40" s="179">
        <f>B40+0.00001</f>
        <v>3.1022099999999999</v>
      </c>
      <c r="E40" s="127">
        <f>VALUE(LEFT(B40,1))</f>
        <v>3</v>
      </c>
      <c r="F40" s="35"/>
      <c r="G40" s="36"/>
      <c r="H40" s="37"/>
      <c r="I40" s="74"/>
      <c r="J40" s="36"/>
      <c r="K40" s="73">
        <v>-2.3534000000000002</v>
      </c>
      <c r="L40" s="246"/>
      <c r="M40" s="206"/>
      <c r="N40" s="216"/>
      <c r="O40" s="37"/>
      <c r="P40" s="58" t="s">
        <v>914</v>
      </c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</row>
    <row r="41" spans="1:62" ht="13.5" thickTop="1" x14ac:dyDescent="0.2">
      <c r="A41" s="28"/>
      <c r="B41" s="314"/>
      <c r="C41" s="316"/>
      <c r="D41" s="179">
        <f>D40+0.00001</f>
        <v>3.10222</v>
      </c>
      <c r="E41" s="181">
        <f>D40</f>
        <v>3.1022099999999999</v>
      </c>
      <c r="F41" s="35"/>
      <c r="G41" s="36">
        <v>3.5577999999999999</v>
      </c>
      <c r="H41" s="37">
        <v>-0.96789999999999998</v>
      </c>
      <c r="I41" s="74">
        <v>-48.1</v>
      </c>
      <c r="J41" s="36">
        <v>23</v>
      </c>
      <c r="K41" s="37">
        <v>-8.3031000000000006</v>
      </c>
      <c r="L41" s="254"/>
      <c r="M41" s="213"/>
      <c r="N41" s="213"/>
      <c r="O41" s="37"/>
      <c r="P41" s="57" t="s">
        <v>916</v>
      </c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</row>
    <row r="42" spans="1:62" ht="13.5" thickBot="1" x14ac:dyDescent="0.25">
      <c r="A42" s="28"/>
      <c r="B42" s="317">
        <v>3.1027999999999998</v>
      </c>
      <c r="C42" s="371" t="s">
        <v>642</v>
      </c>
      <c r="D42" s="193">
        <f>B42+0.00001</f>
        <v>3.1028099999999998</v>
      </c>
      <c r="E42" s="130">
        <f>VALUE(LEFT(B42,1))</f>
        <v>3</v>
      </c>
      <c r="F42" s="41"/>
      <c r="G42" s="183"/>
      <c r="H42" s="43"/>
      <c r="I42" s="84"/>
      <c r="J42" s="183"/>
      <c r="K42" s="83">
        <v>-2.6416000000000004</v>
      </c>
      <c r="L42" s="248"/>
      <c r="M42" s="221"/>
      <c r="N42" s="222"/>
      <c r="O42" s="220"/>
      <c r="P42" s="58" t="s">
        <v>952</v>
      </c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</row>
    <row r="43" spans="1:62" ht="13.5" thickTop="1" x14ac:dyDescent="0.2">
      <c r="A43" s="28"/>
      <c r="B43" s="318"/>
      <c r="C43" s="372"/>
      <c r="D43" s="193">
        <f>D42+0.00001</f>
        <v>3.1028199999999999</v>
      </c>
      <c r="E43" s="202">
        <f>D42</f>
        <v>3.1028099999999998</v>
      </c>
      <c r="F43" s="41"/>
      <c r="G43" s="183">
        <v>3.7368000000000001</v>
      </c>
      <c r="H43" s="43">
        <v>-1.6924999999999999</v>
      </c>
      <c r="I43" s="84">
        <v>-90</v>
      </c>
      <c r="J43" s="183">
        <v>30</v>
      </c>
      <c r="K43" s="43"/>
      <c r="L43" s="257"/>
      <c r="M43" s="213"/>
      <c r="N43" s="213"/>
      <c r="O43" s="220"/>
      <c r="P43" s="57" t="s">
        <v>917</v>
      </c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</row>
    <row r="44" spans="1:62" ht="13.5" thickBot="1" x14ac:dyDescent="0.25">
      <c r="A44" s="28"/>
      <c r="B44" s="327">
        <v>4.1009000000000002</v>
      </c>
      <c r="C44" s="328" t="s">
        <v>642</v>
      </c>
      <c r="D44" s="179">
        <f>B44+0.00001</f>
        <v>4.1009099999999998</v>
      </c>
      <c r="E44" s="127">
        <f>VALUE(LEFT(B44,1))</f>
        <v>4</v>
      </c>
      <c r="F44" s="35"/>
      <c r="G44" s="286"/>
      <c r="H44" s="37"/>
      <c r="I44" s="74"/>
      <c r="J44" s="286"/>
      <c r="K44" s="73">
        <v>-0.4108</v>
      </c>
      <c r="L44" s="246"/>
      <c r="M44" s="286"/>
      <c r="N44" s="216"/>
      <c r="O44" s="37"/>
      <c r="P44" s="58" t="s">
        <v>953</v>
      </c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</row>
    <row r="45" spans="1:62" ht="14.25" thickTop="1" thickBot="1" x14ac:dyDescent="0.25">
      <c r="A45" s="28"/>
      <c r="B45" s="340"/>
      <c r="C45" s="341"/>
      <c r="D45" s="192">
        <f t="shared" ref="D45:D53" si="0">D44+0.00001</f>
        <v>4.1009199999999995</v>
      </c>
      <c r="E45" s="201">
        <f>D44</f>
        <v>4.1009099999999998</v>
      </c>
      <c r="F45" s="44"/>
      <c r="G45" s="288">
        <v>2.206</v>
      </c>
      <c r="H45" s="45">
        <v>-4.3099999999999999E-2</v>
      </c>
      <c r="I45" s="80">
        <v>-0.5</v>
      </c>
      <c r="J45" s="288">
        <v>15</v>
      </c>
      <c r="K45" s="45">
        <v>-2.7299000000000002</v>
      </c>
      <c r="L45" s="256"/>
      <c r="M45" s="218"/>
      <c r="N45" s="218"/>
      <c r="O45" s="45"/>
      <c r="P45" s="57" t="s">
        <v>918</v>
      </c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</row>
    <row r="46" spans="1:62" ht="14.25" thickTop="1" thickBot="1" x14ac:dyDescent="0.25">
      <c r="A46" s="28"/>
      <c r="B46" s="367">
        <v>4.1014999999999997</v>
      </c>
      <c r="C46" s="368" t="s">
        <v>642</v>
      </c>
      <c r="D46" s="297">
        <f>B46+0.00001</f>
        <v>4.1015099999999993</v>
      </c>
      <c r="E46" s="298">
        <f>VALUE(LEFT(B46,1))</f>
        <v>4</v>
      </c>
      <c r="F46" s="299"/>
      <c r="G46" s="300"/>
      <c r="H46" s="301"/>
      <c r="I46" s="302"/>
      <c r="J46" s="300"/>
      <c r="K46" s="303">
        <v>-1.4306000000000003</v>
      </c>
      <c r="L46" s="304"/>
      <c r="M46" s="300"/>
      <c r="N46" s="305"/>
      <c r="O46" s="301"/>
      <c r="P46" s="58" t="s">
        <v>954</v>
      </c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</row>
    <row r="47" spans="1:62" ht="13.5" thickTop="1" x14ac:dyDescent="0.2">
      <c r="A47" s="28"/>
      <c r="B47" s="346"/>
      <c r="C47" s="345"/>
      <c r="D47" s="194">
        <f t="shared" si="0"/>
        <v>4.1015199999999989</v>
      </c>
      <c r="E47" s="203">
        <f>D46</f>
        <v>4.1015099999999993</v>
      </c>
      <c r="F47" s="46"/>
      <c r="G47" s="47">
        <v>2.9815999999999998</v>
      </c>
      <c r="H47" s="48">
        <v>-0.26679999999999998</v>
      </c>
      <c r="I47" s="86">
        <v>-22.7</v>
      </c>
      <c r="J47" s="47">
        <v>15</v>
      </c>
      <c r="K47" s="48">
        <v>-5.9242999999999997</v>
      </c>
      <c r="L47" s="258"/>
      <c r="M47" s="213"/>
      <c r="N47" s="213"/>
      <c r="O47" s="48"/>
      <c r="P47" s="57" t="s">
        <v>920</v>
      </c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</row>
    <row r="48" spans="1:62" ht="13.5" thickBot="1" x14ac:dyDescent="0.25">
      <c r="A48" s="28"/>
      <c r="B48" s="323">
        <v>4.101</v>
      </c>
      <c r="C48" s="325" t="s">
        <v>642</v>
      </c>
      <c r="D48" s="179">
        <f>B48+0.00001</f>
        <v>4.1010099999999996</v>
      </c>
      <c r="E48" s="127">
        <f>VALUE(LEFT(B48,1))</f>
        <v>4</v>
      </c>
      <c r="F48" s="35"/>
      <c r="G48" s="182"/>
      <c r="H48" s="37"/>
      <c r="I48" s="74"/>
      <c r="J48" s="182"/>
      <c r="K48" s="73">
        <v>-2.2655999999999996</v>
      </c>
      <c r="L48" s="246"/>
      <c r="M48" s="206"/>
      <c r="N48" s="216"/>
      <c r="O48" s="37"/>
      <c r="P48" s="58" t="s">
        <v>919</v>
      </c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</row>
    <row r="49" spans="1:62" ht="13.5" thickTop="1" x14ac:dyDescent="0.2">
      <c r="A49" s="28"/>
      <c r="B49" s="322"/>
      <c r="C49" s="336"/>
      <c r="D49" s="179">
        <f t="shared" si="0"/>
        <v>4.1010199999999992</v>
      </c>
      <c r="E49" s="181">
        <f>D48</f>
        <v>4.1010099999999996</v>
      </c>
      <c r="F49" s="35"/>
      <c r="G49" s="182">
        <v>3.5053000000000001</v>
      </c>
      <c r="H49" s="37">
        <v>-0.84909999999999997</v>
      </c>
      <c r="I49" s="74">
        <v>-44.5</v>
      </c>
      <c r="J49" s="182">
        <v>21</v>
      </c>
      <c r="K49" s="37">
        <v>-8.0862999999999996</v>
      </c>
      <c r="L49" s="254"/>
      <c r="M49" s="213"/>
      <c r="N49" s="213"/>
      <c r="O49" s="37"/>
      <c r="P49" s="57" t="s">
        <v>921</v>
      </c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</row>
    <row r="50" spans="1:62" ht="13.5" thickBot="1" x14ac:dyDescent="0.25">
      <c r="A50" s="28"/>
      <c r="B50" s="321">
        <v>4.1026999999999996</v>
      </c>
      <c r="C50" s="335" t="s">
        <v>642</v>
      </c>
      <c r="D50" s="194">
        <f>B50+0.00001</f>
        <v>4.1027099999999992</v>
      </c>
      <c r="E50" s="129">
        <f>VALUE(LEFT(B50,1))</f>
        <v>4</v>
      </c>
      <c r="F50" s="46"/>
      <c r="G50" s="47"/>
      <c r="H50" s="48"/>
      <c r="I50" s="86"/>
      <c r="J50" s="47"/>
      <c r="K50" s="85">
        <v>-2.6416000000000004</v>
      </c>
      <c r="L50" s="249"/>
      <c r="M50" s="209"/>
      <c r="N50" s="223"/>
      <c r="O50" s="48"/>
      <c r="P50" s="58" t="s">
        <v>943</v>
      </c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</row>
    <row r="51" spans="1:62" ht="13.5" thickTop="1" x14ac:dyDescent="0.2">
      <c r="A51" s="28"/>
      <c r="B51" s="322"/>
      <c r="C51" s="336"/>
      <c r="D51" s="194">
        <f t="shared" si="0"/>
        <v>4.1027199999999988</v>
      </c>
      <c r="E51" s="203">
        <f>D50</f>
        <v>4.1027099999999992</v>
      </c>
      <c r="F51" s="46"/>
      <c r="G51" s="47">
        <v>3.7368000000000001</v>
      </c>
      <c r="H51" s="48">
        <v>-1.5767</v>
      </c>
      <c r="I51" s="86">
        <v>-90</v>
      </c>
      <c r="J51" s="47">
        <v>30</v>
      </c>
      <c r="K51" s="48"/>
      <c r="L51" s="258"/>
      <c r="M51" s="213"/>
      <c r="N51" s="213"/>
      <c r="O51" s="48"/>
      <c r="P51" s="57" t="s">
        <v>922</v>
      </c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</row>
    <row r="52" spans="1:62" ht="13.5" thickBot="1" x14ac:dyDescent="0.25">
      <c r="A52" s="28"/>
      <c r="B52" s="323">
        <v>5.1002000000000001</v>
      </c>
      <c r="C52" s="325" t="s">
        <v>642</v>
      </c>
      <c r="D52" s="179">
        <f>B52+0.00001</f>
        <v>5.1002099999999997</v>
      </c>
      <c r="E52" s="127">
        <f>VALUE(LEFT(B52,1))</f>
        <v>5</v>
      </c>
      <c r="F52" s="35"/>
      <c r="G52" s="286"/>
      <c r="H52" s="37"/>
      <c r="I52" s="74"/>
      <c r="J52" s="286"/>
      <c r="K52" s="73">
        <v>0</v>
      </c>
      <c r="L52" s="246"/>
      <c r="M52" s="286"/>
      <c r="N52" s="216"/>
      <c r="O52" s="37"/>
      <c r="P52" s="58" t="s">
        <v>944</v>
      </c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</row>
    <row r="53" spans="1:62" ht="14.25" thickTop="1" thickBot="1" x14ac:dyDescent="0.25">
      <c r="A53" s="28"/>
      <c r="B53" s="324"/>
      <c r="C53" s="326"/>
      <c r="D53" s="192">
        <f t="shared" si="0"/>
        <v>5.1002199999999993</v>
      </c>
      <c r="E53" s="201">
        <f>D52</f>
        <v>5.1002099999999997</v>
      </c>
      <c r="F53" s="44"/>
      <c r="G53" s="288">
        <v>0.58599999999999997</v>
      </c>
      <c r="H53" s="45">
        <v>-0.43020000000000003</v>
      </c>
      <c r="I53" s="80">
        <v>15</v>
      </c>
      <c r="J53" s="288">
        <v>17.5</v>
      </c>
      <c r="K53" s="45"/>
      <c r="L53" s="256"/>
      <c r="M53" s="218"/>
      <c r="N53" s="218"/>
      <c r="O53" s="45"/>
      <c r="P53" s="57" t="s">
        <v>923</v>
      </c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</row>
    <row r="54" spans="1:62" ht="14.25" thickTop="1" thickBot="1" x14ac:dyDescent="0.25">
      <c r="A54" s="28"/>
      <c r="B54" s="313">
        <v>5.1005000000000003</v>
      </c>
      <c r="C54" s="315" t="s">
        <v>642</v>
      </c>
      <c r="D54" s="195">
        <f>B54+0.00001</f>
        <v>5.1005099999999999</v>
      </c>
      <c r="E54" s="125">
        <f>VALUE(LEFT(B54,1))</f>
        <v>5</v>
      </c>
      <c r="F54" s="76"/>
      <c r="G54" s="77"/>
      <c r="H54" s="78"/>
      <c r="I54" s="79"/>
      <c r="J54" s="77"/>
      <c r="K54" s="75">
        <v>0</v>
      </c>
      <c r="L54" s="250"/>
      <c r="M54" s="207"/>
      <c r="N54" s="217"/>
      <c r="O54" s="78"/>
      <c r="P54" s="58" t="s">
        <v>945</v>
      </c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</row>
    <row r="55" spans="1:62" ht="13.5" thickTop="1" x14ac:dyDescent="0.2">
      <c r="A55" s="28"/>
      <c r="B55" s="314"/>
      <c r="C55" s="316"/>
      <c r="D55" s="179">
        <f>D54+0.00001</f>
        <v>5.1005199999999995</v>
      </c>
      <c r="E55" s="181">
        <f>D54</f>
        <v>5.1005099999999999</v>
      </c>
      <c r="F55" s="35"/>
      <c r="G55" s="36">
        <v>1.3109999999999999</v>
      </c>
      <c r="H55" s="37">
        <v>-0.23599999999999999</v>
      </c>
      <c r="I55" s="74">
        <v>15</v>
      </c>
      <c r="J55" s="36">
        <v>15</v>
      </c>
      <c r="K55" s="37"/>
      <c r="L55" s="254"/>
      <c r="M55" s="213"/>
      <c r="N55" s="213"/>
      <c r="O55" s="37"/>
      <c r="P55" s="57" t="s">
        <v>925</v>
      </c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</row>
    <row r="56" spans="1:62" ht="13.5" thickBot="1" x14ac:dyDescent="0.25">
      <c r="A56" s="28"/>
      <c r="B56" s="331">
        <v>5.1007999999999996</v>
      </c>
      <c r="C56" s="329" t="s">
        <v>642</v>
      </c>
      <c r="D56" s="196">
        <f>B56+0.00001</f>
        <v>5.1008099999999992</v>
      </c>
      <c r="E56" s="128">
        <f>VALUE(LEFT(B56,1))</f>
        <v>5</v>
      </c>
      <c r="F56" s="49"/>
      <c r="G56" s="50"/>
      <c r="H56" s="51"/>
      <c r="I56" s="88"/>
      <c r="J56" s="50"/>
      <c r="K56" s="87">
        <v>-0.27460000000000007</v>
      </c>
      <c r="L56" s="251"/>
      <c r="M56" s="208"/>
      <c r="N56" s="224"/>
      <c r="O56" s="51"/>
      <c r="P56" s="58" t="s">
        <v>924</v>
      </c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</row>
    <row r="57" spans="1:62" ht="13.5" thickTop="1" x14ac:dyDescent="0.2">
      <c r="A57" s="28"/>
      <c r="B57" s="332"/>
      <c r="C57" s="330"/>
      <c r="D57" s="196">
        <f>D56+0.00001</f>
        <v>5.1008199999999988</v>
      </c>
      <c r="E57" s="204">
        <f>D56</f>
        <v>5.1008099999999992</v>
      </c>
      <c r="F57" s="49"/>
      <c r="G57" s="50">
        <v>2.0676000000000001</v>
      </c>
      <c r="H57" s="51">
        <v>-5.0900000000000001E-2</v>
      </c>
      <c r="I57" s="88">
        <v>3.3</v>
      </c>
      <c r="J57" s="50">
        <v>15</v>
      </c>
      <c r="K57" s="51">
        <v>-2.1606000000000001</v>
      </c>
      <c r="L57" s="259"/>
      <c r="M57" s="213"/>
      <c r="N57" s="213"/>
      <c r="O57" s="51"/>
      <c r="P57" s="57" t="s">
        <v>927</v>
      </c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</row>
    <row r="58" spans="1:62" ht="13.5" thickBot="1" x14ac:dyDescent="0.25">
      <c r="A58" s="28"/>
      <c r="B58" s="327">
        <v>5.1013999999999999</v>
      </c>
      <c r="C58" s="328" t="s">
        <v>642</v>
      </c>
      <c r="D58" s="179">
        <f>B58+0.00001</f>
        <v>5.1014099999999996</v>
      </c>
      <c r="E58" s="127">
        <f>VALUE(LEFT(B58,1))</f>
        <v>5</v>
      </c>
      <c r="F58" s="35"/>
      <c r="G58" s="36"/>
      <c r="H58" s="37"/>
      <c r="I58" s="74"/>
      <c r="J58" s="36"/>
      <c r="K58" s="73">
        <v>-1.2581</v>
      </c>
      <c r="L58" s="246"/>
      <c r="M58" s="206"/>
      <c r="N58" s="216"/>
      <c r="O58" s="37"/>
      <c r="P58" s="58" t="s">
        <v>926</v>
      </c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</row>
    <row r="59" spans="1:62" ht="13.5" thickTop="1" x14ac:dyDescent="0.2">
      <c r="A59" s="28"/>
      <c r="B59" s="314"/>
      <c r="C59" s="316"/>
      <c r="D59" s="179">
        <f>D58+0.00001</f>
        <v>5.1014199999999992</v>
      </c>
      <c r="E59" s="181">
        <f>D58</f>
        <v>5.1014099999999996</v>
      </c>
      <c r="F59" s="35"/>
      <c r="G59" s="36">
        <v>2.8656000000000001</v>
      </c>
      <c r="H59" s="37">
        <v>-0.2</v>
      </c>
      <c r="I59" s="74">
        <v>-19.100000000000001</v>
      </c>
      <c r="J59" s="36">
        <v>15</v>
      </c>
      <c r="K59" s="37">
        <v>-5.4462999999999999</v>
      </c>
      <c r="L59" s="254"/>
      <c r="M59" s="213"/>
      <c r="N59" s="213"/>
      <c r="O59" s="37"/>
      <c r="P59" s="57" t="s">
        <v>929</v>
      </c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</row>
    <row r="60" spans="1:62" ht="13.5" thickBot="1" x14ac:dyDescent="0.25">
      <c r="A60" s="28"/>
      <c r="B60" s="331">
        <v>5.1020000000000003</v>
      </c>
      <c r="C60" s="329" t="s">
        <v>642</v>
      </c>
      <c r="D60" s="196">
        <f>B60+0.00001</f>
        <v>5.1020099999999999</v>
      </c>
      <c r="E60" s="128">
        <f>VALUE(LEFT(B60,1))</f>
        <v>5</v>
      </c>
      <c r="F60" s="49"/>
      <c r="G60" s="50"/>
      <c r="H60" s="51"/>
      <c r="I60" s="88"/>
      <c r="J60" s="50"/>
      <c r="K60" s="87">
        <v>-2.1614</v>
      </c>
      <c r="L60" s="251"/>
      <c r="M60" s="208"/>
      <c r="N60" s="224"/>
      <c r="O60" s="51"/>
      <c r="P60" s="58" t="s">
        <v>928</v>
      </c>
      <c r="BA60" s="188"/>
      <c r="BB60" s="188"/>
      <c r="BC60" s="188"/>
      <c r="BD60" s="188"/>
      <c r="BE60" s="188"/>
      <c r="BF60" s="188"/>
      <c r="BG60" s="188"/>
      <c r="BH60" s="188"/>
      <c r="BI60" s="188"/>
      <c r="BJ60" s="188"/>
    </row>
    <row r="61" spans="1:62" ht="13.5" thickTop="1" x14ac:dyDescent="0.2">
      <c r="A61" s="28"/>
      <c r="B61" s="332"/>
      <c r="C61" s="330"/>
      <c r="D61" s="196">
        <f>D60+0.00001</f>
        <v>5.1020199999999996</v>
      </c>
      <c r="E61" s="204">
        <f>D60</f>
        <v>5.1020099999999999</v>
      </c>
      <c r="F61" s="49"/>
      <c r="G61" s="50">
        <v>3.4424999999999999</v>
      </c>
      <c r="H61" s="51">
        <v>-0.73440000000000005</v>
      </c>
      <c r="I61" s="88">
        <v>-40.9</v>
      </c>
      <c r="J61" s="50">
        <v>20</v>
      </c>
      <c r="K61" s="51">
        <v>-7.8266</v>
      </c>
      <c r="L61" s="259"/>
      <c r="M61" s="213"/>
      <c r="N61" s="213"/>
      <c r="O61" s="51"/>
      <c r="P61" s="57" t="s">
        <v>930</v>
      </c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</row>
    <row r="62" spans="1:62" ht="13.5" thickBot="1" x14ac:dyDescent="0.25">
      <c r="A62" s="28"/>
      <c r="B62" s="327">
        <v>5.1025999999999998</v>
      </c>
      <c r="C62" s="328" t="s">
        <v>642</v>
      </c>
      <c r="D62" s="179">
        <f>B62+0.00001</f>
        <v>5.1026099999999994</v>
      </c>
      <c r="E62" s="127">
        <f>VALUE(LEFT(B62,1))</f>
        <v>5</v>
      </c>
      <c r="F62" s="35"/>
      <c r="G62" s="36"/>
      <c r="H62" s="37"/>
      <c r="I62" s="74"/>
      <c r="J62" s="36"/>
      <c r="K62" s="73">
        <v>-2.5091000000000006</v>
      </c>
      <c r="L62" s="246"/>
      <c r="M62" s="206"/>
      <c r="N62" s="216"/>
      <c r="O62" s="37"/>
      <c r="P62" s="58" t="s">
        <v>946</v>
      </c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</row>
    <row r="63" spans="1:62" ht="13.5" thickTop="1" x14ac:dyDescent="0.2">
      <c r="A63" s="28"/>
      <c r="B63" s="314"/>
      <c r="C63" s="316"/>
      <c r="D63" s="179">
        <f>D62+0.00001</f>
        <v>5.102619999999999</v>
      </c>
      <c r="E63" s="181">
        <f>D62</f>
        <v>5.1026099999999994</v>
      </c>
      <c r="F63" s="35"/>
      <c r="G63" s="36">
        <v>3.6554000000000002</v>
      </c>
      <c r="H63" s="37">
        <v>-1.4729000000000001</v>
      </c>
      <c r="I63" s="74">
        <v>-62.5</v>
      </c>
      <c r="J63" s="36">
        <v>29</v>
      </c>
      <c r="K63" s="37">
        <v>-8.6844000000000001</v>
      </c>
      <c r="L63" s="254"/>
      <c r="M63" s="213"/>
      <c r="N63" s="213"/>
      <c r="O63" s="37"/>
      <c r="P63" s="57" t="s">
        <v>931</v>
      </c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</row>
    <row r="64" spans="1:62" ht="13.5" thickBot="1" x14ac:dyDescent="0.25">
      <c r="A64" s="28"/>
      <c r="B64" s="331">
        <v>5.1032000000000002</v>
      </c>
      <c r="C64" s="329" t="s">
        <v>642</v>
      </c>
      <c r="D64" s="196">
        <f>B64+0.00001</f>
        <v>5.1032099999999998</v>
      </c>
      <c r="E64" s="128">
        <f>VALUE(LEFT(B64,1))</f>
        <v>5</v>
      </c>
      <c r="F64" s="49"/>
      <c r="G64" s="287"/>
      <c r="H64" s="51"/>
      <c r="I64" s="88"/>
      <c r="J64" s="287"/>
      <c r="K64" s="87">
        <v>-2.6416000000000004</v>
      </c>
      <c r="L64" s="251"/>
      <c r="M64" s="287"/>
      <c r="N64" s="224"/>
      <c r="O64" s="51"/>
      <c r="P64" s="58" t="s">
        <v>947</v>
      </c>
      <c r="BA64" s="188"/>
      <c r="BB64" s="188"/>
      <c r="BC64" s="188"/>
      <c r="BD64" s="188"/>
      <c r="BE64" s="188"/>
      <c r="BF64" s="188"/>
      <c r="BG64" s="188"/>
      <c r="BH64" s="188"/>
      <c r="BI64" s="188"/>
      <c r="BJ64" s="188"/>
    </row>
    <row r="65" spans="1:62" ht="14.25" thickTop="1" thickBot="1" x14ac:dyDescent="0.25">
      <c r="A65" s="28"/>
      <c r="B65" s="342"/>
      <c r="C65" s="343"/>
      <c r="D65" s="306">
        <f>D64+0.00001</f>
        <v>5.1032199999999994</v>
      </c>
      <c r="E65" s="307">
        <f>D64</f>
        <v>5.1032099999999998</v>
      </c>
      <c r="F65" s="308"/>
      <c r="G65" s="309">
        <v>3.7368000000000001</v>
      </c>
      <c r="H65" s="310">
        <v>-2.169</v>
      </c>
      <c r="I65" s="311">
        <v>-90</v>
      </c>
      <c r="J65" s="309">
        <v>30</v>
      </c>
      <c r="K65" s="310"/>
      <c r="L65" s="312"/>
      <c r="M65" s="218"/>
      <c r="N65" s="218"/>
      <c r="O65" s="310"/>
      <c r="P65" s="57" t="s">
        <v>949</v>
      </c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</row>
    <row r="66" spans="1:62" ht="14.25" thickTop="1" thickBot="1" x14ac:dyDescent="0.25">
      <c r="A66" s="28"/>
      <c r="B66" s="337">
        <v>6.1013000000000002</v>
      </c>
      <c r="C66" s="338" t="s">
        <v>642</v>
      </c>
      <c r="D66" s="197">
        <f>B66+0.00001</f>
        <v>6.1013099999999998</v>
      </c>
      <c r="E66" s="126">
        <f>VALUE(LEFT(B66,1))</f>
        <v>6</v>
      </c>
      <c r="F66" s="52"/>
      <c r="G66" s="184"/>
      <c r="H66" s="53"/>
      <c r="I66" s="90"/>
      <c r="J66" s="184"/>
      <c r="K66" s="89">
        <v>-1.0832999999999999</v>
      </c>
      <c r="L66" s="252"/>
      <c r="M66" s="207"/>
      <c r="N66" s="217"/>
      <c r="O66" s="78"/>
      <c r="P66" s="58" t="s">
        <v>948</v>
      </c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</row>
    <row r="67" spans="1:62" ht="13.5" thickTop="1" x14ac:dyDescent="0.2">
      <c r="A67" s="28"/>
      <c r="B67" s="334"/>
      <c r="C67" s="339"/>
      <c r="D67" s="198">
        <f>D66+0.00001</f>
        <v>6.1013199999999994</v>
      </c>
      <c r="E67" s="205">
        <f>D66</f>
        <v>6.1013099999999998</v>
      </c>
      <c r="F67" s="54"/>
      <c r="G67" s="187">
        <v>2.7440000000000002</v>
      </c>
      <c r="H67" s="55">
        <v>-0.14460000000000001</v>
      </c>
      <c r="I67" s="91">
        <v>-15.5</v>
      </c>
      <c r="J67" s="187">
        <v>15</v>
      </c>
      <c r="K67" s="55">
        <v>-4.9451000000000001</v>
      </c>
      <c r="L67" s="260"/>
      <c r="M67" s="213"/>
      <c r="N67" s="213"/>
      <c r="O67" s="37"/>
      <c r="P67" s="57" t="s">
        <v>933</v>
      </c>
      <c r="BA67" s="188"/>
      <c r="BB67" s="188"/>
      <c r="BC67" s="188"/>
      <c r="BD67" s="188"/>
      <c r="BE67" s="188"/>
      <c r="BF67" s="188"/>
      <c r="BG67" s="188"/>
      <c r="BH67" s="188"/>
      <c r="BI67" s="188"/>
      <c r="BJ67" s="188"/>
    </row>
    <row r="68" spans="1:62" ht="13.5" thickBot="1" x14ac:dyDescent="0.25">
      <c r="A68" s="28"/>
      <c r="B68" s="327">
        <v>6.1018999999999997</v>
      </c>
      <c r="C68" s="328" t="s">
        <v>642</v>
      </c>
      <c r="D68" s="179">
        <f>B68+0.00001</f>
        <v>6.1019099999999993</v>
      </c>
      <c r="E68" s="127">
        <f>VALUE(LEFT(B68,1))</f>
        <v>6</v>
      </c>
      <c r="F68" s="35"/>
      <c r="G68" s="186"/>
      <c r="H68" s="37"/>
      <c r="I68" s="74"/>
      <c r="J68" s="186"/>
      <c r="K68" s="73">
        <v>-2.0390999999999999</v>
      </c>
      <c r="L68" s="246"/>
      <c r="M68" s="206"/>
      <c r="N68" s="216"/>
      <c r="O68" s="37"/>
      <c r="P68" s="58" t="s">
        <v>932</v>
      </c>
      <c r="BA68" s="188"/>
      <c r="BB68" s="188"/>
      <c r="BC68" s="188"/>
      <c r="BD68" s="188"/>
      <c r="BE68" s="188"/>
      <c r="BF68" s="188"/>
      <c r="BG68" s="188"/>
      <c r="BH68" s="188"/>
      <c r="BI68" s="188"/>
      <c r="BJ68" s="188"/>
    </row>
    <row r="69" spans="1:62" ht="13.5" thickTop="1" x14ac:dyDescent="0.2">
      <c r="A69" s="28"/>
      <c r="B69" s="314"/>
      <c r="C69" s="316"/>
      <c r="D69" s="179">
        <f>D68+0.00001</f>
        <v>6.1019199999999989</v>
      </c>
      <c r="E69" s="181">
        <f>D68</f>
        <v>6.1019099999999993</v>
      </c>
      <c r="F69" s="35"/>
      <c r="G69" s="186">
        <v>3.3679999999999999</v>
      </c>
      <c r="H69" s="37">
        <v>-0.62649999999999995</v>
      </c>
      <c r="I69" s="74">
        <v>-37.299999999999997</v>
      </c>
      <c r="J69" s="186">
        <v>18</v>
      </c>
      <c r="K69" s="37">
        <v>-7.5190000000000001</v>
      </c>
      <c r="L69" s="254"/>
      <c r="M69" s="213"/>
      <c r="N69" s="213"/>
      <c r="O69" s="37"/>
      <c r="P69" s="57" t="s">
        <v>934</v>
      </c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</row>
    <row r="70" spans="1:62" ht="13.5" thickBot="1" x14ac:dyDescent="0.25">
      <c r="A70" s="28"/>
      <c r="B70" s="333">
        <v>6.1025</v>
      </c>
      <c r="C70" s="373" t="s">
        <v>642</v>
      </c>
      <c r="D70" s="197">
        <f>B70+0.00001</f>
        <v>6.1025099999999997</v>
      </c>
      <c r="E70" s="126">
        <f>VALUE(LEFT(B70,1))</f>
        <v>6</v>
      </c>
      <c r="F70" s="52"/>
      <c r="G70" s="184"/>
      <c r="H70" s="53"/>
      <c r="I70" s="90"/>
      <c r="J70" s="184"/>
      <c r="K70" s="89">
        <v>-2.5059999999999998</v>
      </c>
      <c r="L70" s="252"/>
      <c r="M70" s="206"/>
      <c r="N70" s="216"/>
      <c r="O70" s="37"/>
      <c r="P70" s="58" t="s">
        <v>950</v>
      </c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</row>
    <row r="71" spans="1:62" ht="13.5" thickTop="1" x14ac:dyDescent="0.2">
      <c r="A71" s="28"/>
      <c r="B71" s="334"/>
      <c r="C71" s="339"/>
      <c r="D71" s="198">
        <f>D70+0.00001</f>
        <v>6.1025199999999993</v>
      </c>
      <c r="E71" s="205">
        <f>D70</f>
        <v>6.1025099999999997</v>
      </c>
      <c r="F71" s="54"/>
      <c r="G71" s="187">
        <v>3.6465000000000001</v>
      </c>
      <c r="H71" s="55">
        <v>-1.3420000000000001</v>
      </c>
      <c r="I71" s="91">
        <v>-58.8</v>
      </c>
      <c r="J71" s="187">
        <v>27</v>
      </c>
      <c r="K71" s="55">
        <v>-8.6767000000000003</v>
      </c>
      <c r="L71" s="260"/>
      <c r="M71" s="213"/>
      <c r="N71" s="213"/>
      <c r="O71" s="37"/>
      <c r="P71" s="57" t="s">
        <v>935</v>
      </c>
      <c r="BA71" s="188"/>
      <c r="BB71" s="188"/>
      <c r="BC71" s="188"/>
      <c r="BD71" s="188"/>
      <c r="BE71" s="188"/>
      <c r="BF71" s="188"/>
      <c r="BG71" s="188"/>
      <c r="BH71" s="188"/>
      <c r="BI71" s="188"/>
      <c r="BJ71" s="188"/>
    </row>
    <row r="72" spans="1:62" ht="13.5" thickBot="1" x14ac:dyDescent="0.25">
      <c r="A72" s="28"/>
      <c r="B72" s="327">
        <v>6.1031000000000004</v>
      </c>
      <c r="C72" s="328" t="s">
        <v>642</v>
      </c>
      <c r="D72" s="179">
        <f>B72+0.00001</f>
        <v>6.10311</v>
      </c>
      <c r="E72" s="127">
        <f>VALUE(LEFT(B72,1))</f>
        <v>6</v>
      </c>
      <c r="F72" s="35"/>
      <c r="G72" s="186"/>
      <c r="H72" s="37"/>
      <c r="I72" s="74"/>
      <c r="J72" s="186"/>
      <c r="K72" s="73">
        <v>-2.6</v>
      </c>
      <c r="L72" s="246"/>
      <c r="M72" s="206"/>
      <c r="N72" s="216"/>
      <c r="O72" s="37"/>
      <c r="P72" s="58" t="s">
        <v>951</v>
      </c>
      <c r="BA72" s="188"/>
      <c r="BB72" s="188"/>
      <c r="BC72" s="188"/>
      <c r="BD72" s="188"/>
      <c r="BE72" s="188"/>
      <c r="BF72" s="188"/>
      <c r="BG72" s="188"/>
      <c r="BH72" s="188"/>
      <c r="BI72" s="188"/>
      <c r="BJ72" s="188"/>
    </row>
    <row r="73" spans="1:62" ht="13.5" thickTop="1" x14ac:dyDescent="0.2">
      <c r="A73" s="28"/>
      <c r="B73" s="314"/>
      <c r="C73" s="316"/>
      <c r="D73" s="179">
        <f>D72+0.00001</f>
        <v>6.1031199999999997</v>
      </c>
      <c r="E73" s="181">
        <f>D72</f>
        <v>6.10311</v>
      </c>
      <c r="F73" s="35"/>
      <c r="G73" s="186">
        <v>3.7351000000000001</v>
      </c>
      <c r="H73" s="37">
        <v>-2.0485000000000002</v>
      </c>
      <c r="I73" s="74">
        <v>-90</v>
      </c>
      <c r="J73" s="186">
        <v>30</v>
      </c>
      <c r="K73" s="37"/>
      <c r="L73" s="254"/>
      <c r="M73" s="213"/>
      <c r="N73" s="213"/>
      <c r="O73" s="37"/>
      <c r="P73" s="57" t="s">
        <v>803</v>
      </c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</row>
  </sheetData>
  <mergeCells count="71">
    <mergeCell ref="C42:C43"/>
    <mergeCell ref="C70:C71"/>
    <mergeCell ref="B72:B73"/>
    <mergeCell ref="C72:C73"/>
    <mergeCell ref="B28:B29"/>
    <mergeCell ref="C28:C29"/>
    <mergeCell ref="B30:B31"/>
    <mergeCell ref="C30:C31"/>
    <mergeCell ref="C1:D1"/>
    <mergeCell ref="B12:B13"/>
    <mergeCell ref="C12:C13"/>
    <mergeCell ref="B18:B19"/>
    <mergeCell ref="C18:C19"/>
    <mergeCell ref="B2:B3"/>
    <mergeCell ref="B20:B21"/>
    <mergeCell ref="C20:C21"/>
    <mergeCell ref="B26:B27"/>
    <mergeCell ref="C26:C27"/>
    <mergeCell ref="B24:B2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24:C25"/>
    <mergeCell ref="F2:H2"/>
    <mergeCell ref="B22:B23"/>
    <mergeCell ref="C22:C23"/>
    <mergeCell ref="B68:B69"/>
    <mergeCell ref="C68:C69"/>
    <mergeCell ref="B70:B71"/>
    <mergeCell ref="B48:B49"/>
    <mergeCell ref="C50:C51"/>
    <mergeCell ref="B66:B67"/>
    <mergeCell ref="C66:C67"/>
    <mergeCell ref="B60:B61"/>
    <mergeCell ref="B64:B65"/>
    <mergeCell ref="C64:C65"/>
    <mergeCell ref="C54:C55"/>
    <mergeCell ref="B58:B59"/>
    <mergeCell ref="C58:C59"/>
    <mergeCell ref="C48:C49"/>
    <mergeCell ref="B52:B53"/>
    <mergeCell ref="C52:C53"/>
    <mergeCell ref="B62:B63"/>
    <mergeCell ref="C62:C63"/>
    <mergeCell ref="C60:C61"/>
    <mergeCell ref="C56:C57"/>
    <mergeCell ref="B56:B57"/>
    <mergeCell ref="B54:B55"/>
    <mergeCell ref="B32:B33"/>
    <mergeCell ref="C32:C33"/>
    <mergeCell ref="B34:B35"/>
    <mergeCell ref="C34:C35"/>
    <mergeCell ref="B50:B51"/>
    <mergeCell ref="C38:C39"/>
    <mergeCell ref="C36:C37"/>
    <mergeCell ref="B40:B41"/>
    <mergeCell ref="C40:C41"/>
    <mergeCell ref="B44:B45"/>
    <mergeCell ref="C44:C45"/>
    <mergeCell ref="B46:B47"/>
    <mergeCell ref="B36:B37"/>
    <mergeCell ref="B38:B39"/>
    <mergeCell ref="C46:C47"/>
    <mergeCell ref="B42:B43"/>
  </mergeCells>
  <phoneticPr fontId="16" type="noConversion"/>
  <conditionalFormatting sqref="P1 P3:P1048576">
    <cfRule type="cellIs" dxfId="1" priority="161" operator="lessThan">
      <formula>0</formula>
    </cfRule>
  </conditionalFormatting>
  <conditionalFormatting sqref="P2">
    <cfRule type="cellIs" dxfId="0" priority="54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73</xdr:row>
                <xdr:rowOff>0</xdr:rowOff>
              </from>
              <to>
                <xdr:col>66</xdr:col>
                <xdr:colOff>200025</xdr:colOff>
                <xdr:row>75</xdr:row>
                <xdr:rowOff>85725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798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8"/>
    <col min="2" max="2" width="9.140625" style="241"/>
    <col min="3" max="3" width="9.140625" style="228"/>
    <col min="4" max="4" width="7.7109375" style="228" customWidth="1"/>
    <col min="5" max="5" width="5.7109375" style="228" customWidth="1"/>
    <col min="6" max="6" width="6.7109375" style="228" customWidth="1"/>
    <col min="7" max="16384" width="9.140625" style="228"/>
  </cols>
  <sheetData>
    <row r="1" spans="1:15" x14ac:dyDescent="0.25">
      <c r="A1" s="225"/>
      <c r="B1" s="226" t="s">
        <v>795</v>
      </c>
      <c r="C1" s="227" t="s">
        <v>796</v>
      </c>
      <c r="D1" s="227" t="s">
        <v>797</v>
      </c>
    </row>
    <row r="2" spans="1:15" x14ac:dyDescent="0.25">
      <c r="A2" s="225"/>
      <c r="B2" s="229">
        <v>0</v>
      </c>
      <c r="C2" s="230">
        <v>0</v>
      </c>
      <c r="D2" s="230">
        <v>75</v>
      </c>
      <c r="E2" s="231"/>
      <c r="F2" s="231"/>
      <c r="G2" s="231"/>
    </row>
    <row r="3" spans="1:15" x14ac:dyDescent="0.25">
      <c r="A3" s="232">
        <v>1</v>
      </c>
      <c r="B3" s="233">
        <f>((A3/MAX($A:$A))*($D$2-$B$2)+$B$2)</f>
        <v>2.34375</v>
      </c>
      <c r="C3" s="234">
        <f>B3-$C$2</f>
        <v>2.34375</v>
      </c>
      <c r="D3" s="235"/>
      <c r="E3" s="235"/>
      <c r="F3" s="236"/>
      <c r="G3" s="235"/>
      <c r="H3" s="231"/>
      <c r="I3" s="231"/>
      <c r="J3" s="231"/>
      <c r="K3" s="231"/>
      <c r="L3" s="231"/>
      <c r="M3" s="231"/>
      <c r="N3" s="231"/>
      <c r="O3" s="231"/>
    </row>
    <row r="4" spans="1:15" x14ac:dyDescent="0.25">
      <c r="A4" s="235">
        <v>2</v>
      </c>
      <c r="B4" s="237">
        <f t="shared" ref="B4:B34" si="0">((A4/MAX($A:$A))*($D$2-$B$2)+$B$2)</f>
        <v>4.6875</v>
      </c>
      <c r="C4" s="238">
        <f t="shared" ref="C4:C34" si="1">B4-$C$2</f>
        <v>4.6875</v>
      </c>
      <c r="D4" s="235"/>
      <c r="E4" s="235"/>
      <c r="F4" s="236"/>
      <c r="G4" s="235"/>
      <c r="H4" s="231"/>
      <c r="I4" s="231"/>
      <c r="J4" s="231"/>
      <c r="K4" s="231"/>
      <c r="L4" s="231"/>
      <c r="M4" s="231"/>
      <c r="N4" s="231"/>
      <c r="O4" s="231"/>
    </row>
    <row r="5" spans="1:15" x14ac:dyDescent="0.25">
      <c r="A5" s="235">
        <v>3</v>
      </c>
      <c r="B5" s="237">
        <f t="shared" si="0"/>
        <v>7.03125</v>
      </c>
      <c r="C5" s="238">
        <f t="shared" si="1"/>
        <v>7.03125</v>
      </c>
      <c r="D5" s="235"/>
      <c r="E5" s="235"/>
      <c r="F5" s="239"/>
      <c r="G5" s="235"/>
      <c r="H5" s="231"/>
      <c r="I5" s="231"/>
      <c r="J5" s="231"/>
      <c r="K5" s="231"/>
      <c r="L5" s="231"/>
      <c r="M5" s="231"/>
      <c r="N5" s="231"/>
      <c r="O5" s="231"/>
    </row>
    <row r="6" spans="1:15" x14ac:dyDescent="0.25">
      <c r="A6" s="235">
        <v>4</v>
      </c>
      <c r="B6" s="237">
        <f t="shared" si="0"/>
        <v>9.375</v>
      </c>
      <c r="C6" s="238">
        <f t="shared" si="1"/>
        <v>9.375</v>
      </c>
      <c r="D6" s="235"/>
      <c r="E6" s="235"/>
      <c r="F6" s="236"/>
      <c r="G6" s="235"/>
      <c r="H6" s="235"/>
      <c r="I6" s="235"/>
      <c r="J6" s="231"/>
      <c r="K6" s="231"/>
      <c r="L6" s="231"/>
      <c r="M6" s="231"/>
      <c r="N6" s="231"/>
      <c r="O6" s="231"/>
    </row>
    <row r="7" spans="1:15" x14ac:dyDescent="0.25">
      <c r="A7" s="235">
        <v>5</v>
      </c>
      <c r="B7" s="237">
        <f t="shared" si="0"/>
        <v>11.71875</v>
      </c>
      <c r="C7" s="238">
        <f t="shared" si="1"/>
        <v>11.71875</v>
      </c>
      <c r="D7" s="235"/>
      <c r="E7" s="235"/>
      <c r="F7" s="239"/>
      <c r="G7" s="235"/>
      <c r="H7" s="235"/>
      <c r="I7" s="235"/>
      <c r="J7" s="231"/>
      <c r="K7" s="231"/>
      <c r="L7" s="231"/>
      <c r="M7" s="231"/>
      <c r="N7" s="231"/>
      <c r="O7" s="231"/>
    </row>
    <row r="8" spans="1:15" x14ac:dyDescent="0.25">
      <c r="A8" s="235">
        <v>6</v>
      </c>
      <c r="B8" s="237">
        <f t="shared" si="0"/>
        <v>14.0625</v>
      </c>
      <c r="C8" s="238">
        <f t="shared" si="1"/>
        <v>14.0625</v>
      </c>
      <c r="D8" s="235"/>
      <c r="E8" s="235"/>
      <c r="F8" s="239"/>
      <c r="G8" s="235"/>
      <c r="H8" s="231"/>
      <c r="I8" s="235"/>
      <c r="J8" s="231"/>
      <c r="K8" s="231"/>
      <c r="L8" s="231"/>
      <c r="M8" s="231"/>
      <c r="N8" s="231"/>
      <c r="O8" s="231"/>
    </row>
    <row r="9" spans="1:15" x14ac:dyDescent="0.25">
      <c r="A9" s="235">
        <v>7</v>
      </c>
      <c r="B9" s="237">
        <f t="shared" si="0"/>
        <v>16.40625</v>
      </c>
      <c r="C9" s="238">
        <f t="shared" si="1"/>
        <v>16.40625</v>
      </c>
      <c r="D9" s="235"/>
      <c r="E9" s="235"/>
      <c r="F9" s="236"/>
      <c r="G9" s="235"/>
      <c r="H9" s="231"/>
      <c r="I9" s="235"/>
      <c r="J9" s="235"/>
      <c r="K9" s="231"/>
      <c r="L9" s="231"/>
      <c r="M9" s="231"/>
      <c r="N9" s="231"/>
      <c r="O9" s="231"/>
    </row>
    <row r="10" spans="1:15" x14ac:dyDescent="0.25">
      <c r="A10" s="235">
        <v>8</v>
      </c>
      <c r="B10" s="237">
        <f>((A10/MAX($A:$A))*($D$2-$B$2)+$B$2)</f>
        <v>18.75</v>
      </c>
      <c r="C10" s="238">
        <f t="shared" si="1"/>
        <v>18.75</v>
      </c>
      <c r="D10" s="235"/>
      <c r="E10" s="235"/>
      <c r="F10" s="236"/>
      <c r="G10" s="235"/>
      <c r="H10" s="231"/>
      <c r="J10" s="235"/>
      <c r="K10" s="231"/>
      <c r="L10" s="231"/>
      <c r="M10" s="231"/>
      <c r="N10" s="231"/>
      <c r="O10" s="231"/>
    </row>
    <row r="11" spans="1:15" x14ac:dyDescent="0.25">
      <c r="A11" s="235">
        <v>9</v>
      </c>
      <c r="B11" s="237">
        <f t="shared" si="0"/>
        <v>21.09375</v>
      </c>
      <c r="C11" s="238">
        <f t="shared" si="1"/>
        <v>21.09375</v>
      </c>
      <c r="D11" s="235"/>
      <c r="E11" s="235"/>
      <c r="F11" s="236"/>
      <c r="G11" s="235"/>
      <c r="H11" s="231"/>
      <c r="J11" s="231"/>
      <c r="K11" s="231"/>
      <c r="L11" s="231"/>
      <c r="M11" s="231"/>
      <c r="N11" s="231"/>
      <c r="O11" s="231"/>
    </row>
    <row r="12" spans="1:15" x14ac:dyDescent="0.25">
      <c r="A12" s="235">
        <v>10</v>
      </c>
      <c r="B12" s="237">
        <f t="shared" si="0"/>
        <v>23.4375</v>
      </c>
      <c r="C12" s="238">
        <f t="shared" si="1"/>
        <v>23.4375</v>
      </c>
      <c r="D12" s="235"/>
      <c r="E12" s="235"/>
      <c r="F12" s="239"/>
      <c r="G12" s="235"/>
      <c r="H12" s="231"/>
      <c r="J12" s="231"/>
      <c r="K12" s="231"/>
      <c r="L12" s="231"/>
      <c r="M12" s="231"/>
      <c r="N12" s="231"/>
      <c r="O12" s="231"/>
    </row>
    <row r="13" spans="1:15" x14ac:dyDescent="0.25">
      <c r="A13" s="235">
        <v>11</v>
      </c>
      <c r="B13" s="237">
        <f t="shared" si="0"/>
        <v>25.78125</v>
      </c>
      <c r="C13" s="238">
        <f t="shared" si="1"/>
        <v>25.78125</v>
      </c>
      <c r="D13" s="235"/>
      <c r="E13" s="235"/>
      <c r="F13" s="236"/>
      <c r="G13" s="235"/>
      <c r="H13" s="231"/>
      <c r="J13" s="231"/>
      <c r="K13" s="231"/>
      <c r="L13" s="231"/>
      <c r="M13" s="231"/>
      <c r="N13" s="231"/>
      <c r="O13" s="231"/>
    </row>
    <row r="14" spans="1:15" x14ac:dyDescent="0.25">
      <c r="A14" s="235">
        <v>12</v>
      </c>
      <c r="B14" s="237">
        <f t="shared" si="0"/>
        <v>28.125</v>
      </c>
      <c r="C14" s="238">
        <f t="shared" si="1"/>
        <v>28.125</v>
      </c>
      <c r="D14" s="235"/>
      <c r="E14" s="235"/>
      <c r="F14" s="239"/>
      <c r="G14" s="235"/>
      <c r="H14" s="231"/>
      <c r="J14" s="231"/>
      <c r="K14" s="231"/>
      <c r="L14" s="231"/>
      <c r="M14" s="231"/>
      <c r="N14" s="231"/>
      <c r="O14" s="231"/>
    </row>
    <row r="15" spans="1:15" x14ac:dyDescent="0.25">
      <c r="A15" s="235">
        <v>13</v>
      </c>
      <c r="B15" s="237">
        <f t="shared" si="0"/>
        <v>30.46875</v>
      </c>
      <c r="C15" s="238">
        <f t="shared" si="1"/>
        <v>30.46875</v>
      </c>
      <c r="D15" s="235"/>
      <c r="E15" s="235"/>
      <c r="F15" s="239"/>
      <c r="G15" s="235"/>
      <c r="H15" s="231"/>
      <c r="J15" s="231"/>
      <c r="K15" s="231"/>
      <c r="L15" s="231"/>
      <c r="M15" s="231"/>
      <c r="N15" s="231"/>
      <c r="O15" s="231"/>
    </row>
    <row r="16" spans="1:15" x14ac:dyDescent="0.25">
      <c r="A16" s="235">
        <v>14</v>
      </c>
      <c r="B16" s="237">
        <f t="shared" si="0"/>
        <v>32.8125</v>
      </c>
      <c r="C16" s="238">
        <f t="shared" si="1"/>
        <v>32.8125</v>
      </c>
      <c r="D16" s="235"/>
      <c r="E16" s="235"/>
      <c r="F16" s="236"/>
      <c r="G16" s="235"/>
      <c r="H16" s="231"/>
      <c r="J16" s="231"/>
      <c r="K16" s="231"/>
      <c r="L16" s="231"/>
      <c r="M16" s="231"/>
      <c r="N16" s="231"/>
      <c r="O16" s="231"/>
    </row>
    <row r="17" spans="1:16" x14ac:dyDescent="0.25">
      <c r="A17" s="235">
        <v>15</v>
      </c>
      <c r="B17" s="237">
        <f t="shared" si="0"/>
        <v>35.15625</v>
      </c>
      <c r="C17" s="238">
        <f t="shared" si="1"/>
        <v>35.15625</v>
      </c>
      <c r="D17" s="235"/>
      <c r="E17" s="235"/>
      <c r="F17" s="236"/>
      <c r="G17" s="235"/>
      <c r="H17" s="231"/>
      <c r="J17" s="231"/>
      <c r="K17" s="231"/>
      <c r="L17" s="231"/>
      <c r="M17" s="231"/>
      <c r="N17" s="231"/>
      <c r="O17" s="231"/>
    </row>
    <row r="18" spans="1:16" x14ac:dyDescent="0.25">
      <c r="A18" s="235">
        <v>16</v>
      </c>
      <c r="B18" s="237">
        <f t="shared" si="0"/>
        <v>37.5</v>
      </c>
      <c r="C18" s="238">
        <f t="shared" si="1"/>
        <v>37.5</v>
      </c>
      <c r="D18" s="235"/>
      <c r="E18" s="235"/>
      <c r="F18" s="236"/>
      <c r="G18" s="235"/>
      <c r="H18" s="231"/>
      <c r="J18" s="231"/>
      <c r="K18" s="231"/>
      <c r="L18" s="231"/>
      <c r="M18" s="231"/>
      <c r="N18" s="231"/>
      <c r="O18" s="231"/>
    </row>
    <row r="19" spans="1:16" x14ac:dyDescent="0.25">
      <c r="A19" s="235">
        <v>17</v>
      </c>
      <c r="B19" s="237">
        <f t="shared" si="0"/>
        <v>39.84375</v>
      </c>
      <c r="C19" s="238">
        <f t="shared" si="1"/>
        <v>39.84375</v>
      </c>
      <c r="D19" s="235"/>
      <c r="E19" s="235"/>
      <c r="F19" s="239"/>
      <c r="G19" s="235"/>
      <c r="H19" s="231"/>
      <c r="I19" s="231"/>
      <c r="K19" s="231"/>
      <c r="L19" s="231"/>
      <c r="M19" s="231"/>
      <c r="N19" s="231"/>
      <c r="O19" s="231"/>
      <c r="P19" s="231"/>
    </row>
    <row r="20" spans="1:16" x14ac:dyDescent="0.25">
      <c r="A20" s="235">
        <v>18</v>
      </c>
      <c r="B20" s="237">
        <f t="shared" si="0"/>
        <v>42.1875</v>
      </c>
      <c r="C20" s="238">
        <f t="shared" si="1"/>
        <v>42.1875</v>
      </c>
      <c r="D20" s="235"/>
      <c r="E20" s="235"/>
      <c r="F20" s="236"/>
      <c r="G20" s="235"/>
      <c r="H20" s="231"/>
      <c r="I20" s="231"/>
      <c r="K20" s="231"/>
      <c r="L20" s="231"/>
      <c r="M20" s="231"/>
      <c r="N20" s="231"/>
      <c r="O20" s="231"/>
      <c r="P20" s="231"/>
    </row>
    <row r="21" spans="1:16" x14ac:dyDescent="0.25">
      <c r="A21" s="235">
        <v>19</v>
      </c>
      <c r="B21" s="237">
        <f t="shared" si="0"/>
        <v>44.53125</v>
      </c>
      <c r="C21" s="238">
        <f t="shared" si="1"/>
        <v>44.53125</v>
      </c>
      <c r="D21" s="235"/>
      <c r="E21" s="235"/>
      <c r="F21" s="239"/>
      <c r="G21" s="235"/>
      <c r="H21" s="231"/>
      <c r="I21" s="231"/>
      <c r="K21" s="231"/>
      <c r="L21" s="231"/>
      <c r="M21" s="231"/>
      <c r="N21" s="231"/>
      <c r="O21" s="231"/>
      <c r="P21" s="231"/>
    </row>
    <row r="22" spans="1:16" x14ac:dyDescent="0.25">
      <c r="A22" s="235">
        <v>20</v>
      </c>
      <c r="B22" s="237">
        <f t="shared" si="0"/>
        <v>46.875</v>
      </c>
      <c r="C22" s="238">
        <f t="shared" si="1"/>
        <v>46.875</v>
      </c>
      <c r="D22" s="235"/>
      <c r="E22" s="235"/>
      <c r="F22" s="239"/>
      <c r="G22" s="235"/>
      <c r="H22" s="231"/>
      <c r="I22" s="231"/>
      <c r="J22" s="231"/>
      <c r="K22" s="231"/>
      <c r="L22" s="231"/>
      <c r="M22" s="231"/>
      <c r="N22" s="231"/>
      <c r="O22" s="231"/>
      <c r="P22" s="231"/>
    </row>
    <row r="23" spans="1:16" x14ac:dyDescent="0.25">
      <c r="A23" s="235">
        <v>21</v>
      </c>
      <c r="B23" s="237">
        <f t="shared" si="0"/>
        <v>49.21875</v>
      </c>
      <c r="C23" s="238">
        <f t="shared" si="1"/>
        <v>49.21875</v>
      </c>
      <c r="D23" s="235"/>
      <c r="E23" s="235"/>
      <c r="F23" s="236"/>
      <c r="G23" s="235"/>
      <c r="H23" s="231"/>
      <c r="I23" s="231"/>
      <c r="J23" s="231"/>
      <c r="K23" s="231"/>
      <c r="L23" s="231"/>
      <c r="M23" s="231"/>
      <c r="N23" s="231"/>
      <c r="O23" s="231"/>
      <c r="P23" s="231"/>
    </row>
    <row r="24" spans="1:16" x14ac:dyDescent="0.25">
      <c r="A24" s="235">
        <v>22</v>
      </c>
      <c r="B24" s="237">
        <f t="shared" si="0"/>
        <v>51.5625</v>
      </c>
      <c r="C24" s="238">
        <f t="shared" si="1"/>
        <v>51.5625</v>
      </c>
      <c r="D24" s="235"/>
      <c r="E24" s="235"/>
      <c r="F24" s="236"/>
      <c r="G24" s="235"/>
      <c r="H24" s="231"/>
      <c r="I24" s="231"/>
      <c r="J24" s="231"/>
      <c r="K24" s="231"/>
      <c r="L24" s="231"/>
      <c r="M24" s="231"/>
      <c r="N24" s="231"/>
      <c r="O24" s="231"/>
      <c r="P24" s="231"/>
    </row>
    <row r="25" spans="1:16" x14ac:dyDescent="0.25">
      <c r="A25" s="235">
        <v>23</v>
      </c>
      <c r="B25" s="237">
        <f t="shared" si="0"/>
        <v>53.90625</v>
      </c>
      <c r="C25" s="238">
        <f t="shared" si="1"/>
        <v>53.90625</v>
      </c>
      <c r="D25" s="235"/>
      <c r="E25" s="235"/>
      <c r="F25" s="236"/>
      <c r="G25" s="235"/>
      <c r="H25" s="231"/>
      <c r="I25" s="231"/>
      <c r="J25" s="231"/>
      <c r="K25" s="231"/>
      <c r="L25" s="231"/>
      <c r="M25" s="231"/>
      <c r="N25" s="231"/>
      <c r="O25" s="231"/>
      <c r="P25" s="231"/>
    </row>
    <row r="26" spans="1:16" x14ac:dyDescent="0.25">
      <c r="A26" s="235">
        <v>24</v>
      </c>
      <c r="B26" s="237">
        <f t="shared" si="0"/>
        <v>56.25</v>
      </c>
      <c r="C26" s="238">
        <f t="shared" si="1"/>
        <v>56.25</v>
      </c>
      <c r="D26" s="235"/>
      <c r="E26" s="235"/>
      <c r="F26" s="239"/>
      <c r="G26" s="235"/>
      <c r="H26" s="231"/>
      <c r="I26" s="231"/>
      <c r="J26" s="231"/>
      <c r="K26" s="231"/>
      <c r="L26" s="231"/>
      <c r="M26" s="231"/>
      <c r="N26" s="231"/>
      <c r="O26" s="231"/>
      <c r="P26" s="231"/>
    </row>
    <row r="27" spans="1:16" x14ac:dyDescent="0.25">
      <c r="A27" s="235">
        <v>25</v>
      </c>
      <c r="B27" s="237">
        <f t="shared" si="0"/>
        <v>58.59375</v>
      </c>
      <c r="C27" s="238">
        <f t="shared" si="1"/>
        <v>58.59375</v>
      </c>
      <c r="D27" s="235"/>
      <c r="E27" s="235"/>
      <c r="F27" s="236"/>
      <c r="G27" s="235"/>
      <c r="H27" s="231"/>
      <c r="I27" s="231"/>
      <c r="J27" s="231"/>
      <c r="K27" s="231"/>
      <c r="L27" s="231"/>
      <c r="M27" s="231"/>
      <c r="N27" s="231"/>
      <c r="O27" s="231"/>
      <c r="P27" s="231"/>
    </row>
    <row r="28" spans="1:16" x14ac:dyDescent="0.25">
      <c r="A28" s="235">
        <v>26</v>
      </c>
      <c r="B28" s="237">
        <f t="shared" si="0"/>
        <v>60.9375</v>
      </c>
      <c r="C28" s="238">
        <f t="shared" si="1"/>
        <v>60.9375</v>
      </c>
      <c r="D28" s="235"/>
      <c r="E28" s="235"/>
      <c r="F28" s="239"/>
      <c r="G28" s="235"/>
      <c r="H28" s="231"/>
      <c r="I28" s="231"/>
      <c r="J28" s="231"/>
      <c r="K28" s="231"/>
      <c r="L28" s="231"/>
      <c r="M28" s="231"/>
      <c r="N28" s="231"/>
      <c r="O28" s="231"/>
      <c r="P28" s="231"/>
    </row>
    <row r="29" spans="1:16" x14ac:dyDescent="0.25">
      <c r="A29" s="235">
        <v>27</v>
      </c>
      <c r="B29" s="237">
        <f t="shared" si="0"/>
        <v>63.28125</v>
      </c>
      <c r="C29" s="238">
        <f t="shared" si="1"/>
        <v>63.28125</v>
      </c>
      <c r="D29" s="235"/>
      <c r="E29" s="235"/>
      <c r="F29" s="239"/>
      <c r="G29" s="235"/>
      <c r="H29" s="231"/>
      <c r="I29" s="231"/>
      <c r="J29" s="231"/>
      <c r="K29" s="231"/>
      <c r="L29" s="231"/>
      <c r="M29" s="231"/>
      <c r="N29" s="231"/>
      <c r="O29" s="231"/>
      <c r="P29" s="231"/>
    </row>
    <row r="30" spans="1:16" x14ac:dyDescent="0.25">
      <c r="A30" s="235">
        <v>28</v>
      </c>
      <c r="B30" s="237">
        <f t="shared" si="0"/>
        <v>65.625</v>
      </c>
      <c r="C30" s="238">
        <f t="shared" si="1"/>
        <v>65.625</v>
      </c>
      <c r="D30" s="235"/>
      <c r="E30" s="235"/>
      <c r="F30" s="236"/>
      <c r="G30" s="235"/>
      <c r="H30" s="231"/>
      <c r="I30" s="231"/>
      <c r="J30" s="231"/>
      <c r="K30" s="231"/>
      <c r="L30" s="231"/>
      <c r="M30" s="231"/>
      <c r="N30" s="231"/>
      <c r="O30" s="231"/>
      <c r="P30" s="231"/>
    </row>
    <row r="31" spans="1:16" x14ac:dyDescent="0.25">
      <c r="A31" s="235">
        <v>29</v>
      </c>
      <c r="B31" s="237">
        <f t="shared" si="0"/>
        <v>67.96875</v>
      </c>
      <c r="C31" s="238">
        <f t="shared" si="1"/>
        <v>67.96875</v>
      </c>
      <c r="D31" s="235"/>
      <c r="E31" s="235"/>
      <c r="F31" s="236"/>
      <c r="G31" s="235"/>
      <c r="H31" s="231"/>
      <c r="I31" s="231"/>
      <c r="J31" s="231"/>
      <c r="K31" s="231"/>
      <c r="L31" s="231"/>
      <c r="M31" s="231"/>
      <c r="N31" s="231"/>
      <c r="O31" s="231"/>
      <c r="P31" s="231"/>
    </row>
    <row r="32" spans="1:16" x14ac:dyDescent="0.25">
      <c r="A32" s="235">
        <v>30</v>
      </c>
      <c r="B32" s="237">
        <f t="shared" si="0"/>
        <v>70.3125</v>
      </c>
      <c r="C32" s="238">
        <f t="shared" si="1"/>
        <v>70.3125</v>
      </c>
      <c r="D32" s="235"/>
      <c r="E32" s="235"/>
      <c r="F32" s="236"/>
      <c r="G32" s="235"/>
      <c r="H32" s="231"/>
      <c r="I32" s="231"/>
      <c r="J32" s="231"/>
      <c r="K32" s="231"/>
      <c r="L32" s="231"/>
      <c r="M32" s="231"/>
      <c r="N32" s="231"/>
      <c r="O32" s="231"/>
      <c r="P32" s="231"/>
    </row>
    <row r="33" spans="1:16" x14ac:dyDescent="0.25">
      <c r="A33" s="235">
        <v>31</v>
      </c>
      <c r="B33" s="237">
        <f t="shared" si="0"/>
        <v>72.65625</v>
      </c>
      <c r="C33" s="238">
        <f t="shared" si="1"/>
        <v>72.65625</v>
      </c>
      <c r="D33" s="235"/>
      <c r="E33" s="235"/>
      <c r="F33" s="239"/>
      <c r="G33" s="235"/>
      <c r="H33" s="231"/>
      <c r="I33" s="231"/>
      <c r="J33" s="231"/>
      <c r="K33" s="231"/>
      <c r="L33" s="231"/>
      <c r="M33" s="231"/>
      <c r="N33" s="231"/>
      <c r="O33" s="231"/>
      <c r="P33" s="231"/>
    </row>
    <row r="34" spans="1:16" x14ac:dyDescent="0.25">
      <c r="A34" s="235">
        <v>32</v>
      </c>
      <c r="B34" s="237">
        <f t="shared" si="0"/>
        <v>75</v>
      </c>
      <c r="C34" s="238">
        <f t="shared" si="1"/>
        <v>75</v>
      </c>
      <c r="D34" s="235"/>
      <c r="E34" s="235"/>
      <c r="F34" s="236"/>
      <c r="G34" s="235"/>
      <c r="H34" s="231"/>
      <c r="I34" s="231"/>
      <c r="J34" s="231"/>
      <c r="K34" s="231"/>
      <c r="L34" s="231"/>
      <c r="M34" s="231"/>
      <c r="N34" s="231"/>
      <c r="O34" s="231"/>
      <c r="P34" s="231"/>
    </row>
    <row r="35" spans="1:16" x14ac:dyDescent="0.25">
      <c r="A35" s="235"/>
      <c r="B35" s="237"/>
      <c r="C35" s="238"/>
      <c r="D35" s="235"/>
      <c r="E35" s="235"/>
      <c r="F35" s="239"/>
      <c r="G35" s="235"/>
      <c r="H35" s="231"/>
      <c r="I35" s="231"/>
      <c r="J35" s="231"/>
      <c r="K35" s="231"/>
      <c r="L35" s="231"/>
      <c r="M35" s="231"/>
      <c r="N35" s="231"/>
      <c r="O35" s="231"/>
      <c r="P35" s="231"/>
    </row>
    <row r="36" spans="1:16" x14ac:dyDescent="0.25">
      <c r="A36" s="235"/>
      <c r="B36" s="237"/>
      <c r="C36" s="238"/>
      <c r="D36" s="235"/>
      <c r="E36" s="235"/>
      <c r="F36" s="239"/>
      <c r="G36" s="235"/>
      <c r="H36" s="231"/>
      <c r="I36" s="231"/>
      <c r="J36" s="231"/>
      <c r="K36" s="231"/>
      <c r="L36" s="231"/>
      <c r="M36" s="231"/>
      <c r="N36" s="231"/>
      <c r="O36" s="231"/>
      <c r="P36" s="231"/>
    </row>
    <row r="37" spans="1:16" x14ac:dyDescent="0.25">
      <c r="A37" s="235"/>
      <c r="B37" s="237"/>
      <c r="C37" s="238"/>
      <c r="D37" s="235"/>
      <c r="E37" s="235"/>
      <c r="F37" s="236"/>
      <c r="G37" s="231"/>
      <c r="H37" s="231"/>
      <c r="I37" s="231"/>
      <c r="J37" s="231"/>
      <c r="K37" s="231"/>
      <c r="L37" s="231"/>
      <c r="M37" s="231"/>
      <c r="N37" s="231"/>
      <c r="O37" s="231"/>
      <c r="P37" s="231"/>
    </row>
    <row r="38" spans="1:16" x14ac:dyDescent="0.25">
      <c r="A38" s="235"/>
      <c r="B38" s="237"/>
      <c r="C38" s="238"/>
      <c r="D38" s="235"/>
      <c r="E38" s="235"/>
      <c r="F38" s="236"/>
      <c r="G38" s="231"/>
      <c r="H38" s="231"/>
      <c r="I38" s="231"/>
      <c r="J38" s="231"/>
      <c r="K38" s="231"/>
      <c r="L38" s="231"/>
      <c r="M38" s="231"/>
      <c r="N38" s="231"/>
      <c r="O38" s="231"/>
      <c r="P38" s="231"/>
    </row>
    <row r="39" spans="1:16" x14ac:dyDescent="0.25">
      <c r="A39" s="235"/>
      <c r="B39" s="237"/>
      <c r="C39" s="238"/>
      <c r="D39" s="235"/>
      <c r="E39" s="235"/>
      <c r="F39" s="236"/>
      <c r="G39" s="231"/>
      <c r="H39" s="231"/>
      <c r="I39" s="231"/>
      <c r="J39" s="231"/>
      <c r="K39" s="231"/>
      <c r="L39" s="231"/>
      <c r="M39" s="231"/>
      <c r="N39" s="231"/>
      <c r="O39" s="231"/>
      <c r="P39" s="231"/>
    </row>
    <row r="40" spans="1:16" x14ac:dyDescent="0.25">
      <c r="A40" s="235"/>
      <c r="B40" s="237"/>
      <c r="C40" s="238"/>
      <c r="D40" s="235"/>
      <c r="E40" s="235"/>
      <c r="F40" s="239"/>
      <c r="G40" s="231"/>
      <c r="H40" s="231"/>
      <c r="I40" s="231"/>
      <c r="J40" s="231"/>
      <c r="K40" s="231"/>
      <c r="L40" s="231"/>
      <c r="M40" s="231"/>
      <c r="N40" s="231"/>
      <c r="O40" s="231"/>
      <c r="P40" s="231"/>
    </row>
    <row r="41" spans="1:16" x14ac:dyDescent="0.25">
      <c r="A41" s="235"/>
      <c r="B41" s="237"/>
      <c r="C41" s="238"/>
      <c r="D41" s="235"/>
      <c r="E41" s="235"/>
      <c r="F41" s="236"/>
      <c r="G41" s="231"/>
      <c r="H41" s="231"/>
    </row>
    <row r="42" spans="1:16" x14ac:dyDescent="0.25">
      <c r="A42" s="235"/>
      <c r="B42" s="237"/>
      <c r="C42" s="238"/>
      <c r="D42" s="235"/>
      <c r="E42" s="235"/>
      <c r="F42" s="239"/>
      <c r="G42" s="231"/>
      <c r="H42" s="231"/>
    </row>
    <row r="43" spans="1:16" x14ac:dyDescent="0.25">
      <c r="A43" s="235"/>
      <c r="B43" s="237"/>
      <c r="C43" s="238"/>
      <c r="D43" s="235"/>
      <c r="E43" s="235"/>
      <c r="F43" s="239"/>
      <c r="G43" s="231"/>
    </row>
    <row r="44" spans="1:16" x14ac:dyDescent="0.25">
      <c r="A44" s="235"/>
      <c r="B44" s="237"/>
      <c r="C44" s="238"/>
      <c r="D44" s="235"/>
      <c r="E44" s="235"/>
      <c r="F44" s="236"/>
      <c r="G44" s="231"/>
    </row>
    <row r="45" spans="1:16" x14ac:dyDescent="0.25">
      <c r="A45" s="235"/>
      <c r="B45" s="238"/>
      <c r="C45" s="238"/>
      <c r="D45" s="235"/>
      <c r="E45" s="235"/>
      <c r="F45" s="239"/>
      <c r="G45" s="231"/>
    </row>
    <row r="46" spans="1:16" x14ac:dyDescent="0.25">
      <c r="A46" s="235"/>
      <c r="B46" s="238"/>
      <c r="C46" s="238"/>
      <c r="D46" s="235"/>
      <c r="E46" s="235"/>
      <c r="F46" s="239"/>
      <c r="G46" s="231"/>
    </row>
    <row r="47" spans="1:16" x14ac:dyDescent="0.25">
      <c r="A47" s="231"/>
      <c r="B47" s="240"/>
      <c r="C47" s="231"/>
      <c r="D47" s="231"/>
      <c r="E47" s="235"/>
      <c r="F47" s="231"/>
      <c r="G47" s="231"/>
    </row>
    <row r="48" spans="1:16" x14ac:dyDescent="0.25">
      <c r="A48" s="231"/>
      <c r="B48" s="240"/>
      <c r="C48" s="231"/>
      <c r="D48" s="231"/>
      <c r="E48" s="235"/>
      <c r="F48" s="231"/>
      <c r="G48" s="231"/>
    </row>
    <row r="49" spans="1:7" x14ac:dyDescent="0.25">
      <c r="A49" s="231"/>
      <c r="B49" s="240"/>
      <c r="C49" s="231"/>
      <c r="D49" s="231"/>
      <c r="E49" s="231"/>
      <c r="F49" s="231"/>
      <c r="G49" s="231"/>
    </row>
    <row r="50" spans="1:7" x14ac:dyDescent="0.25">
      <c r="A50" s="231"/>
      <c r="B50" s="240"/>
      <c r="C50" s="231"/>
      <c r="D50" s="231"/>
      <c r="E50" s="231"/>
      <c r="F50" s="231"/>
      <c r="G50" s="231"/>
    </row>
    <row r="51" spans="1:7" x14ac:dyDescent="0.25">
      <c r="A51" s="231"/>
      <c r="B51" s="240"/>
      <c r="C51" s="231"/>
      <c r="D51" s="231"/>
      <c r="E51" s="231"/>
      <c r="F51" s="231"/>
      <c r="G51" s="231"/>
    </row>
    <row r="52" spans="1:7" x14ac:dyDescent="0.25">
      <c r="A52" s="231"/>
      <c r="B52" s="240"/>
      <c r="C52" s="231"/>
      <c r="D52" s="231"/>
      <c r="E52" s="231"/>
      <c r="F52" s="231"/>
      <c r="G52" s="2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0695"/>
  <sheetViews>
    <sheetView tabSelected="1" workbookViewId="0">
      <pane ySplit="8" topLeftCell="A9" activePane="bottomLeft" state="frozen"/>
      <selection pane="bottomLeft" activeCell="G2" sqref="G2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376" t="s">
        <v>21</v>
      </c>
      <c r="C1" s="377" t="s">
        <v>22</v>
      </c>
      <c r="D1" s="100">
        <v>3</v>
      </c>
      <c r="F1" s="120" t="s">
        <v>54</v>
      </c>
      <c r="G1" s="121">
        <v>2176</v>
      </c>
      <c r="W1" s="375" t="s">
        <v>125</v>
      </c>
      <c r="X1" s="375"/>
      <c r="Y1" s="375"/>
      <c r="Z1" s="375"/>
      <c r="AA1" s="375"/>
      <c r="AB1" s="375"/>
    </row>
    <row r="2" spans="1:32" x14ac:dyDescent="0.25">
      <c r="B2" s="376" t="s">
        <v>23</v>
      </c>
      <c r="C2" s="377"/>
      <c r="D2" s="101">
        <v>400</v>
      </c>
      <c r="E2" s="122"/>
      <c r="F2" s="123" t="s">
        <v>55</v>
      </c>
      <c r="G2" s="124">
        <v>7.875</v>
      </c>
      <c r="H2" s="103"/>
      <c r="J2" s="102" t="s">
        <v>24</v>
      </c>
      <c r="T2" s="374" t="s">
        <v>124</v>
      </c>
      <c r="U2" s="374"/>
      <c r="V2" s="176">
        <v>0.01</v>
      </c>
      <c r="W2" s="375"/>
      <c r="X2" s="375"/>
      <c r="Y2" s="375"/>
      <c r="Z2" s="375"/>
      <c r="AA2" s="375"/>
      <c r="AB2" s="375"/>
    </row>
    <row r="3" spans="1:32" x14ac:dyDescent="0.25">
      <c r="B3" s="376" t="s">
        <v>25</v>
      </c>
      <c r="C3" s="377"/>
      <c r="D3" s="101">
        <v>168</v>
      </c>
      <c r="E3" s="380"/>
      <c r="F3" s="381"/>
      <c r="G3" s="104"/>
      <c r="H3" s="103"/>
    </row>
    <row r="4" spans="1:32" x14ac:dyDescent="0.25">
      <c r="B4" s="376" t="s">
        <v>26</v>
      </c>
      <c r="C4" s="377"/>
      <c r="D4" s="101">
        <v>0</v>
      </c>
      <c r="E4" s="382" t="s">
        <v>27</v>
      </c>
      <c r="F4" s="383"/>
      <c r="G4" s="101">
        <v>0</v>
      </c>
      <c r="N4" s="281" t="s">
        <v>799</v>
      </c>
      <c r="S4" s="138"/>
    </row>
    <row r="5" spans="1:32" x14ac:dyDescent="0.25">
      <c r="B5" s="376" t="s">
        <v>28</v>
      </c>
      <c r="C5" s="377"/>
      <c r="D5" s="137">
        <v>0</v>
      </c>
      <c r="E5" s="378"/>
      <c r="F5" s="379"/>
      <c r="G5" s="139"/>
      <c r="N5" s="270" t="s">
        <v>800</v>
      </c>
    </row>
    <row r="6" spans="1:32" x14ac:dyDescent="0.25">
      <c r="B6" s="378"/>
      <c r="C6" s="379"/>
      <c r="D6" s="139"/>
      <c r="E6" s="378"/>
      <c r="F6" s="379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-0.34329999999999999</v>
      </c>
      <c r="I9" s="105">
        <v>-1.109232904805414E-15</v>
      </c>
      <c r="J9" s="113">
        <v>-2.3433000000000002</v>
      </c>
      <c r="K9" s="114">
        <v>0</v>
      </c>
      <c r="L9" s="115">
        <v>0.49519999999999997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0.27860000000000001</v>
      </c>
      <c r="S9" s="115">
        <v>0.29649999999999999</v>
      </c>
      <c r="T9" s="99">
        <v>-15</v>
      </c>
      <c r="U9" s="99">
        <v>20</v>
      </c>
      <c r="V9" s="99">
        <v>-0.49519999999999997</v>
      </c>
      <c r="W9" s="99">
        <v>0.34329999999999999</v>
      </c>
      <c r="X9" s="99">
        <v>90</v>
      </c>
      <c r="Y9" s="99" t="s">
        <v>433</v>
      </c>
      <c r="Z9" s="99">
        <v>0.93969000000000003</v>
      </c>
      <c r="AA9" s="99">
        <v>8.8520000000000001E-2</v>
      </c>
      <c r="AB9" s="99">
        <v>-0.33037</v>
      </c>
      <c r="AC9" s="99">
        <v>1.6E-2</v>
      </c>
      <c r="AD9" s="99">
        <f>((-H9*COS(RADIANS(X9)))-(0*SIN(RADIANS(X9))))</f>
        <v>2.1029673228506461E-17</v>
      </c>
      <c r="AE9" s="99">
        <f>((0*COS(RADIANS(X9)))+(-H9*SIN(RADIANS(X9))))</f>
        <v>0.34329999999999999</v>
      </c>
      <c r="AF9" s="138">
        <f>L9</f>
        <v>0.49519999999999997</v>
      </c>
    </row>
    <row r="10" spans="1:32" x14ac:dyDescent="0.25">
      <c r="A10" s="111" t="s">
        <v>646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-1.0692999999999999</v>
      </c>
      <c r="I10" s="105">
        <v>-3.4550036268815296E-15</v>
      </c>
      <c r="J10" s="113">
        <v>-3.0693000000000001</v>
      </c>
      <c r="K10" s="114">
        <v>0</v>
      </c>
      <c r="L10" s="115">
        <v>0.30070000000000002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0.28639999999999999</v>
      </c>
      <c r="S10" s="115">
        <v>0.29649999999999999</v>
      </c>
      <c r="T10" s="99">
        <v>-15</v>
      </c>
      <c r="U10" s="99">
        <v>15</v>
      </c>
      <c r="V10" s="99">
        <v>-0.30070000000000002</v>
      </c>
      <c r="W10" s="99">
        <v>1.0692999999999999</v>
      </c>
      <c r="X10" s="99">
        <v>90</v>
      </c>
      <c r="Y10" s="99" t="s">
        <v>647</v>
      </c>
      <c r="Z10" s="99">
        <v>0.96592999999999996</v>
      </c>
      <c r="AA10" s="99">
        <v>6.6989999999999994E-2</v>
      </c>
      <c r="AB10" s="99">
        <v>-0.25</v>
      </c>
      <c r="AC10" s="99">
        <v>1.6E-2</v>
      </c>
      <c r="AD10" s="99">
        <f>((-H10*COS(RADIANS(X10)))-(0*SIN(RADIANS(X10))))</f>
        <v>6.5502562141689367E-17</v>
      </c>
      <c r="AE10" s="99">
        <f>((0*COS(RADIANS(X10)))+(-H10*SIN(RADIANS(X10))))</f>
        <v>1.0692999999999999</v>
      </c>
      <c r="AF10" s="138">
        <f>L10</f>
        <v>0.30070000000000002</v>
      </c>
    </row>
    <row r="11" spans="1:32" x14ac:dyDescent="0.25">
      <c r="A11" s="111" t="s">
        <v>442</v>
      </c>
      <c r="B11" s="112">
        <v>0</v>
      </c>
      <c r="C11" s="105">
        <v>2.976190476190476E-3</v>
      </c>
      <c r="D11" s="105">
        <v>180</v>
      </c>
      <c r="E11" s="105">
        <v>0</v>
      </c>
      <c r="F11" s="105">
        <v>0</v>
      </c>
      <c r="G11" s="105">
        <v>180</v>
      </c>
      <c r="H11" s="105">
        <v>-1.7943</v>
      </c>
      <c r="I11" s="105">
        <v>-5.797543259808781E-15</v>
      </c>
      <c r="J11" s="113">
        <v>-3.7942999999999998</v>
      </c>
      <c r="K11" s="114">
        <v>0</v>
      </c>
      <c r="L11" s="115">
        <v>0.1065</v>
      </c>
      <c r="M11" s="105">
        <v>0</v>
      </c>
      <c r="N11" s="105">
        <v>1</v>
      </c>
      <c r="O11" s="105">
        <v>1.1000000000000001</v>
      </c>
      <c r="P11" s="105">
        <v>6.9999999999996732</v>
      </c>
      <c r="Q11" s="113">
        <v>-15</v>
      </c>
      <c r="R11" s="114">
        <v>0.28639999999999999</v>
      </c>
      <c r="S11" s="115">
        <v>0.29649999999999999</v>
      </c>
      <c r="T11" s="99">
        <v>-15</v>
      </c>
      <c r="U11" s="99">
        <v>15</v>
      </c>
      <c r="V11" s="99">
        <v>-0.1065</v>
      </c>
      <c r="W11" s="99">
        <v>1.7943</v>
      </c>
      <c r="X11" s="99">
        <v>90</v>
      </c>
      <c r="Y11" s="99" t="s">
        <v>443</v>
      </c>
      <c r="Z11" s="99">
        <v>0.96592999999999996</v>
      </c>
      <c r="AA11" s="99">
        <v>6.6989999999999994E-2</v>
      </c>
      <c r="AB11" s="99">
        <v>-0.25</v>
      </c>
      <c r="AC11" s="99">
        <v>1.6E-2</v>
      </c>
      <c r="AD11" s="99">
        <f>((-H11*COS(RADIANS(X11)))-(0*SIN(RADIANS(X11))))</f>
        <v>1.0991419363212684E-16</v>
      </c>
      <c r="AE11" s="99">
        <f>((0*COS(RADIANS(X11)))+(-H11*SIN(RADIANS(X11))))</f>
        <v>1.7943</v>
      </c>
      <c r="AF11" s="138">
        <f>L11</f>
        <v>0.1065</v>
      </c>
    </row>
    <row r="12" spans="1:32" x14ac:dyDescent="0.25">
      <c r="A12" s="111" t="s">
        <v>955</v>
      </c>
      <c r="B12" s="112">
        <v>0</v>
      </c>
      <c r="C12" s="105">
        <v>2.9912202380952381E-3</v>
      </c>
      <c r="D12" s="105">
        <v>180.90899999999999</v>
      </c>
      <c r="E12" s="105">
        <v>0</v>
      </c>
      <c r="F12" s="105">
        <v>0</v>
      </c>
      <c r="G12" s="105">
        <v>180</v>
      </c>
      <c r="H12" s="105">
        <v>-2.6175000000000002</v>
      </c>
      <c r="I12" s="105">
        <v>-8.4573758471545915E-15</v>
      </c>
      <c r="J12" s="113">
        <v>-4.6174999999999997</v>
      </c>
      <c r="K12" s="114">
        <v>0</v>
      </c>
      <c r="L12" s="115">
        <v>0.1008</v>
      </c>
      <c r="M12" s="105">
        <v>0</v>
      </c>
      <c r="N12" s="105">
        <v>1</v>
      </c>
      <c r="O12" s="105">
        <v>1.1000000000000001</v>
      </c>
      <c r="P12" s="105">
        <v>12.000000000000455</v>
      </c>
      <c r="Q12" s="113">
        <v>26.6419</v>
      </c>
      <c r="R12" s="114">
        <v>0.28549999999999998</v>
      </c>
      <c r="S12" s="115">
        <v>0.29649999999999999</v>
      </c>
      <c r="T12" s="99">
        <v>26.6419</v>
      </c>
      <c r="U12" s="99">
        <v>15.6244</v>
      </c>
      <c r="V12" s="99">
        <v>-0.1008</v>
      </c>
      <c r="W12" s="99">
        <v>2.6175000000000002</v>
      </c>
      <c r="X12" s="99">
        <v>89.090999999999994</v>
      </c>
      <c r="Y12" s="99" t="s">
        <v>956</v>
      </c>
      <c r="Z12" s="99">
        <v>0.96101000000000003</v>
      </c>
      <c r="AA12" s="99">
        <v>-0.13603000000000001</v>
      </c>
      <c r="AB12" s="99">
        <v>-0.24073</v>
      </c>
      <c r="AC12" s="99">
        <v>1.6E-2</v>
      </c>
      <c r="AD12" s="99">
        <f>((-H12*COS(RADIANS(X12)))-(0*SIN(RADIANS(X12))))</f>
        <v>4.1525007770028946E-2</v>
      </c>
      <c r="AE12" s="99">
        <f>((0*COS(RADIANS(X12)))+(-H12*SIN(RADIANS(X12))))</f>
        <v>2.6171705950758541</v>
      </c>
      <c r="AF12" s="138">
        <f>L12</f>
        <v>0.1008</v>
      </c>
    </row>
    <row r="13" spans="1:32" x14ac:dyDescent="0.25">
      <c r="A13" s="111" t="s">
        <v>965</v>
      </c>
      <c r="B13" s="112">
        <v>0</v>
      </c>
      <c r="C13" s="105">
        <v>3.0076785714285717E-3</v>
      </c>
      <c r="D13" s="105">
        <v>181.90440000000001</v>
      </c>
      <c r="E13" s="105">
        <v>0</v>
      </c>
      <c r="F13" s="105">
        <v>0</v>
      </c>
      <c r="G13" s="105">
        <v>180</v>
      </c>
      <c r="H13" s="105">
        <v>-3.2848999999999999</v>
      </c>
      <c r="I13" s="105">
        <v>-1.0613804745107208E-14</v>
      </c>
      <c r="J13" s="113">
        <v>-5.2849000000000004</v>
      </c>
      <c r="K13" s="114">
        <v>0</v>
      </c>
      <c r="L13" s="115">
        <v>0.52470000000000006</v>
      </c>
      <c r="M13" s="105">
        <v>0</v>
      </c>
      <c r="N13" s="105">
        <v>1</v>
      </c>
      <c r="O13" s="105">
        <v>1.1000000000000001</v>
      </c>
      <c r="P13" s="105">
        <v>17.999999999998906</v>
      </c>
      <c r="Q13" s="113">
        <v>56.997300000000003</v>
      </c>
      <c r="R13" s="114">
        <v>0.28129999999999999</v>
      </c>
      <c r="S13" s="115">
        <v>0.29649999999999999</v>
      </c>
      <c r="T13" s="99">
        <v>56.997300000000003</v>
      </c>
      <c r="U13" s="99">
        <v>18.411100000000001</v>
      </c>
      <c r="V13" s="99">
        <v>-0.52470000000000006</v>
      </c>
      <c r="W13" s="99">
        <v>3.2848999999999999</v>
      </c>
      <c r="X13" s="99">
        <v>88.095600000000005</v>
      </c>
      <c r="Y13" s="99" t="s">
        <v>966</v>
      </c>
      <c r="Z13" s="99">
        <v>0.93949000000000005</v>
      </c>
      <c r="AA13" s="99">
        <v>-0.29626000000000002</v>
      </c>
      <c r="AB13" s="99">
        <v>-0.17202999999999999</v>
      </c>
      <c r="AC13" s="99">
        <v>1.6E-2</v>
      </c>
      <c r="AD13" s="99">
        <f>((-H13*COS(RADIANS(X13)))-(0*SIN(RADIANS(X13))))</f>
        <v>0.10916356868796762</v>
      </c>
      <c r="AE13" s="99">
        <f>((0*COS(RADIANS(X13)))+(-H13*SIN(RADIANS(X13))))</f>
        <v>3.2830856408676437</v>
      </c>
      <c r="AF13" s="138">
        <f>L13</f>
        <v>0.52470000000000006</v>
      </c>
    </row>
    <row r="14" spans="1:32" x14ac:dyDescent="0.25">
      <c r="A14" s="111" t="s">
        <v>975</v>
      </c>
      <c r="B14" s="112">
        <v>0</v>
      </c>
      <c r="C14" s="105">
        <v>3.0169510582010585E-3</v>
      </c>
      <c r="D14" s="105">
        <v>182.46520000000001</v>
      </c>
      <c r="E14" s="105">
        <v>0</v>
      </c>
      <c r="F14" s="105">
        <v>0</v>
      </c>
      <c r="G14" s="105">
        <v>180</v>
      </c>
      <c r="H14" s="105">
        <v>-3.6240999999999999</v>
      </c>
      <c r="I14" s="105">
        <v>-1.1709790184402274E-14</v>
      </c>
      <c r="J14" s="113">
        <v>-5.6241000000000003</v>
      </c>
      <c r="K14" s="114">
        <v>0</v>
      </c>
      <c r="L14" s="115">
        <v>1.2188000000000001</v>
      </c>
      <c r="M14" s="105">
        <v>0</v>
      </c>
      <c r="N14" s="105">
        <v>1</v>
      </c>
      <c r="O14" s="105">
        <v>1.1000000000000001</v>
      </c>
      <c r="P14" s="105">
        <v>24.000000000000909</v>
      </c>
      <c r="Q14" s="113">
        <v>74.941299999999998</v>
      </c>
      <c r="R14" s="114">
        <v>0.26569999999999999</v>
      </c>
      <c r="S14" s="115">
        <v>0.29649999999999999</v>
      </c>
      <c r="T14" s="99">
        <v>74.941299999999998</v>
      </c>
      <c r="U14" s="99">
        <v>26.340699999999998</v>
      </c>
      <c r="V14" s="99">
        <v>-1.2188000000000001</v>
      </c>
      <c r="W14" s="99">
        <v>3.6240999999999999</v>
      </c>
      <c r="X14" s="99">
        <v>87.534800000000004</v>
      </c>
      <c r="Y14" s="99" t="s">
        <v>976</v>
      </c>
      <c r="Z14" s="99">
        <v>0.87690999999999997</v>
      </c>
      <c r="AA14" s="99">
        <v>-0.46661999999999998</v>
      </c>
      <c r="AB14" s="99">
        <v>-0.11527999999999999</v>
      </c>
      <c r="AC14" s="99">
        <v>1.6E-2</v>
      </c>
      <c r="AD14" s="99">
        <f>((-H14*COS(RADIANS(X14)))-(0*SIN(RADIANS(X14))))</f>
        <v>0.15588190155483625</v>
      </c>
      <c r="AE14" s="99">
        <f>((0*COS(RADIANS(X14)))+(-H14*SIN(RADIANS(X14))))</f>
        <v>3.6207460063870331</v>
      </c>
      <c r="AF14" s="138">
        <f>L14</f>
        <v>1.2188000000000001</v>
      </c>
    </row>
    <row r="15" spans="1:32" x14ac:dyDescent="0.25">
      <c r="A15" s="111" t="s">
        <v>985</v>
      </c>
      <c r="B15" s="112">
        <v>0</v>
      </c>
      <c r="C15" s="105">
        <v>3.0198677248677252E-3</v>
      </c>
      <c r="D15" s="105">
        <v>182.64160000000001</v>
      </c>
      <c r="E15" s="105">
        <v>0</v>
      </c>
      <c r="F15" s="105">
        <v>0</v>
      </c>
      <c r="G15" s="105">
        <v>180</v>
      </c>
      <c r="H15" s="105">
        <v>-3.6829999999999998</v>
      </c>
      <c r="I15" s="105">
        <v>-1.1900101335270433E-14</v>
      </c>
      <c r="J15" s="113">
        <v>-5.6829999999999998</v>
      </c>
      <c r="K15" s="114">
        <v>0</v>
      </c>
      <c r="L15" s="115">
        <v>2.004</v>
      </c>
      <c r="M15" s="105">
        <v>0</v>
      </c>
      <c r="N15" s="105">
        <v>1</v>
      </c>
      <c r="O15" s="105">
        <v>1.1000000000000001</v>
      </c>
      <c r="P15" s="105">
        <v>29.999999999999361</v>
      </c>
      <c r="Q15" s="113">
        <v>90</v>
      </c>
      <c r="R15" s="114">
        <v>0.25679999999999997</v>
      </c>
      <c r="S15" s="115">
        <v>0.29649999999999999</v>
      </c>
      <c r="T15" s="99">
        <v>90</v>
      </c>
      <c r="U15" s="99">
        <v>30</v>
      </c>
      <c r="V15" s="99">
        <v>-2.004</v>
      </c>
      <c r="W15" s="99">
        <v>3.6829999999999998</v>
      </c>
      <c r="X15" s="99">
        <v>87.358400000000003</v>
      </c>
      <c r="Y15" s="99" t="s">
        <v>986</v>
      </c>
      <c r="Z15" s="99">
        <v>0.84206000000000003</v>
      </c>
      <c r="AA15" s="99">
        <v>-0.53937999999999997</v>
      </c>
      <c r="AB15" s="99">
        <v>0</v>
      </c>
      <c r="AC15" s="99">
        <v>1.6E-2</v>
      </c>
      <c r="AD15" s="99">
        <f>((-H15*COS(RADIANS(X15)))-(0*SIN(RADIANS(X15))))</f>
        <v>0.16974315605864926</v>
      </c>
      <c r="AE15" s="99">
        <f>((0*COS(RADIANS(X15)))+(-H15*SIN(RADIANS(X15))))</f>
        <v>3.6790863350798455</v>
      </c>
      <c r="AF15" s="138">
        <f>L15</f>
        <v>2.004</v>
      </c>
    </row>
    <row r="16" spans="1:32" x14ac:dyDescent="0.25">
      <c r="A16" s="111" t="s">
        <v>434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-0.34472000000000003</v>
      </c>
      <c r="I16" s="105">
        <v>0</v>
      </c>
      <c r="J16" s="113">
        <v>-2.3447</v>
      </c>
      <c r="K16" s="114">
        <v>0</v>
      </c>
      <c r="L16" s="115">
        <v>0.50049999999999994</v>
      </c>
      <c r="M16" s="105">
        <v>0</v>
      </c>
      <c r="N16" s="105">
        <v>1</v>
      </c>
      <c r="O16" s="105">
        <v>1.2</v>
      </c>
      <c r="P16" s="105">
        <v>1.0000000000012221</v>
      </c>
      <c r="Q16" s="113">
        <v>-15</v>
      </c>
      <c r="R16" s="114">
        <v>0.29370000000000002</v>
      </c>
      <c r="S16" s="115">
        <v>0.3125</v>
      </c>
      <c r="T16" s="99">
        <v>-15</v>
      </c>
      <c r="U16" s="99">
        <v>20</v>
      </c>
      <c r="V16" s="99">
        <v>-0.50048999999999999</v>
      </c>
      <c r="W16" s="99">
        <v>0.34472000000000003</v>
      </c>
      <c r="X16" s="99">
        <v>90</v>
      </c>
      <c r="Y16" s="99" t="s">
        <v>435</v>
      </c>
    </row>
    <row r="17" spans="1:32" x14ac:dyDescent="0.25">
      <c r="A17" s="111" t="s">
        <v>648</v>
      </c>
      <c r="B17" s="112">
        <v>0</v>
      </c>
      <c r="C17" s="105">
        <v>2.976190476190476E-3</v>
      </c>
      <c r="D17" s="105">
        <v>180</v>
      </c>
      <c r="E17" s="105">
        <v>0</v>
      </c>
      <c r="F17" s="105">
        <v>0</v>
      </c>
      <c r="G17" s="105">
        <v>180</v>
      </c>
      <c r="H17" s="105">
        <v>-1.07037</v>
      </c>
      <c r="I17" s="105">
        <v>0</v>
      </c>
      <c r="J17" s="113">
        <v>-3.0704000000000002</v>
      </c>
      <c r="K17" s="114">
        <v>0</v>
      </c>
      <c r="L17" s="115">
        <v>0.30470000000000003</v>
      </c>
      <c r="M17" s="105">
        <v>0</v>
      </c>
      <c r="N17" s="105">
        <v>1</v>
      </c>
      <c r="O17" s="105">
        <v>1.2</v>
      </c>
      <c r="P17" s="105">
        <v>4.0000000000013358</v>
      </c>
      <c r="Q17" s="113">
        <v>-15</v>
      </c>
      <c r="R17" s="114">
        <v>0.3019</v>
      </c>
      <c r="S17" s="115">
        <v>0.3125</v>
      </c>
      <c r="T17" s="99">
        <v>-15</v>
      </c>
      <c r="U17" s="99">
        <v>15</v>
      </c>
      <c r="V17" s="99">
        <v>-0.30470000000000003</v>
      </c>
      <c r="W17" s="99">
        <v>1.07037</v>
      </c>
      <c r="X17" s="99">
        <v>90</v>
      </c>
      <c r="Y17" s="99" t="s">
        <v>649</v>
      </c>
    </row>
    <row r="18" spans="1:32" x14ac:dyDescent="0.25">
      <c r="A18" s="111" t="s">
        <v>444</v>
      </c>
      <c r="B18" s="112">
        <v>0</v>
      </c>
      <c r="C18" s="105">
        <v>2.976190476190476E-3</v>
      </c>
      <c r="D18" s="105">
        <v>180</v>
      </c>
      <c r="E18" s="105">
        <v>0</v>
      </c>
      <c r="F18" s="105">
        <v>0</v>
      </c>
      <c r="G18" s="105">
        <v>180</v>
      </c>
      <c r="H18" s="105">
        <v>-1.7953699999999999</v>
      </c>
      <c r="I18" s="105">
        <v>0</v>
      </c>
      <c r="J18" s="113">
        <v>-3.7953999999999999</v>
      </c>
      <c r="K18" s="114">
        <v>0</v>
      </c>
      <c r="L18" s="115">
        <v>0.1105</v>
      </c>
      <c r="M18" s="105">
        <v>0</v>
      </c>
      <c r="N18" s="105">
        <v>1</v>
      </c>
      <c r="O18" s="105">
        <v>1.2</v>
      </c>
      <c r="P18" s="105">
        <v>6.9999999999996732</v>
      </c>
      <c r="Q18" s="113">
        <v>-15</v>
      </c>
      <c r="R18" s="114">
        <v>0.3019</v>
      </c>
      <c r="S18" s="115">
        <v>0.3125</v>
      </c>
      <c r="T18" s="99">
        <v>-15</v>
      </c>
      <c r="U18" s="99">
        <v>15</v>
      </c>
      <c r="V18" s="99">
        <v>-0.1105</v>
      </c>
      <c r="W18" s="99">
        <v>1.7953699999999999</v>
      </c>
      <c r="X18" s="99">
        <v>90</v>
      </c>
      <c r="Y18" s="99" t="s">
        <v>445</v>
      </c>
    </row>
    <row r="19" spans="1:32" x14ac:dyDescent="0.25">
      <c r="A19" s="111" t="s">
        <v>957</v>
      </c>
      <c r="B19" s="112">
        <v>0</v>
      </c>
      <c r="C19" s="105">
        <v>2.9912202380952381E-3</v>
      </c>
      <c r="D19" s="105">
        <v>180.90899999999999</v>
      </c>
      <c r="E19" s="105">
        <v>0</v>
      </c>
      <c r="F19" s="105">
        <v>0</v>
      </c>
      <c r="G19" s="105">
        <v>180</v>
      </c>
      <c r="H19" s="105">
        <v>-2.6153200000000001</v>
      </c>
      <c r="I19" s="105">
        <v>0</v>
      </c>
      <c r="J19" s="113">
        <v>-4.6152999999999995</v>
      </c>
      <c r="K19" s="114">
        <v>0</v>
      </c>
      <c r="L19" s="115">
        <v>0.1046</v>
      </c>
      <c r="M19" s="105">
        <v>0</v>
      </c>
      <c r="N19" s="105">
        <v>1</v>
      </c>
      <c r="O19" s="105">
        <v>1.2</v>
      </c>
      <c r="P19" s="105">
        <v>12.000000000000455</v>
      </c>
      <c r="Q19" s="113">
        <v>26.6419</v>
      </c>
      <c r="R19" s="114">
        <v>0.30099999999999999</v>
      </c>
      <c r="S19" s="115">
        <v>0.3125</v>
      </c>
      <c r="T19" s="99">
        <v>26.6419</v>
      </c>
      <c r="U19" s="99">
        <v>15.6244</v>
      </c>
      <c r="V19" s="99">
        <v>-0.10465000000000001</v>
      </c>
      <c r="W19" s="99">
        <v>2.6153200000000001</v>
      </c>
      <c r="X19" s="99">
        <v>89.090999999999994</v>
      </c>
      <c r="Y19" s="99" t="s">
        <v>958</v>
      </c>
    </row>
    <row r="20" spans="1:32" x14ac:dyDescent="0.25">
      <c r="A20" s="111" t="s">
        <v>967</v>
      </c>
      <c r="B20" s="112">
        <v>0</v>
      </c>
      <c r="C20" s="105">
        <v>3.0076785714285717E-3</v>
      </c>
      <c r="D20" s="105">
        <v>181.90440000000001</v>
      </c>
      <c r="E20" s="105">
        <v>0</v>
      </c>
      <c r="F20" s="105">
        <v>0</v>
      </c>
      <c r="G20" s="105">
        <v>180</v>
      </c>
      <c r="H20" s="105">
        <v>-3.28016</v>
      </c>
      <c r="I20" s="105">
        <v>0</v>
      </c>
      <c r="J20" s="113">
        <v>-5.2801999999999998</v>
      </c>
      <c r="K20" s="114">
        <v>0</v>
      </c>
      <c r="L20" s="115">
        <v>0.52739999999999998</v>
      </c>
      <c r="M20" s="105">
        <v>0</v>
      </c>
      <c r="N20" s="105">
        <v>1</v>
      </c>
      <c r="O20" s="105">
        <v>1.2</v>
      </c>
      <c r="P20" s="105">
        <v>17.999999999998906</v>
      </c>
      <c r="Q20" s="113">
        <v>56.997300000000003</v>
      </c>
      <c r="R20" s="114">
        <v>0.29649999999999999</v>
      </c>
      <c r="S20" s="115">
        <v>0.3125</v>
      </c>
      <c r="T20" s="99">
        <v>56.997300000000003</v>
      </c>
      <c r="U20" s="99">
        <v>18.411100000000001</v>
      </c>
      <c r="V20" s="99">
        <v>-0.52744999999999997</v>
      </c>
      <c r="W20" s="99">
        <v>3.28016</v>
      </c>
      <c r="X20" s="99">
        <v>88.095600000000005</v>
      </c>
      <c r="Y20" s="99" t="s">
        <v>968</v>
      </c>
    </row>
    <row r="21" spans="1:32" x14ac:dyDescent="0.25">
      <c r="A21" s="111" t="s">
        <v>977</v>
      </c>
      <c r="B21" s="112">
        <v>0</v>
      </c>
      <c r="C21" s="105">
        <v>3.0169510582010585E-3</v>
      </c>
      <c r="D21" s="105">
        <v>182.46520000000001</v>
      </c>
      <c r="E21" s="105">
        <v>0</v>
      </c>
      <c r="F21" s="105">
        <v>0</v>
      </c>
      <c r="G21" s="105">
        <v>180</v>
      </c>
      <c r="H21" s="105">
        <v>-3.6166299999999998</v>
      </c>
      <c r="I21" s="105">
        <v>0</v>
      </c>
      <c r="J21" s="113">
        <v>-5.6166</v>
      </c>
      <c r="K21" s="114">
        <v>0</v>
      </c>
      <c r="L21" s="115">
        <v>1.2205999999999999</v>
      </c>
      <c r="M21" s="105">
        <v>0</v>
      </c>
      <c r="N21" s="105">
        <v>1</v>
      </c>
      <c r="O21" s="105">
        <v>1.2</v>
      </c>
      <c r="P21" s="105">
        <v>24.000000000000909</v>
      </c>
      <c r="Q21" s="113">
        <v>74.941299999999998</v>
      </c>
      <c r="R21" s="114">
        <v>0.28010000000000002</v>
      </c>
      <c r="S21" s="115">
        <v>0.3125</v>
      </c>
      <c r="T21" s="99">
        <v>74.941299999999998</v>
      </c>
      <c r="U21" s="99">
        <v>26.340699999999998</v>
      </c>
      <c r="V21" s="99">
        <v>-1.2206399999999999</v>
      </c>
      <c r="W21" s="99">
        <v>3.6166299999999998</v>
      </c>
      <c r="X21" s="99">
        <v>87.534800000000004</v>
      </c>
      <c r="Y21" s="99" t="s">
        <v>978</v>
      </c>
    </row>
    <row r="22" spans="1:32" x14ac:dyDescent="0.25">
      <c r="A22" s="111" t="s">
        <v>987</v>
      </c>
      <c r="B22" s="112">
        <v>0</v>
      </c>
      <c r="C22" s="105">
        <v>3.0198677248677252E-3</v>
      </c>
      <c r="D22" s="105">
        <v>182.64160000000001</v>
      </c>
      <c r="E22" s="105">
        <v>0</v>
      </c>
      <c r="F22" s="105">
        <v>0</v>
      </c>
      <c r="G22" s="105">
        <v>180</v>
      </c>
      <c r="H22" s="105">
        <v>-3.6743700000000001</v>
      </c>
      <c r="I22" s="105">
        <v>0</v>
      </c>
      <c r="J22" s="113">
        <v>-5.6744000000000003</v>
      </c>
      <c r="K22" s="114">
        <v>0</v>
      </c>
      <c r="L22" s="115">
        <v>2.004</v>
      </c>
      <c r="M22" s="105">
        <v>0</v>
      </c>
      <c r="N22" s="105">
        <v>1</v>
      </c>
      <c r="O22" s="105">
        <v>1.2</v>
      </c>
      <c r="P22" s="105">
        <v>29.999999999999361</v>
      </c>
      <c r="Q22" s="113">
        <v>90</v>
      </c>
      <c r="R22" s="114">
        <v>0.27060000000000001</v>
      </c>
      <c r="S22" s="115">
        <v>0.3125</v>
      </c>
      <c r="T22" s="99">
        <v>90</v>
      </c>
      <c r="U22" s="99">
        <v>30</v>
      </c>
      <c r="V22" s="99">
        <v>-2.004</v>
      </c>
      <c r="W22" s="99">
        <v>3.6743700000000001</v>
      </c>
      <c r="X22" s="99">
        <v>87.358400000000003</v>
      </c>
      <c r="Y22" s="99" t="s">
        <v>988</v>
      </c>
    </row>
    <row r="23" spans="1:32" x14ac:dyDescent="0.25">
      <c r="A23" s="111" t="s">
        <v>995</v>
      </c>
      <c r="B23" s="112">
        <v>0</v>
      </c>
      <c r="C23" s="105">
        <v>4.0630373677248682E-3</v>
      </c>
      <c r="D23" s="105">
        <v>245.73250000000002</v>
      </c>
      <c r="E23" s="105">
        <v>0</v>
      </c>
      <c r="F23" s="105">
        <v>0</v>
      </c>
      <c r="G23" s="105">
        <v>180</v>
      </c>
      <c r="H23" s="105">
        <v>-2.4823</v>
      </c>
      <c r="I23" s="105">
        <v>-8.0205325942280204E-15</v>
      </c>
      <c r="J23" s="113">
        <v>-4.4823000000000004</v>
      </c>
      <c r="K23" s="114">
        <v>0</v>
      </c>
      <c r="L23" s="115">
        <v>6.8099999999999994E-2</v>
      </c>
      <c r="M23" s="105">
        <v>0</v>
      </c>
      <c r="N23" s="105">
        <v>2</v>
      </c>
      <c r="O23" s="105">
        <v>1.1000000000000001</v>
      </c>
      <c r="P23" s="105">
        <v>11.000000000002785</v>
      </c>
      <c r="Q23" s="113">
        <v>22.7378</v>
      </c>
      <c r="R23" s="114">
        <v>0.28570000000000001</v>
      </c>
      <c r="S23" s="115">
        <v>0.29649999999999999</v>
      </c>
      <c r="T23" s="99">
        <v>22.7378</v>
      </c>
      <c r="U23" s="99">
        <v>15.4794</v>
      </c>
      <c r="V23" s="99">
        <v>-6.8099999999999994E-2</v>
      </c>
      <c r="W23" s="99">
        <v>2.4823</v>
      </c>
      <c r="X23" s="99">
        <v>24.267499999999984</v>
      </c>
      <c r="Y23" s="99" t="s">
        <v>996</v>
      </c>
      <c r="Z23" s="99">
        <v>0.30204999999999999</v>
      </c>
      <c r="AA23" s="99">
        <v>-0.92096999999999996</v>
      </c>
      <c r="AB23" s="99">
        <v>-0.24615000000000001</v>
      </c>
      <c r="AC23" s="99">
        <v>1.6E-2</v>
      </c>
      <c r="AD23" s="99">
        <f>((-H23*COS(RADIANS(X23)))-(0*SIN(RADIANS(X23))))</f>
        <v>2.2629554182807792</v>
      </c>
      <c r="AE23" s="99">
        <f>((0*COS(RADIANS(X23)))+(-H23*SIN(RADIANS(X23))))</f>
        <v>1.0202186358196281</v>
      </c>
      <c r="AF23" s="138">
        <f>L23</f>
        <v>6.8099999999999994E-2</v>
      </c>
    </row>
    <row r="24" spans="1:32" x14ac:dyDescent="0.25">
      <c r="A24" s="111" t="s">
        <v>1005</v>
      </c>
      <c r="B24" s="112">
        <v>0</v>
      </c>
      <c r="C24" s="105">
        <v>4.0799570105820113E-3</v>
      </c>
      <c r="D24" s="105">
        <v>246.75580000000005</v>
      </c>
      <c r="E24" s="105">
        <v>0</v>
      </c>
      <c r="F24" s="105">
        <v>0</v>
      </c>
      <c r="G24" s="105">
        <v>180.00000000000003</v>
      </c>
      <c r="H24" s="105">
        <v>-3.1918000000000002</v>
      </c>
      <c r="I24" s="105">
        <v>-8.8955464053484318E-15</v>
      </c>
      <c r="J24" s="113">
        <v>-5.1918000000000006</v>
      </c>
      <c r="K24" s="114">
        <v>0</v>
      </c>
      <c r="L24" s="115">
        <v>0.4299</v>
      </c>
      <c r="M24" s="105">
        <v>0</v>
      </c>
      <c r="N24" s="105">
        <v>2</v>
      </c>
      <c r="O24" s="105">
        <v>1.1000000000000001</v>
      </c>
      <c r="P24" s="105">
        <v>17.000000000003013</v>
      </c>
      <c r="Q24" s="113">
        <v>53.366999999999997</v>
      </c>
      <c r="R24" s="114">
        <v>0.28299999999999997</v>
      </c>
      <c r="S24" s="115">
        <v>0.29649999999999999</v>
      </c>
      <c r="T24" s="99">
        <v>53.366999999999997</v>
      </c>
      <c r="U24" s="99">
        <v>17.347000000000001</v>
      </c>
      <c r="V24" s="99">
        <v>-0.4299</v>
      </c>
      <c r="W24" s="99">
        <v>3.1918000000000002</v>
      </c>
      <c r="X24" s="99">
        <v>23.244199999999978</v>
      </c>
      <c r="Y24" s="99" t="s">
        <v>1006</v>
      </c>
      <c r="Z24" s="99">
        <v>0.15686</v>
      </c>
      <c r="AA24" s="99">
        <v>-0.97146999999999994</v>
      </c>
      <c r="AB24" s="99">
        <v>-0.17791000000000001</v>
      </c>
      <c r="AC24" s="99">
        <v>1.6E-2</v>
      </c>
      <c r="AD24" s="99">
        <f>((-H24*COS(RADIANS(X24)))-(0*SIN(RADIANS(X24))))</f>
        <v>2.9327253124636874</v>
      </c>
      <c r="AE24" s="99">
        <f>((0*COS(RADIANS(X24)))+(-H24*SIN(RADIANS(X24))))</f>
        <v>1.2596465701278146</v>
      </c>
      <c r="AF24" s="138">
        <f>L24</f>
        <v>0.4299</v>
      </c>
    </row>
    <row r="25" spans="1:32" x14ac:dyDescent="0.25">
      <c r="A25" s="111" t="s">
        <v>1015</v>
      </c>
      <c r="B25" s="112">
        <v>0</v>
      </c>
      <c r="C25" s="105">
        <v>4.0909738756613754E-3</v>
      </c>
      <c r="D25" s="105">
        <v>247.42209999999997</v>
      </c>
      <c r="E25" s="105">
        <v>0</v>
      </c>
      <c r="F25" s="105">
        <v>0</v>
      </c>
      <c r="G25" s="105">
        <v>179.99999999999997</v>
      </c>
      <c r="H25" s="105">
        <v>-3.5985999999999998</v>
      </c>
      <c r="I25" s="105">
        <v>-1.3225496841672648E-14</v>
      </c>
      <c r="J25" s="113">
        <v>-5.5985999999999994</v>
      </c>
      <c r="K25" s="114">
        <v>0</v>
      </c>
      <c r="L25" s="115">
        <v>1.0918000000000001</v>
      </c>
      <c r="M25" s="105">
        <v>0</v>
      </c>
      <c r="N25" s="105">
        <v>2</v>
      </c>
      <c r="O25" s="105">
        <v>1.1000000000000001</v>
      </c>
      <c r="P25" s="105">
        <v>22.999999999999687</v>
      </c>
      <c r="Q25" s="113">
        <v>71.813100000000006</v>
      </c>
      <c r="R25" s="114">
        <v>0.26790000000000003</v>
      </c>
      <c r="S25" s="115">
        <v>0.29649999999999999</v>
      </c>
      <c r="T25" s="99">
        <v>71.813100000000006</v>
      </c>
      <c r="U25" s="99">
        <v>25.367699999999999</v>
      </c>
      <c r="V25" s="99">
        <v>-1.0918000000000001</v>
      </c>
      <c r="W25" s="99">
        <v>3.5985999999999998</v>
      </c>
      <c r="X25" s="99">
        <v>22.5779</v>
      </c>
      <c r="Y25" s="99" t="s">
        <v>1016</v>
      </c>
      <c r="Z25" s="99">
        <v>-2.8910000000000002E-2</v>
      </c>
      <c r="AA25" s="99">
        <v>-0.99060000000000004</v>
      </c>
      <c r="AB25" s="99">
        <v>-0.13372000000000001</v>
      </c>
      <c r="AC25" s="99">
        <v>1.6E-2</v>
      </c>
      <c r="AD25" s="99">
        <f>((-H25*COS(RADIANS(X25)))-(0*SIN(RADIANS(X25))))</f>
        <v>3.3227974589461775</v>
      </c>
      <c r="AE25" s="99">
        <f>((0*COS(RADIANS(X25)))+(-H25*SIN(RADIANS(X25))))</f>
        <v>1.3816435889261831</v>
      </c>
      <c r="AF25" s="138">
        <f>L25</f>
        <v>1.0918000000000001</v>
      </c>
    </row>
    <row r="26" spans="1:32" x14ac:dyDescent="0.25">
      <c r="A26" s="111" t="s">
        <v>1025</v>
      </c>
      <c r="B26" s="112">
        <v>0</v>
      </c>
      <c r="C26" s="105">
        <v>4.0946031746031744E-3</v>
      </c>
      <c r="D26" s="105">
        <v>247.64159999999998</v>
      </c>
      <c r="E26" s="105">
        <v>0</v>
      </c>
      <c r="F26" s="105">
        <v>0</v>
      </c>
      <c r="G26" s="105">
        <v>180</v>
      </c>
      <c r="H26" s="105">
        <v>-3.6829999999999998</v>
      </c>
      <c r="I26" s="105">
        <v>-1.1900101335270433E-14</v>
      </c>
      <c r="J26" s="113">
        <v>-5.6829999999999998</v>
      </c>
      <c r="K26" s="114">
        <v>0</v>
      </c>
      <c r="L26" s="115">
        <v>1.8859999999999999</v>
      </c>
      <c r="M26" s="105">
        <v>0</v>
      </c>
      <c r="N26" s="105">
        <v>2</v>
      </c>
      <c r="O26" s="105">
        <v>1.1000000000000001</v>
      </c>
      <c r="P26" s="105">
        <v>28.999999999999915</v>
      </c>
      <c r="Q26" s="113">
        <v>90</v>
      </c>
      <c r="R26" s="114">
        <v>0.25679999999999997</v>
      </c>
      <c r="S26" s="115">
        <v>0.29649999999999999</v>
      </c>
      <c r="T26" s="99">
        <v>90</v>
      </c>
      <c r="U26" s="99">
        <v>30</v>
      </c>
      <c r="V26" s="99">
        <v>-1.8859999999999999</v>
      </c>
      <c r="W26" s="99">
        <v>3.6829999999999998</v>
      </c>
      <c r="X26" s="99">
        <v>22.358400000000017</v>
      </c>
      <c r="Y26" s="99" t="s">
        <v>1026</v>
      </c>
      <c r="Z26" s="99">
        <v>-0.13297999999999999</v>
      </c>
      <c r="AA26" s="99">
        <v>-0.99112</v>
      </c>
      <c r="AB26" s="99">
        <v>0</v>
      </c>
      <c r="AC26" s="99">
        <v>1.6E-2</v>
      </c>
      <c r="AD26" s="99">
        <f>((-H26*COS(RADIANS(X26)))-(0*SIN(RADIANS(X26))))</f>
        <v>3.4061211522188795</v>
      </c>
      <c r="AE26" s="99">
        <f>((0*COS(RADIANS(X26)))+(-H26*SIN(RADIANS(X26))))</f>
        <v>1.4010095275932744</v>
      </c>
      <c r="AF26" s="138">
        <f>L26</f>
        <v>1.8859999999999999</v>
      </c>
    </row>
    <row r="27" spans="1:32" x14ac:dyDescent="0.25">
      <c r="A27" s="111" t="s">
        <v>997</v>
      </c>
      <c r="B27" s="112">
        <v>0</v>
      </c>
      <c r="C27" s="105">
        <v>4.0630373677248682E-3</v>
      </c>
      <c r="D27" s="105">
        <v>245.73250000000002</v>
      </c>
      <c r="E27" s="105">
        <v>0</v>
      </c>
      <c r="F27" s="105">
        <v>0</v>
      </c>
      <c r="G27" s="105">
        <v>180</v>
      </c>
      <c r="H27" s="105">
        <v>-2.4804499999999998</v>
      </c>
      <c r="I27" s="105">
        <v>0</v>
      </c>
      <c r="J27" s="113">
        <v>-4.4803999999999995</v>
      </c>
      <c r="K27" s="114">
        <v>0</v>
      </c>
      <c r="L27" s="115">
        <v>7.1999999999999995E-2</v>
      </c>
      <c r="M27" s="105">
        <v>0</v>
      </c>
      <c r="N27" s="105">
        <v>2</v>
      </c>
      <c r="O27" s="105">
        <v>1.2</v>
      </c>
      <c r="P27" s="105">
        <v>11.000000000002785</v>
      </c>
      <c r="Q27" s="113">
        <v>22.7378</v>
      </c>
      <c r="R27" s="114">
        <v>0.30120000000000002</v>
      </c>
      <c r="S27" s="115">
        <v>0.3125</v>
      </c>
      <c r="T27" s="99">
        <v>22.7378</v>
      </c>
      <c r="U27" s="99">
        <v>15.4794</v>
      </c>
      <c r="V27" s="99">
        <v>-7.2040000000000007E-2</v>
      </c>
      <c r="W27" s="99">
        <v>2.4804499999999998</v>
      </c>
      <c r="X27" s="99">
        <v>24.267499999999984</v>
      </c>
      <c r="Y27" s="99" t="s">
        <v>998</v>
      </c>
    </row>
    <row r="28" spans="1:32" x14ac:dyDescent="0.25">
      <c r="A28" s="111" t="s">
        <v>1007</v>
      </c>
      <c r="B28" s="112">
        <v>0</v>
      </c>
      <c r="C28" s="105">
        <v>4.0799570105820113E-3</v>
      </c>
      <c r="D28" s="105">
        <v>246.75580000000005</v>
      </c>
      <c r="E28" s="105">
        <v>0</v>
      </c>
      <c r="F28" s="105">
        <v>0</v>
      </c>
      <c r="G28" s="105">
        <v>180.00000000000003</v>
      </c>
      <c r="H28" s="105">
        <v>-3.1875100000000001</v>
      </c>
      <c r="I28" s="105">
        <v>0</v>
      </c>
      <c r="J28" s="113">
        <v>-5.1875</v>
      </c>
      <c r="K28" s="114">
        <v>0</v>
      </c>
      <c r="L28" s="115">
        <v>0.43280000000000002</v>
      </c>
      <c r="M28" s="105">
        <v>0</v>
      </c>
      <c r="N28" s="105">
        <v>2</v>
      </c>
      <c r="O28" s="105">
        <v>1.2</v>
      </c>
      <c r="P28" s="105">
        <v>17.000000000003013</v>
      </c>
      <c r="Q28" s="113">
        <v>53.366999999999997</v>
      </c>
      <c r="R28" s="114">
        <v>0.29830000000000001</v>
      </c>
      <c r="S28" s="115">
        <v>0.3125</v>
      </c>
      <c r="T28" s="99">
        <v>53.366999999999997</v>
      </c>
      <c r="U28" s="99">
        <v>17.347000000000001</v>
      </c>
      <c r="V28" s="99">
        <v>-0.43275000000000002</v>
      </c>
      <c r="W28" s="99">
        <v>3.1875100000000001</v>
      </c>
      <c r="X28" s="99">
        <v>23.244199999999978</v>
      </c>
      <c r="Y28" s="99" t="s">
        <v>1008</v>
      </c>
    </row>
    <row r="29" spans="1:32" x14ac:dyDescent="0.25">
      <c r="A29" s="111" t="s">
        <v>1017</v>
      </c>
      <c r="B29" s="112">
        <v>0</v>
      </c>
      <c r="C29" s="105">
        <v>4.0909738756613754E-3</v>
      </c>
      <c r="D29" s="105">
        <v>247.42209999999997</v>
      </c>
      <c r="E29" s="105">
        <v>0</v>
      </c>
      <c r="F29" s="105">
        <v>0</v>
      </c>
      <c r="G29" s="105">
        <v>179.99999999999997</v>
      </c>
      <c r="H29" s="105">
        <v>-3.5914799999999998</v>
      </c>
      <c r="I29" s="105">
        <v>0</v>
      </c>
      <c r="J29" s="113">
        <v>-5.5914999999999999</v>
      </c>
      <c r="K29" s="114">
        <v>0</v>
      </c>
      <c r="L29" s="115">
        <v>1.0939000000000001</v>
      </c>
      <c r="M29" s="105">
        <v>0</v>
      </c>
      <c r="N29" s="105">
        <v>2</v>
      </c>
      <c r="O29" s="105">
        <v>1.2</v>
      </c>
      <c r="P29" s="105">
        <v>22.999999999999687</v>
      </c>
      <c r="Q29" s="113">
        <v>71.813100000000006</v>
      </c>
      <c r="R29" s="114">
        <v>0.28239999999999998</v>
      </c>
      <c r="S29" s="115">
        <v>0.3125</v>
      </c>
      <c r="T29" s="99">
        <v>71.813100000000006</v>
      </c>
      <c r="U29" s="99">
        <v>25.367699999999999</v>
      </c>
      <c r="V29" s="99">
        <v>-1.0939399999999999</v>
      </c>
      <c r="W29" s="99">
        <v>3.5914799999999998</v>
      </c>
      <c r="X29" s="99">
        <v>22.5779</v>
      </c>
      <c r="Y29" s="99" t="s">
        <v>1018</v>
      </c>
    </row>
    <row r="30" spans="1:32" x14ac:dyDescent="0.25">
      <c r="A30" s="111" t="s">
        <v>1027</v>
      </c>
      <c r="B30" s="112">
        <v>0</v>
      </c>
      <c r="C30" s="105">
        <v>4.0946031746031744E-3</v>
      </c>
      <c r="D30" s="105">
        <v>247.64159999999998</v>
      </c>
      <c r="E30" s="105">
        <v>0</v>
      </c>
      <c r="F30" s="105">
        <v>0</v>
      </c>
      <c r="G30" s="105">
        <v>180</v>
      </c>
      <c r="H30" s="105">
        <v>-3.6743700000000001</v>
      </c>
      <c r="I30" s="105">
        <v>0</v>
      </c>
      <c r="J30" s="113">
        <v>-5.6744000000000003</v>
      </c>
      <c r="K30" s="114">
        <v>0</v>
      </c>
      <c r="L30" s="115">
        <v>1.8859999999999999</v>
      </c>
      <c r="M30" s="105">
        <v>0</v>
      </c>
      <c r="N30" s="105">
        <v>2</v>
      </c>
      <c r="O30" s="105">
        <v>1.2</v>
      </c>
      <c r="P30" s="105">
        <v>28.999999999999915</v>
      </c>
      <c r="Q30" s="113">
        <v>90</v>
      </c>
      <c r="R30" s="114">
        <v>0.27060000000000001</v>
      </c>
      <c r="S30" s="115">
        <v>0.3125</v>
      </c>
      <c r="T30" s="99">
        <v>90</v>
      </c>
      <c r="U30" s="99">
        <v>30</v>
      </c>
      <c r="V30" s="99">
        <v>-1.8859999999999999</v>
      </c>
      <c r="W30" s="99">
        <v>3.6743700000000001</v>
      </c>
      <c r="X30" s="99">
        <v>22.358400000000017</v>
      </c>
      <c r="Y30" s="99" t="s">
        <v>1028</v>
      </c>
    </row>
    <row r="31" spans="1:32" x14ac:dyDescent="0.25">
      <c r="A31" s="111" t="s">
        <v>1035</v>
      </c>
      <c r="B31" s="112">
        <v>0</v>
      </c>
      <c r="C31" s="105">
        <v>5.0429894179894177E-3</v>
      </c>
      <c r="D31" s="105">
        <v>305</v>
      </c>
      <c r="E31" s="105">
        <v>0</v>
      </c>
      <c r="F31" s="105">
        <v>0</v>
      </c>
      <c r="G31" s="105">
        <v>180</v>
      </c>
      <c r="H31" s="105">
        <v>-0.82769999999999999</v>
      </c>
      <c r="I31" s="105">
        <v>-2.6743724885157042E-15</v>
      </c>
      <c r="J31" s="113">
        <v>-2.8277000000000001</v>
      </c>
      <c r="K31" s="114">
        <v>0</v>
      </c>
      <c r="L31" s="115">
        <v>0.36549999999999999</v>
      </c>
      <c r="M31" s="105">
        <v>0</v>
      </c>
      <c r="N31" s="105">
        <v>3</v>
      </c>
      <c r="O31" s="105">
        <v>1.1000000000000001</v>
      </c>
      <c r="P31" s="105">
        <v>3.0000000000001137</v>
      </c>
      <c r="Q31" s="113">
        <v>-15</v>
      </c>
      <c r="R31" s="114">
        <v>0.28639999999999999</v>
      </c>
      <c r="S31" s="115">
        <v>0.29649999999999999</v>
      </c>
      <c r="T31" s="99">
        <v>-15</v>
      </c>
      <c r="U31" s="99">
        <v>15</v>
      </c>
      <c r="V31" s="99">
        <v>-0.36549999999999999</v>
      </c>
      <c r="W31" s="99">
        <v>0.82769999999999999</v>
      </c>
      <c r="X31" s="99">
        <v>325</v>
      </c>
      <c r="Y31" s="99" t="s">
        <v>1036</v>
      </c>
      <c r="Z31" s="99">
        <v>-0.49915999999999999</v>
      </c>
      <c r="AA31" s="99">
        <v>-0.82965999999999995</v>
      </c>
      <c r="AB31" s="99">
        <v>-0.25</v>
      </c>
      <c r="AC31" s="99">
        <v>1.6E-2</v>
      </c>
      <c r="AD31" s="99">
        <f>((-H31*COS(RADIANS(X31)))-(0*SIN(RADIANS(X31))))</f>
        <v>0.67801214705799828</v>
      </c>
      <c r="AE31" s="99">
        <f>((0*COS(RADIANS(X31)))+(-H31*SIN(RADIANS(X31))))</f>
        <v>-0.47474921636776118</v>
      </c>
      <c r="AF31" s="138">
        <f>L31</f>
        <v>0.36549999999999999</v>
      </c>
    </row>
    <row r="32" spans="1:32" x14ac:dyDescent="0.25">
      <c r="A32" s="111" t="s">
        <v>1045</v>
      </c>
      <c r="B32" s="112">
        <v>0</v>
      </c>
      <c r="C32" s="105">
        <v>5.0429894179894177E-3</v>
      </c>
      <c r="D32" s="105">
        <v>305</v>
      </c>
      <c r="E32" s="105">
        <v>0</v>
      </c>
      <c r="F32" s="105">
        <v>0</v>
      </c>
      <c r="G32" s="105">
        <v>180</v>
      </c>
      <c r="H32" s="105">
        <v>-1.5526</v>
      </c>
      <c r="I32" s="105">
        <v>-5.016589012528068E-15</v>
      </c>
      <c r="J32" s="113">
        <v>-3.5526</v>
      </c>
      <c r="K32" s="114">
        <v>0</v>
      </c>
      <c r="L32" s="115">
        <v>0.17119999999999999</v>
      </c>
      <c r="M32" s="105">
        <v>0</v>
      </c>
      <c r="N32" s="105">
        <v>3</v>
      </c>
      <c r="O32" s="105">
        <v>1.1000000000000001</v>
      </c>
      <c r="P32" s="105">
        <v>6.0000000000002274</v>
      </c>
      <c r="Q32" s="113">
        <v>-15</v>
      </c>
      <c r="R32" s="114">
        <v>0.28639999999999999</v>
      </c>
      <c r="S32" s="115">
        <v>0.29649999999999999</v>
      </c>
      <c r="T32" s="99">
        <v>-15</v>
      </c>
      <c r="U32" s="99">
        <v>15</v>
      </c>
      <c r="V32" s="99">
        <v>-0.17119999999999999</v>
      </c>
      <c r="W32" s="99">
        <v>1.5526</v>
      </c>
      <c r="X32" s="99">
        <v>325</v>
      </c>
      <c r="Y32" s="99" t="s">
        <v>1046</v>
      </c>
      <c r="Z32" s="99">
        <v>-0.49915999999999999</v>
      </c>
      <c r="AA32" s="99">
        <v>-0.82965999999999995</v>
      </c>
      <c r="AB32" s="99">
        <v>-0.25</v>
      </c>
      <c r="AC32" s="99">
        <v>1.6E-2</v>
      </c>
      <c r="AD32" s="99">
        <f>((-H32*COS(RADIANS(X32)))-(0*SIN(RADIANS(X32))))</f>
        <v>1.2718154639630883</v>
      </c>
      <c r="AE32" s="99">
        <f>((0*COS(RADIANS(X32)))+(-H32*SIN(RADIANS(X32))))</f>
        <v>-0.89053477507863477</v>
      </c>
      <c r="AF32" s="138">
        <f>L32</f>
        <v>0.17119999999999999</v>
      </c>
    </row>
    <row r="33" spans="1:32" x14ac:dyDescent="0.25">
      <c r="A33" s="111" t="s">
        <v>1055</v>
      </c>
      <c r="B33" s="112">
        <v>0</v>
      </c>
      <c r="C33" s="105">
        <v>5.0523313492063489E-3</v>
      </c>
      <c r="D33" s="105">
        <v>305.565</v>
      </c>
      <c r="E33" s="105">
        <v>0</v>
      </c>
      <c r="F33" s="105">
        <v>0</v>
      </c>
      <c r="G33" s="105">
        <v>180</v>
      </c>
      <c r="H33" s="105">
        <v>-2.3447</v>
      </c>
      <c r="I33" s="105">
        <v>-7.5759347273441727E-15</v>
      </c>
      <c r="J33" s="113">
        <v>-4.3446999999999996</v>
      </c>
      <c r="K33" s="114">
        <v>0</v>
      </c>
      <c r="L33" s="115">
        <v>4.8800000000000003E-2</v>
      </c>
      <c r="M33" s="105">
        <v>0</v>
      </c>
      <c r="N33" s="105">
        <v>3</v>
      </c>
      <c r="O33" s="105">
        <v>1.1000000000000001</v>
      </c>
      <c r="P33" s="105">
        <v>9.9999999999980105</v>
      </c>
      <c r="Q33" s="113">
        <v>16.861799999999999</v>
      </c>
      <c r="R33" s="114">
        <v>0.28589999999999999</v>
      </c>
      <c r="S33" s="115">
        <v>0.29649999999999999</v>
      </c>
      <c r="T33" s="99">
        <v>16.861799999999999</v>
      </c>
      <c r="U33" s="99">
        <v>15.3507</v>
      </c>
      <c r="V33" s="99">
        <v>-4.8800000000000003E-2</v>
      </c>
      <c r="W33" s="99">
        <v>2.3447</v>
      </c>
      <c r="X33" s="99">
        <v>324.435</v>
      </c>
      <c r="Y33" s="99" t="s">
        <v>1056</v>
      </c>
      <c r="Z33" s="99">
        <v>-0.62334000000000001</v>
      </c>
      <c r="AA33" s="99">
        <v>-0.73977000000000004</v>
      </c>
      <c r="AB33" s="99">
        <v>-0.25335000000000002</v>
      </c>
      <c r="AC33" s="99">
        <v>1.6E-2</v>
      </c>
      <c r="AD33" s="99">
        <f>((-H33*COS(RADIANS(X33)))-(0*SIN(RADIANS(X33))))</f>
        <v>1.9073107709090666</v>
      </c>
      <c r="AE33" s="99">
        <f>((0*COS(RADIANS(X33)))+(-H33*SIN(RADIANS(X33))))</f>
        <v>-1.363738872795764</v>
      </c>
      <c r="AF33" s="138">
        <f>L33</f>
        <v>4.8800000000000003E-2</v>
      </c>
    </row>
    <row r="34" spans="1:32" x14ac:dyDescent="0.25">
      <c r="A34" s="111" t="s">
        <v>1065</v>
      </c>
      <c r="B34" s="112">
        <v>0</v>
      </c>
      <c r="C34" s="105">
        <v>5.0693964947089946E-3</v>
      </c>
      <c r="D34" s="105">
        <v>306.59710000000001</v>
      </c>
      <c r="E34" s="105">
        <v>0</v>
      </c>
      <c r="F34" s="105">
        <v>0</v>
      </c>
      <c r="G34" s="105">
        <v>180</v>
      </c>
      <c r="H34" s="105">
        <v>-3.0903999999999998</v>
      </c>
      <c r="I34" s="105">
        <v>-9.9853579056529313E-15</v>
      </c>
      <c r="J34" s="113">
        <v>-5.0903999999999998</v>
      </c>
      <c r="K34" s="114">
        <v>0</v>
      </c>
      <c r="L34" s="115">
        <v>0.34389999999999998</v>
      </c>
      <c r="M34" s="105">
        <v>0</v>
      </c>
      <c r="N34" s="105">
        <v>3</v>
      </c>
      <c r="O34" s="105">
        <v>1.1000000000000001</v>
      </c>
      <c r="P34" s="105">
        <v>15.999999999998238</v>
      </c>
      <c r="Q34" s="113">
        <v>49.742800000000003</v>
      </c>
      <c r="R34" s="114">
        <v>0.28460000000000002</v>
      </c>
      <c r="S34" s="115">
        <v>0.29649999999999999</v>
      </c>
      <c r="T34" s="99">
        <v>49.742800000000003</v>
      </c>
      <c r="U34" s="99">
        <v>16.269100000000002</v>
      </c>
      <c r="V34" s="99">
        <v>-0.34389999999999998</v>
      </c>
      <c r="W34" s="99">
        <v>3.0903999999999998</v>
      </c>
      <c r="X34" s="99">
        <v>323.40289999999999</v>
      </c>
      <c r="Y34" s="99" t="s">
        <v>1066</v>
      </c>
      <c r="Z34" s="99">
        <v>-0.74395999999999995</v>
      </c>
      <c r="AA34" s="99">
        <v>-0.64324000000000003</v>
      </c>
      <c r="AB34" s="99">
        <v>-0.18104000000000001</v>
      </c>
      <c r="AC34" s="99">
        <v>1.6E-2</v>
      </c>
      <c r="AD34" s="99">
        <f>((-H34*COS(RADIANS(X34)))-(0*SIN(RADIANS(X34))))</f>
        <v>2.4811203831706083</v>
      </c>
      <c r="AE34" s="99">
        <f>((0*COS(RADIANS(X34)))+(-H34*SIN(RADIANS(X34))))</f>
        <v>-1.8424477751663226</v>
      </c>
      <c r="AF34" s="138">
        <f>L34</f>
        <v>0.34389999999999998</v>
      </c>
    </row>
    <row r="35" spans="1:32" x14ac:dyDescent="0.25">
      <c r="A35" s="111" t="s">
        <v>1075</v>
      </c>
      <c r="B35" s="112">
        <v>0</v>
      </c>
      <c r="C35" s="105">
        <v>5.0819014550264555E-3</v>
      </c>
      <c r="D35" s="105">
        <v>307.35340000000002</v>
      </c>
      <c r="E35" s="105">
        <v>0</v>
      </c>
      <c r="F35" s="105">
        <v>0</v>
      </c>
      <c r="G35" s="105">
        <v>180</v>
      </c>
      <c r="H35" s="105">
        <v>-3.5577999999999999</v>
      </c>
      <c r="I35" s="105">
        <v>-1.1495568973832514E-14</v>
      </c>
      <c r="J35" s="113">
        <v>-5.5578000000000003</v>
      </c>
      <c r="K35" s="114">
        <v>0</v>
      </c>
      <c r="L35" s="115">
        <v>0.96789999999999998</v>
      </c>
      <c r="M35" s="105">
        <v>0</v>
      </c>
      <c r="N35" s="105">
        <v>3</v>
      </c>
      <c r="O35" s="105">
        <v>1.1000000000000001</v>
      </c>
      <c r="P35" s="105">
        <v>21.999999999998465</v>
      </c>
      <c r="Q35" s="113">
        <v>68.580799999999996</v>
      </c>
      <c r="R35" s="114">
        <v>0.27010000000000001</v>
      </c>
      <c r="S35" s="115">
        <v>0.29649999999999999</v>
      </c>
      <c r="T35" s="99">
        <v>68.580799999999996</v>
      </c>
      <c r="U35" s="99">
        <v>24.376100000000001</v>
      </c>
      <c r="V35" s="99">
        <v>-0.96789999999999998</v>
      </c>
      <c r="W35" s="99">
        <v>3.5577999999999999</v>
      </c>
      <c r="X35" s="99">
        <v>322.64659999999998</v>
      </c>
      <c r="Y35" s="99" t="s">
        <v>1076</v>
      </c>
      <c r="Z35" s="99">
        <v>-0.85806000000000004</v>
      </c>
      <c r="AA35" s="99">
        <v>-0.49092999999999998</v>
      </c>
      <c r="AB35" s="99">
        <v>-0.15071999999999999</v>
      </c>
      <c r="AC35" s="99">
        <v>1.6E-2</v>
      </c>
      <c r="AD35" s="99">
        <f>((-H35*COS(RADIANS(X35)))-(0*SIN(RADIANS(X35))))</f>
        <v>2.8281249302359091</v>
      </c>
      <c r="AE35" s="99">
        <f>((0*COS(RADIANS(X35)))+(-H35*SIN(RADIANS(X35))))</f>
        <v>-2.158622296507227</v>
      </c>
      <c r="AF35" s="138">
        <f>L35</f>
        <v>0.96789999999999998</v>
      </c>
    </row>
    <row r="36" spans="1:32" x14ac:dyDescent="0.25">
      <c r="A36" s="111" t="s">
        <v>1085</v>
      </c>
      <c r="B36" s="112">
        <v>0</v>
      </c>
      <c r="C36" s="105">
        <v>5.0866666666666664E-3</v>
      </c>
      <c r="D36" s="105">
        <v>307.64159999999998</v>
      </c>
      <c r="E36" s="105">
        <v>0</v>
      </c>
      <c r="F36" s="105">
        <v>0</v>
      </c>
      <c r="G36" s="105">
        <v>180</v>
      </c>
      <c r="H36" s="105">
        <v>-3.7368000000000001</v>
      </c>
      <c r="I36" s="105">
        <v>-1.207393393147938E-14</v>
      </c>
      <c r="J36" s="113">
        <v>-5.7368000000000006</v>
      </c>
      <c r="K36" s="114">
        <v>0</v>
      </c>
      <c r="L36" s="115">
        <v>1.6924999999999999</v>
      </c>
      <c r="M36" s="105">
        <v>0</v>
      </c>
      <c r="N36" s="105">
        <v>3</v>
      </c>
      <c r="O36" s="105">
        <v>1.1000000000000001</v>
      </c>
      <c r="P36" s="105">
        <v>27.999999999998693</v>
      </c>
      <c r="Q36" s="113">
        <v>90</v>
      </c>
      <c r="R36" s="114">
        <v>0.25679999999999997</v>
      </c>
      <c r="S36" s="115">
        <v>0.29649999999999999</v>
      </c>
      <c r="T36" s="99">
        <v>90</v>
      </c>
      <c r="U36" s="99">
        <v>30</v>
      </c>
      <c r="V36" s="99">
        <v>-1.6924999999999999</v>
      </c>
      <c r="W36" s="99">
        <v>3.7368000000000001</v>
      </c>
      <c r="X36" s="99">
        <v>322.35840000000002</v>
      </c>
      <c r="Y36" s="99" t="s">
        <v>1086</v>
      </c>
      <c r="Z36" s="99">
        <v>-0.92481999999999998</v>
      </c>
      <c r="AA36" s="99">
        <v>-0.38040000000000002</v>
      </c>
      <c r="AB36" s="99">
        <v>0</v>
      </c>
      <c r="AC36" s="99">
        <v>1.6E-2</v>
      </c>
      <c r="AD36" s="99">
        <f>((-H36*COS(RADIANS(X36)))-(0*SIN(RADIANS(X36))))</f>
        <v>2.9589717561207607</v>
      </c>
      <c r="AE36" s="99">
        <f>((0*COS(RADIANS(X36)))+(-H36*SIN(RADIANS(X36))))</f>
        <v>-2.2821394318664279</v>
      </c>
      <c r="AF36" s="138">
        <f>L36</f>
        <v>1.6924999999999999</v>
      </c>
    </row>
    <row r="37" spans="1:32" x14ac:dyDescent="0.25">
      <c r="A37" s="111" t="s">
        <v>1037</v>
      </c>
      <c r="B37" s="112">
        <v>0</v>
      </c>
      <c r="C37" s="105">
        <v>5.0429894179894177E-3</v>
      </c>
      <c r="D37" s="105">
        <v>305</v>
      </c>
      <c r="E37" s="105">
        <v>0</v>
      </c>
      <c r="F37" s="105">
        <v>0</v>
      </c>
      <c r="G37" s="105">
        <v>180</v>
      </c>
      <c r="H37" s="105">
        <v>-0.82877000000000001</v>
      </c>
      <c r="I37" s="105">
        <v>0</v>
      </c>
      <c r="J37" s="113">
        <v>-2.8288000000000002</v>
      </c>
      <c r="K37" s="114">
        <v>0</v>
      </c>
      <c r="L37" s="115">
        <v>0.3695</v>
      </c>
      <c r="M37" s="105">
        <v>0</v>
      </c>
      <c r="N37" s="105">
        <v>3</v>
      </c>
      <c r="O37" s="105">
        <v>1.2</v>
      </c>
      <c r="P37" s="105">
        <v>3.0000000000001137</v>
      </c>
      <c r="Q37" s="113">
        <v>-15</v>
      </c>
      <c r="R37" s="114">
        <v>0.3019</v>
      </c>
      <c r="S37" s="115">
        <v>0.3125</v>
      </c>
      <c r="T37" s="99">
        <v>-15</v>
      </c>
      <c r="U37" s="99">
        <v>15</v>
      </c>
      <c r="V37" s="99">
        <v>-0.3695</v>
      </c>
      <c r="W37" s="99">
        <v>0.82877000000000001</v>
      </c>
      <c r="X37" s="99">
        <v>325</v>
      </c>
      <c r="Y37" s="99" t="s">
        <v>1038</v>
      </c>
    </row>
    <row r="38" spans="1:32" x14ac:dyDescent="0.25">
      <c r="A38" s="111" t="s">
        <v>1047</v>
      </c>
      <c r="B38" s="112">
        <v>0</v>
      </c>
      <c r="C38" s="105">
        <v>5.0429894179894177E-3</v>
      </c>
      <c r="D38" s="105">
        <v>305</v>
      </c>
      <c r="E38" s="105">
        <v>0</v>
      </c>
      <c r="F38" s="105">
        <v>0</v>
      </c>
      <c r="G38" s="105">
        <v>180</v>
      </c>
      <c r="H38" s="105">
        <v>-1.5536700000000001</v>
      </c>
      <c r="I38" s="105">
        <v>0</v>
      </c>
      <c r="J38" s="113">
        <v>-3.5537000000000001</v>
      </c>
      <c r="K38" s="114">
        <v>0</v>
      </c>
      <c r="L38" s="115">
        <v>0.17519999999999999</v>
      </c>
      <c r="M38" s="105">
        <v>0</v>
      </c>
      <c r="N38" s="105">
        <v>3</v>
      </c>
      <c r="O38" s="105">
        <v>1.2</v>
      </c>
      <c r="P38" s="105">
        <v>6.0000000000002274</v>
      </c>
      <c r="Q38" s="113">
        <v>-15</v>
      </c>
      <c r="R38" s="114">
        <v>0.3019</v>
      </c>
      <c r="S38" s="115">
        <v>0.3125</v>
      </c>
      <c r="T38" s="99">
        <v>-15</v>
      </c>
      <c r="U38" s="99">
        <v>15</v>
      </c>
      <c r="V38" s="99">
        <v>-0.17519999999999999</v>
      </c>
      <c r="W38" s="99">
        <v>1.5536700000000001</v>
      </c>
      <c r="X38" s="99">
        <v>325</v>
      </c>
      <c r="Y38" s="99" t="s">
        <v>1048</v>
      </c>
    </row>
    <row r="39" spans="1:32" x14ac:dyDescent="0.25">
      <c r="A39" s="111" t="s">
        <v>1057</v>
      </c>
      <c r="B39" s="112">
        <v>0</v>
      </c>
      <c r="C39" s="105">
        <v>5.0523313492063489E-3</v>
      </c>
      <c r="D39" s="105">
        <v>305.565</v>
      </c>
      <c r="E39" s="105">
        <v>0</v>
      </c>
      <c r="F39" s="105">
        <v>0</v>
      </c>
      <c r="G39" s="105">
        <v>180</v>
      </c>
      <c r="H39" s="105">
        <v>-2.3433199999999998</v>
      </c>
      <c r="I39" s="105">
        <v>0</v>
      </c>
      <c r="J39" s="113">
        <v>-4.3433000000000002</v>
      </c>
      <c r="K39" s="114">
        <v>0</v>
      </c>
      <c r="L39" s="115">
        <v>5.28E-2</v>
      </c>
      <c r="M39" s="105">
        <v>0</v>
      </c>
      <c r="N39" s="105">
        <v>3</v>
      </c>
      <c r="O39" s="105">
        <v>1.2</v>
      </c>
      <c r="P39" s="105">
        <v>9.9999999999980105</v>
      </c>
      <c r="Q39" s="113">
        <v>16.861799999999999</v>
      </c>
      <c r="R39" s="114">
        <v>0.3014</v>
      </c>
      <c r="S39" s="115">
        <v>0.3125</v>
      </c>
      <c r="T39" s="99">
        <v>16.861799999999999</v>
      </c>
      <c r="U39" s="99">
        <v>15.3507</v>
      </c>
      <c r="V39" s="99">
        <v>-5.2850000000000001E-2</v>
      </c>
      <c r="W39" s="99">
        <v>2.3433199999999998</v>
      </c>
      <c r="X39" s="99">
        <v>324.435</v>
      </c>
      <c r="Y39" s="99" t="s">
        <v>1058</v>
      </c>
    </row>
    <row r="40" spans="1:32" x14ac:dyDescent="0.25">
      <c r="A40" s="111" t="s">
        <v>1067</v>
      </c>
      <c r="B40" s="112">
        <v>0</v>
      </c>
      <c r="C40" s="105">
        <v>5.0693964947089946E-3</v>
      </c>
      <c r="D40" s="105">
        <v>306.59710000000001</v>
      </c>
      <c r="E40" s="105">
        <v>0</v>
      </c>
      <c r="F40" s="105">
        <v>0</v>
      </c>
      <c r="G40" s="105">
        <v>180</v>
      </c>
      <c r="H40" s="105">
        <v>-3.0865499999999999</v>
      </c>
      <c r="I40" s="105">
        <v>0</v>
      </c>
      <c r="J40" s="113">
        <v>-5.0865999999999998</v>
      </c>
      <c r="K40" s="114">
        <v>0</v>
      </c>
      <c r="L40" s="115">
        <v>0.3468</v>
      </c>
      <c r="M40" s="105">
        <v>0</v>
      </c>
      <c r="N40" s="105">
        <v>3</v>
      </c>
      <c r="O40" s="105">
        <v>1.2</v>
      </c>
      <c r="P40" s="105">
        <v>15.999999999998238</v>
      </c>
      <c r="Q40" s="113">
        <v>49.742800000000003</v>
      </c>
      <c r="R40" s="114">
        <v>0.3</v>
      </c>
      <c r="S40" s="115">
        <v>0.3125</v>
      </c>
      <c r="T40" s="99">
        <v>49.742800000000003</v>
      </c>
      <c r="U40" s="99">
        <v>16.269100000000002</v>
      </c>
      <c r="V40" s="99">
        <v>-0.3468</v>
      </c>
      <c r="W40" s="99">
        <v>3.0865499999999999</v>
      </c>
      <c r="X40" s="99">
        <v>323.40289999999999</v>
      </c>
      <c r="Y40" s="99" t="s">
        <v>1068</v>
      </c>
    </row>
    <row r="41" spans="1:32" x14ac:dyDescent="0.25">
      <c r="A41" s="111" t="s">
        <v>1077</v>
      </c>
      <c r="B41" s="112">
        <v>0</v>
      </c>
      <c r="C41" s="105">
        <v>5.0819014550264555E-3</v>
      </c>
      <c r="D41" s="105">
        <v>307.35340000000002</v>
      </c>
      <c r="E41" s="105">
        <v>0</v>
      </c>
      <c r="F41" s="105">
        <v>0</v>
      </c>
      <c r="G41" s="105">
        <v>180</v>
      </c>
      <c r="H41" s="105">
        <v>-3.5510600000000001</v>
      </c>
      <c r="I41" s="105">
        <v>0</v>
      </c>
      <c r="J41" s="113">
        <v>-5.5510999999999999</v>
      </c>
      <c r="K41" s="114">
        <v>0</v>
      </c>
      <c r="L41" s="115">
        <v>0.97030000000000005</v>
      </c>
      <c r="M41" s="105">
        <v>0</v>
      </c>
      <c r="N41" s="105">
        <v>3</v>
      </c>
      <c r="O41" s="105">
        <v>1.2</v>
      </c>
      <c r="P41" s="105">
        <v>21.999999999998465</v>
      </c>
      <c r="Q41" s="113">
        <v>68.580799999999996</v>
      </c>
      <c r="R41" s="114">
        <v>0.28460000000000002</v>
      </c>
      <c r="S41" s="115">
        <v>0.3125</v>
      </c>
      <c r="T41" s="99">
        <v>68.580799999999996</v>
      </c>
      <c r="U41" s="99">
        <v>24.376100000000001</v>
      </c>
      <c r="V41" s="99">
        <v>-0.97031000000000001</v>
      </c>
      <c r="W41" s="99">
        <v>3.5510600000000001</v>
      </c>
      <c r="X41" s="99">
        <v>322.64659999999998</v>
      </c>
      <c r="Y41" s="99" t="s">
        <v>1078</v>
      </c>
    </row>
    <row r="42" spans="1:32" x14ac:dyDescent="0.25">
      <c r="A42" s="111" t="s">
        <v>1087</v>
      </c>
      <c r="B42" s="112">
        <v>0</v>
      </c>
      <c r="C42" s="105">
        <v>5.0866666666666664E-3</v>
      </c>
      <c r="D42" s="105">
        <v>307.64159999999998</v>
      </c>
      <c r="E42" s="105">
        <v>0</v>
      </c>
      <c r="F42" s="105">
        <v>0</v>
      </c>
      <c r="G42" s="105">
        <v>180</v>
      </c>
      <c r="H42" s="105">
        <v>-3.72817</v>
      </c>
      <c r="I42" s="105">
        <v>0</v>
      </c>
      <c r="J42" s="113">
        <v>-5.7282000000000002</v>
      </c>
      <c r="K42" s="114">
        <v>0</v>
      </c>
      <c r="L42" s="115">
        <v>1.6924999999999999</v>
      </c>
      <c r="M42" s="105">
        <v>0</v>
      </c>
      <c r="N42" s="105">
        <v>3</v>
      </c>
      <c r="O42" s="105">
        <v>1.2</v>
      </c>
      <c r="P42" s="105">
        <v>27.999999999998693</v>
      </c>
      <c r="Q42" s="113">
        <v>90</v>
      </c>
      <c r="R42" s="114">
        <v>0.27060000000000001</v>
      </c>
      <c r="S42" s="115">
        <v>0.3125</v>
      </c>
      <c r="T42" s="99">
        <v>90</v>
      </c>
      <c r="U42" s="99">
        <v>30</v>
      </c>
      <c r="V42" s="99">
        <v>-1.6924999999999999</v>
      </c>
      <c r="W42" s="99">
        <v>3.72817</v>
      </c>
      <c r="X42" s="99">
        <v>322.35840000000002</v>
      </c>
      <c r="Y42" s="99" t="s">
        <v>1088</v>
      </c>
    </row>
    <row r="43" spans="1:32" x14ac:dyDescent="0.25">
      <c r="A43" s="111" t="s">
        <v>1095</v>
      </c>
      <c r="B43" s="112">
        <v>0</v>
      </c>
      <c r="C43" s="105">
        <v>6.1245171957671953E-3</v>
      </c>
      <c r="D43" s="105">
        <v>370.41079999999994</v>
      </c>
      <c r="E43" s="105">
        <v>0</v>
      </c>
      <c r="F43" s="105">
        <v>0</v>
      </c>
      <c r="G43" s="105">
        <v>179.99999999999994</v>
      </c>
      <c r="H43" s="105">
        <v>-2.206</v>
      </c>
      <c r="I43" s="105">
        <v>-1.0066765053184286E-14</v>
      </c>
      <c r="J43" s="113">
        <v>-4.2059999999999995</v>
      </c>
      <c r="K43" s="114">
        <v>0</v>
      </c>
      <c r="L43" s="115">
        <v>4.3099999999999999E-2</v>
      </c>
      <c r="M43" s="105">
        <v>0</v>
      </c>
      <c r="N43" s="105">
        <v>4</v>
      </c>
      <c r="O43" s="105">
        <v>1.1000000000000001</v>
      </c>
      <c r="P43" s="105">
        <v>9.0000000000003411</v>
      </c>
      <c r="Q43" s="113">
        <v>10.938499999999999</v>
      </c>
      <c r="R43" s="114">
        <v>0.28610000000000002</v>
      </c>
      <c r="S43" s="115">
        <v>0.29649999999999999</v>
      </c>
      <c r="T43" s="99">
        <v>10.938499999999999</v>
      </c>
      <c r="U43" s="99">
        <v>15.2408</v>
      </c>
      <c r="V43" s="99">
        <v>-4.3099999999999999E-2</v>
      </c>
      <c r="W43" s="99">
        <v>2.206</v>
      </c>
      <c r="X43" s="99">
        <v>259.58920000000001</v>
      </c>
      <c r="Y43" s="99" t="s">
        <v>1096</v>
      </c>
      <c r="Z43" s="99">
        <v>-0.93993000000000004</v>
      </c>
      <c r="AA43" s="99">
        <v>0.22341</v>
      </c>
      <c r="AB43" s="99">
        <v>-0.2581</v>
      </c>
      <c r="AC43" s="99">
        <v>1.6E-2</v>
      </c>
      <c r="AD43" s="99">
        <f>((-H43*COS(RADIANS(X43)))-(0*SIN(RADIANS(X43))))</f>
        <v>-0.39863421721857567</v>
      </c>
      <c r="AE43" s="99">
        <f>((0*COS(RADIANS(X43)))+(-H43*SIN(RADIANS(X43))))</f>
        <v>-2.1696835623801305</v>
      </c>
      <c r="AF43" s="138">
        <f>L43</f>
        <v>4.3099999999999999E-2</v>
      </c>
    </row>
    <row r="44" spans="1:32" x14ac:dyDescent="0.25">
      <c r="A44" s="111" t="s">
        <v>1115</v>
      </c>
      <c r="B44" s="112">
        <v>0</v>
      </c>
      <c r="C44" s="105">
        <v>6.1551851851851854E-3</v>
      </c>
      <c r="D44" s="105">
        <v>372.26560000000001</v>
      </c>
      <c r="E44" s="105">
        <v>0</v>
      </c>
      <c r="F44" s="105">
        <v>0</v>
      </c>
      <c r="G44" s="105">
        <v>180</v>
      </c>
      <c r="H44" s="105">
        <v>-3.5053000000000001</v>
      </c>
      <c r="I44" s="105">
        <v>-1.1325936793517092E-14</v>
      </c>
      <c r="J44" s="113">
        <v>-5.5053000000000001</v>
      </c>
      <c r="K44" s="114">
        <v>0</v>
      </c>
      <c r="L44" s="115">
        <v>0.84909999999999997</v>
      </c>
      <c r="M44" s="105">
        <v>0</v>
      </c>
      <c r="N44" s="105">
        <v>4</v>
      </c>
      <c r="O44" s="105">
        <v>1.1000000000000001</v>
      </c>
      <c r="P44" s="105">
        <v>9.9999999999980105</v>
      </c>
      <c r="Q44" s="113">
        <v>66.126099999999994</v>
      </c>
      <c r="R44" s="114">
        <v>0.27410000000000001</v>
      </c>
      <c r="S44" s="115">
        <v>0.29649999999999999</v>
      </c>
      <c r="T44" s="99">
        <v>66.126099999999994</v>
      </c>
      <c r="U44" s="99">
        <v>22.437200000000001</v>
      </c>
      <c r="V44" s="99">
        <v>-0.84909999999999997</v>
      </c>
      <c r="W44" s="99">
        <v>3.5053000000000001</v>
      </c>
      <c r="X44" s="99">
        <v>257.73439999999999</v>
      </c>
      <c r="Y44" s="99" t="s">
        <v>1116</v>
      </c>
      <c r="Z44" s="99">
        <v>-0.82904999999999995</v>
      </c>
      <c r="AA44" s="99">
        <v>0.53741000000000005</v>
      </c>
      <c r="AB44" s="99">
        <v>-0.15447</v>
      </c>
      <c r="AC44" s="99">
        <v>1.6E-2</v>
      </c>
      <c r="AD44" s="99">
        <f>((-H44*COS(RADIANS(X44)))-(0*SIN(RADIANS(X44))))</f>
        <v>-0.74467902897241345</v>
      </c>
      <c r="AE44" s="99">
        <f>((0*COS(RADIANS(X44)))+(-H44*SIN(RADIANS(X44))))</f>
        <v>-3.425285569672798</v>
      </c>
      <c r="AF44" s="138">
        <f>L44</f>
        <v>0.84909999999999997</v>
      </c>
    </row>
    <row r="45" spans="1:32" x14ac:dyDescent="0.25">
      <c r="A45" s="111" t="s">
        <v>1105</v>
      </c>
      <c r="B45" s="112">
        <v>0</v>
      </c>
      <c r="C45" s="105">
        <v>6.1413789682539686E-3</v>
      </c>
      <c r="D45" s="105">
        <v>371.43059999999997</v>
      </c>
      <c r="E45" s="105">
        <v>0</v>
      </c>
      <c r="F45" s="105">
        <v>0</v>
      </c>
      <c r="G45" s="105">
        <v>179.99999999999994</v>
      </c>
      <c r="H45" s="105">
        <v>-2.9815999999999998</v>
      </c>
      <c r="I45" s="105">
        <v>-1.3606104570523241E-14</v>
      </c>
      <c r="J45" s="113">
        <v>-4.9816000000000003</v>
      </c>
      <c r="K45" s="114">
        <v>0</v>
      </c>
      <c r="L45" s="115">
        <v>0.26679999999999998</v>
      </c>
      <c r="M45" s="105">
        <v>0</v>
      </c>
      <c r="N45" s="105">
        <v>4</v>
      </c>
      <c r="O45" s="105">
        <v>1.1000000000000001</v>
      </c>
      <c r="P45" s="105">
        <v>15.000000000000568</v>
      </c>
      <c r="Q45" s="113">
        <v>44.547400000000003</v>
      </c>
      <c r="R45" s="114">
        <v>0.28489999999999999</v>
      </c>
      <c r="S45" s="115">
        <v>0.29649999999999999</v>
      </c>
      <c r="T45" s="99">
        <v>44.547400000000003</v>
      </c>
      <c r="U45" s="99">
        <v>16.102499999999999</v>
      </c>
      <c r="V45" s="99">
        <v>-0.26679999999999998</v>
      </c>
      <c r="W45" s="99">
        <v>2.9815999999999998</v>
      </c>
      <c r="X45" s="99">
        <v>258.56939999999997</v>
      </c>
      <c r="Y45" s="99" t="s">
        <v>1106</v>
      </c>
      <c r="Z45" s="99">
        <v>-0.90315000000000001</v>
      </c>
      <c r="AA45" s="99">
        <v>0.38111</v>
      </c>
      <c r="AB45" s="99">
        <v>-0.19766</v>
      </c>
      <c r="AC45" s="99">
        <v>1.6E-2</v>
      </c>
      <c r="AD45" s="99">
        <f>((-H45*COS(RADIANS(X45)))-(0*SIN(RADIANS(X45))))</f>
        <v>-0.59089601141068504</v>
      </c>
      <c r="AE45" s="99">
        <f>((0*COS(RADIANS(X45)))+(-H45*SIN(RADIANS(X45))))</f>
        <v>-2.9224613707795934</v>
      </c>
      <c r="AF45" s="138">
        <f>L45</f>
        <v>0.26679999999999998</v>
      </c>
    </row>
    <row r="46" spans="1:32" x14ac:dyDescent="0.25">
      <c r="A46" s="111" t="s">
        <v>1125</v>
      </c>
      <c r="B46" s="112">
        <v>0</v>
      </c>
      <c r="C46" s="105">
        <v>6.1614021164021161E-3</v>
      </c>
      <c r="D46" s="105">
        <v>372.64159999999998</v>
      </c>
      <c r="E46" s="105">
        <v>0</v>
      </c>
      <c r="F46" s="105">
        <v>0</v>
      </c>
      <c r="G46" s="105">
        <v>180</v>
      </c>
      <c r="H46" s="105">
        <v>-3.7368000000000001</v>
      </c>
      <c r="I46" s="105">
        <v>-1.207393393147938E-14</v>
      </c>
      <c r="J46" s="113">
        <v>-5.7368000000000006</v>
      </c>
      <c r="K46" s="114">
        <v>0</v>
      </c>
      <c r="L46" s="115">
        <v>1.5767</v>
      </c>
      <c r="M46" s="105">
        <v>0</v>
      </c>
      <c r="N46" s="105">
        <v>4</v>
      </c>
      <c r="O46" s="105">
        <v>1.1000000000000001</v>
      </c>
      <c r="P46" s="105">
        <v>26.999999999993918</v>
      </c>
      <c r="Q46" s="113">
        <v>90</v>
      </c>
      <c r="R46" s="114">
        <v>0.25679999999999997</v>
      </c>
      <c r="S46" s="115">
        <v>0.29649999999999999</v>
      </c>
      <c r="T46" s="99">
        <v>90</v>
      </c>
      <c r="U46" s="99">
        <v>30</v>
      </c>
      <c r="V46" s="99">
        <v>-1.5767</v>
      </c>
      <c r="W46" s="99">
        <v>3.7368000000000001</v>
      </c>
      <c r="X46" s="99">
        <v>257.35840000000002</v>
      </c>
      <c r="Y46" s="99" t="s">
        <v>1126</v>
      </c>
      <c r="Z46" s="99">
        <v>-0.73560999999999999</v>
      </c>
      <c r="AA46" s="99">
        <v>0.67740999999999996</v>
      </c>
      <c r="AB46" s="99">
        <v>0</v>
      </c>
      <c r="AC46" s="99">
        <v>1.6E-2</v>
      </c>
      <c r="AD46" s="99">
        <f>((-H46*COS(RADIANS(X46)))-(0*SIN(RADIANS(X46))))</f>
        <v>-0.8178052380923605</v>
      </c>
      <c r="AE46" s="99">
        <f>((0*COS(RADIANS(X46)))+(-H46*SIN(RADIANS(X46))))</f>
        <v>-3.6462129439390534</v>
      </c>
      <c r="AF46" s="138">
        <f>L46</f>
        <v>1.5767</v>
      </c>
    </row>
    <row r="47" spans="1:32" x14ac:dyDescent="0.25">
      <c r="A47" s="111" t="s">
        <v>1097</v>
      </c>
      <c r="B47" s="112">
        <v>0</v>
      </c>
      <c r="C47" s="105">
        <v>6.1245171957671953E-3</v>
      </c>
      <c r="D47" s="105">
        <v>370.41079999999994</v>
      </c>
      <c r="E47" s="105">
        <v>0</v>
      </c>
      <c r="F47" s="105">
        <v>0</v>
      </c>
      <c r="G47" s="105">
        <v>179.99999999999994</v>
      </c>
      <c r="H47" s="105">
        <v>-2.2050900000000002</v>
      </c>
      <c r="I47" s="105">
        <v>0</v>
      </c>
      <c r="J47" s="113">
        <v>-4.2050999999999998</v>
      </c>
      <c r="K47" s="114">
        <v>0</v>
      </c>
      <c r="L47" s="115">
        <v>4.7199999999999999E-2</v>
      </c>
      <c r="M47" s="105">
        <v>0</v>
      </c>
      <c r="N47" s="105">
        <v>4</v>
      </c>
      <c r="O47" s="105">
        <v>1.2</v>
      </c>
      <c r="P47" s="105">
        <v>9.0000000000003411</v>
      </c>
      <c r="Q47" s="113">
        <v>10.938499999999999</v>
      </c>
      <c r="R47" s="114">
        <v>0.30149999999999999</v>
      </c>
      <c r="S47" s="115">
        <v>0.3125</v>
      </c>
      <c r="T47" s="99">
        <v>10.938499999999999</v>
      </c>
      <c r="U47" s="99">
        <v>15.2408</v>
      </c>
      <c r="V47" s="99">
        <v>-4.7230000000000001E-2</v>
      </c>
      <c r="W47" s="99">
        <v>2.2050900000000002</v>
      </c>
      <c r="X47" s="99">
        <v>259.58920000000001</v>
      </c>
      <c r="Y47" s="99" t="s">
        <v>1098</v>
      </c>
    </row>
    <row r="48" spans="1:32" x14ac:dyDescent="0.25">
      <c r="A48" s="111" t="s">
        <v>1117</v>
      </c>
      <c r="B48" s="112">
        <v>0</v>
      </c>
      <c r="C48" s="105">
        <v>6.1551851851851854E-3</v>
      </c>
      <c r="D48" s="105">
        <v>372.26560000000001</v>
      </c>
      <c r="E48" s="105">
        <v>0</v>
      </c>
      <c r="F48" s="105">
        <v>0</v>
      </c>
      <c r="G48" s="105">
        <v>180</v>
      </c>
      <c r="H48" s="105">
        <v>-3.4991400000000001</v>
      </c>
      <c r="I48" s="105">
        <v>0</v>
      </c>
      <c r="J48" s="113">
        <v>-5.4991000000000003</v>
      </c>
      <c r="K48" s="114">
        <v>0</v>
      </c>
      <c r="L48" s="115">
        <v>0.85160000000000002</v>
      </c>
      <c r="M48" s="105">
        <v>0</v>
      </c>
      <c r="N48" s="105">
        <v>4</v>
      </c>
      <c r="O48" s="105">
        <v>1.2</v>
      </c>
      <c r="P48" s="105">
        <v>9.9999999999980105</v>
      </c>
      <c r="Q48" s="113">
        <v>66.126099999999994</v>
      </c>
      <c r="R48" s="114">
        <v>0.2888</v>
      </c>
      <c r="S48" s="115">
        <v>0.3125</v>
      </c>
      <c r="T48" s="99">
        <v>66.126099999999994</v>
      </c>
      <c r="U48" s="99">
        <v>22.437200000000001</v>
      </c>
      <c r="V48" s="99">
        <v>-0.85157000000000005</v>
      </c>
      <c r="W48" s="99">
        <v>3.4991400000000001</v>
      </c>
      <c r="X48" s="99">
        <v>257.73439999999999</v>
      </c>
      <c r="Y48" s="99" t="s">
        <v>1118</v>
      </c>
    </row>
    <row r="49" spans="1:32" x14ac:dyDescent="0.25">
      <c r="A49" s="111" t="s">
        <v>1107</v>
      </c>
      <c r="B49" s="112">
        <v>0</v>
      </c>
      <c r="C49" s="105">
        <v>6.1413789682539686E-3</v>
      </c>
      <c r="D49" s="105">
        <v>371.43059999999997</v>
      </c>
      <c r="E49" s="105">
        <v>0</v>
      </c>
      <c r="F49" s="105">
        <v>0</v>
      </c>
      <c r="G49" s="105">
        <v>179.99999999999994</v>
      </c>
      <c r="H49" s="105">
        <v>-2.9781</v>
      </c>
      <c r="I49" s="105">
        <v>0</v>
      </c>
      <c r="J49" s="113">
        <v>-4.9780999999999995</v>
      </c>
      <c r="K49" s="114">
        <v>0</v>
      </c>
      <c r="L49" s="115">
        <v>0.27</v>
      </c>
      <c r="M49" s="105">
        <v>0</v>
      </c>
      <c r="N49" s="105">
        <v>4</v>
      </c>
      <c r="O49" s="105">
        <v>1.2</v>
      </c>
      <c r="P49" s="105">
        <v>15.000000000000568</v>
      </c>
      <c r="Q49" s="113">
        <v>44.547400000000003</v>
      </c>
      <c r="R49" s="114">
        <v>0.30020000000000002</v>
      </c>
      <c r="S49" s="115">
        <v>0.3125</v>
      </c>
      <c r="T49" s="99">
        <v>44.547400000000003</v>
      </c>
      <c r="U49" s="99">
        <v>16.102499999999999</v>
      </c>
      <c r="V49" s="99">
        <v>-0.26995999999999998</v>
      </c>
      <c r="W49" s="99">
        <v>2.9781</v>
      </c>
      <c r="X49" s="99">
        <v>258.56939999999997</v>
      </c>
      <c r="Y49" s="99" t="s">
        <v>1108</v>
      </c>
    </row>
    <row r="50" spans="1:32" x14ac:dyDescent="0.25">
      <c r="A50" s="111" t="s">
        <v>1127</v>
      </c>
      <c r="B50" s="112">
        <v>0</v>
      </c>
      <c r="C50" s="105">
        <v>6.1614021164021161E-3</v>
      </c>
      <c r="D50" s="105">
        <v>372.64159999999998</v>
      </c>
      <c r="E50" s="105">
        <v>0</v>
      </c>
      <c r="F50" s="105">
        <v>0</v>
      </c>
      <c r="G50" s="105">
        <v>180</v>
      </c>
      <c r="H50" s="105">
        <v>-3.72817</v>
      </c>
      <c r="I50" s="105">
        <v>0</v>
      </c>
      <c r="J50" s="113">
        <v>-5.7282000000000002</v>
      </c>
      <c r="K50" s="114">
        <v>0</v>
      </c>
      <c r="L50" s="115">
        <v>1.5767</v>
      </c>
      <c r="M50" s="105">
        <v>0</v>
      </c>
      <c r="N50" s="105">
        <v>4</v>
      </c>
      <c r="O50" s="105">
        <v>1.2</v>
      </c>
      <c r="P50" s="105">
        <v>26.999999999993918</v>
      </c>
      <c r="Q50" s="113">
        <v>90</v>
      </c>
      <c r="R50" s="114">
        <v>0.27060000000000001</v>
      </c>
      <c r="S50" s="115">
        <v>0.3125</v>
      </c>
      <c r="T50" s="99">
        <v>90</v>
      </c>
      <c r="U50" s="99">
        <v>30</v>
      </c>
      <c r="V50" s="99">
        <v>-1.5767</v>
      </c>
      <c r="W50" s="99">
        <v>3.72817</v>
      </c>
      <c r="X50" s="99">
        <v>257.35840000000002</v>
      </c>
      <c r="Y50" s="99" t="s">
        <v>1128</v>
      </c>
    </row>
    <row r="51" spans="1:32" x14ac:dyDescent="0.25">
      <c r="A51" s="111" t="s">
        <v>1135</v>
      </c>
      <c r="B51" s="112">
        <v>0</v>
      </c>
      <c r="C51" s="105">
        <v>7.0271164021164017E-3</v>
      </c>
      <c r="D51" s="105">
        <v>425</v>
      </c>
      <c r="E51" s="105">
        <v>0</v>
      </c>
      <c r="F51" s="105">
        <v>0</v>
      </c>
      <c r="G51" s="105">
        <v>180</v>
      </c>
      <c r="H51" s="105">
        <v>-0.58599999999999997</v>
      </c>
      <c r="I51" s="105">
        <v>-1.8934182412349916E-15</v>
      </c>
      <c r="J51" s="113">
        <v>-2.5859999999999999</v>
      </c>
      <c r="K51" s="114">
        <v>0</v>
      </c>
      <c r="L51" s="115">
        <v>0.43020000000000003</v>
      </c>
      <c r="M51" s="105">
        <v>0</v>
      </c>
      <c r="N51" s="105">
        <v>5</v>
      </c>
      <c r="O51" s="105">
        <v>1.1000000000000001</v>
      </c>
      <c r="P51" s="105">
        <v>2.0000000000024443</v>
      </c>
      <c r="Q51" s="113">
        <v>-15</v>
      </c>
      <c r="R51" s="114">
        <v>0.2828</v>
      </c>
      <c r="S51" s="115">
        <v>0.29649999999999999</v>
      </c>
      <c r="T51" s="99">
        <v>-15</v>
      </c>
      <c r="U51" s="99">
        <v>17.5</v>
      </c>
      <c r="V51" s="99">
        <v>-0.43020000000000003</v>
      </c>
      <c r="W51" s="99">
        <v>0.58599999999999997</v>
      </c>
      <c r="X51" s="99">
        <v>205</v>
      </c>
      <c r="Y51" s="99" t="s">
        <v>1136</v>
      </c>
      <c r="Z51" s="99">
        <v>-0.47359000000000001</v>
      </c>
      <c r="AA51" s="99">
        <v>0.83147000000000004</v>
      </c>
      <c r="AB51" s="99">
        <v>-0.29046</v>
      </c>
      <c r="AC51" s="99">
        <v>1.6E-2</v>
      </c>
      <c r="AD51" s="99">
        <f>((-H51*COS(RADIANS(X51)))-(0*SIN(RADIANS(X51))))</f>
        <v>-0.53109636320347686</v>
      </c>
      <c r="AE51" s="99">
        <f>((0*COS(RADIANS(X51)))+(-H51*SIN(RADIANS(X51))))</f>
        <v>-0.24765430138004976</v>
      </c>
      <c r="AF51" s="138">
        <f>L51</f>
        <v>0.43020000000000003</v>
      </c>
    </row>
    <row r="52" spans="1:32" x14ac:dyDescent="0.25">
      <c r="A52" s="111" t="s">
        <v>1145</v>
      </c>
      <c r="B52" s="112">
        <v>0</v>
      </c>
      <c r="C52" s="105">
        <v>7.0271164021164017E-3</v>
      </c>
      <c r="D52" s="105">
        <v>425</v>
      </c>
      <c r="E52" s="105">
        <v>0</v>
      </c>
      <c r="F52" s="105">
        <v>0</v>
      </c>
      <c r="G52" s="105">
        <v>180</v>
      </c>
      <c r="H52" s="105">
        <v>-1.3109999999999999</v>
      </c>
      <c r="I52" s="105">
        <v>-4.2359578741622422E-15</v>
      </c>
      <c r="J52" s="113">
        <v>-3.3109999999999999</v>
      </c>
      <c r="K52" s="114">
        <v>0</v>
      </c>
      <c r="L52" s="115">
        <v>0.23599999999999999</v>
      </c>
      <c r="M52" s="105">
        <v>0</v>
      </c>
      <c r="N52" s="105">
        <v>5</v>
      </c>
      <c r="O52" s="105">
        <v>1.1000000000000001</v>
      </c>
      <c r="P52" s="105">
        <v>5.000000000002558</v>
      </c>
      <c r="Q52" s="113">
        <v>-15</v>
      </c>
      <c r="R52" s="114">
        <v>0.28639999999999999</v>
      </c>
      <c r="S52" s="115">
        <v>0.29649999999999999</v>
      </c>
      <c r="T52" s="99">
        <v>-15</v>
      </c>
      <c r="U52" s="99">
        <v>15</v>
      </c>
      <c r="V52" s="99">
        <v>-0.23599999999999999</v>
      </c>
      <c r="W52" s="99">
        <v>1.3109999999999999</v>
      </c>
      <c r="X52" s="99">
        <v>205</v>
      </c>
      <c r="Y52" s="99" t="s">
        <v>1146</v>
      </c>
      <c r="Z52" s="99">
        <v>-0.46893000000000001</v>
      </c>
      <c r="AA52" s="99">
        <v>0.84711999999999998</v>
      </c>
      <c r="AB52" s="99">
        <v>-0.25</v>
      </c>
      <c r="AC52" s="99">
        <v>1.6E-2</v>
      </c>
      <c r="AD52" s="99">
        <f>((-H52*COS(RADIANS(X52)))-(0*SIN(RADIANS(X52))))</f>
        <v>-1.1881695088050481</v>
      </c>
      <c r="AE52" s="99">
        <f>((0*COS(RADIANS(X52)))+(-H52*SIN(RADIANS(X52))))</f>
        <v>-0.55405254114205671</v>
      </c>
      <c r="AF52" s="138">
        <f>L52</f>
        <v>0.23599999999999999</v>
      </c>
    </row>
    <row r="53" spans="1:32" x14ac:dyDescent="0.25">
      <c r="A53" s="111" t="s">
        <v>1155</v>
      </c>
      <c r="B53" s="112">
        <v>0</v>
      </c>
      <c r="C53" s="105">
        <v>7.0316567460317466E-3</v>
      </c>
      <c r="D53" s="105">
        <v>425.27460000000008</v>
      </c>
      <c r="E53" s="105">
        <v>0</v>
      </c>
      <c r="F53" s="105">
        <v>0</v>
      </c>
      <c r="G53" s="105">
        <v>180.00000000000006</v>
      </c>
      <c r="H53" s="105">
        <v>-2.0676000000000001</v>
      </c>
      <c r="I53" s="105">
        <v>-3.9260033733356641E-15</v>
      </c>
      <c r="J53" s="113">
        <v>-4.0676000000000005</v>
      </c>
      <c r="K53" s="114">
        <v>0</v>
      </c>
      <c r="L53" s="115">
        <v>5.0900000000000001E-2</v>
      </c>
      <c r="M53" s="105">
        <v>0</v>
      </c>
      <c r="N53" s="105">
        <v>5</v>
      </c>
      <c r="O53" s="105">
        <v>1.1000000000000001</v>
      </c>
      <c r="P53" s="105">
        <v>7.9999999999955662</v>
      </c>
      <c r="Q53" s="113">
        <v>4.9935</v>
      </c>
      <c r="R53" s="114">
        <v>0.28620000000000001</v>
      </c>
      <c r="S53" s="115">
        <v>0.29649999999999999</v>
      </c>
      <c r="T53" s="99">
        <v>4.9935</v>
      </c>
      <c r="U53" s="99">
        <v>15.151300000000001</v>
      </c>
      <c r="V53" s="99">
        <v>-5.0900000000000001E-2</v>
      </c>
      <c r="W53" s="99">
        <v>2.0676000000000001</v>
      </c>
      <c r="X53" s="99">
        <v>204.72539999999998</v>
      </c>
      <c r="Y53" s="99" t="s">
        <v>1156</v>
      </c>
      <c r="Z53" s="99">
        <v>-0.38307000000000002</v>
      </c>
      <c r="AA53" s="99">
        <v>0.88626000000000005</v>
      </c>
      <c r="AB53" s="99">
        <v>-0.26038</v>
      </c>
      <c r="AC53" s="99">
        <v>1.6E-2</v>
      </c>
      <c r="AD53" s="99">
        <f>((-H53*COS(RADIANS(X53)))-(0*SIN(RADIANS(X53))))</f>
        <v>-1.8780483083058264</v>
      </c>
      <c r="AE53" s="99">
        <f>((0*COS(RADIANS(X53)))+(-H53*SIN(RADIANS(X53))))</f>
        <v>-0.86481461115641645</v>
      </c>
      <c r="AF53" s="138">
        <f>L53</f>
        <v>5.0900000000000001E-2</v>
      </c>
    </row>
    <row r="54" spans="1:32" x14ac:dyDescent="0.25">
      <c r="A54" s="111" t="s">
        <v>1165</v>
      </c>
      <c r="B54" s="112">
        <v>0</v>
      </c>
      <c r="C54" s="105">
        <v>7.0479183201058206E-3</v>
      </c>
      <c r="D54" s="105">
        <v>426.25810000000007</v>
      </c>
      <c r="E54" s="105">
        <v>0</v>
      </c>
      <c r="F54" s="105">
        <v>0</v>
      </c>
      <c r="G54" s="105">
        <v>180.00000000000006</v>
      </c>
      <c r="H54" s="105">
        <v>-2.8656000000000001</v>
      </c>
      <c r="I54" s="105">
        <v>-5.4412629457490233E-15</v>
      </c>
      <c r="J54" s="113">
        <v>-4.8656000000000006</v>
      </c>
      <c r="K54" s="114">
        <v>0</v>
      </c>
      <c r="L54" s="115">
        <v>0.2</v>
      </c>
      <c r="M54" s="105">
        <v>0</v>
      </c>
      <c r="N54" s="105">
        <v>5</v>
      </c>
      <c r="O54" s="105">
        <v>1.1000000000000001</v>
      </c>
      <c r="P54" s="105">
        <v>13.999999999995794</v>
      </c>
      <c r="Q54" s="113">
        <v>39.322699999999998</v>
      </c>
      <c r="R54" s="114">
        <v>0.28510000000000002</v>
      </c>
      <c r="S54" s="115">
        <v>0.29649999999999999</v>
      </c>
      <c r="T54" s="99">
        <v>39.322699999999998</v>
      </c>
      <c r="U54" s="99">
        <v>15.9368</v>
      </c>
      <c r="V54" s="99">
        <v>-0.2</v>
      </c>
      <c r="W54" s="99">
        <v>2.8656000000000001</v>
      </c>
      <c r="X54" s="99">
        <v>203.74189999999999</v>
      </c>
      <c r="Y54" s="99" t="s">
        <v>1166</v>
      </c>
      <c r="Z54" s="99">
        <v>-0.22786999999999999</v>
      </c>
      <c r="AA54" s="99">
        <v>0.95023999999999997</v>
      </c>
      <c r="AB54" s="99">
        <v>-0.21240999999999999</v>
      </c>
      <c r="AC54" s="99">
        <v>1.6E-2</v>
      </c>
      <c r="AD54" s="99">
        <f>((-H54*COS(RADIANS(X54)))-(0*SIN(RADIANS(X54))))</f>
        <v>-2.6230797069400698</v>
      </c>
      <c r="AE54" s="99">
        <f>((0*COS(RADIANS(X54)))+(-H54*SIN(RADIANS(X54))))</f>
        <v>-1.1537400968325571</v>
      </c>
      <c r="AF54" s="138">
        <f>L54</f>
        <v>0.2</v>
      </c>
    </row>
    <row r="55" spans="1:32" x14ac:dyDescent="0.25">
      <c r="A55" s="111" t="s">
        <v>1175</v>
      </c>
      <c r="B55" s="112">
        <v>0</v>
      </c>
      <c r="C55" s="105">
        <v>7.0628538359788365E-3</v>
      </c>
      <c r="D55" s="105">
        <v>427.16140000000001</v>
      </c>
      <c r="E55" s="105">
        <v>0</v>
      </c>
      <c r="F55" s="105">
        <v>0</v>
      </c>
      <c r="G55" s="105">
        <v>180</v>
      </c>
      <c r="H55" s="105">
        <v>-3.4424999999999999</v>
      </c>
      <c r="I55" s="105">
        <v>-1.1123024394968359E-14</v>
      </c>
      <c r="J55" s="113">
        <v>-5.4424999999999999</v>
      </c>
      <c r="K55" s="114">
        <v>0</v>
      </c>
      <c r="L55" s="115">
        <v>0.73440000000000005</v>
      </c>
      <c r="M55" s="105">
        <v>0</v>
      </c>
      <c r="N55" s="105">
        <v>5</v>
      </c>
      <c r="O55" s="105">
        <v>1.1000000000000001</v>
      </c>
      <c r="P55" s="105">
        <v>20.000000000003126</v>
      </c>
      <c r="Q55" s="113">
        <v>62.794899999999998</v>
      </c>
      <c r="R55" s="114">
        <v>0.27600000000000002</v>
      </c>
      <c r="S55" s="115">
        <v>0.29649999999999999</v>
      </c>
      <c r="T55" s="99">
        <v>62.794899999999998</v>
      </c>
      <c r="U55" s="99">
        <v>21.418299999999999</v>
      </c>
      <c r="V55" s="99">
        <v>-0.73440000000000005</v>
      </c>
      <c r="W55" s="99">
        <v>3.4424999999999999</v>
      </c>
      <c r="X55" s="99">
        <v>202.83859999999999</v>
      </c>
      <c r="Y55" s="99" t="s">
        <v>1176</v>
      </c>
      <c r="Z55" s="99">
        <v>-6.2019999999999999E-2</v>
      </c>
      <c r="AA55" s="99">
        <v>0.98401000000000005</v>
      </c>
      <c r="AB55" s="99">
        <v>-0.16694999999999999</v>
      </c>
      <c r="AC55" s="99">
        <v>1.6E-2</v>
      </c>
      <c r="AD55" s="99">
        <f>((-H55*COS(RADIANS(X55)))-(0*SIN(RADIANS(X55))))</f>
        <v>-3.1726144522187307</v>
      </c>
      <c r="AE55" s="99">
        <f>((0*COS(RADIANS(X55)))+(-H55*SIN(RADIANS(X55))))</f>
        <v>-1.3361600905478517</v>
      </c>
      <c r="AF55" s="138">
        <f>L55</f>
        <v>0.73440000000000005</v>
      </c>
    </row>
    <row r="56" spans="1:32" x14ac:dyDescent="0.25">
      <c r="A56" s="111" t="s">
        <v>1185</v>
      </c>
      <c r="B56" s="112">
        <v>0</v>
      </c>
      <c r="C56" s="105">
        <v>7.0686028439153441E-3</v>
      </c>
      <c r="D56" s="105">
        <v>427.50910000000005</v>
      </c>
      <c r="E56" s="105">
        <v>0</v>
      </c>
      <c r="F56" s="105">
        <v>0</v>
      </c>
      <c r="G56" s="105">
        <v>180.00000000000006</v>
      </c>
      <c r="H56" s="105">
        <v>-3.6554000000000002</v>
      </c>
      <c r="I56" s="105">
        <v>-6.9409521817039984E-15</v>
      </c>
      <c r="J56" s="113">
        <v>-5.6554000000000002</v>
      </c>
      <c r="K56" s="114">
        <v>0</v>
      </c>
      <c r="L56" s="115">
        <v>1.4729000000000001</v>
      </c>
      <c r="M56" s="105">
        <v>0</v>
      </c>
      <c r="N56" s="105">
        <v>5</v>
      </c>
      <c r="O56" s="105">
        <v>1.1000000000000001</v>
      </c>
      <c r="P56" s="105">
        <v>25.999999999996248</v>
      </c>
      <c r="Q56" s="113">
        <v>79.987399999999994</v>
      </c>
      <c r="R56" s="114">
        <v>0.25640000000000002</v>
      </c>
      <c r="S56" s="115">
        <v>0.29649999999999999</v>
      </c>
      <c r="T56" s="99">
        <v>79.987399999999994</v>
      </c>
      <c r="U56" s="99">
        <v>30.163799999999998</v>
      </c>
      <c r="V56" s="99">
        <v>-1.4729000000000001</v>
      </c>
      <c r="W56" s="99">
        <v>3.6554000000000002</v>
      </c>
      <c r="X56" s="99">
        <v>202.49090000000001</v>
      </c>
      <c r="Y56" s="99" t="s">
        <v>1186</v>
      </c>
      <c r="Z56" s="99">
        <v>0.12645000000000001</v>
      </c>
      <c r="AA56" s="99">
        <v>0.98812</v>
      </c>
      <c r="AB56" s="99">
        <v>-8.7359999999999993E-2</v>
      </c>
      <c r="AC56" s="99">
        <v>1.6E-2</v>
      </c>
      <c r="AD56" s="99">
        <f>((-H56*COS(RADIANS(X56)))-(0*SIN(RADIANS(X56))))</f>
        <v>-3.3773713745939435</v>
      </c>
      <c r="AE56" s="99">
        <f>((0*COS(RADIANS(X56)))+(-H56*SIN(RADIANS(X56))))</f>
        <v>-1.3983246254262338</v>
      </c>
      <c r="AF56" s="138">
        <f>L56</f>
        <v>1.4729000000000001</v>
      </c>
    </row>
    <row r="57" spans="1:32" x14ac:dyDescent="0.25">
      <c r="A57" s="111" t="s">
        <v>1195</v>
      </c>
      <c r="B57" s="112">
        <v>0</v>
      </c>
      <c r="C57" s="105">
        <v>7.0707936507936504E-3</v>
      </c>
      <c r="D57" s="105">
        <v>427.64159999999998</v>
      </c>
      <c r="E57" s="105">
        <v>0</v>
      </c>
      <c r="F57" s="105">
        <v>0</v>
      </c>
      <c r="G57" s="105">
        <v>180</v>
      </c>
      <c r="H57" s="105">
        <v>-3.7368000000000001</v>
      </c>
      <c r="I57" s="105">
        <v>-1.207393393147938E-14</v>
      </c>
      <c r="J57" s="113">
        <v>-5.7368000000000006</v>
      </c>
      <c r="K57" s="114">
        <v>0</v>
      </c>
      <c r="L57" s="115">
        <v>2.169</v>
      </c>
      <c r="M57" s="105">
        <v>0</v>
      </c>
      <c r="N57" s="105">
        <v>5</v>
      </c>
      <c r="O57" s="105">
        <v>1.1000000000000001</v>
      </c>
      <c r="P57" s="105">
        <v>32.000000000003581</v>
      </c>
      <c r="Q57" s="113">
        <v>90</v>
      </c>
      <c r="R57" s="114">
        <v>0.25679999999999997</v>
      </c>
      <c r="S57" s="115">
        <v>0.29649999999999999</v>
      </c>
      <c r="T57" s="99">
        <v>90</v>
      </c>
      <c r="U57" s="99">
        <v>30</v>
      </c>
      <c r="V57" s="99">
        <v>-2.169</v>
      </c>
      <c r="W57" s="99">
        <v>3.7368000000000001</v>
      </c>
      <c r="X57" s="99">
        <v>202.35840000000002</v>
      </c>
      <c r="Y57" s="99" t="s">
        <v>1196</v>
      </c>
      <c r="Z57" s="99">
        <v>0.13297999999999999</v>
      </c>
      <c r="AA57" s="99">
        <v>0.99112</v>
      </c>
      <c r="AB57" s="99">
        <v>0</v>
      </c>
      <c r="AC57" s="99">
        <v>1.6E-2</v>
      </c>
      <c r="AD57" s="99">
        <f>((-H57*COS(RADIANS(X57)))-(0*SIN(RADIANS(X57))))</f>
        <v>-3.4558766010348934</v>
      </c>
      <c r="AE57" s="99">
        <f>((0*COS(RADIANS(X57)))+(-H57*SIN(RADIANS(X57))))</f>
        <v>-1.4214749939480169</v>
      </c>
      <c r="AF57" s="138">
        <f>L57</f>
        <v>2.169</v>
      </c>
    </row>
    <row r="58" spans="1:32" x14ac:dyDescent="0.25">
      <c r="A58" s="111" t="s">
        <v>1137</v>
      </c>
      <c r="B58" s="112">
        <v>0</v>
      </c>
      <c r="C58" s="105">
        <v>7.0271164021164017E-3</v>
      </c>
      <c r="D58" s="105">
        <v>425</v>
      </c>
      <c r="E58" s="105">
        <v>0</v>
      </c>
      <c r="F58" s="105">
        <v>0</v>
      </c>
      <c r="G58" s="105">
        <v>180</v>
      </c>
      <c r="H58" s="105">
        <v>-0.58725000000000005</v>
      </c>
      <c r="I58" s="105">
        <v>0</v>
      </c>
      <c r="J58" s="113">
        <v>-2.5872999999999999</v>
      </c>
      <c r="K58" s="114">
        <v>0</v>
      </c>
      <c r="L58" s="115">
        <v>0.43480000000000002</v>
      </c>
      <c r="M58" s="105">
        <v>0</v>
      </c>
      <c r="N58" s="105">
        <v>5</v>
      </c>
      <c r="O58" s="105">
        <v>1.2</v>
      </c>
      <c r="P58" s="105">
        <v>2.0000000000024443</v>
      </c>
      <c r="Q58" s="113">
        <v>-15</v>
      </c>
      <c r="R58" s="114">
        <v>0.29799999999999999</v>
      </c>
      <c r="S58" s="115">
        <v>0.3125</v>
      </c>
      <c r="T58" s="99">
        <v>-15</v>
      </c>
      <c r="U58" s="99">
        <v>17.5</v>
      </c>
      <c r="V58" s="99">
        <v>-0.43485000000000001</v>
      </c>
      <c r="W58" s="99">
        <v>0.58725000000000005</v>
      </c>
      <c r="X58" s="99">
        <v>205</v>
      </c>
      <c r="Y58" s="99" t="s">
        <v>1138</v>
      </c>
    </row>
    <row r="59" spans="1:32" x14ac:dyDescent="0.25">
      <c r="A59" s="111" t="s">
        <v>1147</v>
      </c>
      <c r="B59" s="112">
        <v>0</v>
      </c>
      <c r="C59" s="105">
        <v>7.0271164021164017E-3</v>
      </c>
      <c r="D59" s="105">
        <v>425</v>
      </c>
      <c r="E59" s="105">
        <v>0</v>
      </c>
      <c r="F59" s="105">
        <v>0</v>
      </c>
      <c r="G59" s="105">
        <v>180</v>
      </c>
      <c r="H59" s="105">
        <v>-1.3120700000000001</v>
      </c>
      <c r="I59" s="105">
        <v>0</v>
      </c>
      <c r="J59" s="113">
        <v>-3.3121</v>
      </c>
      <c r="K59" s="114">
        <v>0</v>
      </c>
      <c r="L59" s="115">
        <v>0.24</v>
      </c>
      <c r="M59" s="105">
        <v>0</v>
      </c>
      <c r="N59" s="105">
        <v>5</v>
      </c>
      <c r="O59" s="105">
        <v>1.2</v>
      </c>
      <c r="P59" s="105">
        <v>5.000000000002558</v>
      </c>
      <c r="Q59" s="113">
        <v>-15</v>
      </c>
      <c r="R59" s="114">
        <v>0.3019</v>
      </c>
      <c r="S59" s="115">
        <v>0.3125</v>
      </c>
      <c r="T59" s="99">
        <v>-15</v>
      </c>
      <c r="U59" s="99">
        <v>15</v>
      </c>
      <c r="V59" s="99">
        <v>-0.24</v>
      </c>
      <c r="W59" s="99">
        <v>1.3120700000000001</v>
      </c>
      <c r="X59" s="99">
        <v>205</v>
      </c>
      <c r="Y59" s="99" t="s">
        <v>1148</v>
      </c>
    </row>
    <row r="60" spans="1:32" x14ac:dyDescent="0.25">
      <c r="A60" s="111" t="s">
        <v>1157</v>
      </c>
      <c r="B60" s="112">
        <v>0</v>
      </c>
      <c r="C60" s="105">
        <v>7.0316567460317466E-3</v>
      </c>
      <c r="D60" s="105">
        <v>425.27460000000008</v>
      </c>
      <c r="E60" s="105">
        <v>0</v>
      </c>
      <c r="F60" s="105">
        <v>0</v>
      </c>
      <c r="G60" s="105">
        <v>180.00000000000006</v>
      </c>
      <c r="H60" s="105">
        <v>-2.0671599999999999</v>
      </c>
      <c r="I60" s="105">
        <v>0</v>
      </c>
      <c r="J60" s="113">
        <v>-4.0671999999999997</v>
      </c>
      <c r="K60" s="114">
        <v>0</v>
      </c>
      <c r="L60" s="115">
        <v>5.5100000000000003E-2</v>
      </c>
      <c r="M60" s="105">
        <v>0</v>
      </c>
      <c r="N60" s="105">
        <v>5</v>
      </c>
      <c r="O60" s="105">
        <v>1.2</v>
      </c>
      <c r="P60" s="105">
        <v>7.9999999999955662</v>
      </c>
      <c r="Q60" s="113">
        <v>4.9935</v>
      </c>
      <c r="R60" s="114">
        <v>0.30159999999999998</v>
      </c>
      <c r="S60" s="115">
        <v>0.3125</v>
      </c>
      <c r="T60" s="99">
        <v>4.9935</v>
      </c>
      <c r="U60" s="99">
        <v>15.151300000000001</v>
      </c>
      <c r="V60" s="99">
        <v>-5.5070000000000001E-2</v>
      </c>
      <c r="W60" s="99">
        <v>2.0671599999999999</v>
      </c>
      <c r="X60" s="99">
        <v>204.72539999999998</v>
      </c>
      <c r="Y60" s="99" t="s">
        <v>1158</v>
      </c>
    </row>
    <row r="61" spans="1:32" x14ac:dyDescent="0.25">
      <c r="A61" s="111" t="s">
        <v>1167</v>
      </c>
      <c r="B61" s="112">
        <v>0</v>
      </c>
      <c r="C61" s="105">
        <v>7.0479183201058206E-3</v>
      </c>
      <c r="D61" s="105">
        <v>426.25810000000007</v>
      </c>
      <c r="E61" s="105">
        <v>0</v>
      </c>
      <c r="F61" s="105">
        <v>0</v>
      </c>
      <c r="G61" s="105">
        <v>180.00000000000006</v>
      </c>
      <c r="H61" s="105">
        <v>-2.8624800000000001</v>
      </c>
      <c r="I61" s="105">
        <v>0</v>
      </c>
      <c r="J61" s="113">
        <v>-4.8624999999999998</v>
      </c>
      <c r="K61" s="114">
        <v>0</v>
      </c>
      <c r="L61" s="115">
        <v>0.2034</v>
      </c>
      <c r="M61" s="105">
        <v>0</v>
      </c>
      <c r="N61" s="105">
        <v>5</v>
      </c>
      <c r="O61" s="105">
        <v>1.2</v>
      </c>
      <c r="P61" s="105">
        <v>13.999999999995794</v>
      </c>
      <c r="Q61" s="113">
        <v>39.322699999999998</v>
      </c>
      <c r="R61" s="114">
        <v>0.30049999999999999</v>
      </c>
      <c r="S61" s="115">
        <v>0.3125</v>
      </c>
      <c r="T61" s="99">
        <v>39.322699999999998</v>
      </c>
      <c r="U61" s="99">
        <v>15.9368</v>
      </c>
      <c r="V61" s="99">
        <v>-0.2034</v>
      </c>
      <c r="W61" s="99">
        <v>2.8624800000000001</v>
      </c>
      <c r="X61" s="99">
        <v>203.74189999999999</v>
      </c>
      <c r="Y61" s="99" t="s">
        <v>1168</v>
      </c>
    </row>
    <row r="62" spans="1:32" x14ac:dyDescent="0.25">
      <c r="A62" s="111" t="s">
        <v>1177</v>
      </c>
      <c r="B62" s="112">
        <v>0</v>
      </c>
      <c r="C62" s="105">
        <v>7.0628538359788365E-3</v>
      </c>
      <c r="D62" s="105">
        <v>427.16140000000001</v>
      </c>
      <c r="E62" s="105">
        <v>0</v>
      </c>
      <c r="F62" s="105">
        <v>0</v>
      </c>
      <c r="G62" s="105">
        <v>180</v>
      </c>
      <c r="H62" s="105">
        <v>-3.43675</v>
      </c>
      <c r="I62" s="105">
        <v>0</v>
      </c>
      <c r="J62" s="113">
        <v>-5.4367999999999999</v>
      </c>
      <c r="K62" s="114">
        <v>0</v>
      </c>
      <c r="L62" s="115">
        <v>0.73709999999999998</v>
      </c>
      <c r="M62" s="105">
        <v>0</v>
      </c>
      <c r="N62" s="105">
        <v>5</v>
      </c>
      <c r="O62" s="105">
        <v>1.2</v>
      </c>
      <c r="P62" s="105">
        <v>20.000000000003126</v>
      </c>
      <c r="Q62" s="113">
        <v>62.794899999999998</v>
      </c>
      <c r="R62" s="114">
        <v>0.29089999999999999</v>
      </c>
      <c r="S62" s="115">
        <v>0.3125</v>
      </c>
      <c r="T62" s="99">
        <v>62.794899999999998</v>
      </c>
      <c r="U62" s="99">
        <v>21.418299999999999</v>
      </c>
      <c r="V62" s="99">
        <v>-0.73707</v>
      </c>
      <c r="W62" s="99">
        <v>3.43675</v>
      </c>
      <c r="X62" s="99">
        <v>202.83859999999999</v>
      </c>
      <c r="Y62" s="99" t="s">
        <v>1178</v>
      </c>
    </row>
    <row r="63" spans="1:32" x14ac:dyDescent="0.25">
      <c r="A63" s="111" t="s">
        <v>1187</v>
      </c>
      <c r="B63" s="112">
        <v>0</v>
      </c>
      <c r="C63" s="105">
        <v>7.0686028439153441E-3</v>
      </c>
      <c r="D63" s="105">
        <v>427.50910000000005</v>
      </c>
      <c r="E63" s="105">
        <v>0</v>
      </c>
      <c r="F63" s="105">
        <v>0</v>
      </c>
      <c r="G63" s="105">
        <v>180.00000000000006</v>
      </c>
      <c r="H63" s="105">
        <v>-3.6468799999999999</v>
      </c>
      <c r="I63" s="105">
        <v>0</v>
      </c>
      <c r="J63" s="113">
        <v>-5.6469000000000005</v>
      </c>
      <c r="K63" s="114">
        <v>0</v>
      </c>
      <c r="L63" s="115">
        <v>1.4742999999999999</v>
      </c>
      <c r="M63" s="105">
        <v>0</v>
      </c>
      <c r="N63" s="105">
        <v>5</v>
      </c>
      <c r="O63" s="105">
        <v>1.2</v>
      </c>
      <c r="P63" s="105">
        <v>25.999999999996248</v>
      </c>
      <c r="Q63" s="113">
        <v>79.987399999999994</v>
      </c>
      <c r="R63" s="114">
        <v>0.2702</v>
      </c>
      <c r="S63" s="115">
        <v>0.3125</v>
      </c>
      <c r="T63" s="99">
        <v>79.987399999999994</v>
      </c>
      <c r="U63" s="99">
        <v>30.163799999999998</v>
      </c>
      <c r="V63" s="99">
        <v>-1.4742999999999999</v>
      </c>
      <c r="W63" s="99">
        <v>3.6468799999999999</v>
      </c>
      <c r="X63" s="99">
        <v>202.49090000000001</v>
      </c>
      <c r="Y63" s="99" t="s">
        <v>1188</v>
      </c>
    </row>
    <row r="64" spans="1:32" x14ac:dyDescent="0.25">
      <c r="A64" s="111" t="s">
        <v>1197</v>
      </c>
      <c r="B64" s="112">
        <v>0</v>
      </c>
      <c r="C64" s="105">
        <v>7.0707936507936504E-3</v>
      </c>
      <c r="D64" s="105">
        <v>427.64159999999998</v>
      </c>
      <c r="E64" s="105">
        <v>0</v>
      </c>
      <c r="F64" s="105">
        <v>0</v>
      </c>
      <c r="G64" s="105">
        <v>180</v>
      </c>
      <c r="H64" s="105">
        <v>-3.72817</v>
      </c>
      <c r="I64" s="105">
        <v>0</v>
      </c>
      <c r="J64" s="113">
        <v>-5.7282000000000002</v>
      </c>
      <c r="K64" s="114">
        <v>0</v>
      </c>
      <c r="L64" s="115">
        <v>2.169</v>
      </c>
      <c r="M64" s="105">
        <v>0</v>
      </c>
      <c r="N64" s="105">
        <v>5</v>
      </c>
      <c r="O64" s="105">
        <v>1.2</v>
      </c>
      <c r="P64" s="105">
        <v>32.000000000003581</v>
      </c>
      <c r="Q64" s="113">
        <v>90</v>
      </c>
      <c r="R64" s="114">
        <v>0.27060000000000001</v>
      </c>
      <c r="S64" s="115">
        <v>0.3125</v>
      </c>
      <c r="T64" s="99">
        <v>90</v>
      </c>
      <c r="U64" s="99">
        <v>30</v>
      </c>
      <c r="V64" s="99">
        <v>-2.169</v>
      </c>
      <c r="W64" s="99">
        <v>3.72817</v>
      </c>
      <c r="X64" s="99">
        <v>202.35840000000002</v>
      </c>
      <c r="Y64" s="99" t="s">
        <v>1198</v>
      </c>
    </row>
    <row r="65" spans="1:32" x14ac:dyDescent="0.25">
      <c r="A65" s="111" t="s">
        <v>1205</v>
      </c>
      <c r="B65" s="112">
        <v>0</v>
      </c>
      <c r="C65" s="105">
        <v>8.0370916005291001E-3</v>
      </c>
      <c r="D65" s="105">
        <v>486.08329999999995</v>
      </c>
      <c r="E65" s="105">
        <v>0</v>
      </c>
      <c r="F65" s="105">
        <v>0</v>
      </c>
      <c r="G65" s="105">
        <v>179.99999999999994</v>
      </c>
      <c r="H65" s="105">
        <v>-2.7440000000000002</v>
      </c>
      <c r="I65" s="105">
        <v>-1.2521850999971752E-14</v>
      </c>
      <c r="J65" s="113">
        <v>-4.7439999999999998</v>
      </c>
      <c r="K65" s="114">
        <v>0</v>
      </c>
      <c r="L65" s="115">
        <v>0.14460000000000001</v>
      </c>
      <c r="M65" s="105">
        <v>0</v>
      </c>
      <c r="N65" s="105">
        <v>6</v>
      </c>
      <c r="O65" s="105">
        <v>1.1000000000000001</v>
      </c>
      <c r="P65" s="105">
        <v>13.00000000000523</v>
      </c>
      <c r="Q65" s="113">
        <v>33.9848</v>
      </c>
      <c r="R65" s="114">
        <v>0.2853</v>
      </c>
      <c r="S65" s="115">
        <v>0.29649999999999999</v>
      </c>
      <c r="T65" s="99">
        <v>33.9848</v>
      </c>
      <c r="U65" s="99">
        <v>15.776300000000001</v>
      </c>
      <c r="V65" s="99">
        <v>-0.14460000000000001</v>
      </c>
      <c r="W65" s="99">
        <v>2.7440000000000002</v>
      </c>
      <c r="X65" s="99">
        <v>143.91669999999999</v>
      </c>
      <c r="Y65" s="99" t="s">
        <v>1206</v>
      </c>
      <c r="Z65" s="99">
        <v>0.68959999999999999</v>
      </c>
      <c r="AA65" s="99">
        <v>0.68820999999999999</v>
      </c>
      <c r="AB65" s="99">
        <v>-0.22544</v>
      </c>
      <c r="AC65" s="99">
        <v>1.6E-2</v>
      </c>
      <c r="AD65" s="99">
        <f>((-H65*COS(RADIANS(X65)))-(0*SIN(RADIANS(X65))))</f>
        <v>-2.2175953827306767</v>
      </c>
      <c r="AE65" s="99">
        <f>((0*COS(RADIANS(X65)))+(-H65*SIN(RADIANS(X65))))</f>
        <v>1.6161085107416473</v>
      </c>
      <c r="AF65" s="138">
        <f>L65</f>
        <v>0.14460000000000001</v>
      </c>
    </row>
    <row r="66" spans="1:32" x14ac:dyDescent="0.25">
      <c r="A66" s="111" t="s">
        <v>1215</v>
      </c>
      <c r="B66" s="112">
        <v>0</v>
      </c>
      <c r="C66" s="105">
        <v>8.0528951719576729E-3</v>
      </c>
      <c r="D66" s="105">
        <v>487.03910000000008</v>
      </c>
      <c r="E66" s="105">
        <v>0</v>
      </c>
      <c r="F66" s="105">
        <v>0</v>
      </c>
      <c r="G66" s="105">
        <v>180.00000000000006</v>
      </c>
      <c r="H66" s="105">
        <v>-3.3679999999999999</v>
      </c>
      <c r="I66" s="105">
        <v>-6.3952308770528711E-15</v>
      </c>
      <c r="J66" s="113">
        <v>-5.3680000000000003</v>
      </c>
      <c r="K66" s="114">
        <v>0</v>
      </c>
      <c r="L66" s="115">
        <v>0.62649999999999995</v>
      </c>
      <c r="M66" s="105">
        <v>0</v>
      </c>
      <c r="N66" s="105">
        <v>6</v>
      </c>
      <c r="O66" s="105">
        <v>1.1000000000000001</v>
      </c>
      <c r="P66" s="105">
        <v>18.999999999998352</v>
      </c>
      <c r="Q66" s="113">
        <v>60.428699999999999</v>
      </c>
      <c r="R66" s="114">
        <v>0.27960000000000002</v>
      </c>
      <c r="S66" s="115">
        <v>0.29649999999999999</v>
      </c>
      <c r="T66" s="99">
        <v>60.428699999999999</v>
      </c>
      <c r="U66" s="99">
        <v>19.459199999999999</v>
      </c>
      <c r="V66" s="99">
        <v>-0.62649999999999995</v>
      </c>
      <c r="W66" s="99">
        <v>3.3679999999999999</v>
      </c>
      <c r="X66" s="99">
        <v>142.96089999999998</v>
      </c>
      <c r="Y66" s="99" t="s">
        <v>1216</v>
      </c>
      <c r="Z66" s="99">
        <v>0.79923</v>
      </c>
      <c r="AA66" s="99">
        <v>0.57809999999999995</v>
      </c>
      <c r="AB66" s="99">
        <v>-0.16439999999999999</v>
      </c>
      <c r="AC66" s="99">
        <v>1.6E-2</v>
      </c>
      <c r="AD66" s="99">
        <f>((-H66*COS(RADIANS(X66)))-(0*SIN(RADIANS(X66))))</f>
        <v>-2.6884205580790845</v>
      </c>
      <c r="AE66" s="99">
        <f>((0*COS(RADIANS(X66)))+(-H66*SIN(RADIANS(X66))))</f>
        <v>2.0287481122351645</v>
      </c>
      <c r="AF66" s="138">
        <f>L66</f>
        <v>0.62649999999999995</v>
      </c>
    </row>
    <row r="67" spans="1:32" x14ac:dyDescent="0.25">
      <c r="A67" s="111" t="s">
        <v>1225</v>
      </c>
      <c r="B67" s="112">
        <v>0</v>
      </c>
      <c r="C67" s="105">
        <v>8.0606150793650789E-3</v>
      </c>
      <c r="D67" s="105">
        <v>487.50599999999997</v>
      </c>
      <c r="E67" s="105">
        <v>0</v>
      </c>
      <c r="F67" s="105">
        <v>0</v>
      </c>
      <c r="G67" s="105">
        <v>180</v>
      </c>
      <c r="H67" s="105">
        <v>-3.6465000000000001</v>
      </c>
      <c r="I67" s="105">
        <v>-1.1782166581336855E-14</v>
      </c>
      <c r="J67" s="113">
        <v>-5.6464999999999996</v>
      </c>
      <c r="K67" s="114">
        <v>0</v>
      </c>
      <c r="L67" s="115">
        <v>1.3420000000000001</v>
      </c>
      <c r="M67" s="105">
        <v>0</v>
      </c>
      <c r="N67" s="105">
        <v>6</v>
      </c>
      <c r="O67" s="105">
        <v>1.1000000000000001</v>
      </c>
      <c r="P67" s="105">
        <v>24.999999999998579</v>
      </c>
      <c r="Q67" s="113">
        <v>77.3797</v>
      </c>
      <c r="R67" s="114">
        <v>0.26119999999999999</v>
      </c>
      <c r="S67" s="115">
        <v>0.29649999999999999</v>
      </c>
      <c r="T67" s="99">
        <v>77.3797</v>
      </c>
      <c r="U67" s="99">
        <v>28.259899999999998</v>
      </c>
      <c r="V67" s="99">
        <v>-1.3420000000000001</v>
      </c>
      <c r="W67" s="99">
        <v>3.6465000000000001</v>
      </c>
      <c r="X67" s="99">
        <v>142.49400000000003</v>
      </c>
      <c r="Y67" s="99" t="s">
        <v>1226</v>
      </c>
      <c r="Z67" s="99">
        <v>0.90280000000000005</v>
      </c>
      <c r="AA67" s="99">
        <v>0.41743000000000002</v>
      </c>
      <c r="AB67" s="99">
        <v>-0.10345</v>
      </c>
      <c r="AC67" s="99">
        <v>1.6E-2</v>
      </c>
      <c r="AD67" s="99">
        <f>((-H67*COS(RADIANS(X67)))-(0*SIN(RADIANS(X67))))</f>
        <v>-2.8927304775133198</v>
      </c>
      <c r="AE67" s="99">
        <f>((0*COS(RADIANS(X67)))+(-H67*SIN(RADIANS(X67))))</f>
        <v>2.2201514890803198</v>
      </c>
      <c r="AF67" s="138">
        <f>L67</f>
        <v>1.3420000000000001</v>
      </c>
    </row>
    <row r="68" spans="1:32" x14ac:dyDescent="0.25">
      <c r="A68" s="111" t="s">
        <v>1235</v>
      </c>
      <c r="B68" s="112">
        <v>0</v>
      </c>
      <c r="C68" s="105">
        <v>8.0621693121693122E-3</v>
      </c>
      <c r="D68" s="105">
        <v>487.59999999999997</v>
      </c>
      <c r="E68" s="105">
        <v>0</v>
      </c>
      <c r="F68" s="105">
        <v>0</v>
      </c>
      <c r="G68" s="105">
        <v>179.99999999999994</v>
      </c>
      <c r="H68" s="105">
        <v>-3.7351000000000001</v>
      </c>
      <c r="I68" s="105">
        <v>-1.7044593903059217E-14</v>
      </c>
      <c r="J68" s="113">
        <v>-5.7351000000000001</v>
      </c>
      <c r="K68" s="114">
        <v>0</v>
      </c>
      <c r="L68" s="115">
        <v>2.0485000000000002</v>
      </c>
      <c r="M68" s="105">
        <v>0</v>
      </c>
      <c r="N68" s="105">
        <v>6</v>
      </c>
      <c r="O68" s="105">
        <v>1.1000000000000001</v>
      </c>
      <c r="P68" s="105">
        <v>31.000000000005912</v>
      </c>
      <c r="Q68" s="113">
        <v>90</v>
      </c>
      <c r="R68" s="114">
        <v>0.25679999999999997</v>
      </c>
      <c r="S68" s="115">
        <v>0.29649999999999999</v>
      </c>
      <c r="T68" s="99">
        <v>90</v>
      </c>
      <c r="U68" s="99">
        <v>30</v>
      </c>
      <c r="V68" s="99">
        <v>-2.0485000000000002</v>
      </c>
      <c r="W68" s="99">
        <v>3.7351000000000001</v>
      </c>
      <c r="X68" s="99">
        <v>142.39999999999998</v>
      </c>
      <c r="Y68" s="99" t="s">
        <v>1236</v>
      </c>
      <c r="Z68" s="99">
        <v>0.92454999999999998</v>
      </c>
      <c r="AA68" s="99">
        <v>0.38107000000000002</v>
      </c>
      <c r="AB68" s="99">
        <v>0</v>
      </c>
      <c r="AC68" s="99">
        <v>1.6E-2</v>
      </c>
      <c r="AD68" s="99">
        <f>((-H68*COS(RADIANS(X68)))-(0*SIN(RADIANS(X68))))</f>
        <v>-2.9592810468959718</v>
      </c>
      <c r="AE68" s="99">
        <f>((0*COS(RADIANS(X68)))+(-H68*SIN(RADIANS(X68))))</f>
        <v>2.2789532016876262</v>
      </c>
      <c r="AF68" s="138">
        <f>L68</f>
        <v>2.0485000000000002</v>
      </c>
    </row>
    <row r="69" spans="1:32" x14ac:dyDescent="0.25">
      <c r="A69" s="111" t="s">
        <v>1207</v>
      </c>
      <c r="B69" s="112">
        <v>0</v>
      </c>
      <c r="C69" s="105">
        <v>8.0370916005291001E-3</v>
      </c>
      <c r="D69" s="105">
        <v>486.08329999999995</v>
      </c>
      <c r="E69" s="105">
        <v>0</v>
      </c>
      <c r="F69" s="105">
        <v>0</v>
      </c>
      <c r="G69" s="105">
        <v>179.99999999999994</v>
      </c>
      <c r="H69" s="105">
        <v>-2.7412800000000002</v>
      </c>
      <c r="I69" s="105">
        <v>0</v>
      </c>
      <c r="J69" s="113">
        <v>-4.7412999999999998</v>
      </c>
      <c r="K69" s="114">
        <v>0</v>
      </c>
      <c r="L69" s="115">
        <v>0.1482</v>
      </c>
      <c r="M69" s="105">
        <v>0</v>
      </c>
      <c r="N69" s="105">
        <v>6</v>
      </c>
      <c r="O69" s="105">
        <v>1.2</v>
      </c>
      <c r="P69" s="105">
        <v>13.00000000000523</v>
      </c>
      <c r="Q69" s="113">
        <v>33.9848</v>
      </c>
      <c r="R69" s="114">
        <v>0.30070000000000002</v>
      </c>
      <c r="S69" s="115">
        <v>0.3125</v>
      </c>
      <c r="T69" s="99">
        <v>33.9848</v>
      </c>
      <c r="U69" s="99">
        <v>15.776300000000001</v>
      </c>
      <c r="V69" s="99">
        <v>-0.14821000000000001</v>
      </c>
      <c r="W69" s="99">
        <v>2.7412800000000002</v>
      </c>
      <c r="X69" s="99">
        <v>143.91669999999999</v>
      </c>
      <c r="Y69" s="99" t="s">
        <v>1208</v>
      </c>
    </row>
    <row r="70" spans="1:32" x14ac:dyDescent="0.25">
      <c r="A70" s="111" t="s">
        <v>1217</v>
      </c>
      <c r="B70" s="112">
        <v>0</v>
      </c>
      <c r="C70" s="105">
        <v>8.0528951719576729E-3</v>
      </c>
      <c r="D70" s="105">
        <v>487.03910000000008</v>
      </c>
      <c r="E70" s="105">
        <v>0</v>
      </c>
      <c r="F70" s="105">
        <v>0</v>
      </c>
      <c r="G70" s="105">
        <v>180.00000000000006</v>
      </c>
      <c r="H70" s="105">
        <v>-3.3628300000000002</v>
      </c>
      <c r="I70" s="105">
        <v>0</v>
      </c>
      <c r="J70" s="113">
        <v>-5.3628</v>
      </c>
      <c r="K70" s="114">
        <v>0</v>
      </c>
      <c r="L70" s="115">
        <v>0.62909999999999999</v>
      </c>
      <c r="M70" s="105">
        <v>0</v>
      </c>
      <c r="N70" s="105">
        <v>6</v>
      </c>
      <c r="O70" s="105">
        <v>1.2</v>
      </c>
      <c r="P70" s="105">
        <v>18.999999999998352</v>
      </c>
      <c r="Q70" s="113">
        <v>60.428699999999999</v>
      </c>
      <c r="R70" s="114">
        <v>0.29459999999999997</v>
      </c>
      <c r="S70" s="115">
        <v>0.3125</v>
      </c>
      <c r="T70" s="99">
        <v>60.428699999999999</v>
      </c>
      <c r="U70" s="99">
        <v>19.459199999999999</v>
      </c>
      <c r="V70" s="99">
        <v>-0.62912999999999997</v>
      </c>
      <c r="W70" s="99">
        <v>3.3628300000000002</v>
      </c>
      <c r="X70" s="99">
        <v>142.96089999999998</v>
      </c>
      <c r="Y70" s="99" t="s">
        <v>1218</v>
      </c>
    </row>
    <row r="71" spans="1:32" x14ac:dyDescent="0.25">
      <c r="A71" s="111" t="s">
        <v>1227</v>
      </c>
      <c r="B71" s="112">
        <v>0</v>
      </c>
      <c r="C71" s="105">
        <v>8.0606150793650789E-3</v>
      </c>
      <c r="D71" s="105">
        <v>487.50599999999997</v>
      </c>
      <c r="E71" s="105">
        <v>0</v>
      </c>
      <c r="F71" s="105">
        <v>0</v>
      </c>
      <c r="G71" s="105">
        <v>180</v>
      </c>
      <c r="H71" s="105">
        <v>-3.6385000000000001</v>
      </c>
      <c r="I71" s="105">
        <v>0</v>
      </c>
      <c r="J71" s="113">
        <v>-5.6385000000000005</v>
      </c>
      <c r="K71" s="114">
        <v>0</v>
      </c>
      <c r="L71" s="115">
        <v>1.3436999999999999</v>
      </c>
      <c r="M71" s="105">
        <v>0</v>
      </c>
      <c r="N71" s="105">
        <v>6</v>
      </c>
      <c r="O71" s="105">
        <v>1.2</v>
      </c>
      <c r="P71" s="105">
        <v>24.999999999998579</v>
      </c>
      <c r="Q71" s="113">
        <v>77.3797</v>
      </c>
      <c r="R71" s="114">
        <v>0.27529999999999999</v>
      </c>
      <c r="S71" s="115">
        <v>0.3125</v>
      </c>
      <c r="T71" s="99">
        <v>77.3797</v>
      </c>
      <c r="U71" s="99">
        <v>28.259899999999998</v>
      </c>
      <c r="V71" s="99">
        <v>-1.3436600000000001</v>
      </c>
      <c r="W71" s="99">
        <v>3.6385000000000001</v>
      </c>
      <c r="X71" s="99">
        <v>142.49400000000003</v>
      </c>
      <c r="Y71" s="99" t="s">
        <v>1228</v>
      </c>
    </row>
    <row r="72" spans="1:32" x14ac:dyDescent="0.25">
      <c r="A72" s="111" t="s">
        <v>1237</v>
      </c>
      <c r="B72" s="112">
        <v>0</v>
      </c>
      <c r="C72" s="105">
        <v>8.0621693121693122E-3</v>
      </c>
      <c r="D72" s="105">
        <v>487.59999999999997</v>
      </c>
      <c r="E72" s="105">
        <v>0</v>
      </c>
      <c r="F72" s="105">
        <v>0</v>
      </c>
      <c r="G72" s="105">
        <v>179.99999999999994</v>
      </c>
      <c r="H72" s="105">
        <v>-3.72648</v>
      </c>
      <c r="I72" s="105">
        <v>0</v>
      </c>
      <c r="J72" s="113">
        <v>-5.7264999999999997</v>
      </c>
      <c r="K72" s="114">
        <v>0</v>
      </c>
      <c r="L72" s="115">
        <v>2.0485000000000002</v>
      </c>
      <c r="M72" s="105">
        <v>0</v>
      </c>
      <c r="N72" s="105">
        <v>6</v>
      </c>
      <c r="O72" s="105">
        <v>1.2</v>
      </c>
      <c r="P72" s="105">
        <v>31.000000000005912</v>
      </c>
      <c r="Q72" s="113">
        <v>90</v>
      </c>
      <c r="R72" s="114">
        <v>0.27060000000000001</v>
      </c>
      <c r="S72" s="115">
        <v>0.3125</v>
      </c>
      <c r="T72" s="99">
        <v>90</v>
      </c>
      <c r="U72" s="99">
        <v>30</v>
      </c>
      <c r="V72" s="99">
        <v>-2.0485000000000002</v>
      </c>
      <c r="W72" s="99">
        <v>3.72648</v>
      </c>
      <c r="X72" s="99">
        <v>142.39999999999998</v>
      </c>
      <c r="Y72" s="99" t="s">
        <v>1238</v>
      </c>
    </row>
    <row r="73" spans="1:32" x14ac:dyDescent="0.25">
      <c r="A73" s="111" t="s">
        <v>436</v>
      </c>
      <c r="B73" s="112">
        <v>0</v>
      </c>
      <c r="C73" s="105">
        <v>0</v>
      </c>
      <c r="D73" s="105">
        <v>0</v>
      </c>
      <c r="E73" s="105">
        <v>0</v>
      </c>
      <c r="F73" s="105">
        <v>0</v>
      </c>
      <c r="G73" s="105">
        <v>0</v>
      </c>
      <c r="H73" s="105">
        <v>0.34329999999999999</v>
      </c>
      <c r="I73" s="105">
        <v>0</v>
      </c>
      <c r="J73" s="113">
        <v>0.34329999999999999</v>
      </c>
      <c r="K73" s="114">
        <v>0</v>
      </c>
      <c r="L73" s="115">
        <v>0.49519999999999997</v>
      </c>
      <c r="M73" s="105">
        <v>1</v>
      </c>
      <c r="N73" s="105">
        <v>1</v>
      </c>
      <c r="O73" s="105">
        <v>1.1000000000000001</v>
      </c>
      <c r="P73" s="105">
        <v>1.0000000000012221</v>
      </c>
      <c r="Q73" s="113">
        <v>15</v>
      </c>
      <c r="R73" s="114">
        <v>0.27860000000000001</v>
      </c>
      <c r="S73" s="115">
        <v>0.29649999999999999</v>
      </c>
      <c r="Y73" s="99" t="s">
        <v>433</v>
      </c>
    </row>
    <row r="74" spans="1:32" x14ac:dyDescent="0.25">
      <c r="A74" s="111" t="s">
        <v>650</v>
      </c>
      <c r="B74" s="112">
        <v>0</v>
      </c>
      <c r="C74" s="105">
        <v>0</v>
      </c>
      <c r="D74" s="105">
        <v>0</v>
      </c>
      <c r="E74" s="105">
        <v>0</v>
      </c>
      <c r="F74" s="105">
        <v>0</v>
      </c>
      <c r="G74" s="105">
        <v>0</v>
      </c>
      <c r="H74" s="105">
        <v>1.0692999999999999</v>
      </c>
      <c r="I74" s="105">
        <v>0</v>
      </c>
      <c r="J74" s="113">
        <v>1.0692999999999999</v>
      </c>
      <c r="K74" s="114">
        <v>0</v>
      </c>
      <c r="L74" s="115">
        <v>0.30070000000000002</v>
      </c>
      <c r="M74" s="105">
        <v>1</v>
      </c>
      <c r="N74" s="105">
        <v>1</v>
      </c>
      <c r="O74" s="105">
        <v>1.1000000000000001</v>
      </c>
      <c r="P74" s="105">
        <v>4.0000000000013358</v>
      </c>
      <c r="Q74" s="113">
        <v>15</v>
      </c>
      <c r="R74" s="114">
        <v>0.28639999999999999</v>
      </c>
      <c r="S74" s="115">
        <v>0.29649999999999999</v>
      </c>
      <c r="Y74" s="99" t="s">
        <v>647</v>
      </c>
    </row>
    <row r="75" spans="1:32" x14ac:dyDescent="0.25">
      <c r="A75" s="111" t="s">
        <v>446</v>
      </c>
      <c r="B75" s="112">
        <v>0</v>
      </c>
      <c r="C75" s="105">
        <v>0</v>
      </c>
      <c r="D75" s="105">
        <v>0</v>
      </c>
      <c r="E75" s="105">
        <v>0</v>
      </c>
      <c r="F75" s="105">
        <v>0</v>
      </c>
      <c r="G75" s="105">
        <v>0</v>
      </c>
      <c r="H75" s="105">
        <v>1.7943</v>
      </c>
      <c r="I75" s="105">
        <v>0</v>
      </c>
      <c r="J75" s="113">
        <v>1.7943</v>
      </c>
      <c r="K75" s="114">
        <v>0</v>
      </c>
      <c r="L75" s="115">
        <v>0.1065</v>
      </c>
      <c r="M75" s="105">
        <v>1</v>
      </c>
      <c r="N75" s="105">
        <v>1</v>
      </c>
      <c r="O75" s="105">
        <v>1.1000000000000001</v>
      </c>
      <c r="P75" s="105">
        <v>6.9999999999996732</v>
      </c>
      <c r="Q75" s="113">
        <v>15</v>
      </c>
      <c r="R75" s="114">
        <v>0.28639999999999999</v>
      </c>
      <c r="S75" s="115">
        <v>0.29649999999999999</v>
      </c>
      <c r="Y75" s="99" t="s">
        <v>443</v>
      </c>
    </row>
    <row r="76" spans="1:32" x14ac:dyDescent="0.25">
      <c r="A76" s="111" t="s">
        <v>959</v>
      </c>
      <c r="B76" s="112">
        <v>1.0019841269841269E-4</v>
      </c>
      <c r="C76" s="105">
        <v>1.5029761904761905E-5</v>
      </c>
      <c r="D76" s="105">
        <v>0.90899999999999992</v>
      </c>
      <c r="E76" s="105">
        <v>0</v>
      </c>
      <c r="F76" s="105">
        <v>0</v>
      </c>
      <c r="G76" s="105">
        <v>-1.1102230246251565E-16</v>
      </c>
      <c r="H76" s="105">
        <v>2.6175000000000002</v>
      </c>
      <c r="I76" s="105">
        <v>5.0719421075208804E-18</v>
      </c>
      <c r="J76" s="113">
        <v>2.6175000000000002</v>
      </c>
      <c r="K76" s="114">
        <v>0</v>
      </c>
      <c r="L76" s="115">
        <v>9.9599999999999994E-2</v>
      </c>
      <c r="M76" s="105">
        <v>1</v>
      </c>
      <c r="N76" s="105">
        <v>1</v>
      </c>
      <c r="O76" s="105">
        <v>1.1000000000000001</v>
      </c>
      <c r="P76" s="105">
        <v>12.000000000000455</v>
      </c>
      <c r="Q76" s="113">
        <v>-26.6419</v>
      </c>
      <c r="R76" s="114">
        <v>0.28549999999999998</v>
      </c>
      <c r="S76" s="115">
        <v>0.29649999999999999</v>
      </c>
      <c r="Y76" s="99" t="s">
        <v>956</v>
      </c>
    </row>
    <row r="77" spans="1:32" x14ac:dyDescent="0.25">
      <c r="A77" s="111" t="s">
        <v>969</v>
      </c>
      <c r="B77" s="112">
        <v>2.09920634920635E-4</v>
      </c>
      <c r="C77" s="105">
        <v>3.148809523809525E-5</v>
      </c>
      <c r="D77" s="105">
        <v>1.9044000000000008</v>
      </c>
      <c r="E77" s="105">
        <v>0</v>
      </c>
      <c r="F77" s="105">
        <v>0</v>
      </c>
      <c r="G77" s="105">
        <v>0</v>
      </c>
      <c r="H77" s="105">
        <v>3.2848999999999999</v>
      </c>
      <c r="I77" s="105">
        <v>0</v>
      </c>
      <c r="J77" s="113">
        <v>3.2848999999999999</v>
      </c>
      <c r="K77" s="114">
        <v>0</v>
      </c>
      <c r="L77" s="115">
        <v>0.5222</v>
      </c>
      <c r="M77" s="105">
        <v>1</v>
      </c>
      <c r="N77" s="105">
        <v>1</v>
      </c>
      <c r="O77" s="105">
        <v>1.1000000000000001</v>
      </c>
      <c r="P77" s="105">
        <v>17.999999999998906</v>
      </c>
      <c r="Q77" s="113">
        <v>-56.997300000000003</v>
      </c>
      <c r="R77" s="114">
        <v>0.28129999999999999</v>
      </c>
      <c r="S77" s="115">
        <v>0.29649999999999999</v>
      </c>
      <c r="Y77" s="99" t="s">
        <v>966</v>
      </c>
    </row>
    <row r="78" spans="1:32" x14ac:dyDescent="0.25">
      <c r="A78" s="111" t="s">
        <v>979</v>
      </c>
      <c r="B78" s="112">
        <v>2.7173721340387999E-4</v>
      </c>
      <c r="C78" s="105">
        <v>4.0760582010581998E-5</v>
      </c>
      <c r="D78" s="105">
        <v>2.4651999999999994</v>
      </c>
      <c r="E78" s="105">
        <v>0</v>
      </c>
      <c r="F78" s="105">
        <v>0</v>
      </c>
      <c r="G78" s="105">
        <v>0</v>
      </c>
      <c r="H78" s="105">
        <v>3.6240999999999999</v>
      </c>
      <c r="I78" s="105">
        <v>0</v>
      </c>
      <c r="J78" s="113">
        <v>3.6240999999999999</v>
      </c>
      <c r="K78" s="114">
        <v>0</v>
      </c>
      <c r="L78" s="115">
        <v>1.2155</v>
      </c>
      <c r="M78" s="105">
        <v>1</v>
      </c>
      <c r="N78" s="105">
        <v>1</v>
      </c>
      <c r="O78" s="105">
        <v>1.1000000000000001</v>
      </c>
      <c r="P78" s="105">
        <v>24.000000000000909</v>
      </c>
      <c r="Q78" s="113">
        <v>-74.941299999999998</v>
      </c>
      <c r="R78" s="114">
        <v>0.26569999999999999</v>
      </c>
      <c r="S78" s="115">
        <v>0.29649999999999999</v>
      </c>
      <c r="Y78" s="99" t="s">
        <v>976</v>
      </c>
    </row>
    <row r="79" spans="1:32" x14ac:dyDescent="0.25">
      <c r="A79" s="111" t="s">
        <v>989</v>
      </c>
      <c r="B79" s="112">
        <v>2.9118165784832454E-4</v>
      </c>
      <c r="C79" s="105">
        <v>4.3677248677248683E-5</v>
      </c>
      <c r="D79" s="105">
        <v>2.6416000000000004</v>
      </c>
      <c r="E79" s="105">
        <v>0</v>
      </c>
      <c r="F79" s="105">
        <v>0</v>
      </c>
      <c r="G79" s="105">
        <v>0</v>
      </c>
      <c r="H79" s="105">
        <v>3.6829999999999998</v>
      </c>
      <c r="I79" s="105">
        <v>0</v>
      </c>
      <c r="J79" s="113">
        <v>3.6829999999999998</v>
      </c>
      <c r="K79" s="114">
        <v>0</v>
      </c>
      <c r="L79" s="115">
        <v>2.0005000000000002</v>
      </c>
      <c r="M79" s="105">
        <v>1</v>
      </c>
      <c r="N79" s="105">
        <v>1</v>
      </c>
      <c r="O79" s="105">
        <v>1.1000000000000001</v>
      </c>
      <c r="P79" s="105">
        <v>29.999999999999361</v>
      </c>
      <c r="Q79" s="113">
        <v>-90</v>
      </c>
      <c r="R79" s="114">
        <v>0.25679999999999997</v>
      </c>
      <c r="S79" s="115">
        <v>0.29649999999999999</v>
      </c>
      <c r="Y79" s="99" t="s">
        <v>986</v>
      </c>
    </row>
    <row r="80" spans="1:32" x14ac:dyDescent="0.25">
      <c r="A80" s="111" t="s">
        <v>437</v>
      </c>
      <c r="B80" s="112">
        <v>0</v>
      </c>
      <c r="C80" s="105">
        <v>0</v>
      </c>
      <c r="D80" s="105">
        <v>0</v>
      </c>
      <c r="E80" s="105">
        <v>0</v>
      </c>
      <c r="F80" s="105">
        <v>0</v>
      </c>
      <c r="G80" s="105">
        <v>0</v>
      </c>
      <c r="H80" s="105">
        <v>0.34472000000000003</v>
      </c>
      <c r="I80" s="105">
        <v>0</v>
      </c>
      <c r="J80" s="113">
        <v>0.34470000000000001</v>
      </c>
      <c r="K80" s="114">
        <v>0</v>
      </c>
      <c r="L80" s="115">
        <v>0.50049999999999994</v>
      </c>
      <c r="M80" s="105">
        <v>1</v>
      </c>
      <c r="N80" s="105">
        <v>1</v>
      </c>
      <c r="O80" s="105">
        <v>1.2</v>
      </c>
      <c r="P80" s="105">
        <v>1.0000000000012221</v>
      </c>
      <c r="Q80" s="113">
        <v>15</v>
      </c>
      <c r="R80" s="114">
        <v>0.29370000000000002</v>
      </c>
      <c r="S80" s="115">
        <v>0.3125</v>
      </c>
      <c r="Y80" s="99" t="s">
        <v>435</v>
      </c>
    </row>
    <row r="81" spans="1:25" x14ac:dyDescent="0.25">
      <c r="A81" s="111" t="s">
        <v>651</v>
      </c>
      <c r="B81" s="112">
        <v>0</v>
      </c>
      <c r="C81" s="105">
        <v>0</v>
      </c>
      <c r="D81" s="105">
        <v>0</v>
      </c>
      <c r="E81" s="105">
        <v>0</v>
      </c>
      <c r="F81" s="105">
        <v>0</v>
      </c>
      <c r="G81" s="105">
        <v>0</v>
      </c>
      <c r="H81" s="105">
        <v>1.07037</v>
      </c>
      <c r="I81" s="105">
        <v>0</v>
      </c>
      <c r="J81" s="113">
        <v>1.0704</v>
      </c>
      <c r="K81" s="114">
        <v>0</v>
      </c>
      <c r="L81" s="115">
        <v>0.30470000000000003</v>
      </c>
      <c r="M81" s="105">
        <v>1</v>
      </c>
      <c r="N81" s="105">
        <v>1</v>
      </c>
      <c r="O81" s="105">
        <v>1.2</v>
      </c>
      <c r="P81" s="105">
        <v>4.0000000000013358</v>
      </c>
      <c r="Q81" s="113">
        <v>15</v>
      </c>
      <c r="R81" s="114">
        <v>0.3019</v>
      </c>
      <c r="S81" s="115">
        <v>0.3125</v>
      </c>
      <c r="Y81" s="99" t="s">
        <v>649</v>
      </c>
    </row>
    <row r="82" spans="1:25" x14ac:dyDescent="0.25">
      <c r="A82" s="111" t="s">
        <v>447</v>
      </c>
      <c r="B82" s="112">
        <v>0</v>
      </c>
      <c r="C82" s="105">
        <v>0</v>
      </c>
      <c r="D82" s="105">
        <v>0</v>
      </c>
      <c r="E82" s="105">
        <v>0</v>
      </c>
      <c r="F82" s="105">
        <v>0</v>
      </c>
      <c r="G82" s="105">
        <v>0</v>
      </c>
      <c r="H82" s="105">
        <v>1.7953699999999999</v>
      </c>
      <c r="I82" s="105">
        <v>0</v>
      </c>
      <c r="J82" s="113">
        <v>1.7954000000000001</v>
      </c>
      <c r="K82" s="114">
        <v>0</v>
      </c>
      <c r="L82" s="115">
        <v>0.1105</v>
      </c>
      <c r="M82" s="105">
        <v>1</v>
      </c>
      <c r="N82" s="105">
        <v>1</v>
      </c>
      <c r="O82" s="105">
        <v>1.2</v>
      </c>
      <c r="P82" s="105">
        <v>6.9999999999996732</v>
      </c>
      <c r="Q82" s="113">
        <v>15</v>
      </c>
      <c r="R82" s="114">
        <v>0.3019</v>
      </c>
      <c r="S82" s="115">
        <v>0.3125</v>
      </c>
      <c r="Y82" s="99" t="s">
        <v>445</v>
      </c>
    </row>
    <row r="83" spans="1:25" x14ac:dyDescent="0.25">
      <c r="A83" s="111" t="s">
        <v>960</v>
      </c>
      <c r="B83" s="112">
        <v>1.0019841269841269E-4</v>
      </c>
      <c r="C83" s="105">
        <v>1.5029761904761905E-5</v>
      </c>
      <c r="D83" s="105">
        <v>0.90899999999999992</v>
      </c>
      <c r="E83" s="105">
        <v>0</v>
      </c>
      <c r="F83" s="105">
        <v>0</v>
      </c>
      <c r="G83" s="105">
        <v>-1.1102230246251565E-16</v>
      </c>
      <c r="H83" s="105">
        <v>2.6153200000000001</v>
      </c>
      <c r="I83" s="105">
        <v>0</v>
      </c>
      <c r="J83" s="113">
        <v>2.6153</v>
      </c>
      <c r="K83" s="114">
        <v>0</v>
      </c>
      <c r="L83" s="115">
        <v>0.10340000000000001</v>
      </c>
      <c r="M83" s="105">
        <v>1</v>
      </c>
      <c r="N83" s="105">
        <v>1</v>
      </c>
      <c r="O83" s="105">
        <v>1.2</v>
      </c>
      <c r="P83" s="105">
        <v>12.000000000000455</v>
      </c>
      <c r="Q83" s="113">
        <v>-26.6419</v>
      </c>
      <c r="R83" s="114">
        <v>0.30099999999999999</v>
      </c>
      <c r="S83" s="115">
        <v>0.3125</v>
      </c>
      <c r="Y83" s="99" t="s">
        <v>958</v>
      </c>
    </row>
    <row r="84" spans="1:25" x14ac:dyDescent="0.25">
      <c r="A84" s="111" t="s">
        <v>970</v>
      </c>
      <c r="B84" s="112">
        <v>2.09920634920635E-4</v>
      </c>
      <c r="C84" s="105">
        <v>3.148809523809525E-5</v>
      </c>
      <c r="D84" s="105">
        <v>1.9044000000000008</v>
      </c>
      <c r="E84" s="105">
        <v>0</v>
      </c>
      <c r="F84" s="105">
        <v>0</v>
      </c>
      <c r="G84" s="105">
        <v>0</v>
      </c>
      <c r="H84" s="105">
        <v>3.28016</v>
      </c>
      <c r="I84" s="105">
        <v>0</v>
      </c>
      <c r="J84" s="113">
        <v>3.2801999999999998</v>
      </c>
      <c r="K84" s="114">
        <v>0</v>
      </c>
      <c r="L84" s="115">
        <v>0.52490000000000003</v>
      </c>
      <c r="M84" s="105">
        <v>1</v>
      </c>
      <c r="N84" s="105">
        <v>1</v>
      </c>
      <c r="O84" s="105">
        <v>1.2</v>
      </c>
      <c r="P84" s="105">
        <v>17.999999999998906</v>
      </c>
      <c r="Q84" s="113">
        <v>-56.997300000000003</v>
      </c>
      <c r="R84" s="114">
        <v>0.29649999999999999</v>
      </c>
      <c r="S84" s="115">
        <v>0.3125</v>
      </c>
      <c r="Y84" s="99" t="s">
        <v>968</v>
      </c>
    </row>
    <row r="85" spans="1:25" x14ac:dyDescent="0.25">
      <c r="A85" s="111" t="s">
        <v>980</v>
      </c>
      <c r="B85" s="112">
        <v>2.7173721340387999E-4</v>
      </c>
      <c r="C85" s="105">
        <v>4.0760582010581998E-5</v>
      </c>
      <c r="D85" s="105">
        <v>2.4651999999999994</v>
      </c>
      <c r="E85" s="105">
        <v>0</v>
      </c>
      <c r="F85" s="105">
        <v>0</v>
      </c>
      <c r="G85" s="105">
        <v>0</v>
      </c>
      <c r="H85" s="105">
        <v>3.6166299999999998</v>
      </c>
      <c r="I85" s="105">
        <v>0</v>
      </c>
      <c r="J85" s="113">
        <v>3.6166</v>
      </c>
      <c r="K85" s="114">
        <v>0</v>
      </c>
      <c r="L85" s="115">
        <v>1.2174</v>
      </c>
      <c r="M85" s="105">
        <v>1</v>
      </c>
      <c r="N85" s="105">
        <v>1</v>
      </c>
      <c r="O85" s="105">
        <v>1.2</v>
      </c>
      <c r="P85" s="105">
        <v>24.000000000000909</v>
      </c>
      <c r="Q85" s="113">
        <v>-74.941299999999998</v>
      </c>
      <c r="R85" s="114">
        <v>0.28010000000000002</v>
      </c>
      <c r="S85" s="115">
        <v>0.3125</v>
      </c>
      <c r="Y85" s="99" t="s">
        <v>978</v>
      </c>
    </row>
    <row r="86" spans="1:25" x14ac:dyDescent="0.25">
      <c r="A86" s="111" t="s">
        <v>990</v>
      </c>
      <c r="B86" s="112">
        <v>2.9118165784832454E-4</v>
      </c>
      <c r="C86" s="105">
        <v>4.3677248677248683E-5</v>
      </c>
      <c r="D86" s="105">
        <v>2.6416000000000004</v>
      </c>
      <c r="E86" s="105">
        <v>0</v>
      </c>
      <c r="F86" s="105">
        <v>0</v>
      </c>
      <c r="G86" s="105">
        <v>0</v>
      </c>
      <c r="H86" s="105">
        <v>3.6743700000000001</v>
      </c>
      <c r="I86" s="105">
        <v>0</v>
      </c>
      <c r="J86" s="113">
        <v>3.6743999999999999</v>
      </c>
      <c r="K86" s="114">
        <v>0</v>
      </c>
      <c r="L86" s="115">
        <v>2.0005000000000002</v>
      </c>
      <c r="M86" s="105">
        <v>1</v>
      </c>
      <c r="N86" s="105">
        <v>1</v>
      </c>
      <c r="O86" s="105">
        <v>1.2</v>
      </c>
      <c r="P86" s="105">
        <v>29.999999999999361</v>
      </c>
      <c r="Q86" s="113">
        <v>-90</v>
      </c>
      <c r="R86" s="114">
        <v>0.27060000000000001</v>
      </c>
      <c r="S86" s="115">
        <v>0.3125</v>
      </c>
      <c r="Y86" s="99" t="s">
        <v>988</v>
      </c>
    </row>
    <row r="87" spans="1:25" x14ac:dyDescent="0.25">
      <c r="A87" s="111" t="s">
        <v>999</v>
      </c>
      <c r="B87" s="112">
        <v>7.2456459435626111E-3</v>
      </c>
      <c r="C87" s="105">
        <v>1.0868468915343917E-3</v>
      </c>
      <c r="D87" s="105">
        <v>65.732500000000016</v>
      </c>
      <c r="E87" s="105">
        <v>0</v>
      </c>
      <c r="F87" s="105">
        <v>0</v>
      </c>
      <c r="G87" s="105">
        <v>0</v>
      </c>
      <c r="H87" s="105">
        <v>2.4823</v>
      </c>
      <c r="I87" s="105">
        <v>0</v>
      </c>
      <c r="J87" s="113">
        <v>2.4823</v>
      </c>
      <c r="K87" s="114">
        <v>0</v>
      </c>
      <c r="L87" s="115">
        <v>-1.8800000000000001E-2</v>
      </c>
      <c r="M87" s="105">
        <v>1</v>
      </c>
      <c r="N87" s="105">
        <v>2</v>
      </c>
      <c r="O87" s="105">
        <v>1.1000000000000001</v>
      </c>
      <c r="P87" s="105">
        <v>11.000000000002785</v>
      </c>
      <c r="Q87" s="113">
        <v>-22.7378</v>
      </c>
      <c r="R87" s="114">
        <v>0.28570000000000001</v>
      </c>
      <c r="S87" s="115">
        <v>0.29649999999999999</v>
      </c>
      <c r="Y87" s="99" t="s">
        <v>996</v>
      </c>
    </row>
    <row r="88" spans="1:25" x14ac:dyDescent="0.25">
      <c r="A88" s="111" t="s">
        <v>1009</v>
      </c>
      <c r="B88" s="112">
        <v>7.3584435626102311E-3</v>
      </c>
      <c r="C88" s="105">
        <v>1.1037665343915347E-3</v>
      </c>
      <c r="D88" s="105">
        <v>66.755800000000022</v>
      </c>
      <c r="E88" s="105">
        <v>0</v>
      </c>
      <c r="F88" s="105">
        <v>0</v>
      </c>
      <c r="G88" s="105">
        <v>0</v>
      </c>
      <c r="H88" s="105">
        <v>3.1918000000000002</v>
      </c>
      <c r="I88" s="105">
        <v>0</v>
      </c>
      <c r="J88" s="113">
        <v>3.1918000000000002</v>
      </c>
      <c r="K88" s="114">
        <v>0</v>
      </c>
      <c r="L88" s="115">
        <v>0.34160000000000001</v>
      </c>
      <c r="M88" s="105">
        <v>1</v>
      </c>
      <c r="N88" s="105">
        <v>2</v>
      </c>
      <c r="O88" s="105">
        <v>1.1000000000000001</v>
      </c>
      <c r="P88" s="105">
        <v>17.000000000003013</v>
      </c>
      <c r="Q88" s="113">
        <v>-53.366999999999997</v>
      </c>
      <c r="R88" s="114">
        <v>0.28299999999999997</v>
      </c>
      <c r="S88" s="115">
        <v>0.29649999999999999</v>
      </c>
      <c r="Y88" s="99" t="s">
        <v>1006</v>
      </c>
    </row>
    <row r="89" spans="1:25" x14ac:dyDescent="0.25">
      <c r="A89" s="111" t="s">
        <v>1019</v>
      </c>
      <c r="B89" s="112">
        <v>7.4318893298059973E-3</v>
      </c>
      <c r="C89" s="105">
        <v>1.1147833994708996E-3</v>
      </c>
      <c r="D89" s="105">
        <v>67.422100000000015</v>
      </c>
      <c r="E89" s="105">
        <v>0</v>
      </c>
      <c r="F89" s="105">
        <v>0</v>
      </c>
      <c r="G89" s="105">
        <v>1.4210854715202004E-14</v>
      </c>
      <c r="H89" s="105">
        <v>3.5985999999999998</v>
      </c>
      <c r="I89" s="105">
        <v>-8.9254709880418489E-16</v>
      </c>
      <c r="J89" s="113">
        <v>3.5985999999999998</v>
      </c>
      <c r="K89" s="114">
        <v>0</v>
      </c>
      <c r="L89" s="115">
        <v>1.0025999999999999</v>
      </c>
      <c r="M89" s="105">
        <v>1</v>
      </c>
      <c r="N89" s="105">
        <v>2</v>
      </c>
      <c r="O89" s="105">
        <v>1.1000000000000001</v>
      </c>
      <c r="P89" s="105">
        <v>22.999999999999687</v>
      </c>
      <c r="Q89" s="113">
        <v>-71.813100000000006</v>
      </c>
      <c r="R89" s="114">
        <v>0.26790000000000003</v>
      </c>
      <c r="S89" s="115">
        <v>0.29649999999999999</v>
      </c>
      <c r="Y89" s="99" t="s">
        <v>1016</v>
      </c>
    </row>
    <row r="90" spans="1:25" x14ac:dyDescent="0.25">
      <c r="A90" s="111" t="s">
        <v>1029</v>
      </c>
      <c r="B90" s="112">
        <v>7.4560846560846545E-3</v>
      </c>
      <c r="C90" s="105">
        <v>1.1184126984126982E-3</v>
      </c>
      <c r="D90" s="105">
        <v>67.641599999999983</v>
      </c>
      <c r="E90" s="105">
        <v>0</v>
      </c>
      <c r="F90" s="105">
        <v>0</v>
      </c>
      <c r="G90" s="105">
        <v>0</v>
      </c>
      <c r="H90" s="105">
        <v>3.6829999999999998</v>
      </c>
      <c r="I90" s="105">
        <v>0</v>
      </c>
      <c r="J90" s="113">
        <v>3.6829999999999998</v>
      </c>
      <c r="K90" s="114">
        <v>0</v>
      </c>
      <c r="L90" s="115">
        <v>1.7965</v>
      </c>
      <c r="M90" s="105">
        <v>1</v>
      </c>
      <c r="N90" s="105">
        <v>2</v>
      </c>
      <c r="O90" s="105">
        <v>1.1000000000000001</v>
      </c>
      <c r="P90" s="105">
        <v>28.999999999999915</v>
      </c>
      <c r="Q90" s="113">
        <v>-90</v>
      </c>
      <c r="R90" s="114">
        <v>0.25679999999999997</v>
      </c>
      <c r="S90" s="115">
        <v>0.29649999999999999</v>
      </c>
      <c r="Y90" s="99" t="s">
        <v>1026</v>
      </c>
    </row>
    <row r="91" spans="1:25" x14ac:dyDescent="0.25">
      <c r="A91" s="111" t="s">
        <v>1000</v>
      </c>
      <c r="B91" s="112">
        <v>7.2456459435626111E-3</v>
      </c>
      <c r="C91" s="105">
        <v>1.0868468915343917E-3</v>
      </c>
      <c r="D91" s="105">
        <v>65.732500000000016</v>
      </c>
      <c r="E91" s="105">
        <v>0</v>
      </c>
      <c r="F91" s="105">
        <v>0</v>
      </c>
      <c r="G91" s="105">
        <v>0</v>
      </c>
      <c r="H91" s="105">
        <v>2.4804499999999998</v>
      </c>
      <c r="I91" s="105">
        <v>0</v>
      </c>
      <c r="J91" s="113">
        <v>2.4803999999999999</v>
      </c>
      <c r="K91" s="114">
        <v>0</v>
      </c>
      <c r="L91" s="115">
        <v>-1.49E-2</v>
      </c>
      <c r="M91" s="105">
        <v>1</v>
      </c>
      <c r="N91" s="105">
        <v>2</v>
      </c>
      <c r="O91" s="105">
        <v>1.2</v>
      </c>
      <c r="P91" s="105">
        <v>11.000000000002785</v>
      </c>
      <c r="Q91" s="113">
        <v>-22.7378</v>
      </c>
      <c r="R91" s="114">
        <v>0.30120000000000002</v>
      </c>
      <c r="S91" s="115">
        <v>0.3125</v>
      </c>
      <c r="Y91" s="99" t="s">
        <v>998</v>
      </c>
    </row>
    <row r="92" spans="1:25" x14ac:dyDescent="0.25">
      <c r="A92" s="111" t="s">
        <v>1010</v>
      </c>
      <c r="B92" s="112">
        <v>7.3584435626102311E-3</v>
      </c>
      <c r="C92" s="105">
        <v>1.1037665343915347E-3</v>
      </c>
      <c r="D92" s="105">
        <v>66.755800000000022</v>
      </c>
      <c r="E92" s="105">
        <v>0</v>
      </c>
      <c r="F92" s="105">
        <v>0</v>
      </c>
      <c r="G92" s="105">
        <v>0</v>
      </c>
      <c r="H92" s="105">
        <v>3.1875100000000001</v>
      </c>
      <c r="I92" s="105">
        <v>0</v>
      </c>
      <c r="J92" s="113">
        <v>3.1875</v>
      </c>
      <c r="K92" s="114">
        <v>0</v>
      </c>
      <c r="L92" s="115">
        <v>0.34439999999999998</v>
      </c>
      <c r="M92" s="105">
        <v>1</v>
      </c>
      <c r="N92" s="105">
        <v>2</v>
      </c>
      <c r="O92" s="105">
        <v>1.2</v>
      </c>
      <c r="P92" s="105">
        <v>17.000000000003013</v>
      </c>
      <c r="Q92" s="113">
        <v>-53.366999999999997</v>
      </c>
      <c r="R92" s="114">
        <v>0.29830000000000001</v>
      </c>
      <c r="S92" s="115">
        <v>0.3125</v>
      </c>
      <c r="Y92" s="99" t="s">
        <v>1008</v>
      </c>
    </row>
    <row r="93" spans="1:25" x14ac:dyDescent="0.25">
      <c r="A93" s="111" t="s">
        <v>1020</v>
      </c>
      <c r="B93" s="112">
        <v>7.4318893298059973E-3</v>
      </c>
      <c r="C93" s="105">
        <v>1.1147833994708996E-3</v>
      </c>
      <c r="D93" s="105">
        <v>67.422100000000015</v>
      </c>
      <c r="E93" s="105">
        <v>0</v>
      </c>
      <c r="F93" s="105">
        <v>0</v>
      </c>
      <c r="G93" s="105">
        <v>1.4210854715202004E-14</v>
      </c>
      <c r="H93" s="105">
        <v>3.5914799999999998</v>
      </c>
      <c r="I93" s="105">
        <v>0</v>
      </c>
      <c r="J93" s="113">
        <v>3.5914999999999999</v>
      </c>
      <c r="K93" s="114">
        <v>0</v>
      </c>
      <c r="L93" s="115">
        <v>1.0047999999999999</v>
      </c>
      <c r="M93" s="105">
        <v>1</v>
      </c>
      <c r="N93" s="105">
        <v>2</v>
      </c>
      <c r="O93" s="105">
        <v>1.2</v>
      </c>
      <c r="P93" s="105">
        <v>22.999999999999687</v>
      </c>
      <c r="Q93" s="113">
        <v>-71.813100000000006</v>
      </c>
      <c r="R93" s="114">
        <v>0.28239999999999998</v>
      </c>
      <c r="S93" s="115">
        <v>0.3125</v>
      </c>
      <c r="Y93" s="99" t="s">
        <v>1018</v>
      </c>
    </row>
    <row r="94" spans="1:25" x14ac:dyDescent="0.25">
      <c r="A94" s="111" t="s">
        <v>1030</v>
      </c>
      <c r="B94" s="112">
        <v>7.4560846560846545E-3</v>
      </c>
      <c r="C94" s="105">
        <v>1.1184126984126982E-3</v>
      </c>
      <c r="D94" s="105">
        <v>67.641599999999983</v>
      </c>
      <c r="E94" s="105">
        <v>0</v>
      </c>
      <c r="F94" s="105">
        <v>0</v>
      </c>
      <c r="G94" s="105">
        <v>0</v>
      </c>
      <c r="H94" s="105">
        <v>3.6743700000000001</v>
      </c>
      <c r="I94" s="105">
        <v>0</v>
      </c>
      <c r="J94" s="113">
        <v>3.6743999999999999</v>
      </c>
      <c r="K94" s="114">
        <v>0</v>
      </c>
      <c r="L94" s="115">
        <v>1.7965</v>
      </c>
      <c r="M94" s="105">
        <v>1</v>
      </c>
      <c r="N94" s="105">
        <v>2</v>
      </c>
      <c r="O94" s="105">
        <v>1.2</v>
      </c>
      <c r="P94" s="105">
        <v>28.999999999999915</v>
      </c>
      <c r="Q94" s="113">
        <v>-90</v>
      </c>
      <c r="R94" s="114">
        <v>0.27060000000000001</v>
      </c>
      <c r="S94" s="115">
        <v>0.3125</v>
      </c>
      <c r="Y94" s="99" t="s">
        <v>1028</v>
      </c>
    </row>
    <row r="95" spans="1:25" x14ac:dyDescent="0.25">
      <c r="A95" s="111" t="s">
        <v>1039</v>
      </c>
      <c r="B95" s="112">
        <v>1.3778659611992945E-2</v>
      </c>
      <c r="C95" s="105">
        <v>2.0667989417989417E-3</v>
      </c>
      <c r="D95" s="105">
        <v>125</v>
      </c>
      <c r="E95" s="105">
        <v>0</v>
      </c>
      <c r="F95" s="105">
        <v>0</v>
      </c>
      <c r="G95" s="105">
        <v>0</v>
      </c>
      <c r="H95" s="105">
        <v>0.82769999999999999</v>
      </c>
      <c r="I95" s="105">
        <v>0</v>
      </c>
      <c r="J95" s="113">
        <v>0.82769999999999999</v>
      </c>
      <c r="K95" s="114">
        <v>0</v>
      </c>
      <c r="L95" s="115">
        <v>0.20019999999999999</v>
      </c>
      <c r="M95" s="105">
        <v>1</v>
      </c>
      <c r="N95" s="105">
        <v>3</v>
      </c>
      <c r="O95" s="105">
        <v>1.1000000000000001</v>
      </c>
      <c r="P95" s="105">
        <v>3.0000000000001137</v>
      </c>
      <c r="Q95" s="113">
        <v>15</v>
      </c>
      <c r="R95" s="114">
        <v>0.28639999999999999</v>
      </c>
      <c r="S95" s="115">
        <v>0.29649999999999999</v>
      </c>
      <c r="Y95" s="99" t="s">
        <v>1036</v>
      </c>
    </row>
    <row r="96" spans="1:25" x14ac:dyDescent="0.25">
      <c r="A96" s="111" t="s">
        <v>1049</v>
      </c>
      <c r="B96" s="112">
        <v>1.3778659611992945E-2</v>
      </c>
      <c r="C96" s="105">
        <v>2.0667989417989417E-3</v>
      </c>
      <c r="D96" s="105">
        <v>125</v>
      </c>
      <c r="E96" s="105">
        <v>0</v>
      </c>
      <c r="F96" s="105">
        <v>0</v>
      </c>
      <c r="G96" s="105">
        <v>0</v>
      </c>
      <c r="H96" s="105">
        <v>1.5526</v>
      </c>
      <c r="I96" s="105">
        <v>0</v>
      </c>
      <c r="J96" s="113">
        <v>1.5526</v>
      </c>
      <c r="K96" s="114">
        <v>0</v>
      </c>
      <c r="L96" s="115">
        <v>5.8999999999999999E-3</v>
      </c>
      <c r="M96" s="105">
        <v>1</v>
      </c>
      <c r="N96" s="105">
        <v>3</v>
      </c>
      <c r="O96" s="105">
        <v>1.1000000000000001</v>
      </c>
      <c r="P96" s="105">
        <v>6.0000000000002274</v>
      </c>
      <c r="Q96" s="113">
        <v>15</v>
      </c>
      <c r="R96" s="114">
        <v>0.28639999999999999</v>
      </c>
      <c r="S96" s="115">
        <v>0.29649999999999999</v>
      </c>
      <c r="Y96" s="99" t="s">
        <v>1046</v>
      </c>
    </row>
    <row r="97" spans="1:25" x14ac:dyDescent="0.25">
      <c r="A97" s="111" t="s">
        <v>1059</v>
      </c>
      <c r="B97" s="112">
        <v>1.3840939153439152E-2</v>
      </c>
      <c r="C97" s="105">
        <v>2.0761408730158729E-3</v>
      </c>
      <c r="D97" s="105">
        <v>125.565</v>
      </c>
      <c r="E97" s="105">
        <v>0</v>
      </c>
      <c r="F97" s="105">
        <v>0</v>
      </c>
      <c r="G97" s="105">
        <v>0</v>
      </c>
      <c r="H97" s="105">
        <v>2.3447</v>
      </c>
      <c r="I97" s="105">
        <v>0</v>
      </c>
      <c r="J97" s="113">
        <v>2.3447</v>
      </c>
      <c r="K97" s="114">
        <v>0</v>
      </c>
      <c r="L97" s="115">
        <v>-0.1173</v>
      </c>
      <c r="M97" s="105">
        <v>1</v>
      </c>
      <c r="N97" s="105">
        <v>3</v>
      </c>
      <c r="O97" s="105">
        <v>1.1000000000000001</v>
      </c>
      <c r="P97" s="105">
        <v>9.9999999999980105</v>
      </c>
      <c r="Q97" s="113">
        <v>-16.861799999999999</v>
      </c>
      <c r="R97" s="114">
        <v>0.28589999999999999</v>
      </c>
      <c r="S97" s="115">
        <v>0.29649999999999999</v>
      </c>
      <c r="Y97" s="99" t="s">
        <v>1056</v>
      </c>
    </row>
    <row r="98" spans="1:25" x14ac:dyDescent="0.25">
      <c r="A98" s="111" t="s">
        <v>1069</v>
      </c>
      <c r="B98" s="112">
        <v>1.3954706790123457E-2</v>
      </c>
      <c r="C98" s="105">
        <v>2.0932060185185185E-3</v>
      </c>
      <c r="D98" s="105">
        <v>126.59710000000001</v>
      </c>
      <c r="E98" s="105">
        <v>0</v>
      </c>
      <c r="F98" s="105">
        <v>0</v>
      </c>
      <c r="G98" s="105">
        <v>0</v>
      </c>
      <c r="H98" s="105">
        <v>3.0903999999999998</v>
      </c>
      <c r="I98" s="105">
        <v>0</v>
      </c>
      <c r="J98" s="113">
        <v>3.0903999999999998</v>
      </c>
      <c r="K98" s="114">
        <v>0</v>
      </c>
      <c r="L98" s="115">
        <v>0.1764</v>
      </c>
      <c r="M98" s="105">
        <v>1</v>
      </c>
      <c r="N98" s="105">
        <v>3</v>
      </c>
      <c r="O98" s="105">
        <v>1.1000000000000001</v>
      </c>
      <c r="P98" s="105">
        <v>15.999999999998238</v>
      </c>
      <c r="Q98" s="113">
        <v>-49.742800000000003</v>
      </c>
      <c r="R98" s="114">
        <v>0.28460000000000002</v>
      </c>
      <c r="S98" s="115">
        <v>0.29649999999999999</v>
      </c>
      <c r="Y98" s="99" t="s">
        <v>1066</v>
      </c>
    </row>
    <row r="99" spans="1:25" x14ac:dyDescent="0.25">
      <c r="A99" s="111" t="s">
        <v>1079</v>
      </c>
      <c r="B99" s="112">
        <v>1.4038073192239859E-2</v>
      </c>
      <c r="C99" s="105">
        <v>2.1057109788359791E-3</v>
      </c>
      <c r="D99" s="105">
        <v>127.35340000000001</v>
      </c>
      <c r="E99" s="105">
        <v>0</v>
      </c>
      <c r="F99" s="105">
        <v>0</v>
      </c>
      <c r="G99" s="105">
        <v>-1.4210854715202004E-14</v>
      </c>
      <c r="H99" s="105">
        <v>3.5577999999999999</v>
      </c>
      <c r="I99" s="105">
        <v>8.8242762966862917E-16</v>
      </c>
      <c r="J99" s="113">
        <v>3.5577999999999999</v>
      </c>
      <c r="K99" s="114">
        <v>0</v>
      </c>
      <c r="L99" s="115">
        <v>0.7994</v>
      </c>
      <c r="M99" s="105">
        <v>1</v>
      </c>
      <c r="N99" s="105">
        <v>3</v>
      </c>
      <c r="O99" s="105">
        <v>1.1000000000000001</v>
      </c>
      <c r="P99" s="105">
        <v>21.999999999998465</v>
      </c>
      <c r="Q99" s="113">
        <v>-68.580799999999996</v>
      </c>
      <c r="R99" s="114">
        <v>0.27010000000000001</v>
      </c>
      <c r="S99" s="115">
        <v>0.29649999999999999</v>
      </c>
      <c r="Y99" s="99" t="s">
        <v>1076</v>
      </c>
    </row>
    <row r="100" spans="1:25" x14ac:dyDescent="0.25">
      <c r="A100" s="111" t="s">
        <v>1089</v>
      </c>
      <c r="B100" s="112">
        <v>1.4069841269841269E-2</v>
      </c>
      <c r="C100" s="105">
        <v>2.1104761904761904E-3</v>
      </c>
      <c r="D100" s="105">
        <v>127.6416</v>
      </c>
      <c r="E100" s="105">
        <v>0</v>
      </c>
      <c r="F100" s="105">
        <v>0</v>
      </c>
      <c r="G100" s="105">
        <v>1.4210854715202004E-14</v>
      </c>
      <c r="H100" s="105">
        <v>3.7368000000000001</v>
      </c>
      <c r="I100" s="105">
        <v>-9.2682432023883686E-16</v>
      </c>
      <c r="J100" s="113">
        <v>3.7368000000000001</v>
      </c>
      <c r="K100" s="114">
        <v>0</v>
      </c>
      <c r="L100" s="115">
        <v>1.5237000000000001</v>
      </c>
      <c r="M100" s="105">
        <v>1</v>
      </c>
      <c r="N100" s="105">
        <v>3</v>
      </c>
      <c r="O100" s="105">
        <v>1.1000000000000001</v>
      </c>
      <c r="P100" s="105">
        <v>27.999999999998693</v>
      </c>
      <c r="Q100" s="113">
        <v>-90</v>
      </c>
      <c r="R100" s="114">
        <v>0.25679999999999997</v>
      </c>
      <c r="S100" s="115">
        <v>0.29649999999999999</v>
      </c>
      <c r="Y100" s="99" t="s">
        <v>1086</v>
      </c>
    </row>
    <row r="101" spans="1:25" x14ac:dyDescent="0.25">
      <c r="A101" s="111" t="s">
        <v>1040</v>
      </c>
      <c r="B101" s="112">
        <v>1.3778659611992945E-2</v>
      </c>
      <c r="C101" s="105">
        <v>2.0667989417989417E-3</v>
      </c>
      <c r="D101" s="105">
        <v>125</v>
      </c>
      <c r="E101" s="105">
        <v>0</v>
      </c>
      <c r="F101" s="105">
        <v>0</v>
      </c>
      <c r="G101" s="105">
        <v>0</v>
      </c>
      <c r="H101" s="105">
        <v>0.82877000000000001</v>
      </c>
      <c r="I101" s="105">
        <v>0</v>
      </c>
      <c r="J101" s="113">
        <v>0.82879999999999998</v>
      </c>
      <c r="K101" s="114">
        <v>0</v>
      </c>
      <c r="L101" s="115">
        <v>0.20419999999999999</v>
      </c>
      <c r="M101" s="105">
        <v>1</v>
      </c>
      <c r="N101" s="105">
        <v>3</v>
      </c>
      <c r="O101" s="105">
        <v>1.2</v>
      </c>
      <c r="P101" s="105">
        <v>3.0000000000001137</v>
      </c>
      <c r="Q101" s="113">
        <v>15</v>
      </c>
      <c r="R101" s="114">
        <v>0.3019</v>
      </c>
      <c r="S101" s="115">
        <v>0.3125</v>
      </c>
      <c r="Y101" s="99" t="s">
        <v>1038</v>
      </c>
    </row>
    <row r="102" spans="1:25" x14ac:dyDescent="0.25">
      <c r="A102" s="111" t="s">
        <v>1050</v>
      </c>
      <c r="B102" s="112">
        <v>1.3778659611992945E-2</v>
      </c>
      <c r="C102" s="105">
        <v>2.0667989417989417E-3</v>
      </c>
      <c r="D102" s="105">
        <v>125</v>
      </c>
      <c r="E102" s="105">
        <v>0</v>
      </c>
      <c r="F102" s="105">
        <v>0</v>
      </c>
      <c r="G102" s="105">
        <v>0</v>
      </c>
      <c r="H102" s="105">
        <v>1.5536700000000001</v>
      </c>
      <c r="I102" s="105">
        <v>0</v>
      </c>
      <c r="J102" s="113">
        <v>1.5537000000000001</v>
      </c>
      <c r="K102" s="114">
        <v>0</v>
      </c>
      <c r="L102" s="115">
        <v>9.9000000000000008E-3</v>
      </c>
      <c r="M102" s="105">
        <v>1</v>
      </c>
      <c r="N102" s="105">
        <v>3</v>
      </c>
      <c r="O102" s="105">
        <v>1.2</v>
      </c>
      <c r="P102" s="105">
        <v>6.0000000000002274</v>
      </c>
      <c r="Q102" s="113">
        <v>15</v>
      </c>
      <c r="R102" s="114">
        <v>0.3019</v>
      </c>
      <c r="S102" s="115">
        <v>0.3125</v>
      </c>
      <c r="Y102" s="99" t="s">
        <v>1048</v>
      </c>
    </row>
    <row r="103" spans="1:25" x14ac:dyDescent="0.25">
      <c r="A103" s="111" t="s">
        <v>1060</v>
      </c>
      <c r="B103" s="112">
        <v>1.3840939153439152E-2</v>
      </c>
      <c r="C103" s="105">
        <v>2.0761408730158729E-3</v>
      </c>
      <c r="D103" s="105">
        <v>125.565</v>
      </c>
      <c r="E103" s="105">
        <v>0</v>
      </c>
      <c r="F103" s="105">
        <v>0</v>
      </c>
      <c r="G103" s="105">
        <v>0</v>
      </c>
      <c r="H103" s="105">
        <v>2.3433199999999998</v>
      </c>
      <c r="I103" s="105">
        <v>0</v>
      </c>
      <c r="J103" s="113">
        <v>2.3433000000000002</v>
      </c>
      <c r="K103" s="114">
        <v>0</v>
      </c>
      <c r="L103" s="115">
        <v>-0.1132</v>
      </c>
      <c r="M103" s="105">
        <v>1</v>
      </c>
      <c r="N103" s="105">
        <v>3</v>
      </c>
      <c r="O103" s="105">
        <v>1.2</v>
      </c>
      <c r="P103" s="105">
        <v>9.9999999999980105</v>
      </c>
      <c r="Q103" s="113">
        <v>-16.861799999999999</v>
      </c>
      <c r="R103" s="114">
        <v>0.3014</v>
      </c>
      <c r="S103" s="115">
        <v>0.3125</v>
      </c>
      <c r="Y103" s="99" t="s">
        <v>1058</v>
      </c>
    </row>
    <row r="104" spans="1:25" x14ac:dyDescent="0.25">
      <c r="A104" s="111" t="s">
        <v>1070</v>
      </c>
      <c r="B104" s="112">
        <v>1.3954706790123457E-2</v>
      </c>
      <c r="C104" s="105">
        <v>2.0932060185185185E-3</v>
      </c>
      <c r="D104" s="105">
        <v>126.59710000000001</v>
      </c>
      <c r="E104" s="105">
        <v>0</v>
      </c>
      <c r="F104" s="105">
        <v>0</v>
      </c>
      <c r="G104" s="105">
        <v>0</v>
      </c>
      <c r="H104" s="105">
        <v>3.0865499999999999</v>
      </c>
      <c r="I104" s="105">
        <v>0</v>
      </c>
      <c r="J104" s="113">
        <v>3.0865999999999998</v>
      </c>
      <c r="K104" s="114">
        <v>0</v>
      </c>
      <c r="L104" s="115">
        <v>0.17929999999999999</v>
      </c>
      <c r="M104" s="105">
        <v>1</v>
      </c>
      <c r="N104" s="105">
        <v>3</v>
      </c>
      <c r="O104" s="105">
        <v>1.2</v>
      </c>
      <c r="P104" s="105">
        <v>15.999999999998238</v>
      </c>
      <c r="Q104" s="113">
        <v>-49.742800000000003</v>
      </c>
      <c r="R104" s="114">
        <v>0.3</v>
      </c>
      <c r="S104" s="115">
        <v>0.3125</v>
      </c>
      <c r="Y104" s="99" t="s">
        <v>1068</v>
      </c>
    </row>
    <row r="105" spans="1:25" x14ac:dyDescent="0.25">
      <c r="A105" s="111" t="s">
        <v>1080</v>
      </c>
      <c r="B105" s="112">
        <v>1.4038073192239859E-2</v>
      </c>
      <c r="C105" s="105">
        <v>2.1057109788359791E-3</v>
      </c>
      <c r="D105" s="105">
        <v>127.35340000000001</v>
      </c>
      <c r="E105" s="105">
        <v>0</v>
      </c>
      <c r="F105" s="105">
        <v>0</v>
      </c>
      <c r="G105" s="105">
        <v>-1.4210854715202004E-14</v>
      </c>
      <c r="H105" s="105">
        <v>3.5510600000000001</v>
      </c>
      <c r="I105" s="105">
        <v>0</v>
      </c>
      <c r="J105" s="113">
        <v>3.5510999999999999</v>
      </c>
      <c r="K105" s="114">
        <v>0</v>
      </c>
      <c r="L105" s="115">
        <v>0.80189999999999995</v>
      </c>
      <c r="M105" s="105">
        <v>1</v>
      </c>
      <c r="N105" s="105">
        <v>3</v>
      </c>
      <c r="O105" s="105">
        <v>1.2</v>
      </c>
      <c r="P105" s="105">
        <v>21.999999999998465</v>
      </c>
      <c r="Q105" s="113">
        <v>-68.580799999999996</v>
      </c>
      <c r="R105" s="114">
        <v>0.28460000000000002</v>
      </c>
      <c r="S105" s="115">
        <v>0.3125</v>
      </c>
      <c r="Y105" s="99" t="s">
        <v>1078</v>
      </c>
    </row>
    <row r="106" spans="1:25" x14ac:dyDescent="0.25">
      <c r="A106" s="111" t="s">
        <v>1090</v>
      </c>
      <c r="B106" s="112">
        <v>1.4069841269841269E-2</v>
      </c>
      <c r="C106" s="105">
        <v>2.1104761904761904E-3</v>
      </c>
      <c r="D106" s="105">
        <v>127.6416</v>
      </c>
      <c r="E106" s="105">
        <v>0</v>
      </c>
      <c r="F106" s="105">
        <v>0</v>
      </c>
      <c r="G106" s="105">
        <v>1.4210854715202004E-14</v>
      </c>
      <c r="H106" s="105">
        <v>3.72817</v>
      </c>
      <c r="I106" s="105">
        <v>0</v>
      </c>
      <c r="J106" s="113">
        <v>3.7282000000000002</v>
      </c>
      <c r="K106" s="114">
        <v>0</v>
      </c>
      <c r="L106" s="115">
        <v>1.5237000000000001</v>
      </c>
      <c r="M106" s="105">
        <v>1</v>
      </c>
      <c r="N106" s="105">
        <v>3</v>
      </c>
      <c r="O106" s="105">
        <v>1.2</v>
      </c>
      <c r="P106" s="105">
        <v>27.999999999998693</v>
      </c>
      <c r="Q106" s="113">
        <v>-90</v>
      </c>
      <c r="R106" s="114">
        <v>0.27060000000000001</v>
      </c>
      <c r="S106" s="115">
        <v>0.3125</v>
      </c>
      <c r="Y106" s="99" t="s">
        <v>1088</v>
      </c>
    </row>
    <row r="107" spans="1:25" x14ac:dyDescent="0.25">
      <c r="A107" s="111" t="s">
        <v>1099</v>
      </c>
      <c r="B107" s="112">
        <v>2.0988844797178129E-2</v>
      </c>
      <c r="C107" s="105">
        <v>3.1483267195767193E-3</v>
      </c>
      <c r="D107" s="105">
        <v>190.41079999999997</v>
      </c>
      <c r="E107" s="105">
        <v>0</v>
      </c>
      <c r="F107" s="105">
        <v>0</v>
      </c>
      <c r="G107" s="105">
        <v>-2.8421709430404007E-14</v>
      </c>
      <c r="H107" s="105">
        <v>2.206</v>
      </c>
      <c r="I107" s="105">
        <v>1.0942916133841115E-15</v>
      </c>
      <c r="J107" s="113">
        <v>2.206</v>
      </c>
      <c r="K107" s="114">
        <v>0</v>
      </c>
      <c r="L107" s="115">
        <v>-0.20880000000000001</v>
      </c>
      <c r="M107" s="105">
        <v>1</v>
      </c>
      <c r="N107" s="105">
        <v>4</v>
      </c>
      <c r="O107" s="105">
        <v>1.1000000000000001</v>
      </c>
      <c r="P107" s="105">
        <v>9.0000000000003411</v>
      </c>
      <c r="Q107" s="113">
        <v>-10.938499999999999</v>
      </c>
      <c r="R107" s="114">
        <v>0.28610000000000002</v>
      </c>
      <c r="S107" s="115">
        <v>0.29649999999999999</v>
      </c>
      <c r="Y107" s="99" t="s">
        <v>1096</v>
      </c>
    </row>
    <row r="108" spans="1:25" x14ac:dyDescent="0.25">
      <c r="A108" s="111" t="s">
        <v>1119</v>
      </c>
      <c r="B108" s="112">
        <v>2.1193298059964727E-2</v>
      </c>
      <c r="C108" s="105">
        <v>3.178994708994709E-3</v>
      </c>
      <c r="D108" s="105">
        <v>192.26559999999998</v>
      </c>
      <c r="E108" s="105">
        <v>0</v>
      </c>
      <c r="F108" s="105">
        <v>0</v>
      </c>
      <c r="G108" s="105">
        <v>-2.8421709430404007E-14</v>
      </c>
      <c r="H108" s="105">
        <v>3.5053000000000001</v>
      </c>
      <c r="I108" s="105">
        <v>1.7388125078854606E-15</v>
      </c>
      <c r="J108" s="113">
        <v>3.5053000000000001</v>
      </c>
      <c r="K108" s="114">
        <v>0</v>
      </c>
      <c r="L108" s="115">
        <v>0.5948</v>
      </c>
      <c r="M108" s="105">
        <v>1</v>
      </c>
      <c r="N108" s="105">
        <v>4</v>
      </c>
      <c r="O108" s="105">
        <v>1.1000000000000001</v>
      </c>
      <c r="P108" s="105">
        <v>9.9999999999980105</v>
      </c>
      <c r="Q108" s="113">
        <v>-66.126099999999994</v>
      </c>
      <c r="R108" s="114">
        <v>0.27410000000000001</v>
      </c>
      <c r="S108" s="115">
        <v>0.29649999999999999</v>
      </c>
      <c r="Y108" s="99" t="s">
        <v>1116</v>
      </c>
    </row>
    <row r="109" spans="1:25" x14ac:dyDescent="0.25">
      <c r="A109" s="111" t="s">
        <v>1109</v>
      </c>
      <c r="B109" s="112">
        <v>2.1101256613756617E-2</v>
      </c>
      <c r="C109" s="105">
        <v>3.1651884920634926E-3</v>
      </c>
      <c r="D109" s="105">
        <v>191.43060000000003</v>
      </c>
      <c r="E109" s="105">
        <v>0</v>
      </c>
      <c r="F109" s="105">
        <v>0</v>
      </c>
      <c r="G109" s="105">
        <v>0</v>
      </c>
      <c r="H109" s="105">
        <v>2.9815999999999998</v>
      </c>
      <c r="I109" s="105">
        <v>0</v>
      </c>
      <c r="J109" s="113">
        <v>2.9815999999999998</v>
      </c>
      <c r="K109" s="114">
        <v>0</v>
      </c>
      <c r="L109" s="115">
        <v>1.3599999999999999E-2</v>
      </c>
      <c r="M109" s="105">
        <v>1</v>
      </c>
      <c r="N109" s="105">
        <v>4</v>
      </c>
      <c r="O109" s="105">
        <v>1.1000000000000001</v>
      </c>
      <c r="P109" s="105">
        <v>15.000000000000568</v>
      </c>
      <c r="Q109" s="113">
        <v>-44.547400000000003</v>
      </c>
      <c r="R109" s="114">
        <v>0.28489999999999999</v>
      </c>
      <c r="S109" s="115">
        <v>0.29649999999999999</v>
      </c>
      <c r="Y109" s="99" t="s">
        <v>1106</v>
      </c>
    </row>
    <row r="110" spans="1:25" x14ac:dyDescent="0.25">
      <c r="A110" s="111" t="s">
        <v>1129</v>
      </c>
      <c r="B110" s="112">
        <v>2.1234744268077598E-2</v>
      </c>
      <c r="C110" s="105">
        <v>3.1852116402116401E-3</v>
      </c>
      <c r="D110" s="105">
        <v>192.64160000000001</v>
      </c>
      <c r="E110" s="105">
        <v>0</v>
      </c>
      <c r="F110" s="105">
        <v>0</v>
      </c>
      <c r="G110" s="105">
        <v>2.8421709430404007E-14</v>
      </c>
      <c r="H110" s="105">
        <v>3.7368000000000001</v>
      </c>
      <c r="I110" s="105">
        <v>-1.8536486404776737E-15</v>
      </c>
      <c r="J110" s="113">
        <v>3.7368000000000001</v>
      </c>
      <c r="K110" s="114">
        <v>0</v>
      </c>
      <c r="L110" s="115">
        <v>1.3219000000000001</v>
      </c>
      <c r="M110" s="105">
        <v>1</v>
      </c>
      <c r="N110" s="105">
        <v>4</v>
      </c>
      <c r="O110" s="105">
        <v>1.1000000000000001</v>
      </c>
      <c r="P110" s="105">
        <v>26.999999999993918</v>
      </c>
      <c r="Q110" s="113">
        <v>-90</v>
      </c>
      <c r="R110" s="114">
        <v>0.25679999999999997</v>
      </c>
      <c r="S110" s="115">
        <v>0.29649999999999999</v>
      </c>
      <c r="Y110" s="99" t="s">
        <v>1126</v>
      </c>
    </row>
    <row r="111" spans="1:25" x14ac:dyDescent="0.25">
      <c r="A111" s="111" t="s">
        <v>1100</v>
      </c>
      <c r="B111" s="112">
        <v>2.0988844797178129E-2</v>
      </c>
      <c r="C111" s="105">
        <v>3.1483267195767193E-3</v>
      </c>
      <c r="D111" s="105">
        <v>190.41079999999997</v>
      </c>
      <c r="E111" s="105">
        <v>0</v>
      </c>
      <c r="F111" s="105">
        <v>0</v>
      </c>
      <c r="G111" s="105">
        <v>-2.8421709430404007E-14</v>
      </c>
      <c r="H111" s="105">
        <v>2.2050900000000002</v>
      </c>
      <c r="I111" s="105">
        <v>0</v>
      </c>
      <c r="J111" s="113">
        <v>2.2050999999999998</v>
      </c>
      <c r="K111" s="114">
        <v>0</v>
      </c>
      <c r="L111" s="115">
        <v>-0.2046</v>
      </c>
      <c r="M111" s="105">
        <v>1</v>
      </c>
      <c r="N111" s="105">
        <v>4</v>
      </c>
      <c r="O111" s="105">
        <v>1.2</v>
      </c>
      <c r="P111" s="105">
        <v>9.0000000000003411</v>
      </c>
      <c r="Q111" s="113">
        <v>-10.938499999999999</v>
      </c>
      <c r="R111" s="114">
        <v>0.30149999999999999</v>
      </c>
      <c r="S111" s="115">
        <v>0.3125</v>
      </c>
      <c r="Y111" s="99" t="s">
        <v>1098</v>
      </c>
    </row>
    <row r="112" spans="1:25" x14ac:dyDescent="0.25">
      <c r="A112" s="111" t="s">
        <v>1120</v>
      </c>
      <c r="B112" s="112">
        <v>2.1193298059964727E-2</v>
      </c>
      <c r="C112" s="105">
        <v>3.178994708994709E-3</v>
      </c>
      <c r="D112" s="105">
        <v>192.26559999999998</v>
      </c>
      <c r="E112" s="105">
        <v>0</v>
      </c>
      <c r="F112" s="105">
        <v>0</v>
      </c>
      <c r="G112" s="105">
        <v>-2.8421709430404007E-14</v>
      </c>
      <c r="H112" s="105">
        <v>3.4991400000000001</v>
      </c>
      <c r="I112" s="105">
        <v>0</v>
      </c>
      <c r="J112" s="113">
        <v>3.4990999999999999</v>
      </c>
      <c r="K112" s="114">
        <v>0</v>
      </c>
      <c r="L112" s="115">
        <v>0.59730000000000005</v>
      </c>
      <c r="M112" s="105">
        <v>1</v>
      </c>
      <c r="N112" s="105">
        <v>4</v>
      </c>
      <c r="O112" s="105">
        <v>1.2</v>
      </c>
      <c r="P112" s="105">
        <v>9.9999999999980105</v>
      </c>
      <c r="Q112" s="113">
        <v>-66.126099999999994</v>
      </c>
      <c r="R112" s="114">
        <v>0.2888</v>
      </c>
      <c r="S112" s="115">
        <v>0.3125</v>
      </c>
      <c r="Y112" s="99" t="s">
        <v>1118</v>
      </c>
    </row>
    <row r="113" spans="1:25" x14ac:dyDescent="0.25">
      <c r="A113" s="111" t="s">
        <v>1110</v>
      </c>
      <c r="B113" s="112">
        <v>2.1101256613756617E-2</v>
      </c>
      <c r="C113" s="105">
        <v>3.1651884920634926E-3</v>
      </c>
      <c r="D113" s="105">
        <v>191.43060000000003</v>
      </c>
      <c r="E113" s="105">
        <v>0</v>
      </c>
      <c r="F113" s="105">
        <v>0</v>
      </c>
      <c r="G113" s="105">
        <v>0</v>
      </c>
      <c r="H113" s="105">
        <v>2.9781</v>
      </c>
      <c r="I113" s="105">
        <v>0</v>
      </c>
      <c r="J113" s="113">
        <v>2.9781</v>
      </c>
      <c r="K113" s="114">
        <v>0</v>
      </c>
      <c r="L113" s="115">
        <v>1.67E-2</v>
      </c>
      <c r="M113" s="105">
        <v>1</v>
      </c>
      <c r="N113" s="105">
        <v>4</v>
      </c>
      <c r="O113" s="105">
        <v>1.2</v>
      </c>
      <c r="P113" s="105">
        <v>15.000000000000568</v>
      </c>
      <c r="Q113" s="113">
        <v>-44.547400000000003</v>
      </c>
      <c r="R113" s="114">
        <v>0.30020000000000002</v>
      </c>
      <c r="S113" s="115">
        <v>0.3125</v>
      </c>
      <c r="Y113" s="99" t="s">
        <v>1108</v>
      </c>
    </row>
    <row r="114" spans="1:25" x14ac:dyDescent="0.25">
      <c r="A114" s="111" t="s">
        <v>1130</v>
      </c>
      <c r="B114" s="112">
        <v>2.1234744268077598E-2</v>
      </c>
      <c r="C114" s="105">
        <v>3.1852116402116401E-3</v>
      </c>
      <c r="D114" s="105">
        <v>192.64160000000001</v>
      </c>
      <c r="E114" s="105">
        <v>0</v>
      </c>
      <c r="F114" s="105">
        <v>0</v>
      </c>
      <c r="G114" s="105">
        <v>2.8421709430404007E-14</v>
      </c>
      <c r="H114" s="105">
        <v>3.72817</v>
      </c>
      <c r="I114" s="105">
        <v>0</v>
      </c>
      <c r="J114" s="113">
        <v>3.7282000000000002</v>
      </c>
      <c r="K114" s="114">
        <v>0</v>
      </c>
      <c r="L114" s="115">
        <v>1.3219000000000001</v>
      </c>
      <c r="M114" s="105">
        <v>1</v>
      </c>
      <c r="N114" s="105">
        <v>4</v>
      </c>
      <c r="O114" s="105">
        <v>1.2</v>
      </c>
      <c r="P114" s="105">
        <v>26.999999999993918</v>
      </c>
      <c r="Q114" s="113">
        <v>-90</v>
      </c>
      <c r="R114" s="114">
        <v>0.27060000000000001</v>
      </c>
      <c r="S114" s="115">
        <v>0.3125</v>
      </c>
      <c r="Y114" s="99" t="s">
        <v>1128</v>
      </c>
    </row>
    <row r="115" spans="1:25" x14ac:dyDescent="0.25">
      <c r="A115" s="111" t="s">
        <v>1139</v>
      </c>
      <c r="B115" s="112">
        <v>2.7006172839506171E-2</v>
      </c>
      <c r="C115" s="105">
        <v>4.0509259259259257E-3</v>
      </c>
      <c r="D115" s="105">
        <v>244.99999999999997</v>
      </c>
      <c r="E115" s="105">
        <v>0</v>
      </c>
      <c r="F115" s="105">
        <v>0</v>
      </c>
      <c r="G115" s="105">
        <v>-2.8421709430404007E-14</v>
      </c>
      <c r="H115" s="105">
        <v>0.58599999999999997</v>
      </c>
      <c r="I115" s="105">
        <v>2.9068671144292352E-16</v>
      </c>
      <c r="J115" s="113">
        <v>0.58599999999999997</v>
      </c>
      <c r="K115" s="114">
        <v>0</v>
      </c>
      <c r="L115" s="115">
        <v>0.1061</v>
      </c>
      <c r="M115" s="105">
        <v>1</v>
      </c>
      <c r="N115" s="105">
        <v>5</v>
      </c>
      <c r="O115" s="105">
        <v>1.1000000000000001</v>
      </c>
      <c r="P115" s="105">
        <v>2.0000000000024443</v>
      </c>
      <c r="Q115" s="113">
        <v>15</v>
      </c>
      <c r="R115" s="114">
        <v>0.2828</v>
      </c>
      <c r="S115" s="115">
        <v>0.29649999999999999</v>
      </c>
      <c r="Y115" s="99" t="s">
        <v>1136</v>
      </c>
    </row>
    <row r="116" spans="1:25" x14ac:dyDescent="0.25">
      <c r="A116" s="111" t="s">
        <v>1149</v>
      </c>
      <c r="B116" s="112">
        <v>2.7006172839506171E-2</v>
      </c>
      <c r="C116" s="105">
        <v>4.0509259259259257E-3</v>
      </c>
      <c r="D116" s="105">
        <v>244.99999999999997</v>
      </c>
      <c r="E116" s="105">
        <v>0</v>
      </c>
      <c r="F116" s="105">
        <v>0</v>
      </c>
      <c r="G116" s="105">
        <v>-2.8421709430404007E-14</v>
      </c>
      <c r="H116" s="105">
        <v>1.3109999999999999</v>
      </c>
      <c r="I116" s="105">
        <v>6.503247076820354E-16</v>
      </c>
      <c r="J116" s="113">
        <v>1.3109999999999999</v>
      </c>
      <c r="K116" s="114">
        <v>0</v>
      </c>
      <c r="L116" s="115">
        <v>-8.8099999999999998E-2</v>
      </c>
      <c r="M116" s="105">
        <v>1</v>
      </c>
      <c r="N116" s="105">
        <v>5</v>
      </c>
      <c r="O116" s="105">
        <v>1.1000000000000001</v>
      </c>
      <c r="P116" s="105">
        <v>5.000000000002558</v>
      </c>
      <c r="Q116" s="113">
        <v>15</v>
      </c>
      <c r="R116" s="114">
        <v>0.28639999999999999</v>
      </c>
      <c r="S116" s="115">
        <v>0.29649999999999999</v>
      </c>
      <c r="Y116" s="99" t="s">
        <v>1146</v>
      </c>
    </row>
    <row r="117" spans="1:25" x14ac:dyDescent="0.25">
      <c r="A117" s="111" t="s">
        <v>1159</v>
      </c>
      <c r="B117" s="112">
        <v>2.7036441798941806E-2</v>
      </c>
      <c r="C117" s="105">
        <v>4.0554662698412706E-3</v>
      </c>
      <c r="D117" s="105">
        <v>245.27460000000005</v>
      </c>
      <c r="E117" s="105">
        <v>0</v>
      </c>
      <c r="F117" s="105">
        <v>0</v>
      </c>
      <c r="G117" s="105">
        <v>2.8421709430404007E-14</v>
      </c>
      <c r="H117" s="105">
        <v>2.0676000000000001</v>
      </c>
      <c r="I117" s="105">
        <v>-1.0256379600330866E-15</v>
      </c>
      <c r="J117" s="113">
        <v>2.0676000000000001</v>
      </c>
      <c r="K117" s="114">
        <v>0</v>
      </c>
      <c r="L117" s="115">
        <v>-0.27350000000000002</v>
      </c>
      <c r="M117" s="105">
        <v>1</v>
      </c>
      <c r="N117" s="105">
        <v>5</v>
      </c>
      <c r="O117" s="105">
        <v>1.1000000000000001</v>
      </c>
      <c r="P117" s="105">
        <v>7.9999999999955662</v>
      </c>
      <c r="Q117" s="113">
        <v>-4.9935</v>
      </c>
      <c r="R117" s="114">
        <v>0.28620000000000001</v>
      </c>
      <c r="S117" s="115">
        <v>0.29649999999999999</v>
      </c>
      <c r="Y117" s="99" t="s">
        <v>1156</v>
      </c>
    </row>
    <row r="118" spans="1:25" x14ac:dyDescent="0.25">
      <c r="A118" s="111" t="s">
        <v>1169</v>
      </c>
      <c r="B118" s="112">
        <v>2.7144852292768966E-2</v>
      </c>
      <c r="C118" s="105">
        <v>4.0717278439153445E-3</v>
      </c>
      <c r="D118" s="105">
        <v>246.25810000000007</v>
      </c>
      <c r="E118" s="105">
        <v>0</v>
      </c>
      <c r="F118" s="105">
        <v>0</v>
      </c>
      <c r="G118" s="105">
        <v>5.6843418860808015E-14</v>
      </c>
      <c r="H118" s="105">
        <v>2.8656000000000001</v>
      </c>
      <c r="I118" s="105">
        <v>-2.842975564200825E-15</v>
      </c>
      <c r="J118" s="113">
        <v>2.8656000000000001</v>
      </c>
      <c r="K118" s="114">
        <v>0</v>
      </c>
      <c r="L118" s="115">
        <v>-0.12570000000000001</v>
      </c>
      <c r="M118" s="105">
        <v>1</v>
      </c>
      <c r="N118" s="105">
        <v>5</v>
      </c>
      <c r="O118" s="105">
        <v>1.1000000000000001</v>
      </c>
      <c r="P118" s="105">
        <v>13.999999999995794</v>
      </c>
      <c r="Q118" s="113">
        <v>-39.322699999999998</v>
      </c>
      <c r="R118" s="114">
        <v>0.28510000000000002</v>
      </c>
      <c r="S118" s="115">
        <v>0.29649999999999999</v>
      </c>
      <c r="Y118" s="99" t="s">
        <v>1166</v>
      </c>
    </row>
    <row r="119" spans="1:25" x14ac:dyDescent="0.25">
      <c r="A119" s="111" t="s">
        <v>1179</v>
      </c>
      <c r="B119" s="112">
        <v>2.7244422398589062E-2</v>
      </c>
      <c r="C119" s="105">
        <v>4.0866633597883596E-3</v>
      </c>
      <c r="D119" s="105">
        <v>247.16139999999999</v>
      </c>
      <c r="E119" s="105">
        <v>0</v>
      </c>
      <c r="F119" s="105">
        <v>0</v>
      </c>
      <c r="G119" s="105">
        <v>-2.8421709430404007E-14</v>
      </c>
      <c r="H119" s="105">
        <v>3.4424999999999999</v>
      </c>
      <c r="I119" s="105">
        <v>1.7076604166250244E-15</v>
      </c>
      <c r="J119" s="113">
        <v>3.4424999999999999</v>
      </c>
      <c r="K119" s="114">
        <v>0</v>
      </c>
      <c r="L119" s="115">
        <v>0.40749999999999997</v>
      </c>
      <c r="M119" s="105">
        <v>1</v>
      </c>
      <c r="N119" s="105">
        <v>5</v>
      </c>
      <c r="O119" s="105">
        <v>1.1000000000000001</v>
      </c>
      <c r="P119" s="105">
        <v>20.000000000003126</v>
      </c>
      <c r="Q119" s="113">
        <v>-62.794899999999998</v>
      </c>
      <c r="R119" s="114">
        <v>0.27600000000000002</v>
      </c>
      <c r="S119" s="115">
        <v>0.29649999999999999</v>
      </c>
      <c r="Y119" s="99" t="s">
        <v>1176</v>
      </c>
    </row>
    <row r="120" spans="1:25" x14ac:dyDescent="0.25">
      <c r="A120" s="111" t="s">
        <v>1189</v>
      </c>
      <c r="B120" s="112">
        <v>2.7282749118165781E-2</v>
      </c>
      <c r="C120" s="105">
        <v>4.0924123677248672E-3</v>
      </c>
      <c r="D120" s="105">
        <v>247.50909999999999</v>
      </c>
      <c r="E120" s="105">
        <v>0</v>
      </c>
      <c r="F120" s="105">
        <v>0</v>
      </c>
      <c r="G120" s="105">
        <v>0</v>
      </c>
      <c r="H120" s="105">
        <v>3.6554000000000002</v>
      </c>
      <c r="I120" s="105">
        <v>0</v>
      </c>
      <c r="J120" s="113">
        <v>3.6554000000000002</v>
      </c>
      <c r="K120" s="114">
        <v>0</v>
      </c>
      <c r="L120" s="115">
        <v>1.1455</v>
      </c>
      <c r="M120" s="105">
        <v>1</v>
      </c>
      <c r="N120" s="105">
        <v>5</v>
      </c>
      <c r="O120" s="105">
        <v>1.1000000000000001</v>
      </c>
      <c r="P120" s="105">
        <v>25.999999999996248</v>
      </c>
      <c r="Q120" s="113">
        <v>-79.987399999999994</v>
      </c>
      <c r="R120" s="114">
        <v>0.25640000000000002</v>
      </c>
      <c r="S120" s="115">
        <v>0.29649999999999999</v>
      </c>
      <c r="Y120" s="99" t="s">
        <v>1186</v>
      </c>
    </row>
    <row r="121" spans="1:25" x14ac:dyDescent="0.25">
      <c r="A121" s="111" t="s">
        <v>1199</v>
      </c>
      <c r="B121" s="112">
        <v>2.7297354497354494E-2</v>
      </c>
      <c r="C121" s="105">
        <v>4.0946031746031744E-3</v>
      </c>
      <c r="D121" s="105">
        <v>247.64159999999998</v>
      </c>
      <c r="E121" s="105">
        <v>0</v>
      </c>
      <c r="F121" s="105">
        <v>0</v>
      </c>
      <c r="G121" s="105">
        <v>0</v>
      </c>
      <c r="H121" s="105">
        <v>3.7368000000000001</v>
      </c>
      <c r="I121" s="105">
        <v>0</v>
      </c>
      <c r="J121" s="113">
        <v>3.7368000000000001</v>
      </c>
      <c r="K121" s="114">
        <v>0</v>
      </c>
      <c r="L121" s="115">
        <v>1.8413999999999999</v>
      </c>
      <c r="M121" s="105">
        <v>1</v>
      </c>
      <c r="N121" s="105">
        <v>5</v>
      </c>
      <c r="O121" s="105">
        <v>1.1000000000000001</v>
      </c>
      <c r="P121" s="105">
        <v>32.000000000003581</v>
      </c>
      <c r="Q121" s="113">
        <v>-90</v>
      </c>
      <c r="R121" s="114">
        <v>0.25679999999999997</v>
      </c>
      <c r="S121" s="115">
        <v>0.29649999999999999</v>
      </c>
      <c r="Y121" s="99" t="s">
        <v>1196</v>
      </c>
    </row>
    <row r="122" spans="1:25" x14ac:dyDescent="0.25">
      <c r="A122" s="111" t="s">
        <v>1140</v>
      </c>
      <c r="B122" s="112">
        <v>2.7006172839506171E-2</v>
      </c>
      <c r="C122" s="105">
        <v>4.0509259259259257E-3</v>
      </c>
      <c r="D122" s="105">
        <v>244.99999999999997</v>
      </c>
      <c r="E122" s="105">
        <v>0</v>
      </c>
      <c r="F122" s="105">
        <v>0</v>
      </c>
      <c r="G122" s="105">
        <v>-2.8421709430404007E-14</v>
      </c>
      <c r="H122" s="105">
        <v>0.58725000000000005</v>
      </c>
      <c r="I122" s="105">
        <v>0</v>
      </c>
      <c r="J122" s="113">
        <v>0.58730000000000004</v>
      </c>
      <c r="K122" s="114">
        <v>0</v>
      </c>
      <c r="L122" s="115">
        <v>0.1108</v>
      </c>
      <c r="M122" s="105">
        <v>1</v>
      </c>
      <c r="N122" s="105">
        <v>5</v>
      </c>
      <c r="O122" s="105">
        <v>1.2</v>
      </c>
      <c r="P122" s="105">
        <v>2.0000000000024443</v>
      </c>
      <c r="Q122" s="113">
        <v>15</v>
      </c>
      <c r="R122" s="114">
        <v>0.29799999999999999</v>
      </c>
      <c r="S122" s="115">
        <v>0.3125</v>
      </c>
      <c r="Y122" s="99" t="s">
        <v>1138</v>
      </c>
    </row>
    <row r="123" spans="1:25" x14ac:dyDescent="0.25">
      <c r="A123" s="111" t="s">
        <v>1150</v>
      </c>
      <c r="B123" s="112">
        <v>2.7006172839506171E-2</v>
      </c>
      <c r="C123" s="105">
        <v>4.0509259259259257E-3</v>
      </c>
      <c r="D123" s="105">
        <v>244.99999999999997</v>
      </c>
      <c r="E123" s="105">
        <v>0</v>
      </c>
      <c r="F123" s="105">
        <v>0</v>
      </c>
      <c r="G123" s="105">
        <v>-2.8421709430404007E-14</v>
      </c>
      <c r="H123" s="105">
        <v>1.3120700000000001</v>
      </c>
      <c r="I123" s="105">
        <v>0</v>
      </c>
      <c r="J123" s="113">
        <v>1.3121</v>
      </c>
      <c r="K123" s="114">
        <v>0</v>
      </c>
      <c r="L123" s="115">
        <v>-8.4099999999999994E-2</v>
      </c>
      <c r="M123" s="105">
        <v>1</v>
      </c>
      <c r="N123" s="105">
        <v>5</v>
      </c>
      <c r="O123" s="105">
        <v>1.2</v>
      </c>
      <c r="P123" s="105">
        <v>5.000000000002558</v>
      </c>
      <c r="Q123" s="113">
        <v>15</v>
      </c>
      <c r="R123" s="114">
        <v>0.3019</v>
      </c>
      <c r="S123" s="115">
        <v>0.3125</v>
      </c>
      <c r="Y123" s="99" t="s">
        <v>1148</v>
      </c>
    </row>
    <row r="124" spans="1:25" x14ac:dyDescent="0.25">
      <c r="A124" s="111" t="s">
        <v>1160</v>
      </c>
      <c r="B124" s="112">
        <v>2.7036441798941806E-2</v>
      </c>
      <c r="C124" s="105">
        <v>4.0554662698412706E-3</v>
      </c>
      <c r="D124" s="105">
        <v>245.27460000000005</v>
      </c>
      <c r="E124" s="105">
        <v>0</v>
      </c>
      <c r="F124" s="105">
        <v>0</v>
      </c>
      <c r="G124" s="105">
        <v>2.8421709430404007E-14</v>
      </c>
      <c r="H124" s="105">
        <v>2.0671599999999999</v>
      </c>
      <c r="I124" s="105">
        <v>0</v>
      </c>
      <c r="J124" s="113">
        <v>2.0672000000000001</v>
      </c>
      <c r="K124" s="114">
        <v>0</v>
      </c>
      <c r="L124" s="115">
        <v>-0.26939999999999997</v>
      </c>
      <c r="M124" s="105">
        <v>1</v>
      </c>
      <c r="N124" s="105">
        <v>5</v>
      </c>
      <c r="O124" s="105">
        <v>1.2</v>
      </c>
      <c r="P124" s="105">
        <v>7.9999999999955662</v>
      </c>
      <c r="Q124" s="113">
        <v>-4.9935</v>
      </c>
      <c r="R124" s="114">
        <v>0.30159999999999998</v>
      </c>
      <c r="S124" s="115">
        <v>0.3125</v>
      </c>
      <c r="Y124" s="99" t="s">
        <v>1158</v>
      </c>
    </row>
    <row r="125" spans="1:25" x14ac:dyDescent="0.25">
      <c r="A125" s="111" t="s">
        <v>1170</v>
      </c>
      <c r="B125" s="112">
        <v>2.7144852292768966E-2</v>
      </c>
      <c r="C125" s="105">
        <v>4.0717278439153445E-3</v>
      </c>
      <c r="D125" s="105">
        <v>246.25810000000007</v>
      </c>
      <c r="E125" s="105">
        <v>0</v>
      </c>
      <c r="F125" s="105">
        <v>0</v>
      </c>
      <c r="G125" s="105">
        <v>5.6843418860808015E-14</v>
      </c>
      <c r="H125" s="105">
        <v>2.8624800000000001</v>
      </c>
      <c r="I125" s="105">
        <v>0</v>
      </c>
      <c r="J125" s="113">
        <v>2.8624999999999998</v>
      </c>
      <c r="K125" s="114">
        <v>0</v>
      </c>
      <c r="L125" s="115">
        <v>-0.12230000000000001</v>
      </c>
      <c r="M125" s="105">
        <v>1</v>
      </c>
      <c r="N125" s="105">
        <v>5</v>
      </c>
      <c r="O125" s="105">
        <v>1.2</v>
      </c>
      <c r="P125" s="105">
        <v>13.999999999995794</v>
      </c>
      <c r="Q125" s="113">
        <v>-39.322699999999998</v>
      </c>
      <c r="R125" s="114">
        <v>0.30049999999999999</v>
      </c>
      <c r="S125" s="115">
        <v>0.3125</v>
      </c>
      <c r="Y125" s="99" t="s">
        <v>1168</v>
      </c>
    </row>
    <row r="126" spans="1:25" x14ac:dyDescent="0.25">
      <c r="A126" s="111" t="s">
        <v>1180</v>
      </c>
      <c r="B126" s="112">
        <v>2.7244422398589062E-2</v>
      </c>
      <c r="C126" s="105">
        <v>4.0866633597883596E-3</v>
      </c>
      <c r="D126" s="105">
        <v>247.16139999999999</v>
      </c>
      <c r="E126" s="105">
        <v>0</v>
      </c>
      <c r="F126" s="105">
        <v>0</v>
      </c>
      <c r="G126" s="105">
        <v>-2.8421709430404007E-14</v>
      </c>
      <c r="H126" s="105">
        <v>3.43675</v>
      </c>
      <c r="I126" s="105">
        <v>0</v>
      </c>
      <c r="J126" s="113">
        <v>3.4367999999999999</v>
      </c>
      <c r="K126" s="114">
        <v>0</v>
      </c>
      <c r="L126" s="115">
        <v>0.41010000000000002</v>
      </c>
      <c r="M126" s="105">
        <v>1</v>
      </c>
      <c r="N126" s="105">
        <v>5</v>
      </c>
      <c r="O126" s="105">
        <v>1.2</v>
      </c>
      <c r="P126" s="105">
        <v>20.000000000003126</v>
      </c>
      <c r="Q126" s="113">
        <v>-62.794899999999998</v>
      </c>
      <c r="R126" s="114">
        <v>0.29089999999999999</v>
      </c>
      <c r="S126" s="115">
        <v>0.3125</v>
      </c>
      <c r="Y126" s="99" t="s">
        <v>1178</v>
      </c>
    </row>
    <row r="127" spans="1:25" x14ac:dyDescent="0.25">
      <c r="A127" s="111" t="s">
        <v>1190</v>
      </c>
      <c r="B127" s="112">
        <v>2.7282749118165781E-2</v>
      </c>
      <c r="C127" s="105">
        <v>4.0924123677248672E-3</v>
      </c>
      <c r="D127" s="105">
        <v>247.50909999999999</v>
      </c>
      <c r="E127" s="105">
        <v>0</v>
      </c>
      <c r="F127" s="105">
        <v>0</v>
      </c>
      <c r="G127" s="105">
        <v>0</v>
      </c>
      <c r="H127" s="105">
        <v>3.6468799999999999</v>
      </c>
      <c r="I127" s="105">
        <v>0</v>
      </c>
      <c r="J127" s="113">
        <v>3.6469</v>
      </c>
      <c r="K127" s="114">
        <v>0</v>
      </c>
      <c r="L127" s="115">
        <v>1.1469</v>
      </c>
      <c r="M127" s="105">
        <v>1</v>
      </c>
      <c r="N127" s="105">
        <v>5</v>
      </c>
      <c r="O127" s="105">
        <v>1.2</v>
      </c>
      <c r="P127" s="105">
        <v>25.999999999996248</v>
      </c>
      <c r="Q127" s="113">
        <v>-79.987399999999994</v>
      </c>
      <c r="R127" s="114">
        <v>0.2702</v>
      </c>
      <c r="S127" s="115">
        <v>0.3125</v>
      </c>
      <c r="Y127" s="99" t="s">
        <v>1188</v>
      </c>
    </row>
    <row r="128" spans="1:25" x14ac:dyDescent="0.25">
      <c r="A128" s="111" t="s">
        <v>1200</v>
      </c>
      <c r="B128" s="112">
        <v>2.7297354497354494E-2</v>
      </c>
      <c r="C128" s="105">
        <v>4.0946031746031744E-3</v>
      </c>
      <c r="D128" s="105">
        <v>247.64159999999998</v>
      </c>
      <c r="E128" s="105">
        <v>0</v>
      </c>
      <c r="F128" s="105">
        <v>0</v>
      </c>
      <c r="G128" s="105">
        <v>0</v>
      </c>
      <c r="H128" s="105">
        <v>3.72817</v>
      </c>
      <c r="I128" s="105">
        <v>0</v>
      </c>
      <c r="J128" s="113">
        <v>3.7282000000000002</v>
      </c>
      <c r="K128" s="114">
        <v>0</v>
      </c>
      <c r="L128" s="115">
        <v>1.8413999999999999</v>
      </c>
      <c r="M128" s="105">
        <v>1</v>
      </c>
      <c r="N128" s="105">
        <v>5</v>
      </c>
      <c r="O128" s="105">
        <v>1.2</v>
      </c>
      <c r="P128" s="105">
        <v>32.000000000003581</v>
      </c>
      <c r="Q128" s="113">
        <v>-90</v>
      </c>
      <c r="R128" s="114">
        <v>0.27060000000000001</v>
      </c>
      <c r="S128" s="115">
        <v>0.3125</v>
      </c>
      <c r="Y128" s="99" t="s">
        <v>1198</v>
      </c>
    </row>
    <row r="129" spans="1:25" x14ac:dyDescent="0.25">
      <c r="A129" s="111" t="s">
        <v>1209</v>
      </c>
      <c r="B129" s="112">
        <v>3.3739340828924158E-2</v>
      </c>
      <c r="C129" s="105">
        <v>5.0609011243386241E-3</v>
      </c>
      <c r="D129" s="105">
        <v>306.08329999999995</v>
      </c>
      <c r="E129" s="105">
        <v>0</v>
      </c>
      <c r="F129" s="105">
        <v>0</v>
      </c>
      <c r="G129" s="105">
        <v>-5.6843418860808015E-14</v>
      </c>
      <c r="H129" s="105">
        <v>2.7440000000000002</v>
      </c>
      <c r="I129" s="105">
        <v>2.722335618427926E-15</v>
      </c>
      <c r="J129" s="113">
        <v>2.7440000000000002</v>
      </c>
      <c r="K129" s="114">
        <v>0</v>
      </c>
      <c r="L129" s="115">
        <v>-0.26029999999999998</v>
      </c>
      <c r="M129" s="105">
        <v>1</v>
      </c>
      <c r="N129" s="105">
        <v>6</v>
      </c>
      <c r="O129" s="105">
        <v>1.1000000000000001</v>
      </c>
      <c r="P129" s="105">
        <v>13.00000000000523</v>
      </c>
      <c r="Q129" s="113">
        <v>-33.9848</v>
      </c>
      <c r="R129" s="114">
        <v>0.2853</v>
      </c>
      <c r="S129" s="115">
        <v>0.29649999999999999</v>
      </c>
      <c r="Y129" s="99" t="s">
        <v>1206</v>
      </c>
    </row>
    <row r="130" spans="1:25" x14ac:dyDescent="0.25">
      <c r="A130" s="111" t="s">
        <v>1219</v>
      </c>
      <c r="B130" s="112">
        <v>3.3844697971781308E-2</v>
      </c>
      <c r="C130" s="105">
        <v>5.0767046957671961E-3</v>
      </c>
      <c r="D130" s="105">
        <v>307.03910000000002</v>
      </c>
      <c r="E130" s="105">
        <v>0</v>
      </c>
      <c r="F130" s="105">
        <v>0</v>
      </c>
      <c r="G130" s="105">
        <v>0</v>
      </c>
      <c r="H130" s="105">
        <v>3.3679999999999999</v>
      </c>
      <c r="I130" s="105">
        <v>0</v>
      </c>
      <c r="J130" s="113">
        <v>3.3679999999999999</v>
      </c>
      <c r="K130" s="114">
        <v>0</v>
      </c>
      <c r="L130" s="115">
        <v>0.22040000000000001</v>
      </c>
      <c r="M130" s="105">
        <v>1</v>
      </c>
      <c r="N130" s="105">
        <v>6</v>
      </c>
      <c r="O130" s="105">
        <v>1.1000000000000001</v>
      </c>
      <c r="P130" s="105">
        <v>18.999999999998352</v>
      </c>
      <c r="Q130" s="113">
        <v>-60.428699999999999</v>
      </c>
      <c r="R130" s="114">
        <v>0.27960000000000002</v>
      </c>
      <c r="S130" s="115">
        <v>0.29649999999999999</v>
      </c>
      <c r="Y130" s="99" t="s">
        <v>1216</v>
      </c>
    </row>
    <row r="131" spans="1:25" x14ac:dyDescent="0.25">
      <c r="A131" s="111" t="s">
        <v>1229</v>
      </c>
      <c r="B131" s="112">
        <v>3.3896164021164021E-2</v>
      </c>
      <c r="C131" s="105">
        <v>5.0844246031746029E-3</v>
      </c>
      <c r="D131" s="105">
        <v>307.50599999999997</v>
      </c>
      <c r="E131" s="105">
        <v>0</v>
      </c>
      <c r="F131" s="105">
        <v>0</v>
      </c>
      <c r="G131" s="105">
        <v>0</v>
      </c>
      <c r="H131" s="105">
        <v>3.6465000000000001</v>
      </c>
      <c r="I131" s="105">
        <v>0</v>
      </c>
      <c r="J131" s="113">
        <v>3.6465000000000001</v>
      </c>
      <c r="K131" s="114">
        <v>0</v>
      </c>
      <c r="L131" s="115">
        <v>0.93520000000000003</v>
      </c>
      <c r="M131" s="105">
        <v>1</v>
      </c>
      <c r="N131" s="105">
        <v>6</v>
      </c>
      <c r="O131" s="105">
        <v>1.1000000000000001</v>
      </c>
      <c r="P131" s="105">
        <v>24.999999999998579</v>
      </c>
      <c r="Q131" s="113">
        <v>-77.3797</v>
      </c>
      <c r="R131" s="114">
        <v>0.26119999999999999</v>
      </c>
      <c r="S131" s="115">
        <v>0.29649999999999999</v>
      </c>
      <c r="Y131" s="99" t="s">
        <v>1226</v>
      </c>
    </row>
    <row r="132" spans="1:25" x14ac:dyDescent="0.25">
      <c r="A132" s="111" t="s">
        <v>1239</v>
      </c>
      <c r="B132" s="112">
        <v>3.3906525573192244E-2</v>
      </c>
      <c r="C132" s="105">
        <v>5.0859788359788362E-3</v>
      </c>
      <c r="D132" s="105">
        <v>307.60000000000002</v>
      </c>
      <c r="E132" s="105">
        <v>0</v>
      </c>
      <c r="F132" s="105">
        <v>0</v>
      </c>
      <c r="G132" s="105">
        <v>0</v>
      </c>
      <c r="H132" s="105">
        <v>3.7351000000000001</v>
      </c>
      <c r="I132" s="105">
        <v>0</v>
      </c>
      <c r="J132" s="113">
        <v>3.7351000000000001</v>
      </c>
      <c r="K132" s="114">
        <v>0</v>
      </c>
      <c r="L132" s="115">
        <v>1.6415999999999999</v>
      </c>
      <c r="M132" s="105">
        <v>1</v>
      </c>
      <c r="N132" s="105">
        <v>6</v>
      </c>
      <c r="O132" s="105">
        <v>1.1000000000000001</v>
      </c>
      <c r="P132" s="105">
        <v>31.000000000005912</v>
      </c>
      <c r="Q132" s="113">
        <v>-90</v>
      </c>
      <c r="R132" s="114">
        <v>0.25679999999999997</v>
      </c>
      <c r="S132" s="115">
        <v>0.29649999999999999</v>
      </c>
      <c r="Y132" s="99" t="s">
        <v>1236</v>
      </c>
    </row>
    <row r="133" spans="1:25" x14ac:dyDescent="0.25">
      <c r="A133" s="111" t="s">
        <v>1210</v>
      </c>
      <c r="B133" s="112">
        <v>3.3739340828924158E-2</v>
      </c>
      <c r="C133" s="105">
        <v>5.0609011243386241E-3</v>
      </c>
      <c r="D133" s="105">
        <v>306.08329999999995</v>
      </c>
      <c r="E133" s="105">
        <v>0</v>
      </c>
      <c r="F133" s="105">
        <v>0</v>
      </c>
      <c r="G133" s="105">
        <v>-5.6843418860808015E-14</v>
      </c>
      <c r="H133" s="105">
        <v>2.7412800000000002</v>
      </c>
      <c r="I133" s="105">
        <v>0</v>
      </c>
      <c r="J133" s="113">
        <v>2.7412999999999998</v>
      </c>
      <c r="K133" s="114">
        <v>0</v>
      </c>
      <c r="L133" s="115">
        <v>-0.25669999999999998</v>
      </c>
      <c r="M133" s="105">
        <v>1</v>
      </c>
      <c r="N133" s="105">
        <v>6</v>
      </c>
      <c r="O133" s="105">
        <v>1.2</v>
      </c>
      <c r="P133" s="105">
        <v>13.00000000000523</v>
      </c>
      <c r="Q133" s="113">
        <v>-33.9848</v>
      </c>
      <c r="R133" s="114">
        <v>0.30070000000000002</v>
      </c>
      <c r="S133" s="115">
        <v>0.3125</v>
      </c>
      <c r="Y133" s="99" t="s">
        <v>1208</v>
      </c>
    </row>
    <row r="134" spans="1:25" x14ac:dyDescent="0.25">
      <c r="A134" s="111" t="s">
        <v>1220</v>
      </c>
      <c r="B134" s="112">
        <v>3.3844697971781308E-2</v>
      </c>
      <c r="C134" s="105">
        <v>5.0767046957671961E-3</v>
      </c>
      <c r="D134" s="105">
        <v>307.03910000000002</v>
      </c>
      <c r="E134" s="105">
        <v>0</v>
      </c>
      <c r="F134" s="105">
        <v>0</v>
      </c>
      <c r="G134" s="105">
        <v>0</v>
      </c>
      <c r="H134" s="105">
        <v>3.3628300000000002</v>
      </c>
      <c r="I134" s="105">
        <v>0</v>
      </c>
      <c r="J134" s="113">
        <v>3.3628</v>
      </c>
      <c r="K134" s="114">
        <v>0</v>
      </c>
      <c r="L134" s="115">
        <v>0.223</v>
      </c>
      <c r="M134" s="105">
        <v>1</v>
      </c>
      <c r="N134" s="105">
        <v>6</v>
      </c>
      <c r="O134" s="105">
        <v>1.2</v>
      </c>
      <c r="P134" s="105">
        <v>18.999999999998352</v>
      </c>
      <c r="Q134" s="113">
        <v>-60.428699999999999</v>
      </c>
      <c r="R134" s="114">
        <v>0.29459999999999997</v>
      </c>
      <c r="S134" s="115">
        <v>0.3125</v>
      </c>
      <c r="Y134" s="99" t="s">
        <v>1218</v>
      </c>
    </row>
    <row r="135" spans="1:25" x14ac:dyDescent="0.25">
      <c r="A135" s="111" t="s">
        <v>1230</v>
      </c>
      <c r="B135" s="112">
        <v>3.3896164021164021E-2</v>
      </c>
      <c r="C135" s="105">
        <v>5.0844246031746029E-3</v>
      </c>
      <c r="D135" s="105">
        <v>307.50599999999997</v>
      </c>
      <c r="E135" s="105">
        <v>0</v>
      </c>
      <c r="F135" s="105">
        <v>0</v>
      </c>
      <c r="G135" s="105">
        <v>0</v>
      </c>
      <c r="H135" s="105">
        <v>3.6385000000000001</v>
      </c>
      <c r="I135" s="105">
        <v>0</v>
      </c>
      <c r="J135" s="113">
        <v>3.6385000000000001</v>
      </c>
      <c r="K135" s="114">
        <v>0</v>
      </c>
      <c r="L135" s="115">
        <v>0.93689999999999996</v>
      </c>
      <c r="M135" s="105">
        <v>1</v>
      </c>
      <c r="N135" s="105">
        <v>6</v>
      </c>
      <c r="O135" s="105">
        <v>1.2</v>
      </c>
      <c r="P135" s="105">
        <v>24.999999999998579</v>
      </c>
      <c r="Q135" s="113">
        <v>-77.3797</v>
      </c>
      <c r="R135" s="114">
        <v>0.27529999999999999</v>
      </c>
      <c r="S135" s="115">
        <v>0.3125</v>
      </c>
      <c r="Y135" s="99" t="s">
        <v>1228</v>
      </c>
    </row>
    <row r="136" spans="1:25" x14ac:dyDescent="0.25">
      <c r="A136" s="111" t="s">
        <v>1240</v>
      </c>
      <c r="B136" s="112">
        <v>3.3906525573192244E-2</v>
      </c>
      <c r="C136" s="105">
        <v>5.0859788359788362E-3</v>
      </c>
      <c r="D136" s="105">
        <v>307.60000000000002</v>
      </c>
      <c r="E136" s="105">
        <v>0</v>
      </c>
      <c r="F136" s="105">
        <v>0</v>
      </c>
      <c r="G136" s="105">
        <v>0</v>
      </c>
      <c r="H136" s="105">
        <v>3.72648</v>
      </c>
      <c r="I136" s="105">
        <v>0</v>
      </c>
      <c r="J136" s="113">
        <v>3.7265000000000001</v>
      </c>
      <c r="K136" s="114">
        <v>0</v>
      </c>
      <c r="L136" s="115">
        <v>1.6415999999999999</v>
      </c>
      <c r="M136" s="105">
        <v>1</v>
      </c>
      <c r="N136" s="105">
        <v>6</v>
      </c>
      <c r="O136" s="105">
        <v>1.2</v>
      </c>
      <c r="P136" s="105">
        <v>31.000000000005912</v>
      </c>
      <c r="Q136" s="113">
        <v>-90</v>
      </c>
      <c r="R136" s="114">
        <v>0.27060000000000001</v>
      </c>
      <c r="S136" s="115">
        <v>0.3125</v>
      </c>
      <c r="Y136" s="99" t="s">
        <v>1238</v>
      </c>
    </row>
    <row r="137" spans="1:25" x14ac:dyDescent="0.25">
      <c r="A137" s="111" t="s">
        <v>438</v>
      </c>
      <c r="B137" s="112">
        <v>3.968253968253968E-2</v>
      </c>
      <c r="C137" s="105">
        <v>5.9523809523809521E-3</v>
      </c>
      <c r="D137" s="105">
        <v>360</v>
      </c>
      <c r="E137" s="105">
        <v>0</v>
      </c>
      <c r="F137" s="105">
        <v>0</v>
      </c>
      <c r="G137" s="105">
        <v>360</v>
      </c>
      <c r="H137" s="105">
        <v>0.34329999999999999</v>
      </c>
      <c r="I137" s="105">
        <v>2.218465809610828E-15</v>
      </c>
      <c r="J137" s="113">
        <v>0.34329999999999999</v>
      </c>
      <c r="K137" s="114">
        <v>0</v>
      </c>
      <c r="L137" s="115">
        <v>1.9E-2</v>
      </c>
      <c r="M137" s="105">
        <v>2</v>
      </c>
      <c r="N137" s="105">
        <v>1</v>
      </c>
      <c r="O137" s="105">
        <v>1.1000000000000001</v>
      </c>
      <c r="P137" s="105">
        <v>1.0000000000012221</v>
      </c>
      <c r="Q137" s="113">
        <v>15</v>
      </c>
      <c r="R137" s="114">
        <v>0.27860000000000001</v>
      </c>
      <c r="S137" s="115">
        <v>0.29649999999999999</v>
      </c>
      <c r="Y137" s="99" t="s">
        <v>433</v>
      </c>
    </row>
    <row r="138" spans="1:25" x14ac:dyDescent="0.25">
      <c r="A138" s="111" t="s">
        <v>652</v>
      </c>
      <c r="B138" s="112">
        <v>3.968253968253968E-2</v>
      </c>
      <c r="C138" s="105">
        <v>5.9523809523809521E-3</v>
      </c>
      <c r="D138" s="105">
        <v>360</v>
      </c>
      <c r="E138" s="105">
        <v>0</v>
      </c>
      <c r="F138" s="105">
        <v>0</v>
      </c>
      <c r="G138" s="105">
        <v>360</v>
      </c>
      <c r="H138" s="105">
        <v>1.0692999999999999</v>
      </c>
      <c r="I138" s="105">
        <v>6.9100072537630591E-15</v>
      </c>
      <c r="J138" s="113">
        <v>1.0692999999999999</v>
      </c>
      <c r="K138" s="114">
        <v>0</v>
      </c>
      <c r="L138" s="115">
        <v>-0.17549999999999999</v>
      </c>
      <c r="M138" s="105">
        <v>2</v>
      </c>
      <c r="N138" s="105">
        <v>1</v>
      </c>
      <c r="O138" s="105">
        <v>1.1000000000000001</v>
      </c>
      <c r="P138" s="105">
        <v>4.0000000000013358</v>
      </c>
      <c r="Q138" s="113">
        <v>15</v>
      </c>
      <c r="R138" s="114">
        <v>0.28639999999999999</v>
      </c>
      <c r="S138" s="115">
        <v>0.29649999999999999</v>
      </c>
      <c r="Y138" s="99" t="s">
        <v>647</v>
      </c>
    </row>
    <row r="139" spans="1:25" x14ac:dyDescent="0.25">
      <c r="A139" s="111" t="s">
        <v>448</v>
      </c>
      <c r="B139" s="112">
        <v>3.968253968253968E-2</v>
      </c>
      <c r="C139" s="105">
        <v>5.9523809523809521E-3</v>
      </c>
      <c r="D139" s="105">
        <v>360</v>
      </c>
      <c r="E139" s="105">
        <v>0</v>
      </c>
      <c r="F139" s="105">
        <v>0</v>
      </c>
      <c r="G139" s="105">
        <v>360</v>
      </c>
      <c r="H139" s="105">
        <v>1.7943</v>
      </c>
      <c r="I139" s="105">
        <v>1.1595086519617562E-14</v>
      </c>
      <c r="J139" s="113">
        <v>1.7943</v>
      </c>
      <c r="K139" s="114">
        <v>0</v>
      </c>
      <c r="L139" s="115">
        <v>-0.36969999999999997</v>
      </c>
      <c r="M139" s="105">
        <v>2</v>
      </c>
      <c r="N139" s="105">
        <v>1</v>
      </c>
      <c r="O139" s="105">
        <v>1.1000000000000001</v>
      </c>
      <c r="P139" s="105">
        <v>6.9999999999996732</v>
      </c>
      <c r="Q139" s="113">
        <v>15</v>
      </c>
      <c r="R139" s="114">
        <v>0.28639999999999999</v>
      </c>
      <c r="S139" s="115">
        <v>0.29649999999999999</v>
      </c>
      <c r="Y139" s="99" t="s">
        <v>443</v>
      </c>
    </row>
    <row r="140" spans="1:25" x14ac:dyDescent="0.25">
      <c r="A140" s="111" t="s">
        <v>961</v>
      </c>
      <c r="B140" s="112">
        <v>3.97827380952381E-2</v>
      </c>
      <c r="C140" s="105">
        <v>5.9674107142857142E-3</v>
      </c>
      <c r="D140" s="105">
        <v>360.90899999999993</v>
      </c>
      <c r="E140" s="105">
        <v>0</v>
      </c>
      <c r="F140" s="105">
        <v>0</v>
      </c>
      <c r="G140" s="105">
        <v>359.99999999999994</v>
      </c>
      <c r="H140" s="105">
        <v>2.6175000000000002</v>
      </c>
      <c r="I140" s="105">
        <v>1.923955870787426E-14</v>
      </c>
      <c r="J140" s="113">
        <v>2.6175000000000002</v>
      </c>
      <c r="K140" s="114">
        <v>0</v>
      </c>
      <c r="L140" s="115">
        <v>-0.37659999999999999</v>
      </c>
      <c r="M140" s="105">
        <v>2</v>
      </c>
      <c r="N140" s="105">
        <v>1</v>
      </c>
      <c r="O140" s="105">
        <v>1.1000000000000001</v>
      </c>
      <c r="P140" s="105">
        <v>12.000000000000455</v>
      </c>
      <c r="Q140" s="113">
        <v>-26.6419</v>
      </c>
      <c r="R140" s="114">
        <v>0.28549999999999998</v>
      </c>
      <c r="S140" s="115">
        <v>0.29649999999999999</v>
      </c>
      <c r="Y140" s="99" t="s">
        <v>956</v>
      </c>
    </row>
    <row r="141" spans="1:25" x14ac:dyDescent="0.25">
      <c r="A141" s="111" t="s">
        <v>971</v>
      </c>
      <c r="B141" s="112">
        <v>3.989246031746032E-2</v>
      </c>
      <c r="C141" s="105">
        <v>5.9838690476190478E-3</v>
      </c>
      <c r="D141" s="105">
        <v>361.90440000000001</v>
      </c>
      <c r="E141" s="105">
        <v>0</v>
      </c>
      <c r="F141" s="105">
        <v>0</v>
      </c>
      <c r="G141" s="105">
        <v>360</v>
      </c>
      <c r="H141" s="105">
        <v>3.2848999999999999</v>
      </c>
      <c r="I141" s="105">
        <v>2.1227609490214417E-14</v>
      </c>
      <c r="J141" s="113">
        <v>3.2848999999999999</v>
      </c>
      <c r="K141" s="114">
        <v>0</v>
      </c>
      <c r="L141" s="115">
        <v>4.5999999999999999E-2</v>
      </c>
      <c r="M141" s="105">
        <v>2</v>
      </c>
      <c r="N141" s="105">
        <v>1</v>
      </c>
      <c r="O141" s="105">
        <v>1.1000000000000001</v>
      </c>
      <c r="P141" s="105">
        <v>17.999999999998906</v>
      </c>
      <c r="Q141" s="113">
        <v>-56.997300000000003</v>
      </c>
      <c r="R141" s="114">
        <v>0.28129999999999999</v>
      </c>
      <c r="S141" s="115">
        <v>0.29649999999999999</v>
      </c>
      <c r="Y141" s="99" t="s">
        <v>966</v>
      </c>
    </row>
    <row r="142" spans="1:25" x14ac:dyDescent="0.25">
      <c r="A142" s="111" t="s">
        <v>981</v>
      </c>
      <c r="B142" s="112">
        <v>3.9954276895943559E-2</v>
      </c>
      <c r="C142" s="105">
        <v>5.9931415343915341E-3</v>
      </c>
      <c r="D142" s="105">
        <v>362.46519999999998</v>
      </c>
      <c r="E142" s="105">
        <v>0</v>
      </c>
      <c r="F142" s="105">
        <v>0</v>
      </c>
      <c r="G142" s="105">
        <v>360</v>
      </c>
      <c r="H142" s="105">
        <v>3.6240999999999999</v>
      </c>
      <c r="I142" s="105">
        <v>2.3419580368804549E-14</v>
      </c>
      <c r="J142" s="113">
        <v>3.6240999999999999</v>
      </c>
      <c r="K142" s="114">
        <v>0</v>
      </c>
      <c r="L142" s="115">
        <v>0.73929999999999996</v>
      </c>
      <c r="M142" s="105">
        <v>2</v>
      </c>
      <c r="N142" s="105">
        <v>1</v>
      </c>
      <c r="O142" s="105">
        <v>1.1000000000000001</v>
      </c>
      <c r="P142" s="105">
        <v>24.000000000000909</v>
      </c>
      <c r="Q142" s="113">
        <v>-74.941299999999998</v>
      </c>
      <c r="R142" s="114">
        <v>0.26569999999999999</v>
      </c>
      <c r="S142" s="115">
        <v>0.29649999999999999</v>
      </c>
      <c r="Y142" s="99" t="s">
        <v>976</v>
      </c>
    </row>
    <row r="143" spans="1:25" x14ac:dyDescent="0.25">
      <c r="A143" s="111" t="s">
        <v>991</v>
      </c>
      <c r="B143" s="112">
        <v>3.9973721340388006E-2</v>
      </c>
      <c r="C143" s="105">
        <v>5.9960582010582008E-3</v>
      </c>
      <c r="D143" s="105">
        <v>362.64159999999998</v>
      </c>
      <c r="E143" s="105">
        <v>0</v>
      </c>
      <c r="F143" s="105">
        <v>0</v>
      </c>
      <c r="G143" s="105">
        <v>360</v>
      </c>
      <c r="H143" s="105">
        <v>3.6829999999999998</v>
      </c>
      <c r="I143" s="105">
        <v>2.3800202670540865E-14</v>
      </c>
      <c r="J143" s="113">
        <v>3.6829999999999998</v>
      </c>
      <c r="K143" s="114">
        <v>0</v>
      </c>
      <c r="L143" s="115">
        <v>1.5243</v>
      </c>
      <c r="M143" s="105">
        <v>2</v>
      </c>
      <c r="N143" s="105">
        <v>1</v>
      </c>
      <c r="O143" s="105">
        <v>1.1000000000000001</v>
      </c>
      <c r="P143" s="105">
        <v>29.999999999999361</v>
      </c>
      <c r="Q143" s="113">
        <v>-90</v>
      </c>
      <c r="R143" s="114">
        <v>0.25679999999999997</v>
      </c>
      <c r="S143" s="115">
        <v>0.29649999999999999</v>
      </c>
      <c r="Y143" s="99" t="s">
        <v>986</v>
      </c>
    </row>
    <row r="144" spans="1:25" x14ac:dyDescent="0.25">
      <c r="A144" s="111" t="s">
        <v>439</v>
      </c>
      <c r="B144" s="112">
        <v>3.968253968253968E-2</v>
      </c>
      <c r="C144" s="105">
        <v>5.9523809523809521E-3</v>
      </c>
      <c r="D144" s="105">
        <v>360</v>
      </c>
      <c r="E144" s="105">
        <v>0</v>
      </c>
      <c r="F144" s="105">
        <v>0</v>
      </c>
      <c r="G144" s="105">
        <v>360</v>
      </c>
      <c r="H144" s="105">
        <v>0.34472000000000003</v>
      </c>
      <c r="I144" s="105">
        <v>0</v>
      </c>
      <c r="J144" s="113">
        <v>0.34470000000000001</v>
      </c>
      <c r="K144" s="114">
        <v>0</v>
      </c>
      <c r="L144" s="115">
        <v>2.4299999999999999E-2</v>
      </c>
      <c r="M144" s="105">
        <v>2</v>
      </c>
      <c r="N144" s="105">
        <v>1</v>
      </c>
      <c r="O144" s="105">
        <v>1.2</v>
      </c>
      <c r="P144" s="105">
        <v>1.0000000000012221</v>
      </c>
      <c r="Q144" s="113">
        <v>15</v>
      </c>
      <c r="R144" s="114">
        <v>0.29370000000000002</v>
      </c>
      <c r="S144" s="115">
        <v>0.3125</v>
      </c>
      <c r="Y144" s="99" t="s">
        <v>435</v>
      </c>
    </row>
    <row r="145" spans="1:25" x14ac:dyDescent="0.25">
      <c r="A145" s="111" t="s">
        <v>653</v>
      </c>
      <c r="B145" s="112">
        <v>3.968253968253968E-2</v>
      </c>
      <c r="C145" s="105">
        <v>5.9523809523809521E-3</v>
      </c>
      <c r="D145" s="105">
        <v>360</v>
      </c>
      <c r="E145" s="105">
        <v>0</v>
      </c>
      <c r="F145" s="105">
        <v>0</v>
      </c>
      <c r="G145" s="105">
        <v>360</v>
      </c>
      <c r="H145" s="105">
        <v>1.07037</v>
      </c>
      <c r="I145" s="105">
        <v>0</v>
      </c>
      <c r="J145" s="113">
        <v>1.0704</v>
      </c>
      <c r="K145" s="114">
        <v>0</v>
      </c>
      <c r="L145" s="115">
        <v>-0.17150000000000001</v>
      </c>
      <c r="M145" s="105">
        <v>2</v>
      </c>
      <c r="N145" s="105">
        <v>1</v>
      </c>
      <c r="O145" s="105">
        <v>1.2</v>
      </c>
      <c r="P145" s="105">
        <v>4.0000000000013358</v>
      </c>
      <c r="Q145" s="113">
        <v>15</v>
      </c>
      <c r="R145" s="114">
        <v>0.3019</v>
      </c>
      <c r="S145" s="115">
        <v>0.3125</v>
      </c>
      <c r="Y145" s="99" t="s">
        <v>649</v>
      </c>
    </row>
    <row r="146" spans="1:25" x14ac:dyDescent="0.25">
      <c r="A146" s="111" t="s">
        <v>449</v>
      </c>
      <c r="B146" s="112">
        <v>3.968253968253968E-2</v>
      </c>
      <c r="C146" s="105">
        <v>5.9523809523809521E-3</v>
      </c>
      <c r="D146" s="105">
        <v>360</v>
      </c>
      <c r="E146" s="105">
        <v>0</v>
      </c>
      <c r="F146" s="105">
        <v>0</v>
      </c>
      <c r="G146" s="105">
        <v>360</v>
      </c>
      <c r="H146" s="105">
        <v>1.7953699999999999</v>
      </c>
      <c r="I146" s="105">
        <v>0</v>
      </c>
      <c r="J146" s="113">
        <v>1.7954000000000001</v>
      </c>
      <c r="K146" s="114">
        <v>0</v>
      </c>
      <c r="L146" s="115">
        <v>-0.36570000000000003</v>
      </c>
      <c r="M146" s="105">
        <v>2</v>
      </c>
      <c r="N146" s="105">
        <v>1</v>
      </c>
      <c r="O146" s="105">
        <v>1.2</v>
      </c>
      <c r="P146" s="105">
        <v>6.9999999999996732</v>
      </c>
      <c r="Q146" s="113">
        <v>15</v>
      </c>
      <c r="R146" s="114">
        <v>0.3019</v>
      </c>
      <c r="S146" s="115">
        <v>0.3125</v>
      </c>
      <c r="Y146" s="99" t="s">
        <v>445</v>
      </c>
    </row>
    <row r="147" spans="1:25" x14ac:dyDescent="0.25">
      <c r="A147" s="111" t="s">
        <v>962</v>
      </c>
      <c r="B147" s="112">
        <v>3.97827380952381E-2</v>
      </c>
      <c r="C147" s="105">
        <v>5.9674107142857142E-3</v>
      </c>
      <c r="D147" s="105">
        <v>360.90899999999993</v>
      </c>
      <c r="E147" s="105">
        <v>0</v>
      </c>
      <c r="F147" s="105">
        <v>0</v>
      </c>
      <c r="G147" s="105">
        <v>359.99999999999994</v>
      </c>
      <c r="H147" s="105">
        <v>2.6153200000000001</v>
      </c>
      <c r="I147" s="105">
        <v>0</v>
      </c>
      <c r="J147" s="113">
        <v>2.6153</v>
      </c>
      <c r="K147" s="114">
        <v>0</v>
      </c>
      <c r="L147" s="115">
        <v>-0.37269999999999998</v>
      </c>
      <c r="M147" s="105">
        <v>2</v>
      </c>
      <c r="N147" s="105">
        <v>1</v>
      </c>
      <c r="O147" s="105">
        <v>1.2</v>
      </c>
      <c r="P147" s="105">
        <v>12.000000000000455</v>
      </c>
      <c r="Q147" s="113">
        <v>-26.6419</v>
      </c>
      <c r="R147" s="114">
        <v>0.30099999999999999</v>
      </c>
      <c r="S147" s="115">
        <v>0.3125</v>
      </c>
      <c r="Y147" s="99" t="s">
        <v>958</v>
      </c>
    </row>
    <row r="148" spans="1:25" x14ac:dyDescent="0.25">
      <c r="A148" s="111" t="s">
        <v>972</v>
      </c>
      <c r="B148" s="112">
        <v>3.989246031746032E-2</v>
      </c>
      <c r="C148" s="105">
        <v>5.9838690476190478E-3</v>
      </c>
      <c r="D148" s="105">
        <v>361.90440000000001</v>
      </c>
      <c r="E148" s="105">
        <v>0</v>
      </c>
      <c r="F148" s="105">
        <v>0</v>
      </c>
      <c r="G148" s="105">
        <v>360</v>
      </c>
      <c r="H148" s="105">
        <v>3.28016</v>
      </c>
      <c r="I148" s="105">
        <v>0</v>
      </c>
      <c r="J148" s="113">
        <v>3.2801999999999998</v>
      </c>
      <c r="K148" s="114">
        <v>0</v>
      </c>
      <c r="L148" s="115">
        <v>4.87E-2</v>
      </c>
      <c r="M148" s="105">
        <v>2</v>
      </c>
      <c r="N148" s="105">
        <v>1</v>
      </c>
      <c r="O148" s="105">
        <v>1.2</v>
      </c>
      <c r="P148" s="105">
        <v>17.999999999998906</v>
      </c>
      <c r="Q148" s="113">
        <v>-56.997300000000003</v>
      </c>
      <c r="R148" s="114">
        <v>0.29649999999999999</v>
      </c>
      <c r="S148" s="115">
        <v>0.3125</v>
      </c>
      <c r="Y148" s="99" t="s">
        <v>968</v>
      </c>
    </row>
    <row r="149" spans="1:25" x14ac:dyDescent="0.25">
      <c r="A149" s="111" t="s">
        <v>982</v>
      </c>
      <c r="B149" s="112">
        <v>3.9954276895943559E-2</v>
      </c>
      <c r="C149" s="105">
        <v>5.9931415343915341E-3</v>
      </c>
      <c r="D149" s="105">
        <v>362.46519999999998</v>
      </c>
      <c r="E149" s="105">
        <v>0</v>
      </c>
      <c r="F149" s="105">
        <v>0</v>
      </c>
      <c r="G149" s="105">
        <v>360</v>
      </c>
      <c r="H149" s="105">
        <v>3.6166299999999998</v>
      </c>
      <c r="I149" s="105">
        <v>0</v>
      </c>
      <c r="J149" s="113">
        <v>3.6166</v>
      </c>
      <c r="K149" s="114">
        <v>0</v>
      </c>
      <c r="L149" s="115">
        <v>0.74119999999999997</v>
      </c>
      <c r="M149" s="105">
        <v>2</v>
      </c>
      <c r="N149" s="105">
        <v>1</v>
      </c>
      <c r="O149" s="105">
        <v>1.2</v>
      </c>
      <c r="P149" s="105">
        <v>24.000000000000909</v>
      </c>
      <c r="Q149" s="113">
        <v>-74.941299999999998</v>
      </c>
      <c r="R149" s="114">
        <v>0.28010000000000002</v>
      </c>
      <c r="S149" s="115">
        <v>0.3125</v>
      </c>
      <c r="Y149" s="99" t="s">
        <v>978</v>
      </c>
    </row>
    <row r="150" spans="1:25" x14ac:dyDescent="0.25">
      <c r="A150" s="111" t="s">
        <v>992</v>
      </c>
      <c r="B150" s="112">
        <v>3.9973721340388006E-2</v>
      </c>
      <c r="C150" s="105">
        <v>5.9960582010582008E-3</v>
      </c>
      <c r="D150" s="105">
        <v>362.64159999999998</v>
      </c>
      <c r="E150" s="105">
        <v>0</v>
      </c>
      <c r="F150" s="105">
        <v>0</v>
      </c>
      <c r="G150" s="105">
        <v>360</v>
      </c>
      <c r="H150" s="105">
        <v>3.6743700000000001</v>
      </c>
      <c r="I150" s="105">
        <v>0</v>
      </c>
      <c r="J150" s="113">
        <v>3.6743999999999999</v>
      </c>
      <c r="K150" s="114">
        <v>0</v>
      </c>
      <c r="L150" s="115">
        <v>1.5243</v>
      </c>
      <c r="M150" s="105">
        <v>2</v>
      </c>
      <c r="N150" s="105">
        <v>1</v>
      </c>
      <c r="O150" s="105">
        <v>1.2</v>
      </c>
      <c r="P150" s="105">
        <v>29.999999999999361</v>
      </c>
      <c r="Q150" s="113">
        <v>-90</v>
      </c>
      <c r="R150" s="114">
        <v>0.27060000000000001</v>
      </c>
      <c r="S150" s="115">
        <v>0.3125</v>
      </c>
      <c r="Y150" s="99" t="s">
        <v>988</v>
      </c>
    </row>
    <row r="151" spans="1:25" x14ac:dyDescent="0.25">
      <c r="A151" s="111" t="s">
        <v>1001</v>
      </c>
      <c r="B151" s="112">
        <v>4.6928185626102299E-2</v>
      </c>
      <c r="C151" s="105">
        <v>7.0392278439153442E-3</v>
      </c>
      <c r="D151" s="105">
        <v>425.73250000000007</v>
      </c>
      <c r="E151" s="105">
        <v>0</v>
      </c>
      <c r="F151" s="105">
        <v>0</v>
      </c>
      <c r="G151" s="105">
        <v>360.00000000000006</v>
      </c>
      <c r="H151" s="105">
        <v>2.4823</v>
      </c>
      <c r="I151" s="105">
        <v>1.383633989723442E-14</v>
      </c>
      <c r="J151" s="113">
        <v>2.4823</v>
      </c>
      <c r="K151" s="114">
        <v>0</v>
      </c>
      <c r="L151" s="115">
        <v>-0.495</v>
      </c>
      <c r="M151" s="105">
        <v>2</v>
      </c>
      <c r="N151" s="105">
        <v>2</v>
      </c>
      <c r="O151" s="105">
        <v>1.1000000000000001</v>
      </c>
      <c r="P151" s="105">
        <v>11.000000000002785</v>
      </c>
      <c r="Q151" s="113">
        <v>-22.7378</v>
      </c>
      <c r="R151" s="114">
        <v>0.28570000000000001</v>
      </c>
      <c r="S151" s="115">
        <v>0.29649999999999999</v>
      </c>
      <c r="Y151" s="99" t="s">
        <v>996</v>
      </c>
    </row>
    <row r="152" spans="1:25" x14ac:dyDescent="0.25">
      <c r="A152" s="111" t="s">
        <v>1011</v>
      </c>
      <c r="B152" s="112">
        <v>4.7040983245149916E-2</v>
      </c>
      <c r="C152" s="105">
        <v>7.0561474867724874E-3</v>
      </c>
      <c r="D152" s="105">
        <v>426.75580000000002</v>
      </c>
      <c r="E152" s="105">
        <v>0</v>
      </c>
      <c r="F152" s="105">
        <v>0</v>
      </c>
      <c r="G152" s="105">
        <v>360</v>
      </c>
      <c r="H152" s="105">
        <v>3.1918000000000002</v>
      </c>
      <c r="I152" s="105">
        <v>2.0625980690695724E-14</v>
      </c>
      <c r="J152" s="113">
        <v>3.1918000000000002</v>
      </c>
      <c r="K152" s="114">
        <v>0</v>
      </c>
      <c r="L152" s="115">
        <v>-0.1346</v>
      </c>
      <c r="M152" s="105">
        <v>2</v>
      </c>
      <c r="N152" s="105">
        <v>2</v>
      </c>
      <c r="O152" s="105">
        <v>1.1000000000000001</v>
      </c>
      <c r="P152" s="105">
        <v>17.000000000003013</v>
      </c>
      <c r="Q152" s="113">
        <v>-53.366999999999997</v>
      </c>
      <c r="R152" s="114">
        <v>0.28299999999999997</v>
      </c>
      <c r="S152" s="115">
        <v>0.29649999999999999</v>
      </c>
      <c r="Y152" s="99" t="s">
        <v>1006</v>
      </c>
    </row>
    <row r="153" spans="1:25" x14ac:dyDescent="0.25">
      <c r="A153" s="111" t="s">
        <v>1021</v>
      </c>
      <c r="B153" s="112">
        <v>4.7114429012345679E-2</v>
      </c>
      <c r="C153" s="105">
        <v>7.0671643518518523E-3</v>
      </c>
      <c r="D153" s="105">
        <v>427.4221</v>
      </c>
      <c r="E153" s="105">
        <v>0</v>
      </c>
      <c r="F153" s="105">
        <v>0</v>
      </c>
      <c r="G153" s="105">
        <v>360</v>
      </c>
      <c r="H153" s="105">
        <v>3.5985999999999998</v>
      </c>
      <c r="I153" s="105">
        <v>2.3254794822212424E-14</v>
      </c>
      <c r="J153" s="113">
        <v>3.5985999999999998</v>
      </c>
      <c r="K153" s="114">
        <v>0</v>
      </c>
      <c r="L153" s="115">
        <v>0.52639999999999998</v>
      </c>
      <c r="M153" s="105">
        <v>2</v>
      </c>
      <c r="N153" s="105">
        <v>2</v>
      </c>
      <c r="O153" s="105">
        <v>1.1000000000000001</v>
      </c>
      <c r="P153" s="105">
        <v>22.999999999999687</v>
      </c>
      <c r="Q153" s="113">
        <v>-71.813100000000006</v>
      </c>
      <c r="R153" s="114">
        <v>0.26790000000000003</v>
      </c>
      <c r="S153" s="115">
        <v>0.29649999999999999</v>
      </c>
      <c r="Y153" s="99" t="s">
        <v>1016</v>
      </c>
    </row>
    <row r="154" spans="1:25" x14ac:dyDescent="0.25">
      <c r="A154" s="111" t="s">
        <v>1031</v>
      </c>
      <c r="B154" s="112">
        <v>4.7138624338624341E-2</v>
      </c>
      <c r="C154" s="105">
        <v>7.0707936507936504E-3</v>
      </c>
      <c r="D154" s="105">
        <v>427.64159999999998</v>
      </c>
      <c r="E154" s="105">
        <v>0</v>
      </c>
      <c r="F154" s="105">
        <v>0</v>
      </c>
      <c r="G154" s="105">
        <v>360</v>
      </c>
      <c r="H154" s="105">
        <v>3.6829999999999998</v>
      </c>
      <c r="I154" s="105">
        <v>2.3800202670540865E-14</v>
      </c>
      <c r="J154" s="113">
        <v>3.6829999999999998</v>
      </c>
      <c r="K154" s="114">
        <v>0</v>
      </c>
      <c r="L154" s="115">
        <v>1.3203</v>
      </c>
      <c r="M154" s="105">
        <v>2</v>
      </c>
      <c r="N154" s="105">
        <v>2</v>
      </c>
      <c r="O154" s="105">
        <v>1.1000000000000001</v>
      </c>
      <c r="P154" s="105">
        <v>28.999999999999915</v>
      </c>
      <c r="Q154" s="113">
        <v>-90</v>
      </c>
      <c r="R154" s="114">
        <v>0.25679999999999997</v>
      </c>
      <c r="S154" s="115">
        <v>0.29649999999999999</v>
      </c>
      <c r="Y154" s="99" t="s">
        <v>1026</v>
      </c>
    </row>
    <row r="155" spans="1:25" x14ac:dyDescent="0.25">
      <c r="A155" s="111" t="s">
        <v>1002</v>
      </c>
      <c r="B155" s="112">
        <v>4.6928185626102299E-2</v>
      </c>
      <c r="C155" s="105">
        <v>7.0392278439153442E-3</v>
      </c>
      <c r="D155" s="105">
        <v>425.73250000000007</v>
      </c>
      <c r="E155" s="105">
        <v>0</v>
      </c>
      <c r="F155" s="105">
        <v>0</v>
      </c>
      <c r="G155" s="105">
        <v>360.00000000000006</v>
      </c>
      <c r="H155" s="105">
        <v>2.4804499999999998</v>
      </c>
      <c r="I155" s="105">
        <v>0</v>
      </c>
      <c r="J155" s="113">
        <v>2.4803999999999999</v>
      </c>
      <c r="K155" s="114">
        <v>0</v>
      </c>
      <c r="L155" s="115">
        <v>-0.49109999999999998</v>
      </c>
      <c r="M155" s="105">
        <v>2</v>
      </c>
      <c r="N155" s="105">
        <v>2</v>
      </c>
      <c r="O155" s="105">
        <v>1.2</v>
      </c>
      <c r="P155" s="105">
        <v>11.000000000002785</v>
      </c>
      <c r="Q155" s="113">
        <v>-22.7378</v>
      </c>
      <c r="R155" s="114">
        <v>0.30120000000000002</v>
      </c>
      <c r="S155" s="115">
        <v>0.3125</v>
      </c>
      <c r="Y155" s="99" t="s">
        <v>998</v>
      </c>
    </row>
    <row r="156" spans="1:25" x14ac:dyDescent="0.25">
      <c r="A156" s="111" t="s">
        <v>1012</v>
      </c>
      <c r="B156" s="112">
        <v>4.7040983245149916E-2</v>
      </c>
      <c r="C156" s="105">
        <v>7.0561474867724874E-3</v>
      </c>
      <c r="D156" s="105">
        <v>426.75580000000002</v>
      </c>
      <c r="E156" s="105">
        <v>0</v>
      </c>
      <c r="F156" s="105">
        <v>0</v>
      </c>
      <c r="G156" s="105">
        <v>360</v>
      </c>
      <c r="H156" s="105">
        <v>3.1875100000000001</v>
      </c>
      <c r="I156" s="105">
        <v>0</v>
      </c>
      <c r="J156" s="113">
        <v>3.1875</v>
      </c>
      <c r="K156" s="114">
        <v>0</v>
      </c>
      <c r="L156" s="115">
        <v>-0.13170000000000001</v>
      </c>
      <c r="M156" s="105">
        <v>2</v>
      </c>
      <c r="N156" s="105">
        <v>2</v>
      </c>
      <c r="O156" s="105">
        <v>1.2</v>
      </c>
      <c r="P156" s="105">
        <v>17.000000000003013</v>
      </c>
      <c r="Q156" s="113">
        <v>-53.366999999999997</v>
      </c>
      <c r="R156" s="114">
        <v>0.29830000000000001</v>
      </c>
      <c r="S156" s="115">
        <v>0.3125</v>
      </c>
      <c r="Y156" s="99" t="s">
        <v>1008</v>
      </c>
    </row>
    <row r="157" spans="1:25" x14ac:dyDescent="0.25">
      <c r="A157" s="111" t="s">
        <v>1022</v>
      </c>
      <c r="B157" s="112">
        <v>4.7114429012345679E-2</v>
      </c>
      <c r="C157" s="105">
        <v>7.0671643518518523E-3</v>
      </c>
      <c r="D157" s="105">
        <v>427.4221</v>
      </c>
      <c r="E157" s="105">
        <v>0</v>
      </c>
      <c r="F157" s="105">
        <v>0</v>
      </c>
      <c r="G157" s="105">
        <v>360</v>
      </c>
      <c r="H157" s="105">
        <v>3.5914799999999998</v>
      </c>
      <c r="I157" s="105">
        <v>0</v>
      </c>
      <c r="J157" s="113">
        <v>3.5914999999999999</v>
      </c>
      <c r="K157" s="114">
        <v>0</v>
      </c>
      <c r="L157" s="115">
        <v>0.52859999999999996</v>
      </c>
      <c r="M157" s="105">
        <v>2</v>
      </c>
      <c r="N157" s="105">
        <v>2</v>
      </c>
      <c r="O157" s="105">
        <v>1.2</v>
      </c>
      <c r="P157" s="105">
        <v>22.999999999999687</v>
      </c>
      <c r="Q157" s="113">
        <v>-71.813100000000006</v>
      </c>
      <c r="R157" s="114">
        <v>0.28239999999999998</v>
      </c>
      <c r="S157" s="115">
        <v>0.3125</v>
      </c>
      <c r="Y157" s="99" t="s">
        <v>1018</v>
      </c>
    </row>
    <row r="158" spans="1:25" x14ac:dyDescent="0.25">
      <c r="A158" s="111" t="s">
        <v>1032</v>
      </c>
      <c r="B158" s="112">
        <v>4.7138624338624341E-2</v>
      </c>
      <c r="C158" s="105">
        <v>7.0707936507936504E-3</v>
      </c>
      <c r="D158" s="105">
        <v>427.64159999999998</v>
      </c>
      <c r="E158" s="105">
        <v>0</v>
      </c>
      <c r="F158" s="105">
        <v>0</v>
      </c>
      <c r="G158" s="105">
        <v>360</v>
      </c>
      <c r="H158" s="105">
        <v>3.6743700000000001</v>
      </c>
      <c r="I158" s="105">
        <v>0</v>
      </c>
      <c r="J158" s="113">
        <v>3.6743999999999999</v>
      </c>
      <c r="K158" s="114">
        <v>0</v>
      </c>
      <c r="L158" s="115">
        <v>1.3203</v>
      </c>
      <c r="M158" s="105">
        <v>2</v>
      </c>
      <c r="N158" s="105">
        <v>2</v>
      </c>
      <c r="O158" s="105">
        <v>1.2</v>
      </c>
      <c r="P158" s="105">
        <v>28.999999999999915</v>
      </c>
      <c r="Q158" s="113">
        <v>-90</v>
      </c>
      <c r="R158" s="114">
        <v>0.27060000000000001</v>
      </c>
      <c r="S158" s="115">
        <v>0.3125</v>
      </c>
      <c r="Y158" s="99" t="s">
        <v>1028</v>
      </c>
    </row>
    <row r="159" spans="1:25" x14ac:dyDescent="0.25">
      <c r="A159" s="111" t="s">
        <v>1041</v>
      </c>
      <c r="B159" s="112">
        <v>5.3461199294532628E-2</v>
      </c>
      <c r="C159" s="105">
        <v>8.0191798941798946E-3</v>
      </c>
      <c r="D159" s="105">
        <v>485.00000000000006</v>
      </c>
      <c r="E159" s="105">
        <v>0</v>
      </c>
      <c r="F159" s="105">
        <v>0</v>
      </c>
      <c r="G159" s="105">
        <v>360.00000000000006</v>
      </c>
      <c r="H159" s="105">
        <v>0.82769999999999999</v>
      </c>
      <c r="I159" s="105">
        <v>4.6135996990456147E-15</v>
      </c>
      <c r="J159" s="113">
        <v>0.82769999999999999</v>
      </c>
      <c r="K159" s="114">
        <v>0</v>
      </c>
      <c r="L159" s="115">
        <v>-0.27600000000000002</v>
      </c>
      <c r="M159" s="105">
        <v>2</v>
      </c>
      <c r="N159" s="105">
        <v>3</v>
      </c>
      <c r="O159" s="105">
        <v>1.1000000000000001</v>
      </c>
      <c r="P159" s="105">
        <v>3.0000000000001137</v>
      </c>
      <c r="Q159" s="113">
        <v>15</v>
      </c>
      <c r="R159" s="114">
        <v>0.28639999999999999</v>
      </c>
      <c r="S159" s="115">
        <v>0.29649999999999999</v>
      </c>
      <c r="Y159" s="99" t="s">
        <v>1036</v>
      </c>
    </row>
    <row r="160" spans="1:25" x14ac:dyDescent="0.25">
      <c r="A160" s="111" t="s">
        <v>1051</v>
      </c>
      <c r="B160" s="112">
        <v>5.3461199294532628E-2</v>
      </c>
      <c r="C160" s="105">
        <v>8.0191798941798946E-3</v>
      </c>
      <c r="D160" s="105">
        <v>485.00000000000006</v>
      </c>
      <c r="E160" s="105">
        <v>0</v>
      </c>
      <c r="F160" s="105">
        <v>0</v>
      </c>
      <c r="G160" s="105">
        <v>360.00000000000006</v>
      </c>
      <c r="H160" s="105">
        <v>1.5526</v>
      </c>
      <c r="I160" s="105">
        <v>8.6541922106297215E-15</v>
      </c>
      <c r="J160" s="113">
        <v>1.5526</v>
      </c>
      <c r="K160" s="114">
        <v>0</v>
      </c>
      <c r="L160" s="115">
        <v>-0.4703</v>
      </c>
      <c r="M160" s="105">
        <v>2</v>
      </c>
      <c r="N160" s="105">
        <v>3</v>
      </c>
      <c r="O160" s="105">
        <v>1.1000000000000001</v>
      </c>
      <c r="P160" s="105">
        <v>6.0000000000002274</v>
      </c>
      <c r="Q160" s="113">
        <v>15</v>
      </c>
      <c r="R160" s="114">
        <v>0.28639999999999999</v>
      </c>
      <c r="S160" s="115">
        <v>0.29649999999999999</v>
      </c>
      <c r="Y160" s="99" t="s">
        <v>1046</v>
      </c>
    </row>
    <row r="161" spans="1:25" x14ac:dyDescent="0.25">
      <c r="A161" s="111" t="s">
        <v>1061</v>
      </c>
      <c r="B161" s="112">
        <v>5.3523478835978841E-2</v>
      </c>
      <c r="C161" s="105">
        <v>8.0285218253968258E-3</v>
      </c>
      <c r="D161" s="105">
        <v>485.56500000000005</v>
      </c>
      <c r="E161" s="105">
        <v>0</v>
      </c>
      <c r="F161" s="105">
        <v>0</v>
      </c>
      <c r="G161" s="105">
        <v>360.00000000000006</v>
      </c>
      <c r="H161" s="105">
        <v>2.3447</v>
      </c>
      <c r="I161" s="105">
        <v>1.3069357514017461E-14</v>
      </c>
      <c r="J161" s="113">
        <v>2.3447</v>
      </c>
      <c r="K161" s="114">
        <v>0</v>
      </c>
      <c r="L161" s="115">
        <v>-0.59350000000000003</v>
      </c>
      <c r="M161" s="105">
        <v>2</v>
      </c>
      <c r="N161" s="105">
        <v>3</v>
      </c>
      <c r="O161" s="105">
        <v>1.1000000000000001</v>
      </c>
      <c r="P161" s="105">
        <v>9.9999999999980105</v>
      </c>
      <c r="Q161" s="113">
        <v>-16.861799999999999</v>
      </c>
      <c r="R161" s="114">
        <v>0.28589999999999999</v>
      </c>
      <c r="S161" s="115">
        <v>0.29649999999999999</v>
      </c>
      <c r="Y161" s="99" t="s">
        <v>1056</v>
      </c>
    </row>
    <row r="162" spans="1:25" x14ac:dyDescent="0.25">
      <c r="A162" s="111" t="s">
        <v>1071</v>
      </c>
      <c r="B162" s="112">
        <v>5.3637246472663137E-2</v>
      </c>
      <c r="C162" s="105">
        <v>8.0455869708994706E-3</v>
      </c>
      <c r="D162" s="105">
        <v>486.59710000000001</v>
      </c>
      <c r="E162" s="105">
        <v>0</v>
      </c>
      <c r="F162" s="105">
        <v>0</v>
      </c>
      <c r="G162" s="105">
        <v>360</v>
      </c>
      <c r="H162" s="105">
        <v>3.0903999999999998</v>
      </c>
      <c r="I162" s="105">
        <v>1.9970715811305863E-14</v>
      </c>
      <c r="J162" s="113">
        <v>3.0903999999999998</v>
      </c>
      <c r="K162" s="114">
        <v>0</v>
      </c>
      <c r="L162" s="115">
        <v>-0.29970000000000002</v>
      </c>
      <c r="M162" s="105">
        <v>2</v>
      </c>
      <c r="N162" s="105">
        <v>3</v>
      </c>
      <c r="O162" s="105">
        <v>1.1000000000000001</v>
      </c>
      <c r="P162" s="105">
        <v>15.999999999998238</v>
      </c>
      <c r="Q162" s="113">
        <v>-49.742800000000003</v>
      </c>
      <c r="R162" s="114">
        <v>0.28460000000000002</v>
      </c>
      <c r="S162" s="115">
        <v>0.29649999999999999</v>
      </c>
      <c r="Y162" s="99" t="s">
        <v>1066</v>
      </c>
    </row>
    <row r="163" spans="1:25" x14ac:dyDescent="0.25">
      <c r="A163" s="111" t="s">
        <v>1081</v>
      </c>
      <c r="B163" s="112">
        <v>5.3720612874779548E-2</v>
      </c>
      <c r="C163" s="105">
        <v>8.0580919312169316E-3</v>
      </c>
      <c r="D163" s="105">
        <v>487.35340000000002</v>
      </c>
      <c r="E163" s="105">
        <v>0</v>
      </c>
      <c r="F163" s="105">
        <v>0</v>
      </c>
      <c r="G163" s="105">
        <v>360</v>
      </c>
      <c r="H163" s="105">
        <v>3.5577999999999999</v>
      </c>
      <c r="I163" s="105">
        <v>2.2991137947665029E-14</v>
      </c>
      <c r="J163" s="113">
        <v>3.5577999999999999</v>
      </c>
      <c r="K163" s="114">
        <v>0</v>
      </c>
      <c r="L163" s="115">
        <v>0.32329999999999998</v>
      </c>
      <c r="M163" s="105">
        <v>2</v>
      </c>
      <c r="N163" s="105">
        <v>3</v>
      </c>
      <c r="O163" s="105">
        <v>1.1000000000000001</v>
      </c>
      <c r="P163" s="105">
        <v>21.999999999998465</v>
      </c>
      <c r="Q163" s="113">
        <v>-68.580799999999996</v>
      </c>
      <c r="R163" s="114">
        <v>0.27010000000000001</v>
      </c>
      <c r="S163" s="115">
        <v>0.29649999999999999</v>
      </c>
      <c r="Y163" s="99" t="s">
        <v>1076</v>
      </c>
    </row>
    <row r="164" spans="1:25" x14ac:dyDescent="0.25">
      <c r="A164" s="111" t="s">
        <v>1091</v>
      </c>
      <c r="B164" s="112">
        <v>5.3752380952380954E-2</v>
      </c>
      <c r="C164" s="105">
        <v>8.0628571428571424E-3</v>
      </c>
      <c r="D164" s="105">
        <v>487.64159999999998</v>
      </c>
      <c r="E164" s="105">
        <v>0</v>
      </c>
      <c r="F164" s="105">
        <v>0</v>
      </c>
      <c r="G164" s="105">
        <v>360</v>
      </c>
      <c r="H164" s="105">
        <v>3.7368000000000001</v>
      </c>
      <c r="I164" s="105">
        <v>2.4147867862958761E-14</v>
      </c>
      <c r="J164" s="113">
        <v>3.7368000000000001</v>
      </c>
      <c r="K164" s="114">
        <v>0</v>
      </c>
      <c r="L164" s="115">
        <v>1.0475000000000001</v>
      </c>
      <c r="M164" s="105">
        <v>2</v>
      </c>
      <c r="N164" s="105">
        <v>3</v>
      </c>
      <c r="O164" s="105">
        <v>1.1000000000000001</v>
      </c>
      <c r="P164" s="105">
        <v>27.999999999998693</v>
      </c>
      <c r="Q164" s="113">
        <v>-90</v>
      </c>
      <c r="R164" s="114">
        <v>0.25679999999999997</v>
      </c>
      <c r="S164" s="115">
        <v>0.29649999999999999</v>
      </c>
      <c r="Y164" s="99" t="s">
        <v>1086</v>
      </c>
    </row>
    <row r="165" spans="1:25" x14ac:dyDescent="0.25">
      <c r="A165" s="111" t="s">
        <v>1042</v>
      </c>
      <c r="B165" s="112">
        <v>5.3461199294532628E-2</v>
      </c>
      <c r="C165" s="105">
        <v>8.0191798941798946E-3</v>
      </c>
      <c r="D165" s="105">
        <v>485.00000000000006</v>
      </c>
      <c r="E165" s="105">
        <v>0</v>
      </c>
      <c r="F165" s="105">
        <v>0</v>
      </c>
      <c r="G165" s="105">
        <v>360.00000000000006</v>
      </c>
      <c r="H165" s="105">
        <v>0.82877000000000001</v>
      </c>
      <c r="I165" s="105">
        <v>0</v>
      </c>
      <c r="J165" s="113">
        <v>0.82879999999999998</v>
      </c>
      <c r="K165" s="114">
        <v>0</v>
      </c>
      <c r="L165" s="115">
        <v>-0.27200000000000002</v>
      </c>
      <c r="M165" s="105">
        <v>2</v>
      </c>
      <c r="N165" s="105">
        <v>3</v>
      </c>
      <c r="O165" s="105">
        <v>1.2</v>
      </c>
      <c r="P165" s="105">
        <v>3.0000000000001137</v>
      </c>
      <c r="Q165" s="113">
        <v>15</v>
      </c>
      <c r="R165" s="114">
        <v>0.3019</v>
      </c>
      <c r="S165" s="115">
        <v>0.3125</v>
      </c>
      <c r="Y165" s="99" t="s">
        <v>1038</v>
      </c>
    </row>
    <row r="166" spans="1:25" x14ac:dyDescent="0.25">
      <c r="A166" s="111" t="s">
        <v>1052</v>
      </c>
      <c r="B166" s="112">
        <v>5.3461199294532628E-2</v>
      </c>
      <c r="C166" s="105">
        <v>8.0191798941798946E-3</v>
      </c>
      <c r="D166" s="105">
        <v>485.00000000000006</v>
      </c>
      <c r="E166" s="105">
        <v>0</v>
      </c>
      <c r="F166" s="105">
        <v>0</v>
      </c>
      <c r="G166" s="105">
        <v>360.00000000000006</v>
      </c>
      <c r="H166" s="105">
        <v>1.5536700000000001</v>
      </c>
      <c r="I166" s="105">
        <v>0</v>
      </c>
      <c r="J166" s="113">
        <v>1.5537000000000001</v>
      </c>
      <c r="K166" s="114">
        <v>0</v>
      </c>
      <c r="L166" s="115">
        <v>-0.46629999999999999</v>
      </c>
      <c r="M166" s="105">
        <v>2</v>
      </c>
      <c r="N166" s="105">
        <v>3</v>
      </c>
      <c r="O166" s="105">
        <v>1.2</v>
      </c>
      <c r="P166" s="105">
        <v>6.0000000000002274</v>
      </c>
      <c r="Q166" s="113">
        <v>15</v>
      </c>
      <c r="R166" s="114">
        <v>0.3019</v>
      </c>
      <c r="S166" s="115">
        <v>0.3125</v>
      </c>
      <c r="Y166" s="99" t="s">
        <v>1048</v>
      </c>
    </row>
    <row r="167" spans="1:25" x14ac:dyDescent="0.25">
      <c r="A167" s="111" t="s">
        <v>1062</v>
      </c>
      <c r="B167" s="112">
        <v>5.3523478835978841E-2</v>
      </c>
      <c r="C167" s="105">
        <v>8.0285218253968258E-3</v>
      </c>
      <c r="D167" s="105">
        <v>485.56500000000005</v>
      </c>
      <c r="E167" s="105">
        <v>0</v>
      </c>
      <c r="F167" s="105">
        <v>0</v>
      </c>
      <c r="G167" s="105">
        <v>360.00000000000006</v>
      </c>
      <c r="H167" s="105">
        <v>2.3433199999999998</v>
      </c>
      <c r="I167" s="105">
        <v>0</v>
      </c>
      <c r="J167" s="113">
        <v>2.3433000000000002</v>
      </c>
      <c r="K167" s="114">
        <v>0</v>
      </c>
      <c r="L167" s="115">
        <v>-0.58940000000000003</v>
      </c>
      <c r="M167" s="105">
        <v>2</v>
      </c>
      <c r="N167" s="105">
        <v>3</v>
      </c>
      <c r="O167" s="105">
        <v>1.2</v>
      </c>
      <c r="P167" s="105">
        <v>9.9999999999980105</v>
      </c>
      <c r="Q167" s="113">
        <v>-16.861799999999999</v>
      </c>
      <c r="R167" s="114">
        <v>0.3014</v>
      </c>
      <c r="S167" s="115">
        <v>0.3125</v>
      </c>
      <c r="Y167" s="99" t="s">
        <v>1058</v>
      </c>
    </row>
    <row r="168" spans="1:25" x14ac:dyDescent="0.25">
      <c r="A168" s="111" t="s">
        <v>1072</v>
      </c>
      <c r="B168" s="112">
        <v>5.3637246472663137E-2</v>
      </c>
      <c r="C168" s="105">
        <v>8.0455869708994706E-3</v>
      </c>
      <c r="D168" s="105">
        <v>486.59710000000001</v>
      </c>
      <c r="E168" s="105">
        <v>0</v>
      </c>
      <c r="F168" s="105">
        <v>0</v>
      </c>
      <c r="G168" s="105">
        <v>360</v>
      </c>
      <c r="H168" s="105">
        <v>3.0865499999999999</v>
      </c>
      <c r="I168" s="105">
        <v>0</v>
      </c>
      <c r="J168" s="113">
        <v>3.0865999999999998</v>
      </c>
      <c r="K168" s="114">
        <v>0</v>
      </c>
      <c r="L168" s="115">
        <v>-0.29680000000000001</v>
      </c>
      <c r="M168" s="105">
        <v>2</v>
      </c>
      <c r="N168" s="105">
        <v>3</v>
      </c>
      <c r="O168" s="105">
        <v>1.2</v>
      </c>
      <c r="P168" s="105">
        <v>15.999999999998238</v>
      </c>
      <c r="Q168" s="113">
        <v>-49.742800000000003</v>
      </c>
      <c r="R168" s="114">
        <v>0.3</v>
      </c>
      <c r="S168" s="115">
        <v>0.3125</v>
      </c>
      <c r="Y168" s="99" t="s">
        <v>1068</v>
      </c>
    </row>
    <row r="169" spans="1:25" x14ac:dyDescent="0.25">
      <c r="A169" s="111" t="s">
        <v>1082</v>
      </c>
      <c r="B169" s="112">
        <v>5.3720612874779548E-2</v>
      </c>
      <c r="C169" s="105">
        <v>8.0580919312169316E-3</v>
      </c>
      <c r="D169" s="105">
        <v>487.35340000000002</v>
      </c>
      <c r="E169" s="105">
        <v>0</v>
      </c>
      <c r="F169" s="105">
        <v>0</v>
      </c>
      <c r="G169" s="105">
        <v>360</v>
      </c>
      <c r="H169" s="105">
        <v>3.5510600000000001</v>
      </c>
      <c r="I169" s="105">
        <v>0</v>
      </c>
      <c r="J169" s="113">
        <v>3.5510999999999999</v>
      </c>
      <c r="K169" s="114">
        <v>0</v>
      </c>
      <c r="L169" s="115">
        <v>0.32569999999999999</v>
      </c>
      <c r="M169" s="105">
        <v>2</v>
      </c>
      <c r="N169" s="105">
        <v>3</v>
      </c>
      <c r="O169" s="105">
        <v>1.2</v>
      </c>
      <c r="P169" s="105">
        <v>21.999999999998465</v>
      </c>
      <c r="Q169" s="113">
        <v>-68.580799999999996</v>
      </c>
      <c r="R169" s="114">
        <v>0.28460000000000002</v>
      </c>
      <c r="S169" s="115">
        <v>0.3125</v>
      </c>
      <c r="Y169" s="99" t="s">
        <v>1078</v>
      </c>
    </row>
    <row r="170" spans="1:25" x14ac:dyDescent="0.25">
      <c r="A170" s="111" t="s">
        <v>1092</v>
      </c>
      <c r="B170" s="112">
        <v>5.3752380952380954E-2</v>
      </c>
      <c r="C170" s="105">
        <v>8.0628571428571424E-3</v>
      </c>
      <c r="D170" s="105">
        <v>487.64159999999998</v>
      </c>
      <c r="E170" s="105">
        <v>0</v>
      </c>
      <c r="F170" s="105">
        <v>0</v>
      </c>
      <c r="G170" s="105">
        <v>360</v>
      </c>
      <c r="H170" s="105">
        <v>3.72817</v>
      </c>
      <c r="I170" s="105">
        <v>0</v>
      </c>
      <c r="J170" s="113">
        <v>3.7282000000000002</v>
      </c>
      <c r="K170" s="114">
        <v>0</v>
      </c>
      <c r="L170" s="115">
        <v>1.0475000000000001</v>
      </c>
      <c r="M170" s="105">
        <v>2</v>
      </c>
      <c r="N170" s="105">
        <v>3</v>
      </c>
      <c r="O170" s="105">
        <v>1.2</v>
      </c>
      <c r="P170" s="105">
        <v>27.999999999998693</v>
      </c>
      <c r="Q170" s="113">
        <v>-90</v>
      </c>
      <c r="R170" s="114">
        <v>0.27060000000000001</v>
      </c>
      <c r="S170" s="115">
        <v>0.3125</v>
      </c>
      <c r="Y170" s="99" t="s">
        <v>1088</v>
      </c>
    </row>
    <row r="171" spans="1:25" x14ac:dyDescent="0.25">
      <c r="A171" s="111" t="s">
        <v>1101</v>
      </c>
      <c r="B171" s="112">
        <v>6.0671384479717809E-2</v>
      </c>
      <c r="C171" s="105">
        <v>9.1007076719576713E-3</v>
      </c>
      <c r="D171" s="105">
        <v>550.41079999999988</v>
      </c>
      <c r="E171" s="105">
        <v>0</v>
      </c>
      <c r="F171" s="105">
        <v>0</v>
      </c>
      <c r="G171" s="105">
        <v>359.99999999999989</v>
      </c>
      <c r="H171" s="105">
        <v>2.206</v>
      </c>
      <c r="I171" s="105">
        <v>2.0133530106368572E-14</v>
      </c>
      <c r="J171" s="113">
        <v>2.206</v>
      </c>
      <c r="K171" s="114">
        <v>0</v>
      </c>
      <c r="L171" s="115">
        <v>-0.68500000000000005</v>
      </c>
      <c r="M171" s="105">
        <v>2</v>
      </c>
      <c r="N171" s="105">
        <v>4</v>
      </c>
      <c r="O171" s="105">
        <v>1.1000000000000001</v>
      </c>
      <c r="P171" s="105">
        <v>9.0000000000003411</v>
      </c>
      <c r="Q171" s="113">
        <v>-10.938499999999999</v>
      </c>
      <c r="R171" s="114">
        <v>0.28610000000000002</v>
      </c>
      <c r="S171" s="115">
        <v>0.29649999999999999</v>
      </c>
      <c r="Y171" s="99" t="s">
        <v>1096</v>
      </c>
    </row>
    <row r="172" spans="1:25" x14ac:dyDescent="0.25">
      <c r="A172" s="111" t="s">
        <v>1121</v>
      </c>
      <c r="B172" s="112">
        <v>6.08758377425044E-2</v>
      </c>
      <c r="C172" s="105">
        <v>9.1313756613756597E-3</v>
      </c>
      <c r="D172" s="105">
        <v>552.26559999999995</v>
      </c>
      <c r="E172" s="105">
        <v>0</v>
      </c>
      <c r="F172" s="105">
        <v>0</v>
      </c>
      <c r="G172" s="105">
        <v>359.99999999999994</v>
      </c>
      <c r="H172" s="105">
        <v>3.5053000000000001</v>
      </c>
      <c r="I172" s="105">
        <v>2.5765205401609035E-14</v>
      </c>
      <c r="J172" s="113">
        <v>3.5053000000000001</v>
      </c>
      <c r="K172" s="114">
        <v>0</v>
      </c>
      <c r="L172" s="115">
        <v>0.1186</v>
      </c>
      <c r="M172" s="105">
        <v>2</v>
      </c>
      <c r="N172" s="105">
        <v>4</v>
      </c>
      <c r="O172" s="105">
        <v>1.1000000000000001</v>
      </c>
      <c r="P172" s="105">
        <v>9.9999999999980105</v>
      </c>
      <c r="Q172" s="113">
        <v>-66.126099999999994</v>
      </c>
      <c r="R172" s="114">
        <v>0.27410000000000001</v>
      </c>
      <c r="S172" s="115">
        <v>0.29649999999999999</v>
      </c>
      <c r="Y172" s="99" t="s">
        <v>1116</v>
      </c>
    </row>
    <row r="173" spans="1:25" x14ac:dyDescent="0.25">
      <c r="A173" s="111" t="s">
        <v>1111</v>
      </c>
      <c r="B173" s="112">
        <v>6.0783796296296301E-2</v>
      </c>
      <c r="C173" s="105">
        <v>9.1175694444444455E-3</v>
      </c>
      <c r="D173" s="105">
        <v>551.43060000000003</v>
      </c>
      <c r="E173" s="105">
        <v>0</v>
      </c>
      <c r="F173" s="105">
        <v>0</v>
      </c>
      <c r="G173" s="105">
        <v>360</v>
      </c>
      <c r="H173" s="105">
        <v>2.9815999999999998</v>
      </c>
      <c r="I173" s="105">
        <v>1.9267630812512801E-14</v>
      </c>
      <c r="J173" s="113">
        <v>2.9815999999999998</v>
      </c>
      <c r="K173" s="114">
        <v>0</v>
      </c>
      <c r="L173" s="115">
        <v>-0.46260000000000001</v>
      </c>
      <c r="M173" s="105">
        <v>2</v>
      </c>
      <c r="N173" s="105">
        <v>4</v>
      </c>
      <c r="O173" s="105">
        <v>1.1000000000000001</v>
      </c>
      <c r="P173" s="105">
        <v>15.000000000000568</v>
      </c>
      <c r="Q173" s="113">
        <v>-44.547400000000003</v>
      </c>
      <c r="R173" s="114">
        <v>0.28489999999999999</v>
      </c>
      <c r="S173" s="115">
        <v>0.29649999999999999</v>
      </c>
      <c r="Y173" s="99" t="s">
        <v>1106</v>
      </c>
    </row>
    <row r="174" spans="1:25" x14ac:dyDescent="0.25">
      <c r="A174" s="111" t="s">
        <v>1131</v>
      </c>
      <c r="B174" s="112">
        <v>6.0917283950617275E-2</v>
      </c>
      <c r="C174" s="105">
        <v>9.1375925925925913E-3</v>
      </c>
      <c r="D174" s="105">
        <v>552.64159999999993</v>
      </c>
      <c r="E174" s="105">
        <v>0</v>
      </c>
      <c r="F174" s="105">
        <v>0</v>
      </c>
      <c r="G174" s="105">
        <v>359.99999999999994</v>
      </c>
      <c r="H174" s="105">
        <v>3.7368000000000001</v>
      </c>
      <c r="I174" s="105">
        <v>2.7466812981694191E-14</v>
      </c>
      <c r="J174" s="113">
        <v>3.7368000000000001</v>
      </c>
      <c r="K174" s="114">
        <v>0</v>
      </c>
      <c r="L174" s="115">
        <v>0.84570000000000001</v>
      </c>
      <c r="M174" s="105">
        <v>2</v>
      </c>
      <c r="N174" s="105">
        <v>4</v>
      </c>
      <c r="O174" s="105">
        <v>1.1000000000000001</v>
      </c>
      <c r="P174" s="105">
        <v>26.999999999993918</v>
      </c>
      <c r="Q174" s="113">
        <v>-90</v>
      </c>
      <c r="R174" s="114">
        <v>0.25679999999999997</v>
      </c>
      <c r="S174" s="115">
        <v>0.29649999999999999</v>
      </c>
      <c r="Y174" s="99" t="s">
        <v>1126</v>
      </c>
    </row>
    <row r="175" spans="1:25" x14ac:dyDescent="0.25">
      <c r="A175" s="111" t="s">
        <v>1102</v>
      </c>
      <c r="B175" s="112">
        <v>6.0671384479717809E-2</v>
      </c>
      <c r="C175" s="105">
        <v>9.1007076719576713E-3</v>
      </c>
      <c r="D175" s="105">
        <v>550.41079999999988</v>
      </c>
      <c r="E175" s="105">
        <v>0</v>
      </c>
      <c r="F175" s="105">
        <v>0</v>
      </c>
      <c r="G175" s="105">
        <v>359.99999999999989</v>
      </c>
      <c r="H175" s="105">
        <v>2.2050900000000002</v>
      </c>
      <c r="I175" s="105">
        <v>0</v>
      </c>
      <c r="J175" s="113">
        <v>2.2050999999999998</v>
      </c>
      <c r="K175" s="114">
        <v>0</v>
      </c>
      <c r="L175" s="115">
        <v>-0.68079999999999996</v>
      </c>
      <c r="M175" s="105">
        <v>2</v>
      </c>
      <c r="N175" s="105">
        <v>4</v>
      </c>
      <c r="O175" s="105">
        <v>1.2</v>
      </c>
      <c r="P175" s="105">
        <v>9.0000000000003411</v>
      </c>
      <c r="Q175" s="113">
        <v>-10.938499999999999</v>
      </c>
      <c r="R175" s="114">
        <v>0.30149999999999999</v>
      </c>
      <c r="S175" s="115">
        <v>0.3125</v>
      </c>
      <c r="Y175" s="99" t="s">
        <v>1098</v>
      </c>
    </row>
    <row r="176" spans="1:25" x14ac:dyDescent="0.25">
      <c r="A176" s="111" t="s">
        <v>1122</v>
      </c>
      <c r="B176" s="112">
        <v>6.08758377425044E-2</v>
      </c>
      <c r="C176" s="105">
        <v>9.1313756613756597E-3</v>
      </c>
      <c r="D176" s="105">
        <v>552.26559999999995</v>
      </c>
      <c r="E176" s="105">
        <v>0</v>
      </c>
      <c r="F176" s="105">
        <v>0</v>
      </c>
      <c r="G176" s="105">
        <v>359.99999999999994</v>
      </c>
      <c r="H176" s="105">
        <v>3.4991400000000001</v>
      </c>
      <c r="I176" s="105">
        <v>0</v>
      </c>
      <c r="J176" s="113">
        <v>3.4990999999999999</v>
      </c>
      <c r="K176" s="114">
        <v>0</v>
      </c>
      <c r="L176" s="115">
        <v>0.1211</v>
      </c>
      <c r="M176" s="105">
        <v>2</v>
      </c>
      <c r="N176" s="105">
        <v>4</v>
      </c>
      <c r="O176" s="105">
        <v>1.2</v>
      </c>
      <c r="P176" s="105">
        <v>9.9999999999980105</v>
      </c>
      <c r="Q176" s="113">
        <v>-66.126099999999994</v>
      </c>
      <c r="R176" s="114">
        <v>0.2888</v>
      </c>
      <c r="S176" s="115">
        <v>0.3125</v>
      </c>
      <c r="Y176" s="99" t="s">
        <v>1118</v>
      </c>
    </row>
    <row r="177" spans="1:25" x14ac:dyDescent="0.25">
      <c r="A177" s="111" t="s">
        <v>1112</v>
      </c>
      <c r="B177" s="112">
        <v>6.0783796296296301E-2</v>
      </c>
      <c r="C177" s="105">
        <v>9.1175694444444455E-3</v>
      </c>
      <c r="D177" s="105">
        <v>551.43060000000003</v>
      </c>
      <c r="E177" s="105">
        <v>0</v>
      </c>
      <c r="F177" s="105">
        <v>0</v>
      </c>
      <c r="G177" s="105">
        <v>360</v>
      </c>
      <c r="H177" s="105">
        <v>2.9781</v>
      </c>
      <c r="I177" s="105">
        <v>0</v>
      </c>
      <c r="J177" s="113">
        <v>2.9781</v>
      </c>
      <c r="K177" s="114">
        <v>0</v>
      </c>
      <c r="L177" s="115">
        <v>-0.45939999999999998</v>
      </c>
      <c r="M177" s="105">
        <v>2</v>
      </c>
      <c r="N177" s="105">
        <v>4</v>
      </c>
      <c r="O177" s="105">
        <v>1.2</v>
      </c>
      <c r="P177" s="105">
        <v>15.000000000000568</v>
      </c>
      <c r="Q177" s="113">
        <v>-44.547400000000003</v>
      </c>
      <c r="R177" s="114">
        <v>0.30020000000000002</v>
      </c>
      <c r="S177" s="115">
        <v>0.3125</v>
      </c>
      <c r="Y177" s="99" t="s">
        <v>1108</v>
      </c>
    </row>
    <row r="178" spans="1:25" x14ac:dyDescent="0.25">
      <c r="A178" s="111" t="s">
        <v>1132</v>
      </c>
      <c r="B178" s="112">
        <v>6.0917283950617275E-2</v>
      </c>
      <c r="C178" s="105">
        <v>9.1375925925925913E-3</v>
      </c>
      <c r="D178" s="105">
        <v>552.64159999999993</v>
      </c>
      <c r="E178" s="105">
        <v>0</v>
      </c>
      <c r="F178" s="105">
        <v>0</v>
      </c>
      <c r="G178" s="105">
        <v>359.99999999999994</v>
      </c>
      <c r="H178" s="105">
        <v>3.72817</v>
      </c>
      <c r="I178" s="105">
        <v>0</v>
      </c>
      <c r="J178" s="113">
        <v>3.7282000000000002</v>
      </c>
      <c r="K178" s="114">
        <v>0</v>
      </c>
      <c r="L178" s="115">
        <v>0.84570000000000001</v>
      </c>
      <c r="M178" s="105">
        <v>2</v>
      </c>
      <c r="N178" s="105">
        <v>4</v>
      </c>
      <c r="O178" s="105">
        <v>1.2</v>
      </c>
      <c r="P178" s="105">
        <v>26.999999999993918</v>
      </c>
      <c r="Q178" s="113">
        <v>-90</v>
      </c>
      <c r="R178" s="114">
        <v>0.27060000000000001</v>
      </c>
      <c r="S178" s="115">
        <v>0.3125</v>
      </c>
      <c r="Y178" s="99" t="s">
        <v>1128</v>
      </c>
    </row>
    <row r="179" spans="1:25" x14ac:dyDescent="0.25">
      <c r="A179" s="111" t="s">
        <v>1141</v>
      </c>
      <c r="B179" s="112">
        <v>6.6688712522045862E-2</v>
      </c>
      <c r="C179" s="105">
        <v>1.0003306878306879E-2</v>
      </c>
      <c r="D179" s="105">
        <v>605</v>
      </c>
      <c r="E179" s="105">
        <v>0</v>
      </c>
      <c r="F179" s="105">
        <v>0</v>
      </c>
      <c r="G179" s="105">
        <v>360</v>
      </c>
      <c r="H179" s="105">
        <v>0.58599999999999997</v>
      </c>
      <c r="I179" s="105">
        <v>3.7868364824699831E-15</v>
      </c>
      <c r="J179" s="113">
        <v>0.58599999999999997</v>
      </c>
      <c r="K179" s="114">
        <v>0</v>
      </c>
      <c r="L179" s="115">
        <v>-0.37009999999999998</v>
      </c>
      <c r="M179" s="105">
        <v>2</v>
      </c>
      <c r="N179" s="105">
        <v>5</v>
      </c>
      <c r="O179" s="105">
        <v>1.1000000000000001</v>
      </c>
      <c r="P179" s="105">
        <v>2.0000000000024443</v>
      </c>
      <c r="Q179" s="113">
        <v>15</v>
      </c>
      <c r="R179" s="114">
        <v>0.2828</v>
      </c>
      <c r="S179" s="115">
        <v>0.29649999999999999</v>
      </c>
      <c r="Y179" s="99" t="s">
        <v>1136</v>
      </c>
    </row>
    <row r="180" spans="1:25" x14ac:dyDescent="0.25">
      <c r="A180" s="111" t="s">
        <v>1151</v>
      </c>
      <c r="B180" s="112">
        <v>6.6688712522045862E-2</v>
      </c>
      <c r="C180" s="105">
        <v>1.0003306878306879E-2</v>
      </c>
      <c r="D180" s="105">
        <v>605</v>
      </c>
      <c r="E180" s="105">
        <v>0</v>
      </c>
      <c r="F180" s="105">
        <v>0</v>
      </c>
      <c r="G180" s="105">
        <v>360</v>
      </c>
      <c r="H180" s="105">
        <v>1.3109999999999999</v>
      </c>
      <c r="I180" s="105">
        <v>8.4719157483244845E-15</v>
      </c>
      <c r="J180" s="113">
        <v>1.3109999999999999</v>
      </c>
      <c r="K180" s="114">
        <v>0</v>
      </c>
      <c r="L180" s="115">
        <v>-0.56430000000000002</v>
      </c>
      <c r="M180" s="105">
        <v>2</v>
      </c>
      <c r="N180" s="105">
        <v>5</v>
      </c>
      <c r="O180" s="105">
        <v>1.1000000000000001</v>
      </c>
      <c r="P180" s="105">
        <v>5.000000000002558</v>
      </c>
      <c r="Q180" s="113">
        <v>15</v>
      </c>
      <c r="R180" s="114">
        <v>0.28639999999999999</v>
      </c>
      <c r="S180" s="115">
        <v>0.29649999999999999</v>
      </c>
      <c r="Y180" s="99" t="s">
        <v>1146</v>
      </c>
    </row>
    <row r="181" spans="1:25" x14ac:dyDescent="0.25">
      <c r="A181" s="111" t="s">
        <v>1161</v>
      </c>
      <c r="B181" s="112">
        <v>6.6718981481481476E-2</v>
      </c>
      <c r="C181" s="105">
        <v>1.0007847222222222E-2</v>
      </c>
      <c r="D181" s="105">
        <v>605.27459999999996</v>
      </c>
      <c r="E181" s="105">
        <v>0</v>
      </c>
      <c r="F181" s="105">
        <v>0</v>
      </c>
      <c r="G181" s="105">
        <v>359.99999999999994</v>
      </c>
      <c r="H181" s="105">
        <v>2.0676000000000001</v>
      </c>
      <c r="I181" s="105">
        <v>1.5197597548959246E-14</v>
      </c>
      <c r="J181" s="113">
        <v>2.0676000000000001</v>
      </c>
      <c r="K181" s="114">
        <v>0</v>
      </c>
      <c r="L181" s="115">
        <v>-0.74970000000000003</v>
      </c>
      <c r="M181" s="105">
        <v>2</v>
      </c>
      <c r="N181" s="105">
        <v>5</v>
      </c>
      <c r="O181" s="105">
        <v>1.1000000000000001</v>
      </c>
      <c r="P181" s="105">
        <v>7.9999999999955662</v>
      </c>
      <c r="Q181" s="113">
        <v>-4.9935</v>
      </c>
      <c r="R181" s="114">
        <v>0.28620000000000001</v>
      </c>
      <c r="S181" s="115">
        <v>0.29649999999999999</v>
      </c>
      <c r="Y181" s="99" t="s">
        <v>1156</v>
      </c>
    </row>
    <row r="182" spans="1:25" x14ac:dyDescent="0.25">
      <c r="A182" s="111" t="s">
        <v>1171</v>
      </c>
      <c r="B182" s="112">
        <v>6.6827391975308639E-2</v>
      </c>
      <c r="C182" s="105">
        <v>1.0024108796296297E-2</v>
      </c>
      <c r="D182" s="105">
        <v>606.25810000000001</v>
      </c>
      <c r="E182" s="105">
        <v>0</v>
      </c>
      <c r="F182" s="105">
        <v>0</v>
      </c>
      <c r="G182" s="105">
        <v>360</v>
      </c>
      <c r="H182" s="105">
        <v>2.8656000000000001</v>
      </c>
      <c r="I182" s="105">
        <v>1.8518018129976083E-14</v>
      </c>
      <c r="J182" s="113">
        <v>2.8656000000000001</v>
      </c>
      <c r="K182" s="114">
        <v>0</v>
      </c>
      <c r="L182" s="115">
        <v>-0.60189999999999999</v>
      </c>
      <c r="M182" s="105">
        <v>2</v>
      </c>
      <c r="N182" s="105">
        <v>5</v>
      </c>
      <c r="O182" s="105">
        <v>1.1000000000000001</v>
      </c>
      <c r="P182" s="105">
        <v>13.999999999995794</v>
      </c>
      <c r="Q182" s="113">
        <v>-39.322699999999998</v>
      </c>
      <c r="R182" s="114">
        <v>0.28510000000000002</v>
      </c>
      <c r="S182" s="115">
        <v>0.29649999999999999</v>
      </c>
      <c r="Y182" s="99" t="s">
        <v>1166</v>
      </c>
    </row>
    <row r="183" spans="1:25" x14ac:dyDescent="0.25">
      <c r="A183" s="111" t="s">
        <v>1181</v>
      </c>
      <c r="B183" s="112">
        <v>6.6926962081128749E-2</v>
      </c>
      <c r="C183" s="105">
        <v>1.0039044312169312E-2</v>
      </c>
      <c r="D183" s="105">
        <v>607.16139999999996</v>
      </c>
      <c r="E183" s="105">
        <v>0</v>
      </c>
      <c r="F183" s="105">
        <v>0</v>
      </c>
      <c r="G183" s="105">
        <v>359.99999999999994</v>
      </c>
      <c r="H183" s="105">
        <v>3.4424999999999999</v>
      </c>
      <c r="I183" s="105">
        <v>2.5303602999754401E-14</v>
      </c>
      <c r="J183" s="113">
        <v>3.4424999999999999</v>
      </c>
      <c r="K183" s="114">
        <v>0</v>
      </c>
      <c r="L183" s="115">
        <v>-6.8699999999999997E-2</v>
      </c>
      <c r="M183" s="105">
        <v>2</v>
      </c>
      <c r="N183" s="105">
        <v>5</v>
      </c>
      <c r="O183" s="105">
        <v>1.1000000000000001</v>
      </c>
      <c r="P183" s="105">
        <v>20.000000000003126</v>
      </c>
      <c r="Q183" s="113">
        <v>-62.794899999999998</v>
      </c>
      <c r="R183" s="114">
        <v>0.27600000000000002</v>
      </c>
      <c r="S183" s="115">
        <v>0.29649999999999999</v>
      </c>
      <c r="Y183" s="99" t="s">
        <v>1176</v>
      </c>
    </row>
    <row r="184" spans="1:25" x14ac:dyDescent="0.25">
      <c r="A184" s="111" t="s">
        <v>1191</v>
      </c>
      <c r="B184" s="112">
        <v>6.6965288800705472E-2</v>
      </c>
      <c r="C184" s="105">
        <v>1.004479332010582E-2</v>
      </c>
      <c r="D184" s="105">
        <v>607.50909999999999</v>
      </c>
      <c r="E184" s="105">
        <v>0</v>
      </c>
      <c r="F184" s="105">
        <v>0</v>
      </c>
      <c r="G184" s="105">
        <v>360</v>
      </c>
      <c r="H184" s="105">
        <v>3.6554000000000002</v>
      </c>
      <c r="I184" s="105">
        <v>2.3621846549523511E-14</v>
      </c>
      <c r="J184" s="113">
        <v>3.6554000000000002</v>
      </c>
      <c r="K184" s="114">
        <v>0</v>
      </c>
      <c r="L184" s="115">
        <v>0.66930000000000001</v>
      </c>
      <c r="M184" s="105">
        <v>2</v>
      </c>
      <c r="N184" s="105">
        <v>5</v>
      </c>
      <c r="O184" s="105">
        <v>1.1000000000000001</v>
      </c>
      <c r="P184" s="105">
        <v>25.999999999996248</v>
      </c>
      <c r="Q184" s="113">
        <v>-79.987399999999994</v>
      </c>
      <c r="R184" s="114">
        <v>0.25640000000000002</v>
      </c>
      <c r="S184" s="115">
        <v>0.29649999999999999</v>
      </c>
      <c r="Y184" s="99" t="s">
        <v>1186</v>
      </c>
    </row>
    <row r="185" spans="1:25" x14ac:dyDescent="0.25">
      <c r="A185" s="111" t="s">
        <v>1201</v>
      </c>
      <c r="B185" s="112">
        <v>6.6979894179894181E-2</v>
      </c>
      <c r="C185" s="105">
        <v>1.0046984126984126E-2</v>
      </c>
      <c r="D185" s="105">
        <v>607.64159999999993</v>
      </c>
      <c r="E185" s="105">
        <v>0</v>
      </c>
      <c r="F185" s="105">
        <v>0</v>
      </c>
      <c r="G185" s="105">
        <v>359.99999999999994</v>
      </c>
      <c r="H185" s="105">
        <v>3.7368000000000001</v>
      </c>
      <c r="I185" s="105">
        <v>2.7466812981694191E-14</v>
      </c>
      <c r="J185" s="113">
        <v>3.7368000000000001</v>
      </c>
      <c r="K185" s="114">
        <v>0</v>
      </c>
      <c r="L185" s="115">
        <v>1.3652</v>
      </c>
      <c r="M185" s="105">
        <v>2</v>
      </c>
      <c r="N185" s="105">
        <v>5</v>
      </c>
      <c r="O185" s="105">
        <v>1.1000000000000001</v>
      </c>
      <c r="P185" s="105">
        <v>32.000000000003581</v>
      </c>
      <c r="Q185" s="113">
        <v>-90</v>
      </c>
      <c r="R185" s="114">
        <v>0.25679999999999997</v>
      </c>
      <c r="S185" s="115">
        <v>0.29649999999999999</v>
      </c>
      <c r="Y185" s="99" t="s">
        <v>1196</v>
      </c>
    </row>
    <row r="186" spans="1:25" x14ac:dyDescent="0.25">
      <c r="A186" s="111" t="s">
        <v>1142</v>
      </c>
      <c r="B186" s="112">
        <v>6.6688712522045862E-2</v>
      </c>
      <c r="C186" s="105">
        <v>1.0003306878306879E-2</v>
      </c>
      <c r="D186" s="105">
        <v>605</v>
      </c>
      <c r="E186" s="105">
        <v>0</v>
      </c>
      <c r="F186" s="105">
        <v>0</v>
      </c>
      <c r="G186" s="105">
        <v>360</v>
      </c>
      <c r="H186" s="105">
        <v>0.58725000000000005</v>
      </c>
      <c r="I186" s="105">
        <v>0</v>
      </c>
      <c r="J186" s="113">
        <v>0.58730000000000004</v>
      </c>
      <c r="K186" s="114">
        <v>0</v>
      </c>
      <c r="L186" s="115">
        <v>-0.3654</v>
      </c>
      <c r="M186" s="105">
        <v>2</v>
      </c>
      <c r="N186" s="105">
        <v>5</v>
      </c>
      <c r="O186" s="105">
        <v>1.2</v>
      </c>
      <c r="P186" s="105">
        <v>2.0000000000024443</v>
      </c>
      <c r="Q186" s="113">
        <v>15</v>
      </c>
      <c r="R186" s="114">
        <v>0.29799999999999999</v>
      </c>
      <c r="S186" s="115">
        <v>0.3125</v>
      </c>
      <c r="Y186" s="99" t="s">
        <v>1138</v>
      </c>
    </row>
    <row r="187" spans="1:25" x14ac:dyDescent="0.25">
      <c r="A187" s="111" t="s">
        <v>1152</v>
      </c>
      <c r="B187" s="112">
        <v>6.6688712522045862E-2</v>
      </c>
      <c r="C187" s="105">
        <v>1.0003306878306879E-2</v>
      </c>
      <c r="D187" s="105">
        <v>605</v>
      </c>
      <c r="E187" s="105">
        <v>0</v>
      </c>
      <c r="F187" s="105">
        <v>0</v>
      </c>
      <c r="G187" s="105">
        <v>360</v>
      </c>
      <c r="H187" s="105">
        <v>1.3120700000000001</v>
      </c>
      <c r="I187" s="105">
        <v>0</v>
      </c>
      <c r="J187" s="113">
        <v>1.3121</v>
      </c>
      <c r="K187" s="114">
        <v>0</v>
      </c>
      <c r="L187" s="115">
        <v>-0.56030000000000002</v>
      </c>
      <c r="M187" s="105">
        <v>2</v>
      </c>
      <c r="N187" s="105">
        <v>5</v>
      </c>
      <c r="O187" s="105">
        <v>1.2</v>
      </c>
      <c r="P187" s="105">
        <v>5.000000000002558</v>
      </c>
      <c r="Q187" s="113">
        <v>15</v>
      </c>
      <c r="R187" s="114">
        <v>0.3019</v>
      </c>
      <c r="S187" s="115">
        <v>0.3125</v>
      </c>
      <c r="Y187" s="99" t="s">
        <v>1148</v>
      </c>
    </row>
    <row r="188" spans="1:25" x14ac:dyDescent="0.25">
      <c r="A188" s="111" t="s">
        <v>1162</v>
      </c>
      <c r="B188" s="112">
        <v>6.6718981481481476E-2</v>
      </c>
      <c r="C188" s="105">
        <v>1.0007847222222222E-2</v>
      </c>
      <c r="D188" s="105">
        <v>605.27459999999996</v>
      </c>
      <c r="E188" s="105">
        <v>0</v>
      </c>
      <c r="F188" s="105">
        <v>0</v>
      </c>
      <c r="G188" s="105">
        <v>359.99999999999994</v>
      </c>
      <c r="H188" s="105">
        <v>2.0671599999999999</v>
      </c>
      <c r="I188" s="105">
        <v>0</v>
      </c>
      <c r="J188" s="113">
        <v>2.0672000000000001</v>
      </c>
      <c r="K188" s="114">
        <v>0</v>
      </c>
      <c r="L188" s="115">
        <v>-0.74560000000000004</v>
      </c>
      <c r="M188" s="105">
        <v>2</v>
      </c>
      <c r="N188" s="105">
        <v>5</v>
      </c>
      <c r="O188" s="105">
        <v>1.2</v>
      </c>
      <c r="P188" s="105">
        <v>7.9999999999955662</v>
      </c>
      <c r="Q188" s="113">
        <v>-4.9935</v>
      </c>
      <c r="R188" s="114">
        <v>0.30159999999999998</v>
      </c>
      <c r="S188" s="115">
        <v>0.3125</v>
      </c>
      <c r="Y188" s="99" t="s">
        <v>1158</v>
      </c>
    </row>
    <row r="189" spans="1:25" x14ac:dyDescent="0.25">
      <c r="A189" s="111" t="s">
        <v>1172</v>
      </c>
      <c r="B189" s="112">
        <v>6.6827391975308639E-2</v>
      </c>
      <c r="C189" s="105">
        <v>1.0024108796296297E-2</v>
      </c>
      <c r="D189" s="105">
        <v>606.25810000000001</v>
      </c>
      <c r="E189" s="105">
        <v>0</v>
      </c>
      <c r="F189" s="105">
        <v>0</v>
      </c>
      <c r="G189" s="105">
        <v>360</v>
      </c>
      <c r="H189" s="105">
        <v>2.8624800000000001</v>
      </c>
      <c r="I189" s="105">
        <v>0</v>
      </c>
      <c r="J189" s="113">
        <v>2.8624999999999998</v>
      </c>
      <c r="K189" s="114">
        <v>0</v>
      </c>
      <c r="L189" s="115">
        <v>-0.59850000000000003</v>
      </c>
      <c r="M189" s="105">
        <v>2</v>
      </c>
      <c r="N189" s="105">
        <v>5</v>
      </c>
      <c r="O189" s="105">
        <v>1.2</v>
      </c>
      <c r="P189" s="105">
        <v>13.999999999995794</v>
      </c>
      <c r="Q189" s="113">
        <v>-39.322699999999998</v>
      </c>
      <c r="R189" s="114">
        <v>0.30049999999999999</v>
      </c>
      <c r="S189" s="115">
        <v>0.3125</v>
      </c>
      <c r="Y189" s="99" t="s">
        <v>1168</v>
      </c>
    </row>
    <row r="190" spans="1:25" x14ac:dyDescent="0.25">
      <c r="A190" s="111" t="s">
        <v>1182</v>
      </c>
      <c r="B190" s="112">
        <v>6.6926962081128749E-2</v>
      </c>
      <c r="C190" s="105">
        <v>1.0039044312169312E-2</v>
      </c>
      <c r="D190" s="105">
        <v>607.16139999999996</v>
      </c>
      <c r="E190" s="105">
        <v>0</v>
      </c>
      <c r="F190" s="105">
        <v>0</v>
      </c>
      <c r="G190" s="105">
        <v>359.99999999999994</v>
      </c>
      <c r="H190" s="105">
        <v>3.43675</v>
      </c>
      <c r="I190" s="105">
        <v>0</v>
      </c>
      <c r="J190" s="113">
        <v>3.4367999999999999</v>
      </c>
      <c r="K190" s="114">
        <v>0</v>
      </c>
      <c r="L190" s="115">
        <v>-6.6100000000000006E-2</v>
      </c>
      <c r="M190" s="105">
        <v>2</v>
      </c>
      <c r="N190" s="105">
        <v>5</v>
      </c>
      <c r="O190" s="105">
        <v>1.2</v>
      </c>
      <c r="P190" s="105">
        <v>20.000000000003126</v>
      </c>
      <c r="Q190" s="113">
        <v>-62.794899999999998</v>
      </c>
      <c r="R190" s="114">
        <v>0.29089999999999999</v>
      </c>
      <c r="S190" s="115">
        <v>0.3125</v>
      </c>
      <c r="Y190" s="99" t="s">
        <v>1178</v>
      </c>
    </row>
    <row r="191" spans="1:25" x14ac:dyDescent="0.25">
      <c r="A191" s="111" t="s">
        <v>1192</v>
      </c>
      <c r="B191" s="112">
        <v>6.6965288800705472E-2</v>
      </c>
      <c r="C191" s="105">
        <v>1.004479332010582E-2</v>
      </c>
      <c r="D191" s="105">
        <v>607.50909999999999</v>
      </c>
      <c r="E191" s="105">
        <v>0</v>
      </c>
      <c r="F191" s="105">
        <v>0</v>
      </c>
      <c r="G191" s="105">
        <v>360</v>
      </c>
      <c r="H191" s="105">
        <v>3.6468799999999999</v>
      </c>
      <c r="I191" s="105">
        <v>0</v>
      </c>
      <c r="J191" s="113">
        <v>3.6469</v>
      </c>
      <c r="K191" s="114">
        <v>0</v>
      </c>
      <c r="L191" s="115">
        <v>0.67069999999999996</v>
      </c>
      <c r="M191" s="105">
        <v>2</v>
      </c>
      <c r="N191" s="105">
        <v>5</v>
      </c>
      <c r="O191" s="105">
        <v>1.2</v>
      </c>
      <c r="P191" s="105">
        <v>25.999999999996248</v>
      </c>
      <c r="Q191" s="113">
        <v>-79.987399999999994</v>
      </c>
      <c r="R191" s="114">
        <v>0.2702</v>
      </c>
      <c r="S191" s="115">
        <v>0.3125</v>
      </c>
      <c r="Y191" s="99" t="s">
        <v>1188</v>
      </c>
    </row>
    <row r="192" spans="1:25" x14ac:dyDescent="0.25">
      <c r="A192" s="111" t="s">
        <v>1202</v>
      </c>
      <c r="B192" s="112">
        <v>6.6979894179894181E-2</v>
      </c>
      <c r="C192" s="105">
        <v>1.0046984126984126E-2</v>
      </c>
      <c r="D192" s="105">
        <v>607.64159999999993</v>
      </c>
      <c r="E192" s="105">
        <v>0</v>
      </c>
      <c r="F192" s="105">
        <v>0</v>
      </c>
      <c r="G192" s="105">
        <v>359.99999999999994</v>
      </c>
      <c r="H192" s="105">
        <v>3.72817</v>
      </c>
      <c r="I192" s="105">
        <v>0</v>
      </c>
      <c r="J192" s="113">
        <v>3.7282000000000002</v>
      </c>
      <c r="K192" s="114">
        <v>0</v>
      </c>
      <c r="L192" s="115">
        <v>1.3652</v>
      </c>
      <c r="M192" s="105">
        <v>2</v>
      </c>
      <c r="N192" s="105">
        <v>5</v>
      </c>
      <c r="O192" s="105">
        <v>1.2</v>
      </c>
      <c r="P192" s="105">
        <v>32.000000000003581</v>
      </c>
      <c r="Q192" s="113">
        <v>-90</v>
      </c>
      <c r="R192" s="114">
        <v>0.27060000000000001</v>
      </c>
      <c r="S192" s="115">
        <v>0.3125</v>
      </c>
      <c r="Y192" s="99" t="s">
        <v>1198</v>
      </c>
    </row>
    <row r="193" spans="1:25" x14ac:dyDescent="0.25">
      <c r="A193" s="111" t="s">
        <v>1211</v>
      </c>
      <c r="B193" s="112">
        <v>7.3421880511463852E-2</v>
      </c>
      <c r="C193" s="105">
        <v>1.1013282076719576E-2</v>
      </c>
      <c r="D193" s="105">
        <v>666.08330000000001</v>
      </c>
      <c r="E193" s="105">
        <v>0</v>
      </c>
      <c r="F193" s="105">
        <v>0</v>
      </c>
      <c r="G193" s="105">
        <v>360</v>
      </c>
      <c r="H193" s="105">
        <v>2.7440000000000002</v>
      </c>
      <c r="I193" s="105">
        <v>1.7732217248972074E-14</v>
      </c>
      <c r="J193" s="113">
        <v>2.7440000000000002</v>
      </c>
      <c r="K193" s="114">
        <v>0</v>
      </c>
      <c r="L193" s="115">
        <v>-0.73650000000000004</v>
      </c>
      <c r="M193" s="105">
        <v>2</v>
      </c>
      <c r="N193" s="105">
        <v>6</v>
      </c>
      <c r="O193" s="105">
        <v>1.1000000000000001</v>
      </c>
      <c r="P193" s="105">
        <v>13.00000000000523</v>
      </c>
      <c r="Q193" s="113">
        <v>-33.9848</v>
      </c>
      <c r="R193" s="114">
        <v>0.2853</v>
      </c>
      <c r="S193" s="115">
        <v>0.29649999999999999</v>
      </c>
      <c r="Y193" s="99" t="s">
        <v>1206</v>
      </c>
    </row>
    <row r="194" spans="1:25" x14ac:dyDescent="0.25">
      <c r="A194" s="111" t="s">
        <v>1221</v>
      </c>
      <c r="B194" s="112">
        <v>7.3527237654320982E-2</v>
      </c>
      <c r="C194" s="105">
        <v>1.1029085648148147E-2</v>
      </c>
      <c r="D194" s="105">
        <v>667.03909999999996</v>
      </c>
      <c r="E194" s="105">
        <v>0</v>
      </c>
      <c r="F194" s="105">
        <v>0</v>
      </c>
      <c r="G194" s="105">
        <v>359.99999999999994</v>
      </c>
      <c r="H194" s="105">
        <v>3.3679999999999999</v>
      </c>
      <c r="I194" s="105">
        <v>2.475600142430583E-14</v>
      </c>
      <c r="J194" s="113">
        <v>3.3679999999999999</v>
      </c>
      <c r="K194" s="114">
        <v>0</v>
      </c>
      <c r="L194" s="115">
        <v>-0.25580000000000003</v>
      </c>
      <c r="M194" s="105">
        <v>2</v>
      </c>
      <c r="N194" s="105">
        <v>6</v>
      </c>
      <c r="O194" s="105">
        <v>1.1000000000000001</v>
      </c>
      <c r="P194" s="105">
        <v>18.999999999998352</v>
      </c>
      <c r="Q194" s="113">
        <v>-60.428699999999999</v>
      </c>
      <c r="R194" s="114">
        <v>0.27960000000000002</v>
      </c>
      <c r="S194" s="115">
        <v>0.29649999999999999</v>
      </c>
      <c r="Y194" s="99" t="s">
        <v>1216</v>
      </c>
    </row>
    <row r="195" spans="1:25" x14ac:dyDescent="0.25">
      <c r="A195" s="111" t="s">
        <v>1231</v>
      </c>
      <c r="B195" s="112">
        <v>7.3578703703703702E-2</v>
      </c>
      <c r="C195" s="105">
        <v>1.1036805555555555E-2</v>
      </c>
      <c r="D195" s="105">
        <v>667.50599999999997</v>
      </c>
      <c r="E195" s="105">
        <v>0</v>
      </c>
      <c r="F195" s="105">
        <v>0</v>
      </c>
      <c r="G195" s="105">
        <v>360</v>
      </c>
      <c r="H195" s="105">
        <v>3.6465000000000001</v>
      </c>
      <c r="I195" s="105">
        <v>2.356433316267371E-14</v>
      </c>
      <c r="J195" s="113">
        <v>3.6465000000000001</v>
      </c>
      <c r="K195" s="114">
        <v>0</v>
      </c>
      <c r="L195" s="115">
        <v>0.45910000000000001</v>
      </c>
      <c r="M195" s="105">
        <v>2</v>
      </c>
      <c r="N195" s="105">
        <v>6</v>
      </c>
      <c r="O195" s="105">
        <v>1.1000000000000001</v>
      </c>
      <c r="P195" s="105">
        <v>24.999999999998579</v>
      </c>
      <c r="Q195" s="113">
        <v>-77.3797</v>
      </c>
      <c r="R195" s="114">
        <v>0.26119999999999999</v>
      </c>
      <c r="S195" s="115">
        <v>0.29649999999999999</v>
      </c>
      <c r="Y195" s="99" t="s">
        <v>1226</v>
      </c>
    </row>
    <row r="196" spans="1:25" x14ac:dyDescent="0.25">
      <c r="A196" s="111" t="s">
        <v>1241</v>
      </c>
      <c r="B196" s="112">
        <v>7.3589065255731917E-2</v>
      </c>
      <c r="C196" s="105">
        <v>1.1038359788359788E-2</v>
      </c>
      <c r="D196" s="105">
        <v>667.59999999999991</v>
      </c>
      <c r="E196" s="105">
        <v>0</v>
      </c>
      <c r="F196" s="105">
        <v>0</v>
      </c>
      <c r="G196" s="105">
        <v>359.99999999999989</v>
      </c>
      <c r="H196" s="105">
        <v>3.7351000000000001</v>
      </c>
      <c r="I196" s="105">
        <v>3.4089187806118434E-14</v>
      </c>
      <c r="J196" s="113">
        <v>3.7351000000000001</v>
      </c>
      <c r="K196" s="114">
        <v>0</v>
      </c>
      <c r="L196" s="115">
        <v>1.1654</v>
      </c>
      <c r="M196" s="105">
        <v>2</v>
      </c>
      <c r="N196" s="105">
        <v>6</v>
      </c>
      <c r="O196" s="105">
        <v>1.1000000000000001</v>
      </c>
      <c r="P196" s="105">
        <v>31.000000000005912</v>
      </c>
      <c r="Q196" s="113">
        <v>-90</v>
      </c>
      <c r="R196" s="114">
        <v>0.25679999999999997</v>
      </c>
      <c r="S196" s="115">
        <v>0.29649999999999999</v>
      </c>
      <c r="Y196" s="99" t="s">
        <v>1236</v>
      </c>
    </row>
    <row r="197" spans="1:25" x14ac:dyDescent="0.25">
      <c r="A197" s="111" t="s">
        <v>1212</v>
      </c>
      <c r="B197" s="112">
        <v>7.3421880511463852E-2</v>
      </c>
      <c r="C197" s="105">
        <v>1.1013282076719576E-2</v>
      </c>
      <c r="D197" s="105">
        <v>666.08330000000001</v>
      </c>
      <c r="E197" s="105">
        <v>0</v>
      </c>
      <c r="F197" s="105">
        <v>0</v>
      </c>
      <c r="G197" s="105">
        <v>360</v>
      </c>
      <c r="H197" s="105">
        <v>2.7412800000000002</v>
      </c>
      <c r="I197" s="105">
        <v>0</v>
      </c>
      <c r="J197" s="113">
        <v>2.7412999999999998</v>
      </c>
      <c r="K197" s="114">
        <v>0</v>
      </c>
      <c r="L197" s="115">
        <v>-0.7329</v>
      </c>
      <c r="M197" s="105">
        <v>2</v>
      </c>
      <c r="N197" s="105">
        <v>6</v>
      </c>
      <c r="O197" s="105">
        <v>1.2</v>
      </c>
      <c r="P197" s="105">
        <v>13.00000000000523</v>
      </c>
      <c r="Q197" s="113">
        <v>-33.9848</v>
      </c>
      <c r="R197" s="114">
        <v>0.30070000000000002</v>
      </c>
      <c r="S197" s="115">
        <v>0.3125</v>
      </c>
      <c r="Y197" s="99" t="s">
        <v>1208</v>
      </c>
    </row>
    <row r="198" spans="1:25" x14ac:dyDescent="0.25">
      <c r="A198" s="111" t="s">
        <v>1222</v>
      </c>
      <c r="B198" s="112">
        <v>7.3527237654320982E-2</v>
      </c>
      <c r="C198" s="105">
        <v>1.1029085648148147E-2</v>
      </c>
      <c r="D198" s="105">
        <v>667.03909999999996</v>
      </c>
      <c r="E198" s="105">
        <v>0</v>
      </c>
      <c r="F198" s="105">
        <v>0</v>
      </c>
      <c r="G198" s="105">
        <v>359.99999999999994</v>
      </c>
      <c r="H198" s="105">
        <v>3.3628300000000002</v>
      </c>
      <c r="I198" s="105">
        <v>0</v>
      </c>
      <c r="J198" s="113">
        <v>3.3628</v>
      </c>
      <c r="K198" s="114">
        <v>0</v>
      </c>
      <c r="L198" s="115">
        <v>-0.25319999999999998</v>
      </c>
      <c r="M198" s="105">
        <v>2</v>
      </c>
      <c r="N198" s="105">
        <v>6</v>
      </c>
      <c r="O198" s="105">
        <v>1.2</v>
      </c>
      <c r="P198" s="105">
        <v>18.999999999998352</v>
      </c>
      <c r="Q198" s="113">
        <v>-60.428699999999999</v>
      </c>
      <c r="R198" s="114">
        <v>0.29459999999999997</v>
      </c>
      <c r="S198" s="115">
        <v>0.3125</v>
      </c>
      <c r="Y198" s="99" t="s">
        <v>1218</v>
      </c>
    </row>
    <row r="199" spans="1:25" x14ac:dyDescent="0.25">
      <c r="A199" s="111" t="s">
        <v>1232</v>
      </c>
      <c r="B199" s="112">
        <v>7.3578703703703702E-2</v>
      </c>
      <c r="C199" s="105">
        <v>1.1036805555555555E-2</v>
      </c>
      <c r="D199" s="105">
        <v>667.50599999999997</v>
      </c>
      <c r="E199" s="105">
        <v>0</v>
      </c>
      <c r="F199" s="105">
        <v>0</v>
      </c>
      <c r="G199" s="105">
        <v>360</v>
      </c>
      <c r="H199" s="105">
        <v>3.6385000000000001</v>
      </c>
      <c r="I199" s="105">
        <v>0</v>
      </c>
      <c r="J199" s="113">
        <v>3.6385000000000001</v>
      </c>
      <c r="K199" s="114">
        <v>0</v>
      </c>
      <c r="L199" s="115">
        <v>0.4607</v>
      </c>
      <c r="M199" s="105">
        <v>2</v>
      </c>
      <c r="N199" s="105">
        <v>6</v>
      </c>
      <c r="O199" s="105">
        <v>1.2</v>
      </c>
      <c r="P199" s="105">
        <v>24.999999999998579</v>
      </c>
      <c r="Q199" s="113">
        <v>-77.3797</v>
      </c>
      <c r="R199" s="114">
        <v>0.27529999999999999</v>
      </c>
      <c r="S199" s="115">
        <v>0.3125</v>
      </c>
      <c r="Y199" s="99" t="s">
        <v>1228</v>
      </c>
    </row>
    <row r="200" spans="1:25" x14ac:dyDescent="0.25">
      <c r="A200" s="111" t="s">
        <v>1242</v>
      </c>
      <c r="B200" s="112">
        <v>7.3589065255731917E-2</v>
      </c>
      <c r="C200" s="105">
        <v>1.1038359788359788E-2</v>
      </c>
      <c r="D200" s="105">
        <v>667.59999999999991</v>
      </c>
      <c r="E200" s="105">
        <v>0</v>
      </c>
      <c r="F200" s="105">
        <v>0</v>
      </c>
      <c r="G200" s="105">
        <v>359.99999999999989</v>
      </c>
      <c r="H200" s="105">
        <v>3.72648</v>
      </c>
      <c r="I200" s="105">
        <v>0</v>
      </c>
      <c r="J200" s="113">
        <v>3.7265000000000001</v>
      </c>
      <c r="K200" s="114">
        <v>0</v>
      </c>
      <c r="L200" s="115">
        <v>1.1654</v>
      </c>
      <c r="M200" s="105">
        <v>2</v>
      </c>
      <c r="N200" s="105">
        <v>6</v>
      </c>
      <c r="O200" s="105">
        <v>1.2</v>
      </c>
      <c r="P200" s="105">
        <v>31.000000000005912</v>
      </c>
      <c r="Q200" s="113">
        <v>-90</v>
      </c>
      <c r="R200" s="114">
        <v>0.27060000000000001</v>
      </c>
      <c r="S200" s="115">
        <v>0.3125</v>
      </c>
      <c r="Y200" s="99" t="s">
        <v>1238</v>
      </c>
    </row>
    <row r="201" spans="1:25" x14ac:dyDescent="0.25">
      <c r="A201" s="111" t="s">
        <v>440</v>
      </c>
      <c r="B201" s="112">
        <v>7.9365079365079361E-2</v>
      </c>
      <c r="C201" s="105">
        <v>1.1904761904761904E-2</v>
      </c>
      <c r="D201" s="105">
        <v>720</v>
      </c>
      <c r="E201" s="105">
        <v>0</v>
      </c>
      <c r="F201" s="105">
        <v>0</v>
      </c>
      <c r="G201" s="105">
        <v>720</v>
      </c>
      <c r="H201" s="105">
        <v>0.34329999999999999</v>
      </c>
      <c r="I201" s="105">
        <v>4.436931619221656E-15</v>
      </c>
      <c r="J201" s="113">
        <v>0.34329999999999999</v>
      </c>
      <c r="K201" s="114">
        <v>0</v>
      </c>
      <c r="L201" s="115">
        <v>-0.4572</v>
      </c>
      <c r="M201" s="105">
        <v>3</v>
      </c>
      <c r="N201" s="105">
        <v>1</v>
      </c>
      <c r="O201" s="105">
        <v>1.1000000000000001</v>
      </c>
      <c r="P201" s="105">
        <v>1.0000000000012221</v>
      </c>
      <c r="Q201" s="113">
        <v>15</v>
      </c>
      <c r="R201" s="114">
        <v>0.27860000000000001</v>
      </c>
      <c r="S201" s="115">
        <v>0.29649999999999999</v>
      </c>
      <c r="Y201" s="99" t="s">
        <v>433</v>
      </c>
    </row>
    <row r="202" spans="1:25" x14ac:dyDescent="0.25">
      <c r="A202" s="111" t="s">
        <v>654</v>
      </c>
      <c r="B202" s="112">
        <v>7.9365079365079361E-2</v>
      </c>
      <c r="C202" s="105">
        <v>1.1904761904761904E-2</v>
      </c>
      <c r="D202" s="105">
        <v>720</v>
      </c>
      <c r="E202" s="105">
        <v>0</v>
      </c>
      <c r="F202" s="105">
        <v>0</v>
      </c>
      <c r="G202" s="105">
        <v>720</v>
      </c>
      <c r="H202" s="105">
        <v>1.0692999999999999</v>
      </c>
      <c r="I202" s="105">
        <v>1.3820014507526118E-14</v>
      </c>
      <c r="J202" s="113">
        <v>1.0692999999999999</v>
      </c>
      <c r="K202" s="114">
        <v>0</v>
      </c>
      <c r="L202" s="115">
        <v>-0.65169999999999995</v>
      </c>
      <c r="M202" s="105">
        <v>3</v>
      </c>
      <c r="N202" s="105">
        <v>1</v>
      </c>
      <c r="O202" s="105">
        <v>1.1000000000000001</v>
      </c>
      <c r="P202" s="105">
        <v>4.0000000000013358</v>
      </c>
      <c r="Q202" s="113">
        <v>15</v>
      </c>
      <c r="R202" s="114">
        <v>0.28639999999999999</v>
      </c>
      <c r="S202" s="115">
        <v>0.29649999999999999</v>
      </c>
      <c r="Y202" s="99" t="s">
        <v>647</v>
      </c>
    </row>
    <row r="203" spans="1:25" x14ac:dyDescent="0.25">
      <c r="A203" s="111" t="s">
        <v>450</v>
      </c>
      <c r="B203" s="112">
        <v>7.9365079365079361E-2</v>
      </c>
      <c r="C203" s="105">
        <v>1.1904761904761904E-2</v>
      </c>
      <c r="D203" s="105">
        <v>720</v>
      </c>
      <c r="E203" s="105">
        <v>0</v>
      </c>
      <c r="F203" s="105">
        <v>0</v>
      </c>
      <c r="G203" s="105">
        <v>720</v>
      </c>
      <c r="H203" s="105">
        <v>1.7943</v>
      </c>
      <c r="I203" s="105">
        <v>2.3190173039235124E-14</v>
      </c>
      <c r="J203" s="113">
        <v>1.7943</v>
      </c>
      <c r="K203" s="114">
        <v>0</v>
      </c>
      <c r="L203" s="115">
        <v>-0.84589999999999999</v>
      </c>
      <c r="M203" s="105">
        <v>3</v>
      </c>
      <c r="N203" s="105">
        <v>1</v>
      </c>
      <c r="O203" s="105">
        <v>1.1000000000000001</v>
      </c>
      <c r="P203" s="105">
        <v>6.9999999999996732</v>
      </c>
      <c r="Q203" s="113">
        <v>15</v>
      </c>
      <c r="R203" s="114">
        <v>0.28639999999999999</v>
      </c>
      <c r="S203" s="115">
        <v>0.29649999999999999</v>
      </c>
      <c r="Y203" s="99" t="s">
        <v>443</v>
      </c>
    </row>
    <row r="204" spans="1:25" x14ac:dyDescent="0.25">
      <c r="A204" s="111" t="s">
        <v>963</v>
      </c>
      <c r="B204" s="112">
        <v>7.9465277777777787E-2</v>
      </c>
      <c r="C204" s="105">
        <v>1.1919791666666667E-2</v>
      </c>
      <c r="D204" s="105">
        <v>720.90899999999999</v>
      </c>
      <c r="E204" s="105">
        <v>0</v>
      </c>
      <c r="F204" s="105">
        <v>0</v>
      </c>
      <c r="G204" s="105">
        <v>720</v>
      </c>
      <c r="H204" s="105">
        <v>2.6175000000000002</v>
      </c>
      <c r="I204" s="105">
        <v>3.3829503388618366E-14</v>
      </c>
      <c r="J204" s="113">
        <v>2.6175000000000002</v>
      </c>
      <c r="K204" s="114">
        <v>0</v>
      </c>
      <c r="L204" s="115">
        <v>-0.8528</v>
      </c>
      <c r="M204" s="105">
        <v>3</v>
      </c>
      <c r="N204" s="105">
        <v>1</v>
      </c>
      <c r="O204" s="105">
        <v>1.1000000000000001</v>
      </c>
      <c r="P204" s="105">
        <v>12.000000000000455</v>
      </c>
      <c r="Q204" s="113">
        <v>-26.6419</v>
      </c>
      <c r="R204" s="114">
        <v>0.28549999999999998</v>
      </c>
      <c r="S204" s="115">
        <v>0.29649999999999999</v>
      </c>
      <c r="Y204" s="99" t="s">
        <v>956</v>
      </c>
    </row>
    <row r="205" spans="1:25" x14ac:dyDescent="0.25">
      <c r="A205" s="111" t="s">
        <v>973</v>
      </c>
      <c r="B205" s="112">
        <v>7.9575000000000007E-2</v>
      </c>
      <c r="C205" s="105">
        <v>1.1936250000000001E-2</v>
      </c>
      <c r="D205" s="105">
        <v>721.90440000000001</v>
      </c>
      <c r="E205" s="105">
        <v>0</v>
      </c>
      <c r="F205" s="105">
        <v>0</v>
      </c>
      <c r="G205" s="105">
        <v>720</v>
      </c>
      <c r="H205" s="105">
        <v>3.2848999999999999</v>
      </c>
      <c r="I205" s="105">
        <v>4.2455218980428833E-14</v>
      </c>
      <c r="J205" s="113">
        <v>3.2848999999999999</v>
      </c>
      <c r="K205" s="114">
        <v>0</v>
      </c>
      <c r="L205" s="115">
        <v>-0.43020000000000003</v>
      </c>
      <c r="M205" s="105">
        <v>3</v>
      </c>
      <c r="N205" s="105">
        <v>1</v>
      </c>
      <c r="O205" s="105">
        <v>1.1000000000000001</v>
      </c>
      <c r="P205" s="105">
        <v>17.999999999998906</v>
      </c>
      <c r="Q205" s="113">
        <v>-56.997300000000003</v>
      </c>
      <c r="R205" s="114">
        <v>0.28129999999999999</v>
      </c>
      <c r="S205" s="115">
        <v>0.29649999999999999</v>
      </c>
      <c r="Y205" s="99" t="s">
        <v>966</v>
      </c>
    </row>
    <row r="206" spans="1:25" x14ac:dyDescent="0.25">
      <c r="A206" s="111" t="s">
        <v>983</v>
      </c>
      <c r="B206" s="112">
        <v>7.9636816578483247E-2</v>
      </c>
      <c r="C206" s="105">
        <v>1.1945522486772487E-2</v>
      </c>
      <c r="D206" s="105">
        <v>722.46519999999998</v>
      </c>
      <c r="E206" s="105">
        <v>0</v>
      </c>
      <c r="F206" s="105">
        <v>0</v>
      </c>
      <c r="G206" s="105">
        <v>720</v>
      </c>
      <c r="H206" s="105">
        <v>3.6240999999999999</v>
      </c>
      <c r="I206" s="105">
        <v>4.6839160737609097E-14</v>
      </c>
      <c r="J206" s="113">
        <v>3.6240999999999999</v>
      </c>
      <c r="K206" s="114">
        <v>0</v>
      </c>
      <c r="L206" s="115">
        <v>0.26319999999999999</v>
      </c>
      <c r="M206" s="105">
        <v>3</v>
      </c>
      <c r="N206" s="105">
        <v>1</v>
      </c>
      <c r="O206" s="105">
        <v>1.1000000000000001</v>
      </c>
      <c r="P206" s="105">
        <v>24.000000000000909</v>
      </c>
      <c r="Q206" s="113">
        <v>-74.941299999999998</v>
      </c>
      <c r="R206" s="114">
        <v>0.26569999999999999</v>
      </c>
      <c r="S206" s="115">
        <v>0.29649999999999999</v>
      </c>
      <c r="Y206" s="99" t="s">
        <v>976</v>
      </c>
    </row>
    <row r="207" spans="1:25" x14ac:dyDescent="0.25">
      <c r="A207" s="111" t="s">
        <v>993</v>
      </c>
      <c r="B207" s="112">
        <v>7.9656261022927694E-2</v>
      </c>
      <c r="C207" s="105">
        <v>1.1948439153439154E-2</v>
      </c>
      <c r="D207" s="105">
        <v>722.64160000000004</v>
      </c>
      <c r="E207" s="105">
        <v>0</v>
      </c>
      <c r="F207" s="105">
        <v>0</v>
      </c>
      <c r="G207" s="105">
        <v>720</v>
      </c>
      <c r="H207" s="105">
        <v>3.6829999999999998</v>
      </c>
      <c r="I207" s="105">
        <v>4.760040534108173E-14</v>
      </c>
      <c r="J207" s="113">
        <v>3.6829999999999998</v>
      </c>
      <c r="K207" s="114">
        <v>0</v>
      </c>
      <c r="L207" s="115">
        <v>1.0481</v>
      </c>
      <c r="M207" s="105">
        <v>3</v>
      </c>
      <c r="N207" s="105">
        <v>1</v>
      </c>
      <c r="O207" s="105">
        <v>1.1000000000000001</v>
      </c>
      <c r="P207" s="105">
        <v>29.999999999999361</v>
      </c>
      <c r="Q207" s="113">
        <v>-90</v>
      </c>
      <c r="R207" s="114">
        <v>0.25679999999999997</v>
      </c>
      <c r="S207" s="115">
        <v>0.29649999999999999</v>
      </c>
      <c r="Y207" s="99" t="s">
        <v>986</v>
      </c>
    </row>
    <row r="208" spans="1:25" x14ac:dyDescent="0.25">
      <c r="A208" s="111" t="s">
        <v>441</v>
      </c>
      <c r="B208" s="112">
        <v>7.9365079365079361E-2</v>
      </c>
      <c r="C208" s="105">
        <v>1.1904761904761904E-2</v>
      </c>
      <c r="D208" s="105">
        <v>720</v>
      </c>
      <c r="E208" s="105">
        <v>0</v>
      </c>
      <c r="F208" s="105">
        <v>0</v>
      </c>
      <c r="G208" s="105">
        <v>720</v>
      </c>
      <c r="H208" s="105">
        <v>0.34472000000000003</v>
      </c>
      <c r="I208" s="105">
        <v>0</v>
      </c>
      <c r="J208" s="113">
        <v>0.34470000000000001</v>
      </c>
      <c r="K208" s="114">
        <v>0</v>
      </c>
      <c r="L208" s="115">
        <v>-0.45190000000000002</v>
      </c>
      <c r="M208" s="105">
        <v>3</v>
      </c>
      <c r="N208" s="105">
        <v>1</v>
      </c>
      <c r="O208" s="105">
        <v>1.2</v>
      </c>
      <c r="P208" s="105">
        <v>1.0000000000012221</v>
      </c>
      <c r="Q208" s="113">
        <v>15</v>
      </c>
      <c r="R208" s="114">
        <v>0.29370000000000002</v>
      </c>
      <c r="S208" s="115">
        <v>0.3125</v>
      </c>
      <c r="Y208" s="99" t="s">
        <v>435</v>
      </c>
    </row>
    <row r="209" spans="1:25" x14ac:dyDescent="0.25">
      <c r="A209" s="111" t="s">
        <v>655</v>
      </c>
      <c r="B209" s="112">
        <v>7.9365079365079361E-2</v>
      </c>
      <c r="C209" s="105">
        <v>1.1904761904761904E-2</v>
      </c>
      <c r="D209" s="105">
        <v>720</v>
      </c>
      <c r="E209" s="105">
        <v>0</v>
      </c>
      <c r="F209" s="105">
        <v>0</v>
      </c>
      <c r="G209" s="105">
        <v>720</v>
      </c>
      <c r="H209" s="105">
        <v>1.07037</v>
      </c>
      <c r="I209" s="105">
        <v>0</v>
      </c>
      <c r="J209" s="113">
        <v>1.0704</v>
      </c>
      <c r="K209" s="114">
        <v>0</v>
      </c>
      <c r="L209" s="115">
        <v>-0.64770000000000005</v>
      </c>
      <c r="M209" s="105">
        <v>3</v>
      </c>
      <c r="N209" s="105">
        <v>1</v>
      </c>
      <c r="O209" s="105">
        <v>1.2</v>
      </c>
      <c r="P209" s="105">
        <v>4.0000000000013358</v>
      </c>
      <c r="Q209" s="113">
        <v>15</v>
      </c>
      <c r="R209" s="114">
        <v>0.3019</v>
      </c>
      <c r="S209" s="115">
        <v>0.3125</v>
      </c>
      <c r="Y209" s="99" t="s">
        <v>649</v>
      </c>
    </row>
    <row r="210" spans="1:25" x14ac:dyDescent="0.25">
      <c r="A210" s="111" t="s">
        <v>451</v>
      </c>
      <c r="B210" s="112">
        <v>7.9365079365079361E-2</v>
      </c>
      <c r="C210" s="105">
        <v>1.1904761904761904E-2</v>
      </c>
      <c r="D210" s="105">
        <v>720</v>
      </c>
      <c r="E210" s="105">
        <v>0</v>
      </c>
      <c r="F210" s="105">
        <v>0</v>
      </c>
      <c r="G210" s="105">
        <v>720</v>
      </c>
      <c r="H210" s="105">
        <v>1.7953699999999999</v>
      </c>
      <c r="I210" s="105">
        <v>0</v>
      </c>
      <c r="J210" s="113">
        <v>1.7954000000000001</v>
      </c>
      <c r="K210" s="114">
        <v>0</v>
      </c>
      <c r="L210" s="115">
        <v>-0.84189999999999998</v>
      </c>
      <c r="M210" s="105">
        <v>3</v>
      </c>
      <c r="N210" s="105">
        <v>1</v>
      </c>
      <c r="O210" s="105">
        <v>1.2</v>
      </c>
      <c r="P210" s="105">
        <v>6.9999999999996732</v>
      </c>
      <c r="Q210" s="113">
        <v>15</v>
      </c>
      <c r="R210" s="114">
        <v>0.3019</v>
      </c>
      <c r="S210" s="115">
        <v>0.3125</v>
      </c>
      <c r="Y210" s="99" t="s">
        <v>445</v>
      </c>
    </row>
    <row r="211" spans="1:25" x14ac:dyDescent="0.25">
      <c r="A211" s="111" t="s">
        <v>964</v>
      </c>
      <c r="B211" s="112">
        <v>7.9465277777777787E-2</v>
      </c>
      <c r="C211" s="105">
        <v>1.1919791666666667E-2</v>
      </c>
      <c r="D211" s="105">
        <v>720.90899999999999</v>
      </c>
      <c r="E211" s="105">
        <v>0</v>
      </c>
      <c r="F211" s="105">
        <v>0</v>
      </c>
      <c r="G211" s="105">
        <v>720</v>
      </c>
      <c r="H211" s="105">
        <v>2.6153200000000001</v>
      </c>
      <c r="I211" s="105">
        <v>0</v>
      </c>
      <c r="J211" s="113">
        <v>2.6153</v>
      </c>
      <c r="K211" s="114">
        <v>0</v>
      </c>
      <c r="L211" s="115">
        <v>-0.84889999999999999</v>
      </c>
      <c r="M211" s="105">
        <v>3</v>
      </c>
      <c r="N211" s="105">
        <v>1</v>
      </c>
      <c r="O211" s="105">
        <v>1.2</v>
      </c>
      <c r="P211" s="105">
        <v>12.000000000000455</v>
      </c>
      <c r="Q211" s="113">
        <v>-26.6419</v>
      </c>
      <c r="R211" s="114">
        <v>0.30099999999999999</v>
      </c>
      <c r="S211" s="115">
        <v>0.3125</v>
      </c>
      <c r="Y211" s="99" t="s">
        <v>958</v>
      </c>
    </row>
    <row r="212" spans="1:25" x14ac:dyDescent="0.25">
      <c r="A212" s="111" t="s">
        <v>974</v>
      </c>
      <c r="B212" s="112">
        <v>7.9575000000000007E-2</v>
      </c>
      <c r="C212" s="105">
        <v>1.1936250000000001E-2</v>
      </c>
      <c r="D212" s="105">
        <v>721.90440000000001</v>
      </c>
      <c r="E212" s="105">
        <v>0</v>
      </c>
      <c r="F212" s="105">
        <v>0</v>
      </c>
      <c r="G212" s="105">
        <v>720</v>
      </c>
      <c r="H212" s="105">
        <v>3.28016</v>
      </c>
      <c r="I212" s="105">
        <v>0</v>
      </c>
      <c r="J212" s="113">
        <v>3.2801999999999998</v>
      </c>
      <c r="K212" s="114">
        <v>0</v>
      </c>
      <c r="L212" s="115">
        <v>-0.42749999999999999</v>
      </c>
      <c r="M212" s="105">
        <v>3</v>
      </c>
      <c r="N212" s="105">
        <v>1</v>
      </c>
      <c r="O212" s="105">
        <v>1.2</v>
      </c>
      <c r="P212" s="105">
        <v>17.999999999998906</v>
      </c>
      <c r="Q212" s="113">
        <v>-56.997300000000003</v>
      </c>
      <c r="R212" s="114">
        <v>0.29649999999999999</v>
      </c>
      <c r="S212" s="115">
        <v>0.3125</v>
      </c>
      <c r="Y212" s="99" t="s">
        <v>968</v>
      </c>
    </row>
    <row r="213" spans="1:25" x14ac:dyDescent="0.25">
      <c r="A213" s="111" t="s">
        <v>984</v>
      </c>
      <c r="B213" s="112">
        <v>7.9636816578483247E-2</v>
      </c>
      <c r="C213" s="105">
        <v>1.1945522486772487E-2</v>
      </c>
      <c r="D213" s="105">
        <v>722.46519999999998</v>
      </c>
      <c r="E213" s="105">
        <v>0</v>
      </c>
      <c r="F213" s="105">
        <v>0</v>
      </c>
      <c r="G213" s="105">
        <v>720</v>
      </c>
      <c r="H213" s="105">
        <v>3.6166299999999998</v>
      </c>
      <c r="I213" s="105">
        <v>0</v>
      </c>
      <c r="J213" s="113">
        <v>3.6166</v>
      </c>
      <c r="K213" s="114">
        <v>0</v>
      </c>
      <c r="L213" s="115">
        <v>0.26500000000000001</v>
      </c>
      <c r="M213" s="105">
        <v>3</v>
      </c>
      <c r="N213" s="105">
        <v>1</v>
      </c>
      <c r="O213" s="105">
        <v>1.2</v>
      </c>
      <c r="P213" s="105">
        <v>24.000000000000909</v>
      </c>
      <c r="Q213" s="113">
        <v>-74.941299999999998</v>
      </c>
      <c r="R213" s="114">
        <v>0.28010000000000002</v>
      </c>
      <c r="S213" s="115">
        <v>0.3125</v>
      </c>
      <c r="Y213" s="99" t="s">
        <v>978</v>
      </c>
    </row>
    <row r="214" spans="1:25" x14ac:dyDescent="0.25">
      <c r="A214" s="111" t="s">
        <v>994</v>
      </c>
      <c r="B214" s="112">
        <v>7.9656261022927694E-2</v>
      </c>
      <c r="C214" s="105">
        <v>1.1948439153439154E-2</v>
      </c>
      <c r="D214" s="105">
        <v>722.64160000000004</v>
      </c>
      <c r="E214" s="105">
        <v>0</v>
      </c>
      <c r="F214" s="105">
        <v>0</v>
      </c>
      <c r="G214" s="105">
        <v>720</v>
      </c>
      <c r="H214" s="105">
        <v>3.6743700000000001</v>
      </c>
      <c r="I214" s="105">
        <v>0</v>
      </c>
      <c r="J214" s="113">
        <v>3.6743999999999999</v>
      </c>
      <c r="K214" s="114">
        <v>0</v>
      </c>
      <c r="L214" s="115">
        <v>1.0481</v>
      </c>
      <c r="M214" s="105">
        <v>3</v>
      </c>
      <c r="N214" s="105">
        <v>1</v>
      </c>
      <c r="O214" s="105">
        <v>1.2</v>
      </c>
      <c r="P214" s="105">
        <v>29.999999999999361</v>
      </c>
      <c r="Q214" s="113">
        <v>-90</v>
      </c>
      <c r="R214" s="114">
        <v>0.27060000000000001</v>
      </c>
      <c r="S214" s="115">
        <v>0.3125</v>
      </c>
      <c r="Y214" s="99" t="s">
        <v>988</v>
      </c>
    </row>
    <row r="215" spans="1:25" x14ac:dyDescent="0.25">
      <c r="A215" s="111" t="s">
        <v>1003</v>
      </c>
      <c r="B215" s="112">
        <v>8.6610725308641986E-2</v>
      </c>
      <c r="C215" s="105">
        <v>1.2991608796296298E-2</v>
      </c>
      <c r="D215" s="105">
        <v>785.73250000000007</v>
      </c>
      <c r="E215" s="105">
        <v>0</v>
      </c>
      <c r="F215" s="105">
        <v>0</v>
      </c>
      <c r="G215" s="105">
        <v>720</v>
      </c>
      <c r="H215" s="105">
        <v>2.4823</v>
      </c>
      <c r="I215" s="105">
        <v>3.2082130376912082E-14</v>
      </c>
      <c r="J215" s="113">
        <v>2.4823</v>
      </c>
      <c r="K215" s="114">
        <v>0</v>
      </c>
      <c r="L215" s="115">
        <v>-0.97119999999999995</v>
      </c>
      <c r="M215" s="105">
        <v>3</v>
      </c>
      <c r="N215" s="105">
        <v>2</v>
      </c>
      <c r="O215" s="105">
        <v>1.1000000000000001</v>
      </c>
      <c r="P215" s="105">
        <v>11.000000000002785</v>
      </c>
      <c r="Q215" s="113">
        <v>-22.7378</v>
      </c>
      <c r="R215" s="114">
        <v>0.28570000000000001</v>
      </c>
      <c r="S215" s="115">
        <v>0.29649999999999999</v>
      </c>
      <c r="Y215" s="99" t="s">
        <v>996</v>
      </c>
    </row>
    <row r="216" spans="1:25" x14ac:dyDescent="0.25">
      <c r="A216" s="111" t="s">
        <v>1013</v>
      </c>
      <c r="B216" s="112">
        <v>8.6723522927689603E-2</v>
      </c>
      <c r="C216" s="105">
        <v>1.3008528439153439E-2</v>
      </c>
      <c r="D216" s="105">
        <v>786.75580000000002</v>
      </c>
      <c r="E216" s="105">
        <v>0</v>
      </c>
      <c r="F216" s="105">
        <v>0</v>
      </c>
      <c r="G216" s="105">
        <v>720</v>
      </c>
      <c r="H216" s="105">
        <v>3.1918000000000002</v>
      </c>
      <c r="I216" s="105">
        <v>4.1251961381391448E-14</v>
      </c>
      <c r="J216" s="113">
        <v>3.1918000000000002</v>
      </c>
      <c r="K216" s="114">
        <v>0</v>
      </c>
      <c r="L216" s="115">
        <v>-0.61080000000000001</v>
      </c>
      <c r="M216" s="105">
        <v>3</v>
      </c>
      <c r="N216" s="105">
        <v>2</v>
      </c>
      <c r="O216" s="105">
        <v>1.1000000000000001</v>
      </c>
      <c r="P216" s="105">
        <v>17.000000000003013</v>
      </c>
      <c r="Q216" s="113">
        <v>-53.366999999999997</v>
      </c>
      <c r="R216" s="114">
        <v>0.28299999999999997</v>
      </c>
      <c r="S216" s="115">
        <v>0.29649999999999999</v>
      </c>
      <c r="Y216" s="99" t="s">
        <v>1006</v>
      </c>
    </row>
    <row r="217" spans="1:25" x14ac:dyDescent="0.25">
      <c r="A217" s="111" t="s">
        <v>1023</v>
      </c>
      <c r="B217" s="112">
        <v>8.679696869488536E-2</v>
      </c>
      <c r="C217" s="105">
        <v>1.3019545304232804E-2</v>
      </c>
      <c r="D217" s="105">
        <v>787.42209999999989</v>
      </c>
      <c r="E217" s="105">
        <v>0</v>
      </c>
      <c r="F217" s="105">
        <v>0</v>
      </c>
      <c r="G217" s="105">
        <v>719.99999999999989</v>
      </c>
      <c r="H217" s="105">
        <v>3.5985999999999998</v>
      </c>
      <c r="I217" s="105">
        <v>5.2901987366690591E-14</v>
      </c>
      <c r="J217" s="113">
        <v>3.5985999999999998</v>
      </c>
      <c r="K217" s="114">
        <v>0</v>
      </c>
      <c r="L217" s="115">
        <v>5.0200000000000002E-2</v>
      </c>
      <c r="M217" s="105">
        <v>3</v>
      </c>
      <c r="N217" s="105">
        <v>2</v>
      </c>
      <c r="O217" s="105">
        <v>1.1000000000000001</v>
      </c>
      <c r="P217" s="105">
        <v>22.999999999999687</v>
      </c>
      <c r="Q217" s="113">
        <v>-71.813100000000006</v>
      </c>
      <c r="R217" s="114">
        <v>0.26790000000000003</v>
      </c>
      <c r="S217" s="115">
        <v>0.29649999999999999</v>
      </c>
      <c r="Y217" s="99" t="s">
        <v>1016</v>
      </c>
    </row>
    <row r="218" spans="1:25" x14ac:dyDescent="0.25">
      <c r="A218" s="111" t="s">
        <v>1033</v>
      </c>
      <c r="B218" s="112">
        <v>8.6821164021164021E-2</v>
      </c>
      <c r="C218" s="105">
        <v>1.3023174603174602E-2</v>
      </c>
      <c r="D218" s="105">
        <v>787.64159999999993</v>
      </c>
      <c r="E218" s="105">
        <v>0</v>
      </c>
      <c r="F218" s="105">
        <v>0</v>
      </c>
      <c r="G218" s="105">
        <v>720</v>
      </c>
      <c r="H218" s="105">
        <v>3.6829999999999998</v>
      </c>
      <c r="I218" s="105">
        <v>4.760040534108173E-14</v>
      </c>
      <c r="J218" s="113">
        <v>3.6829999999999998</v>
      </c>
      <c r="K218" s="114">
        <v>0</v>
      </c>
      <c r="L218" s="115">
        <v>0.84409999999999996</v>
      </c>
      <c r="M218" s="105">
        <v>3</v>
      </c>
      <c r="N218" s="105">
        <v>2</v>
      </c>
      <c r="O218" s="105">
        <v>1.1000000000000001</v>
      </c>
      <c r="P218" s="105">
        <v>28.999999999999915</v>
      </c>
      <c r="Q218" s="113">
        <v>-90</v>
      </c>
      <c r="R218" s="114">
        <v>0.25679999999999997</v>
      </c>
      <c r="S218" s="115">
        <v>0.29649999999999999</v>
      </c>
      <c r="Y218" s="99" t="s">
        <v>1026</v>
      </c>
    </row>
    <row r="219" spans="1:25" x14ac:dyDescent="0.25">
      <c r="A219" s="111" t="s">
        <v>1004</v>
      </c>
      <c r="B219" s="112">
        <v>8.6610725308641986E-2</v>
      </c>
      <c r="C219" s="105">
        <v>1.2991608796296298E-2</v>
      </c>
      <c r="D219" s="105">
        <v>785.73250000000007</v>
      </c>
      <c r="E219" s="105">
        <v>0</v>
      </c>
      <c r="F219" s="105">
        <v>0</v>
      </c>
      <c r="G219" s="105">
        <v>720</v>
      </c>
      <c r="H219" s="105">
        <v>2.4804499999999998</v>
      </c>
      <c r="I219" s="105">
        <v>0</v>
      </c>
      <c r="J219" s="113">
        <v>2.4803999999999999</v>
      </c>
      <c r="K219" s="114">
        <v>0</v>
      </c>
      <c r="L219" s="115">
        <v>-0.96730000000000005</v>
      </c>
      <c r="M219" s="105">
        <v>3</v>
      </c>
      <c r="N219" s="105">
        <v>2</v>
      </c>
      <c r="O219" s="105">
        <v>1.2</v>
      </c>
      <c r="P219" s="105">
        <v>11.000000000002785</v>
      </c>
      <c r="Q219" s="113">
        <v>-22.7378</v>
      </c>
      <c r="R219" s="114">
        <v>0.30120000000000002</v>
      </c>
      <c r="S219" s="115">
        <v>0.3125</v>
      </c>
      <c r="Y219" s="99" t="s">
        <v>998</v>
      </c>
    </row>
    <row r="220" spans="1:25" x14ac:dyDescent="0.25">
      <c r="A220" s="111" t="s">
        <v>1014</v>
      </c>
      <c r="B220" s="112">
        <v>8.6723522927689603E-2</v>
      </c>
      <c r="C220" s="105">
        <v>1.3008528439153439E-2</v>
      </c>
      <c r="D220" s="105">
        <v>786.75580000000002</v>
      </c>
      <c r="E220" s="105">
        <v>0</v>
      </c>
      <c r="F220" s="105">
        <v>0</v>
      </c>
      <c r="G220" s="105">
        <v>720</v>
      </c>
      <c r="H220" s="105">
        <v>3.1875100000000001</v>
      </c>
      <c r="I220" s="105">
        <v>0</v>
      </c>
      <c r="J220" s="113">
        <v>3.1875</v>
      </c>
      <c r="K220" s="114">
        <v>0</v>
      </c>
      <c r="L220" s="115">
        <v>-0.6079</v>
      </c>
      <c r="M220" s="105">
        <v>3</v>
      </c>
      <c r="N220" s="105">
        <v>2</v>
      </c>
      <c r="O220" s="105">
        <v>1.2</v>
      </c>
      <c r="P220" s="105">
        <v>17.000000000003013</v>
      </c>
      <c r="Q220" s="113">
        <v>-53.366999999999997</v>
      </c>
      <c r="R220" s="114">
        <v>0.29830000000000001</v>
      </c>
      <c r="S220" s="115">
        <v>0.3125</v>
      </c>
      <c r="Y220" s="99" t="s">
        <v>1008</v>
      </c>
    </row>
    <row r="221" spans="1:25" x14ac:dyDescent="0.25">
      <c r="A221" s="111" t="s">
        <v>1024</v>
      </c>
      <c r="B221" s="112">
        <v>8.679696869488536E-2</v>
      </c>
      <c r="C221" s="105">
        <v>1.3019545304232804E-2</v>
      </c>
      <c r="D221" s="105">
        <v>787.42209999999989</v>
      </c>
      <c r="E221" s="105">
        <v>0</v>
      </c>
      <c r="F221" s="105">
        <v>0</v>
      </c>
      <c r="G221" s="105">
        <v>719.99999999999989</v>
      </c>
      <c r="H221" s="105">
        <v>3.5914799999999998</v>
      </c>
      <c r="I221" s="105">
        <v>0</v>
      </c>
      <c r="J221" s="113">
        <v>3.5914999999999999</v>
      </c>
      <c r="K221" s="114">
        <v>0</v>
      </c>
      <c r="L221" s="115">
        <v>5.2400000000000002E-2</v>
      </c>
      <c r="M221" s="105">
        <v>3</v>
      </c>
      <c r="N221" s="105">
        <v>2</v>
      </c>
      <c r="O221" s="105">
        <v>1.2</v>
      </c>
      <c r="P221" s="105">
        <v>22.999999999999687</v>
      </c>
      <c r="Q221" s="113">
        <v>-71.813100000000006</v>
      </c>
      <c r="R221" s="114">
        <v>0.28239999999999998</v>
      </c>
      <c r="S221" s="115">
        <v>0.3125</v>
      </c>
      <c r="Y221" s="99" t="s">
        <v>1018</v>
      </c>
    </row>
    <row r="222" spans="1:25" x14ac:dyDescent="0.25">
      <c r="A222" s="111" t="s">
        <v>1034</v>
      </c>
      <c r="B222" s="112">
        <v>8.6821164021164021E-2</v>
      </c>
      <c r="C222" s="105">
        <v>1.3023174603174602E-2</v>
      </c>
      <c r="D222" s="105">
        <v>787.64159999999993</v>
      </c>
      <c r="E222" s="105">
        <v>0</v>
      </c>
      <c r="F222" s="105">
        <v>0</v>
      </c>
      <c r="G222" s="105">
        <v>720</v>
      </c>
      <c r="H222" s="105">
        <v>3.6743700000000001</v>
      </c>
      <c r="I222" s="105">
        <v>0</v>
      </c>
      <c r="J222" s="113">
        <v>3.6743999999999999</v>
      </c>
      <c r="K222" s="114">
        <v>0</v>
      </c>
      <c r="L222" s="115">
        <v>0.84409999999999996</v>
      </c>
      <c r="M222" s="105">
        <v>3</v>
      </c>
      <c r="N222" s="105">
        <v>2</v>
      </c>
      <c r="O222" s="105">
        <v>1.2</v>
      </c>
      <c r="P222" s="105">
        <v>28.999999999999915</v>
      </c>
      <c r="Q222" s="113">
        <v>-90</v>
      </c>
      <c r="R222" s="114">
        <v>0.27060000000000001</v>
      </c>
      <c r="S222" s="115">
        <v>0.3125</v>
      </c>
      <c r="Y222" s="99" t="s">
        <v>1028</v>
      </c>
    </row>
    <row r="223" spans="1:25" x14ac:dyDescent="0.25">
      <c r="A223" s="111" t="s">
        <v>1043</v>
      </c>
      <c r="B223" s="112">
        <v>9.3143738977072316E-2</v>
      </c>
      <c r="C223" s="105">
        <v>1.3971560846560847E-2</v>
      </c>
      <c r="D223" s="105">
        <v>845</v>
      </c>
      <c r="E223" s="105">
        <v>0</v>
      </c>
      <c r="F223" s="105">
        <v>0</v>
      </c>
      <c r="G223" s="105">
        <v>720</v>
      </c>
      <c r="H223" s="105">
        <v>0.82769999999999999</v>
      </c>
      <c r="I223" s="105">
        <v>1.0697489954062817E-14</v>
      </c>
      <c r="J223" s="113">
        <v>0.82769999999999999</v>
      </c>
      <c r="K223" s="114">
        <v>0</v>
      </c>
      <c r="L223" s="115">
        <v>-0.75219999999999998</v>
      </c>
      <c r="M223" s="105">
        <v>3</v>
      </c>
      <c r="N223" s="105">
        <v>3</v>
      </c>
      <c r="O223" s="105">
        <v>1.1000000000000001</v>
      </c>
      <c r="P223" s="105">
        <v>3.0000000000001137</v>
      </c>
      <c r="Q223" s="113">
        <v>15</v>
      </c>
      <c r="R223" s="114">
        <v>0.28639999999999999</v>
      </c>
      <c r="S223" s="115">
        <v>0.29649999999999999</v>
      </c>
      <c r="Y223" s="99" t="s">
        <v>1036</v>
      </c>
    </row>
    <row r="224" spans="1:25" x14ac:dyDescent="0.25">
      <c r="A224" s="111" t="s">
        <v>1053</v>
      </c>
      <c r="B224" s="112">
        <v>9.3143738977072316E-2</v>
      </c>
      <c r="C224" s="105">
        <v>1.3971560846560847E-2</v>
      </c>
      <c r="D224" s="105">
        <v>845</v>
      </c>
      <c r="E224" s="105">
        <v>0</v>
      </c>
      <c r="F224" s="105">
        <v>0</v>
      </c>
      <c r="G224" s="105">
        <v>720</v>
      </c>
      <c r="H224" s="105">
        <v>1.5526</v>
      </c>
      <c r="I224" s="105">
        <v>2.0066356050112272E-14</v>
      </c>
      <c r="J224" s="113">
        <v>1.5526</v>
      </c>
      <c r="K224" s="114">
        <v>0</v>
      </c>
      <c r="L224" s="115">
        <v>-0.94650000000000001</v>
      </c>
      <c r="M224" s="105">
        <v>3</v>
      </c>
      <c r="N224" s="105">
        <v>3</v>
      </c>
      <c r="O224" s="105">
        <v>1.1000000000000001</v>
      </c>
      <c r="P224" s="105">
        <v>6.0000000000002274</v>
      </c>
      <c r="Q224" s="113">
        <v>15</v>
      </c>
      <c r="R224" s="114">
        <v>0.28639999999999999</v>
      </c>
      <c r="S224" s="115">
        <v>0.29649999999999999</v>
      </c>
      <c r="Y224" s="99" t="s">
        <v>1046</v>
      </c>
    </row>
    <row r="225" spans="1:25" x14ac:dyDescent="0.25">
      <c r="A225" s="111" t="s">
        <v>1063</v>
      </c>
      <c r="B225" s="112">
        <v>9.3206018518518521E-2</v>
      </c>
      <c r="C225" s="105">
        <v>1.3980902777777778E-2</v>
      </c>
      <c r="D225" s="105">
        <v>845.56499999999994</v>
      </c>
      <c r="E225" s="105">
        <v>0</v>
      </c>
      <c r="F225" s="105">
        <v>0</v>
      </c>
      <c r="G225" s="105">
        <v>720</v>
      </c>
      <c r="H225" s="105">
        <v>2.3447</v>
      </c>
      <c r="I225" s="105">
        <v>3.0303738909376691E-14</v>
      </c>
      <c r="J225" s="113">
        <v>2.3447</v>
      </c>
      <c r="K225" s="114">
        <v>0</v>
      </c>
      <c r="L225" s="115">
        <v>-1.0697000000000001</v>
      </c>
      <c r="M225" s="105">
        <v>3</v>
      </c>
      <c r="N225" s="105">
        <v>3</v>
      </c>
      <c r="O225" s="105">
        <v>1.1000000000000001</v>
      </c>
      <c r="P225" s="105">
        <v>9.9999999999980105</v>
      </c>
      <c r="Q225" s="113">
        <v>-16.861799999999999</v>
      </c>
      <c r="R225" s="114">
        <v>0.28589999999999999</v>
      </c>
      <c r="S225" s="115">
        <v>0.29649999999999999</v>
      </c>
      <c r="Y225" s="99" t="s">
        <v>1056</v>
      </c>
    </row>
    <row r="226" spans="1:25" x14ac:dyDescent="0.25">
      <c r="A226" s="111" t="s">
        <v>1073</v>
      </c>
      <c r="B226" s="112">
        <v>9.3319786155202825E-2</v>
      </c>
      <c r="C226" s="105">
        <v>1.3997967923280423E-2</v>
      </c>
      <c r="D226" s="105">
        <v>846.59709999999995</v>
      </c>
      <c r="E226" s="105">
        <v>0</v>
      </c>
      <c r="F226" s="105">
        <v>0</v>
      </c>
      <c r="G226" s="105">
        <v>720</v>
      </c>
      <c r="H226" s="105">
        <v>3.0903999999999998</v>
      </c>
      <c r="I226" s="105">
        <v>3.9941431622611725E-14</v>
      </c>
      <c r="J226" s="113">
        <v>3.0903999999999998</v>
      </c>
      <c r="K226" s="114">
        <v>0</v>
      </c>
      <c r="L226" s="115">
        <v>-0.77590000000000003</v>
      </c>
      <c r="M226" s="105">
        <v>3</v>
      </c>
      <c r="N226" s="105">
        <v>3</v>
      </c>
      <c r="O226" s="105">
        <v>1.1000000000000001</v>
      </c>
      <c r="P226" s="105">
        <v>15.999999999998238</v>
      </c>
      <c r="Q226" s="113">
        <v>-49.742800000000003</v>
      </c>
      <c r="R226" s="114">
        <v>0.28460000000000002</v>
      </c>
      <c r="S226" s="115">
        <v>0.29649999999999999</v>
      </c>
      <c r="Y226" s="99" t="s">
        <v>1066</v>
      </c>
    </row>
    <row r="227" spans="1:25" x14ac:dyDescent="0.25">
      <c r="A227" s="111" t="s">
        <v>1083</v>
      </c>
      <c r="B227" s="112">
        <v>9.3403152557319222E-2</v>
      </c>
      <c r="C227" s="105">
        <v>1.4010472883597884E-2</v>
      </c>
      <c r="D227" s="105">
        <v>847.35340000000008</v>
      </c>
      <c r="E227" s="105">
        <v>0</v>
      </c>
      <c r="F227" s="105">
        <v>0</v>
      </c>
      <c r="G227" s="105">
        <v>720</v>
      </c>
      <c r="H227" s="105">
        <v>3.5577999999999999</v>
      </c>
      <c r="I227" s="105">
        <v>4.5982275895330058E-14</v>
      </c>
      <c r="J227" s="113">
        <v>3.5577999999999999</v>
      </c>
      <c r="K227" s="114">
        <v>0</v>
      </c>
      <c r="L227" s="115">
        <v>-0.15290000000000001</v>
      </c>
      <c r="M227" s="105">
        <v>3</v>
      </c>
      <c r="N227" s="105">
        <v>3</v>
      </c>
      <c r="O227" s="105">
        <v>1.1000000000000001</v>
      </c>
      <c r="P227" s="105">
        <v>21.999999999998465</v>
      </c>
      <c r="Q227" s="113">
        <v>-68.580799999999996</v>
      </c>
      <c r="R227" s="114">
        <v>0.27010000000000001</v>
      </c>
      <c r="S227" s="115">
        <v>0.29649999999999999</v>
      </c>
      <c r="Y227" s="99" t="s">
        <v>1076</v>
      </c>
    </row>
    <row r="228" spans="1:25" x14ac:dyDescent="0.25">
      <c r="A228" s="111" t="s">
        <v>1093</v>
      </c>
      <c r="B228" s="112">
        <v>9.3434920634920621E-2</v>
      </c>
      <c r="C228" s="105">
        <v>1.4015238095238094E-2</v>
      </c>
      <c r="D228" s="105">
        <v>847.64159999999993</v>
      </c>
      <c r="E228" s="105">
        <v>0</v>
      </c>
      <c r="F228" s="105">
        <v>0</v>
      </c>
      <c r="G228" s="105">
        <v>720</v>
      </c>
      <c r="H228" s="105">
        <v>3.7368000000000001</v>
      </c>
      <c r="I228" s="105">
        <v>4.8295735725917521E-14</v>
      </c>
      <c r="J228" s="113">
        <v>3.7368000000000001</v>
      </c>
      <c r="K228" s="114">
        <v>0</v>
      </c>
      <c r="L228" s="115">
        <v>0.57130000000000003</v>
      </c>
      <c r="M228" s="105">
        <v>3</v>
      </c>
      <c r="N228" s="105">
        <v>3</v>
      </c>
      <c r="O228" s="105">
        <v>1.1000000000000001</v>
      </c>
      <c r="P228" s="105">
        <v>27.999999999998693</v>
      </c>
      <c r="Q228" s="113">
        <v>-90</v>
      </c>
      <c r="R228" s="114">
        <v>0.25679999999999997</v>
      </c>
      <c r="S228" s="115">
        <v>0.29649999999999999</v>
      </c>
      <c r="Y228" s="99" t="s">
        <v>1086</v>
      </c>
    </row>
    <row r="229" spans="1:25" x14ac:dyDescent="0.25">
      <c r="A229" s="111" t="s">
        <v>1044</v>
      </c>
      <c r="B229" s="112">
        <v>9.3143738977072316E-2</v>
      </c>
      <c r="C229" s="105">
        <v>1.3971560846560847E-2</v>
      </c>
      <c r="D229" s="105">
        <v>845</v>
      </c>
      <c r="E229" s="105">
        <v>0</v>
      </c>
      <c r="F229" s="105">
        <v>0</v>
      </c>
      <c r="G229" s="105">
        <v>720</v>
      </c>
      <c r="H229" s="105">
        <v>0.82877000000000001</v>
      </c>
      <c r="I229" s="105">
        <v>0</v>
      </c>
      <c r="J229" s="113">
        <v>0.82879999999999998</v>
      </c>
      <c r="K229" s="114">
        <v>0</v>
      </c>
      <c r="L229" s="115">
        <v>-0.74819999999999998</v>
      </c>
      <c r="M229" s="105">
        <v>3</v>
      </c>
      <c r="N229" s="105">
        <v>3</v>
      </c>
      <c r="O229" s="105">
        <v>1.2</v>
      </c>
      <c r="P229" s="105">
        <v>3.0000000000001137</v>
      </c>
      <c r="Q229" s="113">
        <v>15</v>
      </c>
      <c r="R229" s="114">
        <v>0.3019</v>
      </c>
      <c r="S229" s="115">
        <v>0.3125</v>
      </c>
      <c r="Y229" s="99" t="s">
        <v>1038</v>
      </c>
    </row>
    <row r="230" spans="1:25" x14ac:dyDescent="0.25">
      <c r="A230" s="111" t="s">
        <v>1054</v>
      </c>
      <c r="B230" s="112">
        <v>9.3143738977072316E-2</v>
      </c>
      <c r="C230" s="105">
        <v>1.3971560846560847E-2</v>
      </c>
      <c r="D230" s="105">
        <v>845</v>
      </c>
      <c r="E230" s="105">
        <v>0</v>
      </c>
      <c r="F230" s="105">
        <v>0</v>
      </c>
      <c r="G230" s="105">
        <v>720</v>
      </c>
      <c r="H230" s="105">
        <v>1.5536700000000001</v>
      </c>
      <c r="I230" s="105">
        <v>0</v>
      </c>
      <c r="J230" s="113">
        <v>1.5537000000000001</v>
      </c>
      <c r="K230" s="114">
        <v>0</v>
      </c>
      <c r="L230" s="115">
        <v>-0.9425</v>
      </c>
      <c r="M230" s="105">
        <v>3</v>
      </c>
      <c r="N230" s="105">
        <v>3</v>
      </c>
      <c r="O230" s="105">
        <v>1.2</v>
      </c>
      <c r="P230" s="105">
        <v>6.0000000000002274</v>
      </c>
      <c r="Q230" s="113">
        <v>15</v>
      </c>
      <c r="R230" s="114">
        <v>0.3019</v>
      </c>
      <c r="S230" s="115">
        <v>0.3125</v>
      </c>
      <c r="Y230" s="99" t="s">
        <v>1048</v>
      </c>
    </row>
    <row r="231" spans="1:25" x14ac:dyDescent="0.25">
      <c r="A231" s="111" t="s">
        <v>1064</v>
      </c>
      <c r="B231" s="112">
        <v>9.3206018518518521E-2</v>
      </c>
      <c r="C231" s="105">
        <v>1.3980902777777778E-2</v>
      </c>
      <c r="D231" s="105">
        <v>845.56499999999994</v>
      </c>
      <c r="E231" s="105">
        <v>0</v>
      </c>
      <c r="F231" s="105">
        <v>0</v>
      </c>
      <c r="G231" s="105">
        <v>720</v>
      </c>
      <c r="H231" s="105">
        <v>2.3433199999999998</v>
      </c>
      <c r="I231" s="105">
        <v>0</v>
      </c>
      <c r="J231" s="113">
        <v>2.3433000000000002</v>
      </c>
      <c r="K231" s="114">
        <v>0</v>
      </c>
      <c r="L231" s="115">
        <v>-1.0656000000000001</v>
      </c>
      <c r="M231" s="105">
        <v>3</v>
      </c>
      <c r="N231" s="105">
        <v>3</v>
      </c>
      <c r="O231" s="105">
        <v>1.2</v>
      </c>
      <c r="P231" s="105">
        <v>9.9999999999980105</v>
      </c>
      <c r="Q231" s="113">
        <v>-16.861799999999999</v>
      </c>
      <c r="R231" s="114">
        <v>0.3014</v>
      </c>
      <c r="S231" s="115">
        <v>0.3125</v>
      </c>
      <c r="Y231" s="99" t="s">
        <v>1058</v>
      </c>
    </row>
    <row r="232" spans="1:25" x14ac:dyDescent="0.25">
      <c r="A232" s="111" t="s">
        <v>1074</v>
      </c>
      <c r="B232" s="112">
        <v>9.3319786155202825E-2</v>
      </c>
      <c r="C232" s="105">
        <v>1.3997967923280423E-2</v>
      </c>
      <c r="D232" s="105">
        <v>846.59709999999995</v>
      </c>
      <c r="E232" s="105">
        <v>0</v>
      </c>
      <c r="F232" s="105">
        <v>0</v>
      </c>
      <c r="G232" s="105">
        <v>720</v>
      </c>
      <c r="H232" s="105">
        <v>3.0865499999999999</v>
      </c>
      <c r="I232" s="105">
        <v>0</v>
      </c>
      <c r="J232" s="113">
        <v>3.0865999999999998</v>
      </c>
      <c r="K232" s="114">
        <v>0</v>
      </c>
      <c r="L232" s="115">
        <v>-0.77300000000000002</v>
      </c>
      <c r="M232" s="105">
        <v>3</v>
      </c>
      <c r="N232" s="105">
        <v>3</v>
      </c>
      <c r="O232" s="105">
        <v>1.2</v>
      </c>
      <c r="P232" s="105">
        <v>15.999999999998238</v>
      </c>
      <c r="Q232" s="113">
        <v>-49.742800000000003</v>
      </c>
      <c r="R232" s="114">
        <v>0.3</v>
      </c>
      <c r="S232" s="115">
        <v>0.3125</v>
      </c>
      <c r="Y232" s="99" t="s">
        <v>1068</v>
      </c>
    </row>
    <row r="233" spans="1:25" x14ac:dyDescent="0.25">
      <c r="A233" s="111" t="s">
        <v>1084</v>
      </c>
      <c r="B233" s="112">
        <v>9.3403152557319222E-2</v>
      </c>
      <c r="C233" s="105">
        <v>1.4010472883597884E-2</v>
      </c>
      <c r="D233" s="105">
        <v>847.35340000000008</v>
      </c>
      <c r="E233" s="105">
        <v>0</v>
      </c>
      <c r="F233" s="105">
        <v>0</v>
      </c>
      <c r="G233" s="105">
        <v>720</v>
      </c>
      <c r="H233" s="105">
        <v>3.5510600000000001</v>
      </c>
      <c r="I233" s="105">
        <v>0</v>
      </c>
      <c r="J233" s="113">
        <v>3.5510999999999999</v>
      </c>
      <c r="K233" s="114">
        <v>0</v>
      </c>
      <c r="L233" s="115">
        <v>-0.15049999999999999</v>
      </c>
      <c r="M233" s="105">
        <v>3</v>
      </c>
      <c r="N233" s="105">
        <v>3</v>
      </c>
      <c r="O233" s="105">
        <v>1.2</v>
      </c>
      <c r="P233" s="105">
        <v>21.999999999998465</v>
      </c>
      <c r="Q233" s="113">
        <v>-68.580799999999996</v>
      </c>
      <c r="R233" s="114">
        <v>0.28460000000000002</v>
      </c>
      <c r="S233" s="115">
        <v>0.3125</v>
      </c>
      <c r="Y233" s="99" t="s">
        <v>1078</v>
      </c>
    </row>
    <row r="234" spans="1:25" x14ac:dyDescent="0.25">
      <c r="A234" s="111" t="s">
        <v>1094</v>
      </c>
      <c r="B234" s="112">
        <v>9.3434920634920621E-2</v>
      </c>
      <c r="C234" s="105">
        <v>1.4015238095238094E-2</v>
      </c>
      <c r="D234" s="105">
        <v>847.64159999999993</v>
      </c>
      <c r="E234" s="105">
        <v>0</v>
      </c>
      <c r="F234" s="105">
        <v>0</v>
      </c>
      <c r="G234" s="105">
        <v>720</v>
      </c>
      <c r="H234" s="105">
        <v>3.72817</v>
      </c>
      <c r="I234" s="105">
        <v>0</v>
      </c>
      <c r="J234" s="113">
        <v>3.7282000000000002</v>
      </c>
      <c r="K234" s="114">
        <v>0</v>
      </c>
      <c r="L234" s="115">
        <v>0.57130000000000003</v>
      </c>
      <c r="M234" s="105">
        <v>3</v>
      </c>
      <c r="N234" s="105">
        <v>3</v>
      </c>
      <c r="O234" s="105">
        <v>1.2</v>
      </c>
      <c r="P234" s="105">
        <v>27.999999999998693</v>
      </c>
      <c r="Q234" s="113">
        <v>-90</v>
      </c>
      <c r="R234" s="114">
        <v>0.27060000000000001</v>
      </c>
      <c r="S234" s="115">
        <v>0.3125</v>
      </c>
      <c r="Y234" s="99" t="s">
        <v>1088</v>
      </c>
    </row>
    <row r="235" spans="1:25" x14ac:dyDescent="0.25">
      <c r="A235" s="111" t="s">
        <v>1103</v>
      </c>
      <c r="B235" s="112">
        <v>0.10035392416225748</v>
      </c>
      <c r="C235" s="105">
        <v>1.5053088624338622E-2</v>
      </c>
      <c r="D235" s="105">
        <v>910.41079999999977</v>
      </c>
      <c r="E235" s="105">
        <v>0</v>
      </c>
      <c r="F235" s="105">
        <v>0</v>
      </c>
      <c r="G235" s="105">
        <v>719.99999999999977</v>
      </c>
      <c r="H235" s="105">
        <v>2.206</v>
      </c>
      <c r="I235" s="105">
        <v>4.0267060212737145E-14</v>
      </c>
      <c r="J235" s="113">
        <v>2.206</v>
      </c>
      <c r="K235" s="114">
        <v>0</v>
      </c>
      <c r="L235" s="115">
        <v>-1.1611</v>
      </c>
      <c r="M235" s="105">
        <v>3</v>
      </c>
      <c r="N235" s="105">
        <v>4</v>
      </c>
      <c r="O235" s="105">
        <v>1.1000000000000001</v>
      </c>
      <c r="P235" s="105">
        <v>9.0000000000003411</v>
      </c>
      <c r="Q235" s="113">
        <v>-10.938499999999999</v>
      </c>
      <c r="R235" s="114">
        <v>0.28610000000000002</v>
      </c>
      <c r="S235" s="115">
        <v>0.29649999999999999</v>
      </c>
      <c r="Y235" s="99" t="s">
        <v>1096</v>
      </c>
    </row>
    <row r="236" spans="1:25" x14ac:dyDescent="0.25">
      <c r="A236" s="111" t="s">
        <v>1123</v>
      </c>
      <c r="B236" s="112">
        <v>0.10055837742504409</v>
      </c>
      <c r="C236" s="105">
        <v>1.5083756613756613E-2</v>
      </c>
      <c r="D236" s="105">
        <v>912.26559999999995</v>
      </c>
      <c r="E236" s="105">
        <v>0</v>
      </c>
      <c r="F236" s="105">
        <v>0</v>
      </c>
      <c r="G236" s="105">
        <v>720</v>
      </c>
      <c r="H236" s="105">
        <v>3.5053000000000001</v>
      </c>
      <c r="I236" s="105">
        <v>4.5303747174068369E-14</v>
      </c>
      <c r="J236" s="113">
        <v>3.5053000000000001</v>
      </c>
      <c r="K236" s="114">
        <v>0</v>
      </c>
      <c r="L236" s="115">
        <v>-0.35759999999999997</v>
      </c>
      <c r="M236" s="105">
        <v>3</v>
      </c>
      <c r="N236" s="105">
        <v>4</v>
      </c>
      <c r="O236" s="105">
        <v>1.1000000000000001</v>
      </c>
      <c r="P236" s="105">
        <v>9.9999999999980105</v>
      </c>
      <c r="Q236" s="113">
        <v>-66.126099999999994</v>
      </c>
      <c r="R236" s="114">
        <v>0.27410000000000001</v>
      </c>
      <c r="S236" s="115">
        <v>0.29649999999999999</v>
      </c>
      <c r="Y236" s="99" t="s">
        <v>1116</v>
      </c>
    </row>
    <row r="237" spans="1:25" x14ac:dyDescent="0.25">
      <c r="A237" s="111" t="s">
        <v>1113</v>
      </c>
      <c r="B237" s="112">
        <v>0.10046633597883599</v>
      </c>
      <c r="C237" s="105">
        <v>1.5069950396825398E-2</v>
      </c>
      <c r="D237" s="105">
        <v>911.43060000000003</v>
      </c>
      <c r="E237" s="105">
        <v>0</v>
      </c>
      <c r="F237" s="105">
        <v>0</v>
      </c>
      <c r="G237" s="105">
        <v>720</v>
      </c>
      <c r="H237" s="105">
        <v>2.9815999999999998</v>
      </c>
      <c r="I237" s="105">
        <v>3.8535261625025603E-14</v>
      </c>
      <c r="J237" s="113">
        <v>2.9815999999999998</v>
      </c>
      <c r="K237" s="114">
        <v>0</v>
      </c>
      <c r="L237" s="115">
        <v>-0.93879999999999997</v>
      </c>
      <c r="M237" s="105">
        <v>3</v>
      </c>
      <c r="N237" s="105">
        <v>4</v>
      </c>
      <c r="O237" s="105">
        <v>1.1000000000000001</v>
      </c>
      <c r="P237" s="105">
        <v>15.000000000000568</v>
      </c>
      <c r="Q237" s="113">
        <v>-44.547400000000003</v>
      </c>
      <c r="R237" s="114">
        <v>0.28489999999999999</v>
      </c>
      <c r="S237" s="115">
        <v>0.29649999999999999</v>
      </c>
      <c r="Y237" s="99" t="s">
        <v>1106</v>
      </c>
    </row>
    <row r="238" spans="1:25" x14ac:dyDescent="0.25">
      <c r="A238" s="111" t="s">
        <v>1133</v>
      </c>
      <c r="B238" s="112">
        <v>0.10059982363315695</v>
      </c>
      <c r="C238" s="105">
        <v>1.5089973544973543E-2</v>
      </c>
      <c r="D238" s="105">
        <v>912.64159999999981</v>
      </c>
      <c r="E238" s="105">
        <v>0</v>
      </c>
      <c r="F238" s="105">
        <v>0</v>
      </c>
      <c r="G238" s="105">
        <v>719.99999999999977</v>
      </c>
      <c r="H238" s="105">
        <v>3.7368000000000001</v>
      </c>
      <c r="I238" s="105">
        <v>6.8209406438330095E-14</v>
      </c>
      <c r="J238" s="113">
        <v>3.7368000000000001</v>
      </c>
      <c r="K238" s="114">
        <v>0</v>
      </c>
      <c r="L238" s="115">
        <v>0.3695</v>
      </c>
      <c r="M238" s="105">
        <v>3</v>
      </c>
      <c r="N238" s="105">
        <v>4</v>
      </c>
      <c r="O238" s="105">
        <v>1.1000000000000001</v>
      </c>
      <c r="P238" s="105">
        <v>26.999999999993918</v>
      </c>
      <c r="Q238" s="113">
        <v>-90</v>
      </c>
      <c r="R238" s="114">
        <v>0.25679999999999997</v>
      </c>
      <c r="S238" s="115">
        <v>0.29649999999999999</v>
      </c>
      <c r="Y238" s="99" t="s">
        <v>1126</v>
      </c>
    </row>
    <row r="239" spans="1:25" x14ac:dyDescent="0.25">
      <c r="A239" s="111" t="s">
        <v>1104</v>
      </c>
      <c r="B239" s="112">
        <v>0.10035392416225748</v>
      </c>
      <c r="C239" s="105">
        <v>1.5053088624338622E-2</v>
      </c>
      <c r="D239" s="105">
        <v>910.41079999999977</v>
      </c>
      <c r="E239" s="105">
        <v>0</v>
      </c>
      <c r="F239" s="105">
        <v>0</v>
      </c>
      <c r="G239" s="105">
        <v>719.99999999999977</v>
      </c>
      <c r="H239" s="105">
        <v>2.2050900000000002</v>
      </c>
      <c r="I239" s="105">
        <v>0</v>
      </c>
      <c r="J239" s="113">
        <v>2.2050999999999998</v>
      </c>
      <c r="K239" s="114">
        <v>0</v>
      </c>
      <c r="L239" s="115">
        <v>-1.157</v>
      </c>
      <c r="M239" s="105">
        <v>3</v>
      </c>
      <c r="N239" s="105">
        <v>4</v>
      </c>
      <c r="O239" s="105">
        <v>1.2</v>
      </c>
      <c r="P239" s="105">
        <v>9.0000000000003411</v>
      </c>
      <c r="Q239" s="113">
        <v>-10.938499999999999</v>
      </c>
      <c r="R239" s="114">
        <v>0.30149999999999999</v>
      </c>
      <c r="S239" s="115">
        <v>0.3125</v>
      </c>
      <c r="Y239" s="99" t="s">
        <v>1098</v>
      </c>
    </row>
    <row r="240" spans="1:25" x14ac:dyDescent="0.25">
      <c r="A240" s="111" t="s">
        <v>1124</v>
      </c>
      <c r="B240" s="112">
        <v>0.10055837742504409</v>
      </c>
      <c r="C240" s="105">
        <v>1.5083756613756613E-2</v>
      </c>
      <c r="D240" s="105">
        <v>912.26559999999995</v>
      </c>
      <c r="E240" s="105">
        <v>0</v>
      </c>
      <c r="F240" s="105">
        <v>0</v>
      </c>
      <c r="G240" s="105">
        <v>720</v>
      </c>
      <c r="H240" s="105">
        <v>3.4991400000000001</v>
      </c>
      <c r="I240" s="105">
        <v>0</v>
      </c>
      <c r="J240" s="113">
        <v>3.4990999999999999</v>
      </c>
      <c r="K240" s="114">
        <v>0</v>
      </c>
      <c r="L240" s="115">
        <v>-0.35510000000000003</v>
      </c>
      <c r="M240" s="105">
        <v>3</v>
      </c>
      <c r="N240" s="105">
        <v>4</v>
      </c>
      <c r="O240" s="105">
        <v>1.2</v>
      </c>
      <c r="P240" s="105">
        <v>9.9999999999980105</v>
      </c>
      <c r="Q240" s="113">
        <v>-66.126099999999994</v>
      </c>
      <c r="R240" s="114">
        <v>0.2888</v>
      </c>
      <c r="S240" s="115">
        <v>0.3125</v>
      </c>
      <c r="Y240" s="99" t="s">
        <v>1118</v>
      </c>
    </row>
    <row r="241" spans="1:25" x14ac:dyDescent="0.25">
      <c r="A241" s="111" t="s">
        <v>1114</v>
      </c>
      <c r="B241" s="112">
        <v>0.10046633597883599</v>
      </c>
      <c r="C241" s="105">
        <v>1.5069950396825398E-2</v>
      </c>
      <c r="D241" s="105">
        <v>911.43060000000003</v>
      </c>
      <c r="E241" s="105">
        <v>0</v>
      </c>
      <c r="F241" s="105">
        <v>0</v>
      </c>
      <c r="G241" s="105">
        <v>720</v>
      </c>
      <c r="H241" s="105">
        <v>2.9781</v>
      </c>
      <c r="I241" s="105">
        <v>0</v>
      </c>
      <c r="J241" s="113">
        <v>2.9781</v>
      </c>
      <c r="K241" s="114">
        <v>0</v>
      </c>
      <c r="L241" s="115">
        <v>-0.93559999999999999</v>
      </c>
      <c r="M241" s="105">
        <v>3</v>
      </c>
      <c r="N241" s="105">
        <v>4</v>
      </c>
      <c r="O241" s="105">
        <v>1.2</v>
      </c>
      <c r="P241" s="105">
        <v>15.000000000000568</v>
      </c>
      <c r="Q241" s="113">
        <v>-44.547400000000003</v>
      </c>
      <c r="R241" s="114">
        <v>0.30020000000000002</v>
      </c>
      <c r="S241" s="115">
        <v>0.3125</v>
      </c>
      <c r="Y241" s="99" t="s">
        <v>1108</v>
      </c>
    </row>
    <row r="242" spans="1:25" x14ac:dyDescent="0.25">
      <c r="A242" s="111" t="s">
        <v>1134</v>
      </c>
      <c r="B242" s="112">
        <v>0.10059982363315695</v>
      </c>
      <c r="C242" s="105">
        <v>1.5089973544973543E-2</v>
      </c>
      <c r="D242" s="105">
        <v>912.64159999999981</v>
      </c>
      <c r="E242" s="105">
        <v>0</v>
      </c>
      <c r="F242" s="105">
        <v>0</v>
      </c>
      <c r="G242" s="105">
        <v>719.99999999999977</v>
      </c>
      <c r="H242" s="105">
        <v>3.72817</v>
      </c>
      <c r="I242" s="105">
        <v>0</v>
      </c>
      <c r="J242" s="113">
        <v>3.7282000000000002</v>
      </c>
      <c r="K242" s="114">
        <v>0</v>
      </c>
      <c r="L242" s="115">
        <v>0.3695</v>
      </c>
      <c r="M242" s="105">
        <v>3</v>
      </c>
      <c r="N242" s="105">
        <v>4</v>
      </c>
      <c r="O242" s="105">
        <v>1.2</v>
      </c>
      <c r="P242" s="105">
        <v>26.999999999993918</v>
      </c>
      <c r="Q242" s="113">
        <v>-90</v>
      </c>
      <c r="R242" s="114">
        <v>0.27060000000000001</v>
      </c>
      <c r="S242" s="115">
        <v>0.3125</v>
      </c>
      <c r="Y242" s="99" t="s">
        <v>1128</v>
      </c>
    </row>
    <row r="243" spans="1:25" x14ac:dyDescent="0.25">
      <c r="A243" s="111" t="s">
        <v>1143</v>
      </c>
      <c r="B243" s="112">
        <v>0.10637125220458553</v>
      </c>
      <c r="C243" s="105">
        <v>1.5955687830687831E-2</v>
      </c>
      <c r="D243" s="105">
        <v>964.99999999999989</v>
      </c>
      <c r="E243" s="105">
        <v>0</v>
      </c>
      <c r="F243" s="105">
        <v>0</v>
      </c>
      <c r="G243" s="105">
        <v>719.99999999999989</v>
      </c>
      <c r="H243" s="105">
        <v>0.58599999999999997</v>
      </c>
      <c r="I243" s="105">
        <v>8.6146180728285135E-15</v>
      </c>
      <c r="J243" s="113">
        <v>0.58599999999999997</v>
      </c>
      <c r="K243" s="114">
        <v>0</v>
      </c>
      <c r="L243" s="115">
        <v>-0.84630000000000005</v>
      </c>
      <c r="M243" s="105">
        <v>3</v>
      </c>
      <c r="N243" s="105">
        <v>5</v>
      </c>
      <c r="O243" s="105">
        <v>1.1000000000000001</v>
      </c>
      <c r="P243" s="105">
        <v>2.0000000000024443</v>
      </c>
      <c r="Q243" s="113">
        <v>15</v>
      </c>
      <c r="R243" s="114">
        <v>0.2828</v>
      </c>
      <c r="S243" s="115">
        <v>0.29649999999999999</v>
      </c>
      <c r="Y243" s="99" t="s">
        <v>1136</v>
      </c>
    </row>
    <row r="244" spans="1:25" x14ac:dyDescent="0.25">
      <c r="A244" s="111" t="s">
        <v>1153</v>
      </c>
      <c r="B244" s="112">
        <v>0.10637125220458553</v>
      </c>
      <c r="C244" s="105">
        <v>1.5955687830687831E-2</v>
      </c>
      <c r="D244" s="105">
        <v>964.99999999999989</v>
      </c>
      <c r="E244" s="105">
        <v>0</v>
      </c>
      <c r="F244" s="105">
        <v>0</v>
      </c>
      <c r="G244" s="105">
        <v>719.99999999999989</v>
      </c>
      <c r="H244" s="105">
        <v>1.3109999999999999</v>
      </c>
      <c r="I244" s="105">
        <v>1.9272635313102697E-14</v>
      </c>
      <c r="J244" s="113">
        <v>1.3109999999999999</v>
      </c>
      <c r="K244" s="114">
        <v>0</v>
      </c>
      <c r="L244" s="115">
        <v>-1.0405</v>
      </c>
      <c r="M244" s="105">
        <v>3</v>
      </c>
      <c r="N244" s="105">
        <v>5</v>
      </c>
      <c r="O244" s="105">
        <v>1.1000000000000001</v>
      </c>
      <c r="P244" s="105">
        <v>5.000000000002558</v>
      </c>
      <c r="Q244" s="113">
        <v>15</v>
      </c>
      <c r="R244" s="114">
        <v>0.28639999999999999</v>
      </c>
      <c r="S244" s="115">
        <v>0.29649999999999999</v>
      </c>
      <c r="Y244" s="99" t="s">
        <v>1146</v>
      </c>
    </row>
    <row r="245" spans="1:25" x14ac:dyDescent="0.25">
      <c r="A245" s="111" t="s">
        <v>1163</v>
      </c>
      <c r="B245" s="112">
        <v>0.10640152116402117</v>
      </c>
      <c r="C245" s="105">
        <v>1.5960228174603176E-2</v>
      </c>
      <c r="D245" s="105">
        <v>965.27460000000008</v>
      </c>
      <c r="E245" s="105">
        <v>0</v>
      </c>
      <c r="F245" s="105">
        <v>0</v>
      </c>
      <c r="G245" s="105">
        <v>720</v>
      </c>
      <c r="H245" s="105">
        <v>2.0676000000000001</v>
      </c>
      <c r="I245" s="105">
        <v>2.6722399696774533E-14</v>
      </c>
      <c r="J245" s="113">
        <v>2.0676000000000001</v>
      </c>
      <c r="K245" s="114">
        <v>0</v>
      </c>
      <c r="L245" s="115">
        <v>-1.2259</v>
      </c>
      <c r="M245" s="105">
        <v>3</v>
      </c>
      <c r="N245" s="105">
        <v>5</v>
      </c>
      <c r="O245" s="105">
        <v>1.1000000000000001</v>
      </c>
      <c r="P245" s="105">
        <v>7.9999999999955662</v>
      </c>
      <c r="Q245" s="113">
        <v>-4.9935</v>
      </c>
      <c r="R245" s="114">
        <v>0.28620000000000001</v>
      </c>
      <c r="S245" s="115">
        <v>0.29649999999999999</v>
      </c>
      <c r="Y245" s="99" t="s">
        <v>1156</v>
      </c>
    </row>
    <row r="246" spans="1:25" x14ac:dyDescent="0.25">
      <c r="A246" s="111" t="s">
        <v>1173</v>
      </c>
      <c r="B246" s="112">
        <v>0.10650993165784833</v>
      </c>
      <c r="C246" s="105">
        <v>1.5976489748677249E-2</v>
      </c>
      <c r="D246" s="105">
        <v>966.25810000000001</v>
      </c>
      <c r="E246" s="105">
        <v>0</v>
      </c>
      <c r="F246" s="105">
        <v>0</v>
      </c>
      <c r="G246" s="105">
        <v>720</v>
      </c>
      <c r="H246" s="105">
        <v>2.8656000000000001</v>
      </c>
      <c r="I246" s="105">
        <v>3.7036036259952166E-14</v>
      </c>
      <c r="J246" s="113">
        <v>2.8656000000000001</v>
      </c>
      <c r="K246" s="114">
        <v>0</v>
      </c>
      <c r="L246" s="115">
        <v>-1.0781000000000001</v>
      </c>
      <c r="M246" s="105">
        <v>3</v>
      </c>
      <c r="N246" s="105">
        <v>5</v>
      </c>
      <c r="O246" s="105">
        <v>1.1000000000000001</v>
      </c>
      <c r="P246" s="105">
        <v>13.999999999995794</v>
      </c>
      <c r="Q246" s="113">
        <v>-39.322699999999998</v>
      </c>
      <c r="R246" s="114">
        <v>0.28510000000000002</v>
      </c>
      <c r="S246" s="115">
        <v>0.29649999999999999</v>
      </c>
      <c r="Y246" s="99" t="s">
        <v>1166</v>
      </c>
    </row>
    <row r="247" spans="1:25" x14ac:dyDescent="0.25">
      <c r="A247" s="111" t="s">
        <v>1183</v>
      </c>
      <c r="B247" s="112">
        <v>0.10660950176366842</v>
      </c>
      <c r="C247" s="105">
        <v>1.5991425264550264E-2</v>
      </c>
      <c r="D247" s="105">
        <v>967.16139999999996</v>
      </c>
      <c r="E247" s="105">
        <v>0</v>
      </c>
      <c r="F247" s="105">
        <v>0</v>
      </c>
      <c r="G247" s="105">
        <v>720</v>
      </c>
      <c r="H247" s="105">
        <v>3.4424999999999999</v>
      </c>
      <c r="I247" s="105">
        <v>4.4492097579873435E-14</v>
      </c>
      <c r="J247" s="113">
        <v>3.4424999999999999</v>
      </c>
      <c r="K247" s="114">
        <v>0</v>
      </c>
      <c r="L247" s="115">
        <v>-0.54490000000000005</v>
      </c>
      <c r="M247" s="105">
        <v>3</v>
      </c>
      <c r="N247" s="105">
        <v>5</v>
      </c>
      <c r="O247" s="105">
        <v>1.1000000000000001</v>
      </c>
      <c r="P247" s="105">
        <v>20.000000000003126</v>
      </c>
      <c r="Q247" s="113">
        <v>-62.794899999999998</v>
      </c>
      <c r="R247" s="114">
        <v>0.27600000000000002</v>
      </c>
      <c r="S247" s="115">
        <v>0.29649999999999999</v>
      </c>
      <c r="Y247" s="99" t="s">
        <v>1176</v>
      </c>
    </row>
    <row r="248" spans="1:25" x14ac:dyDescent="0.25">
      <c r="A248" s="111" t="s">
        <v>1193</v>
      </c>
      <c r="B248" s="112">
        <v>0.10664782848324514</v>
      </c>
      <c r="C248" s="105">
        <v>1.5997174272486772E-2</v>
      </c>
      <c r="D248" s="105">
        <v>967.50909999999999</v>
      </c>
      <c r="E248" s="105">
        <v>0</v>
      </c>
      <c r="F248" s="105">
        <v>0</v>
      </c>
      <c r="G248" s="105">
        <v>720</v>
      </c>
      <c r="H248" s="105">
        <v>3.6554000000000002</v>
      </c>
      <c r="I248" s="105">
        <v>4.7243693099047021E-14</v>
      </c>
      <c r="J248" s="113">
        <v>3.6554000000000002</v>
      </c>
      <c r="K248" s="114">
        <v>0</v>
      </c>
      <c r="L248" s="115">
        <v>0.19309999999999999</v>
      </c>
      <c r="M248" s="105">
        <v>3</v>
      </c>
      <c r="N248" s="105">
        <v>5</v>
      </c>
      <c r="O248" s="105">
        <v>1.1000000000000001</v>
      </c>
      <c r="P248" s="105">
        <v>25.999999999996248</v>
      </c>
      <c r="Q248" s="113">
        <v>-79.987399999999994</v>
      </c>
      <c r="R248" s="114">
        <v>0.25640000000000002</v>
      </c>
      <c r="S248" s="115">
        <v>0.29649999999999999</v>
      </c>
      <c r="Y248" s="99" t="s">
        <v>1186</v>
      </c>
    </row>
    <row r="249" spans="1:25" x14ac:dyDescent="0.25">
      <c r="A249" s="111" t="s">
        <v>1203</v>
      </c>
      <c r="B249" s="112">
        <v>0.10666243386243385</v>
      </c>
      <c r="C249" s="105">
        <v>1.5999365079365079E-2</v>
      </c>
      <c r="D249" s="105">
        <v>967.64159999999993</v>
      </c>
      <c r="E249" s="105">
        <v>0</v>
      </c>
      <c r="F249" s="105">
        <v>0</v>
      </c>
      <c r="G249" s="105">
        <v>720</v>
      </c>
      <c r="H249" s="105">
        <v>3.7368000000000001</v>
      </c>
      <c r="I249" s="105">
        <v>4.8295735725917521E-14</v>
      </c>
      <c r="J249" s="113">
        <v>3.7368000000000001</v>
      </c>
      <c r="K249" s="114">
        <v>0</v>
      </c>
      <c r="L249" s="115">
        <v>0.8891</v>
      </c>
      <c r="M249" s="105">
        <v>3</v>
      </c>
      <c r="N249" s="105">
        <v>5</v>
      </c>
      <c r="O249" s="105">
        <v>1.1000000000000001</v>
      </c>
      <c r="P249" s="105">
        <v>32.000000000003581</v>
      </c>
      <c r="Q249" s="113">
        <v>-90</v>
      </c>
      <c r="R249" s="114">
        <v>0.25679999999999997</v>
      </c>
      <c r="S249" s="115">
        <v>0.29649999999999999</v>
      </c>
      <c r="Y249" s="99" t="s">
        <v>1196</v>
      </c>
    </row>
    <row r="250" spans="1:25" x14ac:dyDescent="0.25">
      <c r="A250" s="111" t="s">
        <v>1144</v>
      </c>
      <c r="B250" s="112">
        <v>0.10637125220458553</v>
      </c>
      <c r="C250" s="105">
        <v>1.5955687830687831E-2</v>
      </c>
      <c r="D250" s="105">
        <v>964.99999999999989</v>
      </c>
      <c r="E250" s="105">
        <v>0</v>
      </c>
      <c r="F250" s="105">
        <v>0</v>
      </c>
      <c r="G250" s="105">
        <v>719.99999999999989</v>
      </c>
      <c r="H250" s="105">
        <v>0.58725000000000005</v>
      </c>
      <c r="I250" s="105">
        <v>0</v>
      </c>
      <c r="J250" s="113">
        <v>0.58730000000000004</v>
      </c>
      <c r="K250" s="114">
        <v>0</v>
      </c>
      <c r="L250" s="115">
        <v>-0.84160000000000001</v>
      </c>
      <c r="M250" s="105">
        <v>3</v>
      </c>
      <c r="N250" s="105">
        <v>5</v>
      </c>
      <c r="O250" s="105">
        <v>1.2</v>
      </c>
      <c r="P250" s="105">
        <v>2.0000000000024443</v>
      </c>
      <c r="Q250" s="113">
        <v>15</v>
      </c>
      <c r="R250" s="114">
        <v>0.29799999999999999</v>
      </c>
      <c r="S250" s="115">
        <v>0.3125</v>
      </c>
      <c r="Y250" s="99" t="s">
        <v>1138</v>
      </c>
    </row>
    <row r="251" spans="1:25" x14ac:dyDescent="0.25">
      <c r="A251" s="111" t="s">
        <v>1154</v>
      </c>
      <c r="B251" s="112">
        <v>0.10637125220458553</v>
      </c>
      <c r="C251" s="105">
        <v>1.5955687830687831E-2</v>
      </c>
      <c r="D251" s="105">
        <v>964.99999999999989</v>
      </c>
      <c r="E251" s="105">
        <v>0</v>
      </c>
      <c r="F251" s="105">
        <v>0</v>
      </c>
      <c r="G251" s="105">
        <v>719.99999999999989</v>
      </c>
      <c r="H251" s="105">
        <v>1.3120700000000001</v>
      </c>
      <c r="I251" s="105">
        <v>0</v>
      </c>
      <c r="J251" s="113">
        <v>1.3121</v>
      </c>
      <c r="K251" s="114">
        <v>0</v>
      </c>
      <c r="L251" s="115">
        <v>-1.0365</v>
      </c>
      <c r="M251" s="105">
        <v>3</v>
      </c>
      <c r="N251" s="105">
        <v>5</v>
      </c>
      <c r="O251" s="105">
        <v>1.2</v>
      </c>
      <c r="P251" s="105">
        <v>5.000000000002558</v>
      </c>
      <c r="Q251" s="113">
        <v>15</v>
      </c>
      <c r="R251" s="114">
        <v>0.3019</v>
      </c>
      <c r="S251" s="115">
        <v>0.3125</v>
      </c>
      <c r="Y251" s="99" t="s">
        <v>1148</v>
      </c>
    </row>
    <row r="252" spans="1:25" x14ac:dyDescent="0.25">
      <c r="A252" s="111" t="s">
        <v>1164</v>
      </c>
      <c r="B252" s="112">
        <v>0.10640152116402117</v>
      </c>
      <c r="C252" s="105">
        <v>1.5960228174603176E-2</v>
      </c>
      <c r="D252" s="105">
        <v>965.27460000000008</v>
      </c>
      <c r="E252" s="105">
        <v>0</v>
      </c>
      <c r="F252" s="105">
        <v>0</v>
      </c>
      <c r="G252" s="105">
        <v>720</v>
      </c>
      <c r="H252" s="105">
        <v>2.0671599999999999</v>
      </c>
      <c r="I252" s="105">
        <v>0</v>
      </c>
      <c r="J252" s="113">
        <v>2.0672000000000001</v>
      </c>
      <c r="K252" s="114">
        <v>0</v>
      </c>
      <c r="L252" s="115">
        <v>-1.2217</v>
      </c>
      <c r="M252" s="105">
        <v>3</v>
      </c>
      <c r="N252" s="105">
        <v>5</v>
      </c>
      <c r="O252" s="105">
        <v>1.2</v>
      </c>
      <c r="P252" s="105">
        <v>7.9999999999955662</v>
      </c>
      <c r="Q252" s="113">
        <v>-4.9935</v>
      </c>
      <c r="R252" s="114">
        <v>0.30159999999999998</v>
      </c>
      <c r="S252" s="115">
        <v>0.3125</v>
      </c>
      <c r="Y252" s="99" t="s">
        <v>1158</v>
      </c>
    </row>
    <row r="253" spans="1:25" x14ac:dyDescent="0.25">
      <c r="A253" s="111" t="s">
        <v>1174</v>
      </c>
      <c r="B253" s="112">
        <v>0.10650993165784833</v>
      </c>
      <c r="C253" s="105">
        <v>1.5976489748677249E-2</v>
      </c>
      <c r="D253" s="105">
        <v>966.25810000000001</v>
      </c>
      <c r="E253" s="105">
        <v>0</v>
      </c>
      <c r="F253" s="105">
        <v>0</v>
      </c>
      <c r="G253" s="105">
        <v>720</v>
      </c>
      <c r="H253" s="105">
        <v>2.8624800000000001</v>
      </c>
      <c r="I253" s="105">
        <v>0</v>
      </c>
      <c r="J253" s="113">
        <v>2.8624999999999998</v>
      </c>
      <c r="K253" s="114">
        <v>0</v>
      </c>
      <c r="L253" s="115">
        <v>-1.0747</v>
      </c>
      <c r="M253" s="105">
        <v>3</v>
      </c>
      <c r="N253" s="105">
        <v>5</v>
      </c>
      <c r="O253" s="105">
        <v>1.2</v>
      </c>
      <c r="P253" s="105">
        <v>13.999999999995794</v>
      </c>
      <c r="Q253" s="113">
        <v>-39.322699999999998</v>
      </c>
      <c r="R253" s="114">
        <v>0.30049999999999999</v>
      </c>
      <c r="S253" s="115">
        <v>0.3125</v>
      </c>
      <c r="Y253" s="99" t="s">
        <v>1168</v>
      </c>
    </row>
    <row r="254" spans="1:25" x14ac:dyDescent="0.25">
      <c r="A254" s="111" t="s">
        <v>1184</v>
      </c>
      <c r="B254" s="112">
        <v>0.10660950176366842</v>
      </c>
      <c r="C254" s="105">
        <v>1.5991425264550264E-2</v>
      </c>
      <c r="D254" s="105">
        <v>967.16139999999996</v>
      </c>
      <c r="E254" s="105">
        <v>0</v>
      </c>
      <c r="F254" s="105">
        <v>0</v>
      </c>
      <c r="G254" s="105">
        <v>720</v>
      </c>
      <c r="H254" s="105">
        <v>3.43675</v>
      </c>
      <c r="I254" s="105">
        <v>0</v>
      </c>
      <c r="J254" s="113">
        <v>3.4367999999999999</v>
      </c>
      <c r="K254" s="114">
        <v>0</v>
      </c>
      <c r="L254" s="115">
        <v>-0.54220000000000002</v>
      </c>
      <c r="M254" s="105">
        <v>3</v>
      </c>
      <c r="N254" s="105">
        <v>5</v>
      </c>
      <c r="O254" s="105">
        <v>1.2</v>
      </c>
      <c r="P254" s="105">
        <v>20.000000000003126</v>
      </c>
      <c r="Q254" s="113">
        <v>-62.794899999999998</v>
      </c>
      <c r="R254" s="114">
        <v>0.29089999999999999</v>
      </c>
      <c r="S254" s="115">
        <v>0.3125</v>
      </c>
      <c r="Y254" s="99" t="s">
        <v>1178</v>
      </c>
    </row>
    <row r="255" spans="1:25" x14ac:dyDescent="0.25">
      <c r="A255" s="111" t="s">
        <v>1194</v>
      </c>
      <c r="B255" s="112">
        <v>0.10664782848324514</v>
      </c>
      <c r="C255" s="105">
        <v>1.5997174272486772E-2</v>
      </c>
      <c r="D255" s="105">
        <v>967.50909999999999</v>
      </c>
      <c r="E255" s="105">
        <v>0</v>
      </c>
      <c r="F255" s="105">
        <v>0</v>
      </c>
      <c r="G255" s="105">
        <v>720</v>
      </c>
      <c r="H255" s="105">
        <v>3.6468799999999999</v>
      </c>
      <c r="I255" s="105">
        <v>0</v>
      </c>
      <c r="J255" s="113">
        <v>3.6469</v>
      </c>
      <c r="K255" s="114">
        <v>0</v>
      </c>
      <c r="L255" s="115">
        <v>0.19450000000000001</v>
      </c>
      <c r="M255" s="105">
        <v>3</v>
      </c>
      <c r="N255" s="105">
        <v>5</v>
      </c>
      <c r="O255" s="105">
        <v>1.2</v>
      </c>
      <c r="P255" s="105">
        <v>25.999999999996248</v>
      </c>
      <c r="Q255" s="113">
        <v>-79.987399999999994</v>
      </c>
      <c r="R255" s="114">
        <v>0.2702</v>
      </c>
      <c r="S255" s="115">
        <v>0.3125</v>
      </c>
      <c r="Y255" s="99" t="s">
        <v>1188</v>
      </c>
    </row>
    <row r="256" spans="1:25" x14ac:dyDescent="0.25">
      <c r="A256" s="111" t="s">
        <v>1204</v>
      </c>
      <c r="B256" s="112">
        <v>0.10666243386243385</v>
      </c>
      <c r="C256" s="105">
        <v>1.5999365079365079E-2</v>
      </c>
      <c r="D256" s="105">
        <v>967.64159999999993</v>
      </c>
      <c r="E256" s="105">
        <v>0</v>
      </c>
      <c r="F256" s="105">
        <v>0</v>
      </c>
      <c r="G256" s="105">
        <v>720</v>
      </c>
      <c r="H256" s="105">
        <v>3.72817</v>
      </c>
      <c r="I256" s="105">
        <v>0</v>
      </c>
      <c r="J256" s="113">
        <v>3.7282000000000002</v>
      </c>
      <c r="K256" s="114">
        <v>0</v>
      </c>
      <c r="L256" s="115">
        <v>0.8891</v>
      </c>
      <c r="M256" s="105">
        <v>3</v>
      </c>
      <c r="N256" s="105">
        <v>5</v>
      </c>
      <c r="O256" s="105">
        <v>1.2</v>
      </c>
      <c r="P256" s="105">
        <v>32.000000000003581</v>
      </c>
      <c r="Q256" s="113">
        <v>-90</v>
      </c>
      <c r="R256" s="114">
        <v>0.27060000000000001</v>
      </c>
      <c r="S256" s="115">
        <v>0.3125</v>
      </c>
      <c r="Y256" s="99" t="s">
        <v>1198</v>
      </c>
    </row>
    <row r="257" spans="1:25" x14ac:dyDescent="0.25">
      <c r="A257" s="111" t="s">
        <v>1213</v>
      </c>
      <c r="B257" s="112">
        <v>0.11310442019400353</v>
      </c>
      <c r="C257" s="105">
        <v>1.696566302910053E-2</v>
      </c>
      <c r="D257" s="105">
        <v>1026.0833</v>
      </c>
      <c r="E257" s="105">
        <v>0</v>
      </c>
      <c r="F257" s="105">
        <v>0</v>
      </c>
      <c r="G257" s="105">
        <v>720</v>
      </c>
      <c r="H257" s="105">
        <v>2.7440000000000002</v>
      </c>
      <c r="I257" s="105">
        <v>3.5464434497944147E-14</v>
      </c>
      <c r="J257" s="113">
        <v>2.7440000000000002</v>
      </c>
      <c r="K257" s="114">
        <v>0</v>
      </c>
      <c r="L257" s="115">
        <v>-1.2126999999999999</v>
      </c>
      <c r="M257" s="105">
        <v>3</v>
      </c>
      <c r="N257" s="105">
        <v>6</v>
      </c>
      <c r="O257" s="105">
        <v>1.1000000000000001</v>
      </c>
      <c r="P257" s="105">
        <v>13.00000000000523</v>
      </c>
      <c r="Q257" s="113">
        <v>-33.9848</v>
      </c>
      <c r="R257" s="114">
        <v>0.2853</v>
      </c>
      <c r="S257" s="115">
        <v>0.29649999999999999</v>
      </c>
      <c r="Y257" s="99" t="s">
        <v>1206</v>
      </c>
    </row>
    <row r="258" spans="1:25" x14ac:dyDescent="0.25">
      <c r="A258" s="111" t="s">
        <v>1223</v>
      </c>
      <c r="B258" s="112">
        <v>0.11320977733686068</v>
      </c>
      <c r="C258" s="105">
        <v>1.6981466600529099E-2</v>
      </c>
      <c r="D258" s="105">
        <v>1027.0391</v>
      </c>
      <c r="E258" s="105">
        <v>0</v>
      </c>
      <c r="F258" s="105">
        <v>0</v>
      </c>
      <c r="G258" s="105">
        <v>720</v>
      </c>
      <c r="H258" s="105">
        <v>3.3679999999999999</v>
      </c>
      <c r="I258" s="105">
        <v>4.3529233013511614E-14</v>
      </c>
      <c r="J258" s="113">
        <v>3.3679999999999999</v>
      </c>
      <c r="K258" s="114">
        <v>0</v>
      </c>
      <c r="L258" s="115">
        <v>-0.73199999999999998</v>
      </c>
      <c r="M258" s="105">
        <v>3</v>
      </c>
      <c r="N258" s="105">
        <v>6</v>
      </c>
      <c r="O258" s="105">
        <v>1.1000000000000001</v>
      </c>
      <c r="P258" s="105">
        <v>18.999999999998352</v>
      </c>
      <c r="Q258" s="113">
        <v>-60.428699999999999</v>
      </c>
      <c r="R258" s="114">
        <v>0.27960000000000002</v>
      </c>
      <c r="S258" s="115">
        <v>0.29649999999999999</v>
      </c>
      <c r="Y258" s="99" t="s">
        <v>1216</v>
      </c>
    </row>
    <row r="259" spans="1:25" x14ac:dyDescent="0.25">
      <c r="A259" s="111" t="s">
        <v>1233</v>
      </c>
      <c r="B259" s="112">
        <v>0.11326124338624337</v>
      </c>
      <c r="C259" s="105">
        <v>1.6989186507936505E-2</v>
      </c>
      <c r="D259" s="105">
        <v>1027.5059999999999</v>
      </c>
      <c r="E259" s="105">
        <v>0</v>
      </c>
      <c r="F259" s="105">
        <v>0</v>
      </c>
      <c r="G259" s="105">
        <v>719.99999999999989</v>
      </c>
      <c r="H259" s="105">
        <v>3.6465000000000001</v>
      </c>
      <c r="I259" s="105">
        <v>5.3606151540220433E-14</v>
      </c>
      <c r="J259" s="113">
        <v>3.6465000000000001</v>
      </c>
      <c r="K259" s="114">
        <v>0</v>
      </c>
      <c r="L259" s="115">
        <v>-1.7100000000000001E-2</v>
      </c>
      <c r="M259" s="105">
        <v>3</v>
      </c>
      <c r="N259" s="105">
        <v>6</v>
      </c>
      <c r="O259" s="105">
        <v>1.1000000000000001</v>
      </c>
      <c r="P259" s="105">
        <v>24.999999999998579</v>
      </c>
      <c r="Q259" s="113">
        <v>-77.3797</v>
      </c>
      <c r="R259" s="114">
        <v>0.26119999999999999</v>
      </c>
      <c r="S259" s="115">
        <v>0.29649999999999999</v>
      </c>
      <c r="Y259" s="99" t="s">
        <v>1226</v>
      </c>
    </row>
    <row r="260" spans="1:25" x14ac:dyDescent="0.25">
      <c r="A260" s="111" t="s">
        <v>1243</v>
      </c>
      <c r="B260" s="112">
        <v>0.1132716049382716</v>
      </c>
      <c r="C260" s="105">
        <v>1.699074074074074E-2</v>
      </c>
      <c r="D260" s="105">
        <v>1027.5999999999999</v>
      </c>
      <c r="E260" s="105">
        <v>0</v>
      </c>
      <c r="F260" s="105">
        <v>0</v>
      </c>
      <c r="G260" s="105">
        <v>719.99999999999989</v>
      </c>
      <c r="H260" s="105">
        <v>3.7351000000000001</v>
      </c>
      <c r="I260" s="105">
        <v>5.4908634750549114E-14</v>
      </c>
      <c r="J260" s="113">
        <v>3.7351000000000001</v>
      </c>
      <c r="K260" s="114">
        <v>0</v>
      </c>
      <c r="L260" s="115">
        <v>0.68920000000000003</v>
      </c>
      <c r="M260" s="105">
        <v>3</v>
      </c>
      <c r="N260" s="105">
        <v>6</v>
      </c>
      <c r="O260" s="105">
        <v>1.1000000000000001</v>
      </c>
      <c r="P260" s="105">
        <v>31.000000000005912</v>
      </c>
      <c r="Q260" s="113">
        <v>-90</v>
      </c>
      <c r="R260" s="114">
        <v>0.25679999999999997</v>
      </c>
      <c r="S260" s="115">
        <v>0.29649999999999999</v>
      </c>
      <c r="Y260" s="99" t="s">
        <v>1236</v>
      </c>
    </row>
    <row r="261" spans="1:25" x14ac:dyDescent="0.25">
      <c r="A261" s="111" t="s">
        <v>1214</v>
      </c>
      <c r="B261" s="112">
        <v>0.11310442019400353</v>
      </c>
      <c r="C261" s="105">
        <v>1.696566302910053E-2</v>
      </c>
      <c r="D261" s="105">
        <v>1026.0833</v>
      </c>
      <c r="E261" s="105">
        <v>0</v>
      </c>
      <c r="F261" s="105">
        <v>0</v>
      </c>
      <c r="G261" s="105">
        <v>720</v>
      </c>
      <c r="H261" s="105">
        <v>2.7412800000000002</v>
      </c>
      <c r="I261" s="105">
        <v>0</v>
      </c>
      <c r="J261" s="113">
        <v>2.7412999999999998</v>
      </c>
      <c r="K261" s="114">
        <v>0</v>
      </c>
      <c r="L261" s="115">
        <v>-1.2090000000000001</v>
      </c>
      <c r="M261" s="105">
        <v>3</v>
      </c>
      <c r="N261" s="105">
        <v>6</v>
      </c>
      <c r="O261" s="105">
        <v>1.2</v>
      </c>
      <c r="P261" s="105">
        <v>13.00000000000523</v>
      </c>
      <c r="Q261" s="113">
        <v>-33.9848</v>
      </c>
      <c r="R261" s="114">
        <v>0.30070000000000002</v>
      </c>
      <c r="S261" s="115">
        <v>0.3125</v>
      </c>
      <c r="Y261" s="99" t="s">
        <v>1208</v>
      </c>
    </row>
    <row r="262" spans="1:25" x14ac:dyDescent="0.25">
      <c r="A262" s="111" t="s">
        <v>1224</v>
      </c>
      <c r="B262" s="112">
        <v>0.11320977733686068</v>
      </c>
      <c r="C262" s="105">
        <v>1.6981466600529099E-2</v>
      </c>
      <c r="D262" s="105">
        <v>1027.0391</v>
      </c>
      <c r="E262" s="105">
        <v>0</v>
      </c>
      <c r="F262" s="105">
        <v>0</v>
      </c>
      <c r="G262" s="105">
        <v>720</v>
      </c>
      <c r="H262" s="105">
        <v>3.3628300000000002</v>
      </c>
      <c r="I262" s="105">
        <v>0</v>
      </c>
      <c r="J262" s="113">
        <v>3.3628</v>
      </c>
      <c r="K262" s="114">
        <v>0</v>
      </c>
      <c r="L262" s="115">
        <v>-0.72940000000000005</v>
      </c>
      <c r="M262" s="105">
        <v>3</v>
      </c>
      <c r="N262" s="105">
        <v>6</v>
      </c>
      <c r="O262" s="105">
        <v>1.2</v>
      </c>
      <c r="P262" s="105">
        <v>18.999999999998352</v>
      </c>
      <c r="Q262" s="113">
        <v>-60.428699999999999</v>
      </c>
      <c r="R262" s="114">
        <v>0.29459999999999997</v>
      </c>
      <c r="S262" s="115">
        <v>0.3125</v>
      </c>
      <c r="Y262" s="99" t="s">
        <v>1218</v>
      </c>
    </row>
    <row r="263" spans="1:25" x14ac:dyDescent="0.25">
      <c r="A263" s="111" t="s">
        <v>1234</v>
      </c>
      <c r="B263" s="112">
        <v>0.11326124338624337</v>
      </c>
      <c r="C263" s="105">
        <v>1.6989186507936505E-2</v>
      </c>
      <c r="D263" s="105">
        <v>1027.5059999999999</v>
      </c>
      <c r="E263" s="105">
        <v>0</v>
      </c>
      <c r="F263" s="105">
        <v>0</v>
      </c>
      <c r="G263" s="105">
        <v>719.99999999999989</v>
      </c>
      <c r="H263" s="105">
        <v>3.6385000000000001</v>
      </c>
      <c r="I263" s="105">
        <v>0</v>
      </c>
      <c r="J263" s="113">
        <v>3.6385000000000001</v>
      </c>
      <c r="K263" s="114">
        <v>0</v>
      </c>
      <c r="L263" s="115">
        <v>-1.55E-2</v>
      </c>
      <c r="M263" s="105">
        <v>3</v>
      </c>
      <c r="N263" s="105">
        <v>6</v>
      </c>
      <c r="O263" s="105">
        <v>1.2</v>
      </c>
      <c r="P263" s="105">
        <v>24.999999999998579</v>
      </c>
      <c r="Q263" s="113">
        <v>-77.3797</v>
      </c>
      <c r="R263" s="114">
        <v>0.27529999999999999</v>
      </c>
      <c r="S263" s="115">
        <v>0.3125</v>
      </c>
      <c r="Y263" s="99" t="s">
        <v>1228</v>
      </c>
    </row>
    <row r="264" spans="1:25" x14ac:dyDescent="0.25">
      <c r="A264" s="111" t="s">
        <v>1244</v>
      </c>
      <c r="B264" s="112">
        <v>0.1132716049382716</v>
      </c>
      <c r="C264" s="105">
        <v>1.699074074074074E-2</v>
      </c>
      <c r="D264" s="105">
        <v>1027.5999999999999</v>
      </c>
      <c r="E264" s="105">
        <v>0</v>
      </c>
      <c r="F264" s="105">
        <v>0</v>
      </c>
      <c r="G264" s="105">
        <v>719.99999999999989</v>
      </c>
      <c r="H264" s="105">
        <v>3.72648</v>
      </c>
      <c r="I264" s="105">
        <v>0</v>
      </c>
      <c r="J264" s="113">
        <v>3.7265000000000001</v>
      </c>
      <c r="K264" s="114">
        <v>0</v>
      </c>
      <c r="L264" s="115">
        <v>0.68920000000000003</v>
      </c>
      <c r="M264" s="105">
        <v>3</v>
      </c>
      <c r="N264" s="105">
        <v>6</v>
      </c>
      <c r="O264" s="105">
        <v>1.2</v>
      </c>
      <c r="P264" s="105">
        <v>31.000000000005912</v>
      </c>
      <c r="Q264" s="113">
        <v>-90</v>
      </c>
      <c r="R264" s="114">
        <v>0.27060000000000001</v>
      </c>
      <c r="S264" s="115">
        <v>0.3125</v>
      </c>
      <c r="Y264" s="99" t="s">
        <v>1238</v>
      </c>
    </row>
    <row r="265" spans="1:25" x14ac:dyDescent="0.25">
      <c r="A265" s="111"/>
      <c r="B265" s="112"/>
      <c r="C265" s="105"/>
      <c r="D265" s="105"/>
      <c r="E265" s="105"/>
      <c r="F265" s="105"/>
      <c r="G265" s="105"/>
      <c r="H265" s="105"/>
      <c r="I265" s="105"/>
      <c r="J265" s="113"/>
      <c r="K265" s="114"/>
      <c r="L265" s="115"/>
      <c r="M265" s="105"/>
      <c r="N265" s="105"/>
      <c r="O265" s="105"/>
      <c r="P265" s="105"/>
      <c r="Q265" s="113"/>
      <c r="R265" s="114"/>
      <c r="S265" s="115"/>
    </row>
    <row r="266" spans="1:25" x14ac:dyDescent="0.25">
      <c r="A266" s="111"/>
      <c r="B266" s="112"/>
      <c r="C266" s="105"/>
      <c r="D266" s="105"/>
      <c r="E266" s="105"/>
      <c r="F266" s="105"/>
      <c r="G266" s="105"/>
      <c r="H266" s="105"/>
      <c r="I266" s="105"/>
      <c r="J266" s="113"/>
      <c r="K266" s="114"/>
      <c r="L266" s="115"/>
      <c r="M266" s="105"/>
      <c r="N266" s="105"/>
      <c r="O266" s="105"/>
      <c r="P266" s="105"/>
      <c r="Q266" s="113"/>
      <c r="R266" s="114"/>
      <c r="S266" s="115"/>
    </row>
    <row r="267" spans="1:25" x14ac:dyDescent="0.25">
      <c r="A267" s="111"/>
      <c r="B267" s="112"/>
      <c r="C267" s="105"/>
      <c r="D267" s="105"/>
      <c r="E267" s="105"/>
      <c r="F267" s="105"/>
      <c r="G267" s="105"/>
      <c r="H267" s="105"/>
      <c r="I267" s="105"/>
      <c r="J267" s="113"/>
      <c r="K267" s="114"/>
      <c r="L267" s="115"/>
      <c r="M267" s="105"/>
      <c r="N267" s="105"/>
      <c r="O267" s="105"/>
      <c r="P267" s="105"/>
      <c r="Q267" s="113"/>
      <c r="R267" s="114"/>
      <c r="S267" s="115"/>
    </row>
    <row r="268" spans="1:25" x14ac:dyDescent="0.25">
      <c r="A268" s="111"/>
      <c r="B268" s="112"/>
      <c r="C268" s="105"/>
      <c r="D268" s="105"/>
      <c r="E268" s="105"/>
      <c r="F268" s="105"/>
      <c r="G268" s="105"/>
      <c r="H268" s="105"/>
      <c r="I268" s="105"/>
      <c r="J268" s="113"/>
      <c r="K268" s="114"/>
      <c r="L268" s="115"/>
      <c r="M268" s="105"/>
      <c r="N268" s="105"/>
      <c r="O268" s="105"/>
      <c r="P268" s="105"/>
      <c r="Q268" s="113"/>
      <c r="R268" s="114"/>
      <c r="S268" s="115"/>
    </row>
    <row r="269" spans="1:25" x14ac:dyDescent="0.25">
      <c r="A269" s="111"/>
      <c r="B269" s="112"/>
      <c r="C269" s="105"/>
      <c r="D269" s="105"/>
      <c r="E269" s="105"/>
      <c r="F269" s="105"/>
      <c r="G269" s="105"/>
      <c r="H269" s="105"/>
      <c r="I269" s="105"/>
      <c r="J269" s="113"/>
      <c r="K269" s="114"/>
      <c r="L269" s="115"/>
      <c r="M269" s="105"/>
      <c r="N269" s="105"/>
      <c r="O269" s="105"/>
      <c r="P269" s="105"/>
      <c r="Q269" s="113"/>
      <c r="R269" s="114"/>
      <c r="S269" s="115"/>
    </row>
    <row r="270" spans="1:25" x14ac:dyDescent="0.25">
      <c r="A270" s="111"/>
      <c r="B270" s="112"/>
      <c r="C270" s="105"/>
      <c r="D270" s="105"/>
      <c r="E270" s="105"/>
      <c r="F270" s="105"/>
      <c r="G270" s="105"/>
      <c r="H270" s="105"/>
      <c r="I270" s="105"/>
      <c r="J270" s="113"/>
      <c r="K270" s="114"/>
      <c r="L270" s="115"/>
      <c r="M270" s="105"/>
      <c r="N270" s="105"/>
      <c r="O270" s="105"/>
      <c r="P270" s="105"/>
      <c r="Q270" s="113"/>
      <c r="R270" s="114"/>
      <c r="S270" s="115"/>
    </row>
    <row r="271" spans="1:25" x14ac:dyDescent="0.25">
      <c r="A271" s="111"/>
      <c r="B271" s="112"/>
      <c r="C271" s="105"/>
      <c r="D271" s="105"/>
      <c r="E271" s="105"/>
      <c r="F271" s="105"/>
      <c r="G271" s="105"/>
      <c r="H271" s="105"/>
      <c r="I271" s="105"/>
      <c r="J271" s="113"/>
      <c r="K271" s="114"/>
      <c r="L271" s="115"/>
      <c r="M271" s="105"/>
      <c r="N271" s="105"/>
      <c r="O271" s="105"/>
      <c r="P271" s="105"/>
      <c r="Q271" s="113"/>
      <c r="R271" s="114"/>
      <c r="S271" s="115"/>
    </row>
    <row r="272" spans="1:25" x14ac:dyDescent="0.25">
      <c r="A272" s="111"/>
      <c r="B272" s="112"/>
      <c r="C272" s="105"/>
      <c r="D272" s="105"/>
      <c r="E272" s="105"/>
      <c r="F272" s="105"/>
      <c r="G272" s="105"/>
      <c r="H272" s="105"/>
      <c r="I272" s="105"/>
      <c r="J272" s="113"/>
      <c r="K272" s="114"/>
      <c r="L272" s="115"/>
      <c r="M272" s="105"/>
      <c r="N272" s="105"/>
      <c r="O272" s="105"/>
      <c r="P272" s="105"/>
      <c r="Q272" s="113"/>
      <c r="R272" s="114"/>
      <c r="S272" s="115"/>
    </row>
    <row r="273" spans="1:19" x14ac:dyDescent="0.25">
      <c r="A273" s="111"/>
      <c r="B273" s="112"/>
      <c r="C273" s="105"/>
      <c r="D273" s="105"/>
      <c r="E273" s="105"/>
      <c r="F273" s="105"/>
      <c r="G273" s="105"/>
      <c r="H273" s="105"/>
      <c r="I273" s="105"/>
      <c r="J273" s="113"/>
      <c r="K273" s="114"/>
      <c r="L273" s="115"/>
      <c r="M273" s="105"/>
      <c r="N273" s="105"/>
      <c r="O273" s="105"/>
      <c r="P273" s="105"/>
      <c r="Q273" s="113"/>
      <c r="R273" s="114"/>
      <c r="S273" s="115"/>
    </row>
    <row r="274" spans="1:19" x14ac:dyDescent="0.25">
      <c r="A274" s="111"/>
      <c r="B274" s="112"/>
      <c r="C274" s="105"/>
      <c r="D274" s="105"/>
      <c r="E274" s="105"/>
      <c r="F274" s="105"/>
      <c r="G274" s="105"/>
      <c r="H274" s="105"/>
      <c r="I274" s="105"/>
      <c r="J274" s="113"/>
      <c r="K274" s="114"/>
      <c r="L274" s="115"/>
      <c r="M274" s="105"/>
      <c r="N274" s="105"/>
      <c r="O274" s="105"/>
      <c r="P274" s="105"/>
      <c r="Q274" s="113"/>
      <c r="R274" s="114"/>
      <c r="S274" s="115"/>
    </row>
    <row r="275" spans="1:19" x14ac:dyDescent="0.25">
      <c r="A275" s="111"/>
      <c r="B275" s="112"/>
      <c r="C275" s="105"/>
      <c r="D275" s="105"/>
      <c r="E275" s="105"/>
      <c r="F275" s="105"/>
      <c r="G275" s="105"/>
      <c r="H275" s="105"/>
      <c r="I275" s="105"/>
      <c r="J275" s="113"/>
      <c r="K275" s="114"/>
      <c r="L275" s="115"/>
      <c r="M275" s="105"/>
      <c r="N275" s="105"/>
      <c r="O275" s="105"/>
      <c r="P275" s="105"/>
      <c r="Q275" s="113"/>
      <c r="R275" s="114"/>
      <c r="S275" s="115"/>
    </row>
    <row r="276" spans="1:19" x14ac:dyDescent="0.25">
      <c r="A276" s="111"/>
      <c r="B276" s="112"/>
      <c r="C276" s="105"/>
      <c r="D276" s="105"/>
      <c r="E276" s="105"/>
      <c r="F276" s="105"/>
      <c r="G276" s="105"/>
      <c r="H276" s="105"/>
      <c r="I276" s="105"/>
      <c r="J276" s="113"/>
      <c r="K276" s="114"/>
      <c r="L276" s="115"/>
      <c r="M276" s="105"/>
      <c r="N276" s="105"/>
      <c r="O276" s="105"/>
      <c r="P276" s="105"/>
      <c r="Q276" s="113"/>
      <c r="R276" s="114"/>
      <c r="S276" s="115"/>
    </row>
    <row r="277" spans="1:19" x14ac:dyDescent="0.25">
      <c r="A277" s="111"/>
      <c r="B277" s="112"/>
      <c r="C277" s="105"/>
      <c r="D277" s="105"/>
      <c r="E277" s="105"/>
      <c r="F277" s="105"/>
      <c r="G277" s="105"/>
      <c r="H277" s="105"/>
      <c r="I277" s="105"/>
      <c r="J277" s="113"/>
      <c r="K277" s="114"/>
      <c r="L277" s="115"/>
      <c r="M277" s="105"/>
      <c r="N277" s="105"/>
      <c r="O277" s="105"/>
      <c r="P277" s="105"/>
      <c r="Q277" s="113"/>
      <c r="R277" s="114"/>
      <c r="S277" s="115"/>
    </row>
    <row r="278" spans="1:19" x14ac:dyDescent="0.25">
      <c r="A278" s="111"/>
      <c r="B278" s="112"/>
      <c r="C278" s="105"/>
      <c r="D278" s="105"/>
      <c r="E278" s="105"/>
      <c r="F278" s="105"/>
      <c r="G278" s="105"/>
      <c r="H278" s="105"/>
      <c r="I278" s="105"/>
      <c r="J278" s="113"/>
      <c r="K278" s="114"/>
      <c r="L278" s="115"/>
      <c r="M278" s="105"/>
      <c r="N278" s="105"/>
      <c r="O278" s="105"/>
      <c r="P278" s="105"/>
      <c r="Q278" s="113"/>
      <c r="R278" s="114"/>
      <c r="S278" s="115"/>
    </row>
    <row r="279" spans="1:19" x14ac:dyDescent="0.25">
      <c r="A279" s="111"/>
      <c r="B279" s="112"/>
      <c r="C279" s="105"/>
      <c r="D279" s="105"/>
      <c r="E279" s="105"/>
      <c r="F279" s="105"/>
      <c r="G279" s="105"/>
      <c r="H279" s="105"/>
      <c r="I279" s="105"/>
      <c r="J279" s="113"/>
      <c r="K279" s="114"/>
      <c r="L279" s="115"/>
      <c r="M279" s="105"/>
      <c r="N279" s="105"/>
      <c r="O279" s="105"/>
      <c r="P279" s="105"/>
      <c r="Q279" s="113"/>
      <c r="R279" s="114"/>
      <c r="S279" s="115"/>
    </row>
    <row r="280" spans="1:19" x14ac:dyDescent="0.25">
      <c r="A280" s="111"/>
      <c r="B280" s="112"/>
      <c r="C280" s="105"/>
      <c r="D280" s="105"/>
      <c r="E280" s="105"/>
      <c r="F280" s="105"/>
      <c r="G280" s="105"/>
      <c r="H280" s="105"/>
      <c r="I280" s="105"/>
      <c r="J280" s="113"/>
      <c r="K280" s="114"/>
      <c r="L280" s="115"/>
      <c r="M280" s="105"/>
      <c r="N280" s="105"/>
      <c r="O280" s="105"/>
      <c r="P280" s="105"/>
      <c r="Q280" s="113"/>
      <c r="R280" s="114"/>
      <c r="S280" s="115"/>
    </row>
    <row r="281" spans="1:19" x14ac:dyDescent="0.25">
      <c r="A281" s="111"/>
      <c r="B281" s="112"/>
      <c r="C281" s="105"/>
      <c r="D281" s="105"/>
      <c r="E281" s="105"/>
      <c r="F281" s="105"/>
      <c r="G281" s="105"/>
      <c r="H281" s="105"/>
      <c r="I281" s="105"/>
      <c r="J281" s="113"/>
      <c r="K281" s="114"/>
      <c r="L281" s="115"/>
      <c r="M281" s="105"/>
      <c r="N281" s="105"/>
      <c r="O281" s="105"/>
      <c r="P281" s="105"/>
      <c r="Q281" s="113"/>
      <c r="R281" s="114"/>
      <c r="S281" s="115"/>
    </row>
    <row r="282" spans="1:19" x14ac:dyDescent="0.25">
      <c r="A282" s="111"/>
      <c r="B282" s="112"/>
      <c r="C282" s="105"/>
      <c r="D282" s="105"/>
      <c r="E282" s="105"/>
      <c r="F282" s="105"/>
      <c r="G282" s="105"/>
      <c r="H282" s="105"/>
      <c r="I282" s="105"/>
      <c r="J282" s="113"/>
      <c r="K282" s="114"/>
      <c r="L282" s="115"/>
      <c r="M282" s="105"/>
      <c r="N282" s="105"/>
      <c r="O282" s="105"/>
      <c r="P282" s="105"/>
      <c r="Q282" s="113"/>
      <c r="R282" s="114"/>
      <c r="S282" s="115"/>
    </row>
    <row r="283" spans="1:19" x14ac:dyDescent="0.25">
      <c r="A283" s="111"/>
      <c r="B283" s="112"/>
      <c r="C283" s="105"/>
      <c r="D283" s="105"/>
      <c r="E283" s="105"/>
      <c r="F283" s="105"/>
      <c r="G283" s="105"/>
      <c r="H283" s="105"/>
      <c r="I283" s="105"/>
      <c r="J283" s="113"/>
      <c r="K283" s="114"/>
      <c r="L283" s="115"/>
      <c r="M283" s="105"/>
      <c r="N283" s="105"/>
      <c r="O283" s="105"/>
      <c r="P283" s="105"/>
      <c r="Q283" s="113"/>
      <c r="R283" s="114"/>
      <c r="S283" s="115"/>
    </row>
    <row r="284" spans="1:19" x14ac:dyDescent="0.25">
      <c r="A284" s="111"/>
      <c r="B284" s="112"/>
      <c r="C284" s="105"/>
      <c r="D284" s="105"/>
      <c r="E284" s="105"/>
      <c r="F284" s="105"/>
      <c r="G284" s="105"/>
      <c r="H284" s="105"/>
      <c r="I284" s="105"/>
      <c r="J284" s="113"/>
      <c r="K284" s="114"/>
      <c r="L284" s="115"/>
      <c r="M284" s="105"/>
      <c r="N284" s="105"/>
      <c r="O284" s="105"/>
      <c r="P284" s="105"/>
      <c r="Q284" s="113"/>
      <c r="R284" s="114"/>
      <c r="S284" s="115"/>
    </row>
    <row r="285" spans="1:19" x14ac:dyDescent="0.25">
      <c r="A285" s="111"/>
      <c r="B285" s="112"/>
      <c r="C285" s="105"/>
      <c r="D285" s="105"/>
      <c r="E285" s="105"/>
      <c r="F285" s="105"/>
      <c r="G285" s="105"/>
      <c r="H285" s="105"/>
      <c r="I285" s="105"/>
      <c r="J285" s="113"/>
      <c r="K285" s="114"/>
      <c r="L285" s="115"/>
      <c r="M285" s="105"/>
      <c r="N285" s="105"/>
      <c r="O285" s="105"/>
      <c r="P285" s="105"/>
      <c r="Q285" s="113"/>
      <c r="R285" s="114"/>
      <c r="S285" s="115"/>
    </row>
    <row r="286" spans="1:19" x14ac:dyDescent="0.25">
      <c r="A286" s="111"/>
      <c r="B286" s="112"/>
      <c r="C286" s="105"/>
      <c r="D286" s="105"/>
      <c r="E286" s="105"/>
      <c r="F286" s="105"/>
      <c r="G286" s="105"/>
      <c r="H286" s="105"/>
      <c r="I286" s="105"/>
      <c r="J286" s="113"/>
      <c r="K286" s="114"/>
      <c r="L286" s="115"/>
      <c r="M286" s="105"/>
      <c r="N286" s="105"/>
      <c r="O286" s="105"/>
      <c r="P286" s="105"/>
      <c r="Q286" s="113"/>
      <c r="R286" s="114"/>
      <c r="S286" s="115"/>
    </row>
    <row r="287" spans="1:19" x14ac:dyDescent="0.25">
      <c r="A287" s="111"/>
      <c r="B287" s="112"/>
      <c r="C287" s="105"/>
      <c r="D287" s="105"/>
      <c r="E287" s="105"/>
      <c r="F287" s="105"/>
      <c r="G287" s="105"/>
      <c r="H287" s="105"/>
      <c r="I287" s="105"/>
      <c r="J287" s="113"/>
      <c r="K287" s="114"/>
      <c r="L287" s="115"/>
      <c r="M287" s="105"/>
      <c r="N287" s="105"/>
      <c r="O287" s="105"/>
      <c r="P287" s="105"/>
      <c r="Q287" s="113"/>
      <c r="R287" s="114"/>
      <c r="S287" s="115"/>
    </row>
    <row r="288" spans="1:19" x14ac:dyDescent="0.25">
      <c r="A288" s="111"/>
      <c r="B288" s="112"/>
      <c r="C288" s="105"/>
      <c r="D288" s="105"/>
      <c r="E288" s="105"/>
      <c r="F288" s="105"/>
      <c r="G288" s="105"/>
      <c r="H288" s="105"/>
      <c r="I288" s="105"/>
      <c r="J288" s="113"/>
      <c r="K288" s="114"/>
      <c r="L288" s="115"/>
      <c r="M288" s="105"/>
      <c r="N288" s="105"/>
      <c r="O288" s="105"/>
      <c r="P288" s="105"/>
      <c r="Q288" s="113"/>
      <c r="R288" s="114"/>
      <c r="S288" s="115"/>
    </row>
    <row r="289" spans="1:19" x14ac:dyDescent="0.25">
      <c r="A289" s="111"/>
      <c r="B289" s="112"/>
      <c r="C289" s="105"/>
      <c r="D289" s="105"/>
      <c r="E289" s="105"/>
      <c r="F289" s="105"/>
      <c r="G289" s="105"/>
      <c r="H289" s="105"/>
      <c r="I289" s="105"/>
      <c r="J289" s="113"/>
      <c r="K289" s="114"/>
      <c r="L289" s="115"/>
      <c r="M289" s="105"/>
      <c r="N289" s="105"/>
      <c r="O289" s="105"/>
      <c r="P289" s="105"/>
      <c r="Q289" s="113"/>
      <c r="R289" s="114"/>
      <c r="S289" s="115"/>
    </row>
    <row r="290" spans="1:19" x14ac:dyDescent="0.25">
      <c r="A290" s="111"/>
      <c r="B290" s="112"/>
      <c r="C290" s="105"/>
      <c r="D290" s="105"/>
      <c r="E290" s="105"/>
      <c r="F290" s="105"/>
      <c r="G290" s="105"/>
      <c r="H290" s="105"/>
      <c r="I290" s="105"/>
      <c r="J290" s="113"/>
      <c r="K290" s="114"/>
      <c r="L290" s="115"/>
      <c r="M290" s="105"/>
      <c r="N290" s="105"/>
      <c r="O290" s="105"/>
      <c r="P290" s="105"/>
      <c r="Q290" s="113"/>
      <c r="R290" s="114"/>
      <c r="S290" s="115"/>
    </row>
    <row r="291" spans="1:19" x14ac:dyDescent="0.25">
      <c r="A291" s="111"/>
      <c r="B291" s="112"/>
      <c r="C291" s="105"/>
      <c r="D291" s="105"/>
      <c r="E291" s="105"/>
      <c r="F291" s="105"/>
      <c r="G291" s="105"/>
      <c r="H291" s="105"/>
      <c r="I291" s="105"/>
      <c r="J291" s="113"/>
      <c r="K291" s="114"/>
      <c r="L291" s="115"/>
      <c r="M291" s="105"/>
      <c r="N291" s="105"/>
      <c r="O291" s="105"/>
      <c r="P291" s="105"/>
      <c r="Q291" s="113"/>
      <c r="R291" s="114"/>
      <c r="S291" s="115"/>
    </row>
    <row r="292" spans="1:19" x14ac:dyDescent="0.25">
      <c r="A292" s="111"/>
      <c r="B292" s="112"/>
      <c r="C292" s="105"/>
      <c r="D292" s="105"/>
      <c r="E292" s="105"/>
      <c r="F292" s="105"/>
      <c r="G292" s="105"/>
      <c r="H292" s="105"/>
      <c r="I292" s="105"/>
      <c r="J292" s="113"/>
      <c r="K292" s="114"/>
      <c r="L292" s="115"/>
      <c r="M292" s="105"/>
      <c r="N292" s="105"/>
      <c r="O292" s="105"/>
      <c r="P292" s="105"/>
      <c r="Q292" s="113"/>
      <c r="R292" s="114"/>
      <c r="S292" s="115"/>
    </row>
    <row r="293" spans="1:19" x14ac:dyDescent="0.25">
      <c r="A293" s="111"/>
      <c r="B293" s="112"/>
      <c r="C293" s="105"/>
      <c r="D293" s="105"/>
      <c r="E293" s="105"/>
      <c r="F293" s="105"/>
      <c r="G293" s="105"/>
      <c r="H293" s="105"/>
      <c r="I293" s="105"/>
      <c r="J293" s="113"/>
      <c r="K293" s="114"/>
      <c r="L293" s="115"/>
      <c r="M293" s="105"/>
      <c r="N293" s="105"/>
      <c r="O293" s="105"/>
      <c r="P293" s="105"/>
      <c r="Q293" s="113"/>
      <c r="R293" s="114"/>
      <c r="S293" s="115"/>
    </row>
    <row r="294" spans="1:19" x14ac:dyDescent="0.25">
      <c r="A294" s="111"/>
      <c r="B294" s="112"/>
      <c r="C294" s="105"/>
      <c r="D294" s="105"/>
      <c r="E294" s="105"/>
      <c r="F294" s="105"/>
      <c r="G294" s="105"/>
      <c r="H294" s="105"/>
      <c r="I294" s="105"/>
      <c r="J294" s="113"/>
      <c r="K294" s="114"/>
      <c r="L294" s="115"/>
      <c r="M294" s="105"/>
      <c r="N294" s="105"/>
      <c r="O294" s="105"/>
      <c r="P294" s="105"/>
      <c r="Q294" s="113"/>
      <c r="R294" s="114"/>
      <c r="S294" s="115"/>
    </row>
    <row r="295" spans="1:19" x14ac:dyDescent="0.25">
      <c r="A295" s="111"/>
      <c r="B295" s="112"/>
      <c r="C295" s="105"/>
      <c r="D295" s="105"/>
      <c r="E295" s="105"/>
      <c r="F295" s="105"/>
      <c r="G295" s="105"/>
      <c r="H295" s="105"/>
      <c r="I295" s="105"/>
      <c r="J295" s="113"/>
      <c r="K295" s="114"/>
      <c r="L295" s="115"/>
      <c r="M295" s="105"/>
      <c r="N295" s="105"/>
      <c r="O295" s="105"/>
      <c r="P295" s="105"/>
      <c r="Q295" s="113"/>
      <c r="R295" s="114"/>
      <c r="S295" s="115"/>
    </row>
    <row r="296" spans="1:19" x14ac:dyDescent="0.25">
      <c r="A296" s="111"/>
      <c r="B296" s="112"/>
      <c r="C296" s="105"/>
      <c r="D296" s="105"/>
      <c r="E296" s="105"/>
      <c r="F296" s="105"/>
      <c r="G296" s="105"/>
      <c r="H296" s="105"/>
      <c r="I296" s="105"/>
      <c r="J296" s="113"/>
      <c r="K296" s="114"/>
      <c r="L296" s="115"/>
      <c r="M296" s="105"/>
      <c r="N296" s="105"/>
      <c r="O296" s="105"/>
      <c r="P296" s="105"/>
      <c r="Q296" s="113"/>
      <c r="R296" s="114"/>
      <c r="S296" s="115"/>
    </row>
    <row r="297" spans="1:19" x14ac:dyDescent="0.25">
      <c r="A297" s="111"/>
      <c r="B297" s="112"/>
      <c r="C297" s="105"/>
      <c r="D297" s="105"/>
      <c r="E297" s="105"/>
      <c r="F297" s="105"/>
      <c r="G297" s="105"/>
      <c r="H297" s="105"/>
      <c r="I297" s="105"/>
      <c r="J297" s="113"/>
      <c r="K297" s="114"/>
      <c r="L297" s="115"/>
      <c r="M297" s="105"/>
      <c r="N297" s="105"/>
      <c r="O297" s="105"/>
      <c r="P297" s="105"/>
      <c r="Q297" s="113"/>
      <c r="R297" s="114"/>
      <c r="S297" s="115"/>
    </row>
    <row r="298" spans="1:19" x14ac:dyDescent="0.25">
      <c r="A298" s="111"/>
      <c r="B298" s="112"/>
      <c r="C298" s="105"/>
      <c r="D298" s="105"/>
      <c r="E298" s="105"/>
      <c r="F298" s="105"/>
      <c r="G298" s="105"/>
      <c r="H298" s="105"/>
      <c r="I298" s="105"/>
      <c r="J298" s="113"/>
      <c r="K298" s="114"/>
      <c r="L298" s="115"/>
      <c r="M298" s="105"/>
      <c r="N298" s="105"/>
      <c r="O298" s="105"/>
      <c r="P298" s="105"/>
      <c r="Q298" s="113"/>
      <c r="R298" s="114"/>
      <c r="S298" s="115"/>
    </row>
    <row r="299" spans="1:19" x14ac:dyDescent="0.25">
      <c r="A299" s="111"/>
      <c r="B299" s="112"/>
      <c r="C299" s="105"/>
      <c r="D299" s="105"/>
      <c r="E299" s="105"/>
      <c r="F299" s="105"/>
      <c r="G299" s="105"/>
      <c r="H299" s="105"/>
      <c r="I299" s="105"/>
      <c r="J299" s="113"/>
      <c r="K299" s="114"/>
      <c r="L299" s="115"/>
      <c r="M299" s="105"/>
      <c r="N299" s="105"/>
      <c r="O299" s="105"/>
      <c r="P299" s="105"/>
      <c r="Q299" s="113"/>
      <c r="R299" s="114"/>
      <c r="S299" s="115"/>
    </row>
    <row r="300" spans="1:19" x14ac:dyDescent="0.25">
      <c r="A300" s="111"/>
      <c r="B300" s="112"/>
      <c r="C300" s="105"/>
      <c r="D300" s="105"/>
      <c r="E300" s="105"/>
      <c r="F300" s="105"/>
      <c r="G300" s="105"/>
      <c r="H300" s="105"/>
      <c r="I300" s="105"/>
      <c r="J300" s="113"/>
      <c r="K300" s="114"/>
      <c r="L300" s="115"/>
      <c r="M300" s="105"/>
      <c r="N300" s="105"/>
      <c r="O300" s="105"/>
      <c r="P300" s="105"/>
      <c r="Q300" s="113"/>
      <c r="R300" s="114"/>
      <c r="S300" s="115"/>
    </row>
    <row r="301" spans="1:19" x14ac:dyDescent="0.25">
      <c r="A301" s="111"/>
      <c r="B301" s="112"/>
      <c r="C301" s="105"/>
      <c r="D301" s="105"/>
      <c r="E301" s="105"/>
      <c r="F301" s="105"/>
      <c r="G301" s="105"/>
      <c r="H301" s="105"/>
      <c r="I301" s="105"/>
      <c r="J301" s="113"/>
      <c r="K301" s="114"/>
      <c r="L301" s="115"/>
      <c r="M301" s="105"/>
      <c r="N301" s="105"/>
      <c r="O301" s="105"/>
      <c r="P301" s="105"/>
      <c r="Q301" s="113"/>
      <c r="R301" s="114"/>
      <c r="S301" s="115"/>
    </row>
    <row r="302" spans="1:19" x14ac:dyDescent="0.25">
      <c r="A302" s="111"/>
      <c r="B302" s="112"/>
      <c r="C302" s="105"/>
      <c r="D302" s="105"/>
      <c r="E302" s="105"/>
      <c r="F302" s="105"/>
      <c r="G302" s="105"/>
      <c r="H302" s="105"/>
      <c r="I302" s="105"/>
      <c r="J302" s="113"/>
      <c r="K302" s="114"/>
      <c r="L302" s="115"/>
      <c r="M302" s="105"/>
      <c r="N302" s="105"/>
      <c r="O302" s="105"/>
      <c r="P302" s="105"/>
      <c r="Q302" s="113"/>
      <c r="R302" s="114"/>
      <c r="S302" s="115"/>
    </row>
    <row r="303" spans="1:19" x14ac:dyDescent="0.25">
      <c r="A303" s="111"/>
      <c r="B303" s="112"/>
      <c r="C303" s="105"/>
      <c r="D303" s="105"/>
      <c r="E303" s="105"/>
      <c r="F303" s="105"/>
      <c r="G303" s="105"/>
      <c r="H303" s="105"/>
      <c r="I303" s="105"/>
      <c r="J303" s="113"/>
      <c r="K303" s="114"/>
      <c r="L303" s="115"/>
      <c r="M303" s="105"/>
      <c r="N303" s="105"/>
      <c r="O303" s="105"/>
      <c r="P303" s="105"/>
      <c r="Q303" s="113"/>
      <c r="R303" s="114"/>
      <c r="S303" s="115"/>
    </row>
    <row r="304" spans="1:19" x14ac:dyDescent="0.25">
      <c r="A304" s="111"/>
      <c r="B304" s="112"/>
      <c r="C304" s="105"/>
      <c r="D304" s="105"/>
      <c r="E304" s="105"/>
      <c r="F304" s="105"/>
      <c r="G304" s="105"/>
      <c r="H304" s="105"/>
      <c r="I304" s="105"/>
      <c r="J304" s="113"/>
      <c r="K304" s="114"/>
      <c r="L304" s="115"/>
      <c r="M304" s="105"/>
      <c r="N304" s="105"/>
      <c r="O304" s="105"/>
      <c r="P304" s="105"/>
      <c r="Q304" s="113"/>
      <c r="R304" s="114"/>
      <c r="S304" s="115"/>
    </row>
    <row r="305" spans="1:19" x14ac:dyDescent="0.25">
      <c r="A305" s="111"/>
      <c r="B305" s="112"/>
      <c r="C305" s="105"/>
      <c r="D305" s="105"/>
      <c r="E305" s="105"/>
      <c r="F305" s="105"/>
      <c r="G305" s="105"/>
      <c r="H305" s="105"/>
      <c r="I305" s="105"/>
      <c r="J305" s="113"/>
      <c r="K305" s="114"/>
      <c r="L305" s="115"/>
      <c r="M305" s="105"/>
      <c r="N305" s="105"/>
      <c r="O305" s="105"/>
      <c r="P305" s="105"/>
      <c r="Q305" s="113"/>
      <c r="R305" s="114"/>
      <c r="S305" s="115"/>
    </row>
    <row r="306" spans="1:19" x14ac:dyDescent="0.25">
      <c r="A306" s="111"/>
      <c r="B306" s="112"/>
      <c r="C306" s="105"/>
      <c r="D306" s="105"/>
      <c r="E306" s="105"/>
      <c r="F306" s="105"/>
      <c r="G306" s="105"/>
      <c r="H306" s="105"/>
      <c r="I306" s="105"/>
      <c r="J306" s="113"/>
      <c r="K306" s="114"/>
      <c r="L306" s="115"/>
      <c r="M306" s="105"/>
      <c r="N306" s="105"/>
      <c r="O306" s="105"/>
      <c r="P306" s="105"/>
      <c r="Q306" s="113"/>
      <c r="R306" s="114"/>
      <c r="S306" s="115"/>
    </row>
    <row r="307" spans="1:19" x14ac:dyDescent="0.25">
      <c r="A307" s="111"/>
      <c r="B307" s="112"/>
      <c r="C307" s="105"/>
      <c r="D307" s="105"/>
      <c r="E307" s="105"/>
      <c r="F307" s="105"/>
      <c r="G307" s="105"/>
      <c r="H307" s="105"/>
      <c r="I307" s="105"/>
      <c r="J307" s="113"/>
      <c r="K307" s="114"/>
      <c r="L307" s="115"/>
      <c r="M307" s="105"/>
      <c r="N307" s="105"/>
      <c r="O307" s="105"/>
      <c r="P307" s="105"/>
      <c r="Q307" s="113"/>
      <c r="R307" s="114"/>
      <c r="S307" s="115"/>
    </row>
    <row r="308" spans="1:19" x14ac:dyDescent="0.25">
      <c r="A308" s="111"/>
      <c r="B308" s="112"/>
      <c r="C308" s="105"/>
      <c r="D308" s="105"/>
      <c r="E308" s="105"/>
      <c r="F308" s="105"/>
      <c r="G308" s="105"/>
      <c r="H308" s="105"/>
      <c r="I308" s="105"/>
      <c r="J308" s="113"/>
      <c r="K308" s="114"/>
      <c r="L308" s="115"/>
      <c r="M308" s="105"/>
      <c r="N308" s="105"/>
      <c r="O308" s="105"/>
      <c r="P308" s="105"/>
      <c r="Q308" s="113"/>
      <c r="R308" s="114"/>
      <c r="S308" s="115"/>
    </row>
    <row r="309" spans="1:19" x14ac:dyDescent="0.25">
      <c r="A309" s="111"/>
      <c r="B309" s="112"/>
      <c r="C309" s="105"/>
      <c r="D309" s="105"/>
      <c r="E309" s="105"/>
      <c r="F309" s="105"/>
      <c r="G309" s="105"/>
      <c r="H309" s="105"/>
      <c r="I309" s="105"/>
      <c r="J309" s="113"/>
      <c r="K309" s="114"/>
      <c r="L309" s="115"/>
      <c r="M309" s="105"/>
      <c r="N309" s="105"/>
      <c r="O309" s="105"/>
      <c r="P309" s="105"/>
      <c r="Q309" s="113"/>
      <c r="R309" s="114"/>
      <c r="S309" s="115"/>
    </row>
    <row r="310" spans="1:19" x14ac:dyDescent="0.25">
      <c r="A310" s="111"/>
      <c r="B310" s="112"/>
      <c r="C310" s="105"/>
      <c r="D310" s="105"/>
      <c r="E310" s="105"/>
      <c r="F310" s="105"/>
      <c r="G310" s="105"/>
      <c r="H310" s="105"/>
      <c r="I310" s="105"/>
      <c r="J310" s="113"/>
      <c r="K310" s="114"/>
      <c r="L310" s="115"/>
      <c r="M310" s="105"/>
      <c r="N310" s="105"/>
      <c r="O310" s="105"/>
      <c r="P310" s="105"/>
      <c r="Q310" s="113"/>
      <c r="R310" s="114"/>
      <c r="S310" s="115"/>
    </row>
    <row r="311" spans="1:19" x14ac:dyDescent="0.25">
      <c r="A311" s="111"/>
      <c r="B311" s="112"/>
      <c r="C311" s="105"/>
      <c r="D311" s="105"/>
      <c r="E311" s="105"/>
      <c r="F311" s="105"/>
      <c r="G311" s="105"/>
      <c r="H311" s="105"/>
      <c r="I311" s="105"/>
      <c r="J311" s="113"/>
      <c r="K311" s="114"/>
      <c r="L311" s="115"/>
      <c r="M311" s="105"/>
      <c r="N311" s="105"/>
      <c r="O311" s="105"/>
      <c r="P311" s="105"/>
      <c r="Q311" s="113"/>
      <c r="R311" s="114"/>
      <c r="S311" s="115"/>
    </row>
    <row r="312" spans="1:19" x14ac:dyDescent="0.25">
      <c r="A312" s="111"/>
      <c r="B312" s="112"/>
      <c r="C312" s="105"/>
      <c r="D312" s="105"/>
      <c r="E312" s="105"/>
      <c r="F312" s="105"/>
      <c r="G312" s="105"/>
      <c r="H312" s="105"/>
      <c r="I312" s="105"/>
      <c r="J312" s="113"/>
      <c r="K312" s="114"/>
      <c r="L312" s="115"/>
      <c r="M312" s="105"/>
      <c r="N312" s="105"/>
      <c r="O312" s="105"/>
      <c r="P312" s="105"/>
      <c r="Q312" s="113"/>
      <c r="R312" s="114"/>
      <c r="S312" s="115"/>
    </row>
    <row r="313" spans="1:19" x14ac:dyDescent="0.25">
      <c r="A313" s="111"/>
      <c r="B313" s="112"/>
      <c r="C313" s="105"/>
      <c r="D313" s="105"/>
      <c r="E313" s="105"/>
      <c r="F313" s="105"/>
      <c r="G313" s="105"/>
      <c r="H313" s="105"/>
      <c r="I313" s="105"/>
      <c r="J313" s="113"/>
      <c r="K313" s="114"/>
      <c r="L313" s="115"/>
      <c r="M313" s="105"/>
      <c r="N313" s="105"/>
      <c r="O313" s="105"/>
      <c r="P313" s="105"/>
      <c r="Q313" s="113"/>
      <c r="R313" s="114"/>
      <c r="S313" s="115"/>
    </row>
    <row r="314" spans="1:19" x14ac:dyDescent="0.25">
      <c r="A314" s="111"/>
      <c r="B314" s="112"/>
      <c r="C314" s="105"/>
      <c r="D314" s="105"/>
      <c r="E314" s="105"/>
      <c r="F314" s="105"/>
      <c r="G314" s="105"/>
      <c r="H314" s="105"/>
      <c r="I314" s="105"/>
      <c r="J314" s="113"/>
      <c r="K314" s="114"/>
      <c r="L314" s="115"/>
      <c r="M314" s="105"/>
      <c r="N314" s="105"/>
      <c r="O314" s="105"/>
      <c r="P314" s="105"/>
      <c r="Q314" s="113"/>
      <c r="R314" s="114"/>
      <c r="S314" s="115"/>
    </row>
    <row r="315" spans="1:19" x14ac:dyDescent="0.25">
      <c r="A315" s="111"/>
      <c r="B315" s="112"/>
      <c r="C315" s="105"/>
      <c r="D315" s="105"/>
      <c r="E315" s="105"/>
      <c r="F315" s="105"/>
      <c r="G315" s="105"/>
      <c r="H315" s="105"/>
      <c r="I315" s="105"/>
      <c r="J315" s="113"/>
      <c r="K315" s="114"/>
      <c r="L315" s="115"/>
      <c r="M315" s="105"/>
      <c r="N315" s="105"/>
      <c r="O315" s="105"/>
      <c r="P315" s="105"/>
      <c r="Q315" s="113"/>
      <c r="R315" s="114"/>
      <c r="S315" s="115"/>
    </row>
    <row r="316" spans="1:19" x14ac:dyDescent="0.25">
      <c r="A316" s="111"/>
      <c r="B316" s="112"/>
      <c r="C316" s="105"/>
      <c r="D316" s="105"/>
      <c r="E316" s="105"/>
      <c r="F316" s="105"/>
      <c r="G316" s="105"/>
      <c r="H316" s="105"/>
      <c r="I316" s="105"/>
      <c r="J316" s="113"/>
      <c r="K316" s="114"/>
      <c r="L316" s="115"/>
      <c r="M316" s="105"/>
      <c r="N316" s="105"/>
      <c r="O316" s="105"/>
      <c r="P316" s="105"/>
      <c r="Q316" s="113"/>
      <c r="R316" s="114"/>
      <c r="S316" s="115"/>
    </row>
    <row r="317" spans="1:19" x14ac:dyDescent="0.25">
      <c r="A317" s="111"/>
      <c r="B317" s="112"/>
      <c r="C317" s="105"/>
      <c r="D317" s="105"/>
      <c r="E317" s="105"/>
      <c r="F317" s="105"/>
      <c r="G317" s="105"/>
      <c r="H317" s="105"/>
      <c r="I317" s="105"/>
      <c r="J317" s="113"/>
      <c r="K317" s="114"/>
      <c r="L317" s="115"/>
      <c r="M317" s="105"/>
      <c r="N317" s="105"/>
      <c r="O317" s="105"/>
      <c r="P317" s="105"/>
      <c r="Q317" s="113"/>
      <c r="R317" s="114"/>
      <c r="S317" s="115"/>
    </row>
    <row r="318" spans="1:19" x14ac:dyDescent="0.25">
      <c r="A318" s="111"/>
      <c r="B318" s="112"/>
      <c r="C318" s="105"/>
      <c r="D318" s="105"/>
      <c r="E318" s="105"/>
      <c r="F318" s="105"/>
      <c r="G318" s="105"/>
      <c r="H318" s="105"/>
      <c r="I318" s="105"/>
      <c r="J318" s="113"/>
      <c r="K318" s="114"/>
      <c r="L318" s="115"/>
      <c r="M318" s="105"/>
      <c r="N318" s="105"/>
      <c r="O318" s="105"/>
      <c r="P318" s="105"/>
      <c r="Q318" s="113"/>
      <c r="R318" s="114"/>
      <c r="S318" s="115"/>
    </row>
    <row r="319" spans="1:19" x14ac:dyDescent="0.25">
      <c r="A319" s="111"/>
      <c r="B319" s="112"/>
      <c r="C319" s="105"/>
      <c r="D319" s="105"/>
      <c r="E319" s="105"/>
      <c r="F319" s="105"/>
      <c r="G319" s="105"/>
      <c r="H319" s="105"/>
      <c r="I319" s="105"/>
      <c r="J319" s="113"/>
      <c r="K319" s="114"/>
      <c r="L319" s="115"/>
      <c r="M319" s="105"/>
      <c r="N319" s="105"/>
      <c r="O319" s="105"/>
      <c r="P319" s="105"/>
      <c r="Q319" s="113"/>
      <c r="R319" s="114"/>
      <c r="S319" s="115"/>
    </row>
    <row r="320" spans="1:19" x14ac:dyDescent="0.25">
      <c r="A320" s="111"/>
      <c r="B320" s="112"/>
      <c r="C320" s="105"/>
      <c r="D320" s="105"/>
      <c r="E320" s="105"/>
      <c r="F320" s="105"/>
      <c r="G320" s="105"/>
      <c r="H320" s="105"/>
      <c r="I320" s="105"/>
      <c r="J320" s="113"/>
      <c r="K320" s="114"/>
      <c r="L320" s="115"/>
      <c r="M320" s="105"/>
      <c r="N320" s="105"/>
      <c r="O320" s="105"/>
      <c r="P320" s="105"/>
      <c r="Q320" s="113"/>
      <c r="R320" s="114"/>
      <c r="S320" s="115"/>
    </row>
    <row r="321" spans="1:19" x14ac:dyDescent="0.25">
      <c r="A321" s="111"/>
      <c r="B321" s="112"/>
      <c r="C321" s="105"/>
      <c r="D321" s="105"/>
      <c r="E321" s="105"/>
      <c r="F321" s="105"/>
      <c r="G321" s="105"/>
      <c r="H321" s="105"/>
      <c r="I321" s="105"/>
      <c r="J321" s="113"/>
      <c r="K321" s="114"/>
      <c r="L321" s="115"/>
      <c r="M321" s="105"/>
      <c r="N321" s="105"/>
      <c r="O321" s="105"/>
      <c r="P321" s="105"/>
      <c r="Q321" s="113"/>
      <c r="R321" s="114"/>
      <c r="S321" s="115"/>
    </row>
    <row r="322" spans="1:19" x14ac:dyDescent="0.25">
      <c r="A322" s="111"/>
      <c r="B322" s="112"/>
      <c r="C322" s="105"/>
      <c r="D322" s="105"/>
      <c r="E322" s="105"/>
      <c r="F322" s="105"/>
      <c r="G322" s="105"/>
      <c r="H322" s="105"/>
      <c r="I322" s="105"/>
      <c r="J322" s="113"/>
      <c r="K322" s="114"/>
      <c r="L322" s="115"/>
      <c r="M322" s="105"/>
      <c r="N322" s="105"/>
      <c r="O322" s="105"/>
      <c r="P322" s="105"/>
      <c r="Q322" s="113"/>
      <c r="R322" s="114"/>
      <c r="S322" s="115"/>
    </row>
    <row r="323" spans="1:19" x14ac:dyDescent="0.25">
      <c r="A323" s="111"/>
      <c r="B323" s="112"/>
      <c r="C323" s="105"/>
      <c r="D323" s="105"/>
      <c r="E323" s="105"/>
      <c r="F323" s="105"/>
      <c r="G323" s="105"/>
      <c r="H323" s="105"/>
      <c r="I323" s="105"/>
      <c r="J323" s="113"/>
      <c r="K323" s="114"/>
      <c r="L323" s="115"/>
      <c r="M323" s="105"/>
      <c r="N323" s="105"/>
      <c r="O323" s="105"/>
      <c r="P323" s="105"/>
      <c r="Q323" s="113"/>
      <c r="R323" s="114"/>
      <c r="S323" s="115"/>
    </row>
    <row r="324" spans="1:19" x14ac:dyDescent="0.25">
      <c r="A324" s="111"/>
      <c r="B324" s="112"/>
      <c r="C324" s="105"/>
      <c r="D324" s="105"/>
      <c r="E324" s="105"/>
      <c r="F324" s="105"/>
      <c r="G324" s="105"/>
      <c r="H324" s="105"/>
      <c r="I324" s="105"/>
      <c r="J324" s="113"/>
      <c r="K324" s="114"/>
      <c r="L324" s="115"/>
      <c r="M324" s="105"/>
      <c r="N324" s="105"/>
      <c r="O324" s="105"/>
      <c r="P324" s="105"/>
      <c r="Q324" s="113"/>
      <c r="R324" s="114"/>
      <c r="S324" s="115"/>
    </row>
    <row r="325" spans="1:19" x14ac:dyDescent="0.25">
      <c r="A325" s="111"/>
      <c r="B325" s="112"/>
      <c r="C325" s="105"/>
      <c r="D325" s="105"/>
      <c r="E325" s="105"/>
      <c r="F325" s="105"/>
      <c r="G325" s="105"/>
      <c r="H325" s="105"/>
      <c r="I325" s="105"/>
      <c r="J325" s="113"/>
      <c r="K325" s="114"/>
      <c r="L325" s="115"/>
      <c r="M325" s="105"/>
      <c r="N325" s="105"/>
      <c r="O325" s="105"/>
      <c r="P325" s="105"/>
      <c r="Q325" s="113"/>
      <c r="R325" s="114"/>
      <c r="S325" s="115"/>
    </row>
    <row r="326" spans="1:19" x14ac:dyDescent="0.25">
      <c r="A326" s="111"/>
      <c r="B326" s="112"/>
      <c r="C326" s="105"/>
      <c r="D326" s="105"/>
      <c r="E326" s="105"/>
      <c r="F326" s="105"/>
      <c r="G326" s="105"/>
      <c r="H326" s="105"/>
      <c r="I326" s="105"/>
      <c r="J326" s="113"/>
      <c r="K326" s="114"/>
      <c r="L326" s="115"/>
      <c r="M326" s="105"/>
      <c r="N326" s="105"/>
      <c r="O326" s="105"/>
      <c r="P326" s="105"/>
      <c r="Q326" s="113"/>
      <c r="R326" s="114"/>
      <c r="S326" s="115"/>
    </row>
    <row r="327" spans="1:19" x14ac:dyDescent="0.25">
      <c r="A327" s="111"/>
      <c r="B327" s="112"/>
      <c r="C327" s="105"/>
      <c r="D327" s="105"/>
      <c r="E327" s="105"/>
      <c r="F327" s="105"/>
      <c r="G327" s="105"/>
      <c r="H327" s="105"/>
      <c r="I327" s="105"/>
      <c r="J327" s="113"/>
      <c r="K327" s="114"/>
      <c r="L327" s="115"/>
      <c r="M327" s="105"/>
      <c r="N327" s="105"/>
      <c r="O327" s="105"/>
      <c r="P327" s="105"/>
      <c r="Q327" s="113"/>
      <c r="R327" s="114"/>
      <c r="S327" s="115"/>
    </row>
    <row r="328" spans="1:19" x14ac:dyDescent="0.25">
      <c r="A328" s="111"/>
      <c r="B328" s="112"/>
      <c r="C328" s="105"/>
      <c r="D328" s="105"/>
      <c r="E328" s="105"/>
      <c r="F328" s="105"/>
      <c r="G328" s="105"/>
      <c r="H328" s="105"/>
      <c r="I328" s="105"/>
      <c r="J328" s="113"/>
      <c r="K328" s="114"/>
      <c r="L328" s="115"/>
      <c r="M328" s="105"/>
      <c r="N328" s="105"/>
      <c r="O328" s="105"/>
      <c r="P328" s="105"/>
      <c r="Q328" s="113"/>
      <c r="R328" s="114"/>
      <c r="S328" s="115"/>
    </row>
    <row r="329" spans="1:19" x14ac:dyDescent="0.25">
      <c r="A329" s="111"/>
      <c r="B329" s="112"/>
      <c r="C329" s="105"/>
      <c r="D329" s="105"/>
      <c r="E329" s="105"/>
      <c r="F329" s="105"/>
      <c r="G329" s="105"/>
      <c r="H329" s="105"/>
      <c r="I329" s="105"/>
      <c r="J329" s="113"/>
      <c r="K329" s="114"/>
      <c r="L329" s="115"/>
      <c r="M329" s="105"/>
      <c r="N329" s="105"/>
      <c r="O329" s="105"/>
      <c r="P329" s="105"/>
      <c r="Q329" s="113"/>
      <c r="R329" s="114"/>
      <c r="S329" s="115"/>
    </row>
    <row r="330" spans="1:19" x14ac:dyDescent="0.25">
      <c r="A330" s="111"/>
      <c r="B330" s="112"/>
      <c r="C330" s="105"/>
      <c r="D330" s="105"/>
      <c r="E330" s="105"/>
      <c r="F330" s="105"/>
      <c r="G330" s="105"/>
      <c r="H330" s="105"/>
      <c r="I330" s="105"/>
      <c r="J330" s="113"/>
      <c r="K330" s="114"/>
      <c r="L330" s="115"/>
      <c r="M330" s="105"/>
      <c r="N330" s="105"/>
      <c r="O330" s="105"/>
      <c r="P330" s="105"/>
      <c r="Q330" s="113"/>
      <c r="R330" s="114"/>
      <c r="S330" s="115"/>
    </row>
    <row r="331" spans="1:19" x14ac:dyDescent="0.25">
      <c r="A331" s="111"/>
      <c r="B331" s="112"/>
      <c r="C331" s="105"/>
      <c r="D331" s="105"/>
      <c r="E331" s="105"/>
      <c r="F331" s="105"/>
      <c r="G331" s="105"/>
      <c r="H331" s="105"/>
      <c r="I331" s="105"/>
      <c r="J331" s="113"/>
      <c r="K331" s="114"/>
      <c r="L331" s="115"/>
      <c r="M331" s="105"/>
      <c r="N331" s="105"/>
      <c r="O331" s="105"/>
      <c r="P331" s="105"/>
      <c r="Q331" s="113"/>
      <c r="R331" s="114"/>
      <c r="S331" s="115"/>
    </row>
    <row r="332" spans="1:19" x14ac:dyDescent="0.25">
      <c r="A332" s="111"/>
      <c r="B332" s="112"/>
      <c r="C332" s="105"/>
      <c r="D332" s="105"/>
      <c r="E332" s="105"/>
      <c r="F332" s="105"/>
      <c r="G332" s="105"/>
      <c r="H332" s="105"/>
      <c r="I332" s="105"/>
      <c r="J332" s="113"/>
      <c r="K332" s="114"/>
      <c r="L332" s="115"/>
      <c r="M332" s="105"/>
      <c r="N332" s="105"/>
      <c r="O332" s="105"/>
      <c r="P332" s="105"/>
      <c r="Q332" s="113"/>
      <c r="R332" s="114"/>
      <c r="S332" s="115"/>
    </row>
    <row r="333" spans="1:19" x14ac:dyDescent="0.25">
      <c r="A333" s="111"/>
      <c r="B333" s="112"/>
      <c r="C333" s="105"/>
      <c r="D333" s="105"/>
      <c r="E333" s="105"/>
      <c r="F333" s="105"/>
      <c r="G333" s="105"/>
      <c r="H333" s="105"/>
      <c r="I333" s="105"/>
      <c r="J333" s="113"/>
      <c r="K333" s="114"/>
      <c r="L333" s="115"/>
      <c r="M333" s="105"/>
      <c r="N333" s="105"/>
      <c r="O333" s="105"/>
      <c r="P333" s="105"/>
      <c r="Q333" s="113"/>
      <c r="R333" s="114"/>
      <c r="S333" s="115"/>
    </row>
    <row r="334" spans="1:19" x14ac:dyDescent="0.25">
      <c r="A334" s="111"/>
      <c r="B334" s="112"/>
      <c r="C334" s="105"/>
      <c r="D334" s="105"/>
      <c r="E334" s="105"/>
      <c r="F334" s="105"/>
      <c r="G334" s="105"/>
      <c r="H334" s="105"/>
      <c r="I334" s="105"/>
      <c r="J334" s="113"/>
      <c r="K334" s="114"/>
      <c r="L334" s="115"/>
      <c r="M334" s="105"/>
      <c r="N334" s="105"/>
      <c r="O334" s="105"/>
      <c r="P334" s="105"/>
      <c r="Q334" s="113"/>
      <c r="R334" s="114"/>
      <c r="S334" s="115"/>
    </row>
    <row r="335" spans="1:19" x14ac:dyDescent="0.25">
      <c r="A335" s="111"/>
      <c r="B335" s="112"/>
      <c r="C335" s="105"/>
      <c r="D335" s="105"/>
      <c r="E335" s="105"/>
      <c r="F335" s="105"/>
      <c r="G335" s="105"/>
      <c r="H335" s="105"/>
      <c r="I335" s="105"/>
      <c r="J335" s="113"/>
      <c r="K335" s="114"/>
      <c r="L335" s="115"/>
      <c r="M335" s="105"/>
      <c r="N335" s="105"/>
      <c r="O335" s="105"/>
      <c r="P335" s="105"/>
      <c r="Q335" s="113"/>
      <c r="R335" s="114"/>
      <c r="S335" s="115"/>
    </row>
    <row r="336" spans="1:19" x14ac:dyDescent="0.25">
      <c r="A336" s="111"/>
      <c r="B336" s="112"/>
      <c r="C336" s="105"/>
      <c r="D336" s="105"/>
      <c r="E336" s="105"/>
      <c r="F336" s="105"/>
      <c r="G336" s="105"/>
      <c r="H336" s="105"/>
      <c r="I336" s="105"/>
      <c r="J336" s="113"/>
      <c r="K336" s="114"/>
      <c r="L336" s="115"/>
      <c r="M336" s="105"/>
      <c r="N336" s="105"/>
      <c r="O336" s="105"/>
      <c r="P336" s="105"/>
      <c r="Q336" s="113"/>
      <c r="R336" s="114"/>
      <c r="S336" s="115"/>
    </row>
    <row r="337" spans="1:19" x14ac:dyDescent="0.25">
      <c r="A337" s="111"/>
      <c r="B337" s="112"/>
      <c r="C337" s="105"/>
      <c r="D337" s="105"/>
      <c r="E337" s="105"/>
      <c r="F337" s="105"/>
      <c r="G337" s="105"/>
      <c r="H337" s="105"/>
      <c r="I337" s="105"/>
      <c r="J337" s="113"/>
      <c r="K337" s="114"/>
      <c r="L337" s="115"/>
      <c r="M337" s="105"/>
      <c r="N337" s="105"/>
      <c r="O337" s="105"/>
      <c r="P337" s="105"/>
      <c r="Q337" s="113"/>
      <c r="R337" s="114"/>
      <c r="S337" s="115"/>
    </row>
    <row r="338" spans="1:19" x14ac:dyDescent="0.25">
      <c r="A338" s="111"/>
      <c r="B338" s="112"/>
      <c r="C338" s="105"/>
      <c r="D338" s="105"/>
      <c r="E338" s="105"/>
      <c r="F338" s="105"/>
      <c r="G338" s="105"/>
      <c r="H338" s="105"/>
      <c r="I338" s="105"/>
      <c r="J338" s="113"/>
      <c r="K338" s="114"/>
      <c r="L338" s="115"/>
      <c r="M338" s="105"/>
      <c r="N338" s="105"/>
      <c r="O338" s="105"/>
      <c r="P338" s="105"/>
      <c r="Q338" s="113"/>
      <c r="R338" s="114"/>
      <c r="S338" s="115"/>
    </row>
    <row r="339" spans="1:19" x14ac:dyDescent="0.25">
      <c r="A339" s="111"/>
      <c r="B339" s="112"/>
      <c r="C339" s="105"/>
      <c r="D339" s="105"/>
      <c r="E339" s="105"/>
      <c r="F339" s="105"/>
      <c r="G339" s="105"/>
      <c r="H339" s="105"/>
      <c r="I339" s="105"/>
      <c r="J339" s="113"/>
      <c r="K339" s="114"/>
      <c r="L339" s="115"/>
      <c r="M339" s="105"/>
      <c r="N339" s="105"/>
      <c r="O339" s="105"/>
      <c r="P339" s="105"/>
      <c r="Q339" s="113"/>
      <c r="R339" s="114"/>
      <c r="S339" s="115"/>
    </row>
    <row r="340" spans="1:19" x14ac:dyDescent="0.25">
      <c r="A340" s="111"/>
      <c r="B340" s="112"/>
      <c r="C340" s="105"/>
      <c r="D340" s="105"/>
      <c r="E340" s="105"/>
      <c r="F340" s="105"/>
      <c r="G340" s="105"/>
      <c r="H340" s="105"/>
      <c r="I340" s="105"/>
      <c r="J340" s="113"/>
      <c r="K340" s="114"/>
      <c r="L340" s="115"/>
      <c r="M340" s="105"/>
      <c r="N340" s="105"/>
      <c r="O340" s="105"/>
      <c r="P340" s="105"/>
      <c r="Q340" s="113"/>
      <c r="R340" s="114"/>
      <c r="S340" s="115"/>
    </row>
    <row r="341" spans="1:19" x14ac:dyDescent="0.25">
      <c r="A341" s="111"/>
      <c r="B341" s="112"/>
      <c r="C341" s="105"/>
      <c r="D341" s="105"/>
      <c r="E341" s="105"/>
      <c r="F341" s="105"/>
      <c r="G341" s="105"/>
      <c r="H341" s="105"/>
      <c r="I341" s="105"/>
      <c r="J341" s="113"/>
      <c r="K341" s="114"/>
      <c r="L341" s="115"/>
      <c r="M341" s="105"/>
      <c r="N341" s="105"/>
      <c r="O341" s="105"/>
      <c r="P341" s="105"/>
      <c r="Q341" s="113"/>
      <c r="R341" s="114"/>
      <c r="S341" s="115"/>
    </row>
    <row r="342" spans="1:19" x14ac:dyDescent="0.25">
      <c r="A342" s="111"/>
      <c r="B342" s="112"/>
      <c r="C342" s="105"/>
      <c r="D342" s="105"/>
      <c r="E342" s="105"/>
      <c r="F342" s="105"/>
      <c r="G342" s="105"/>
      <c r="H342" s="105"/>
      <c r="I342" s="105"/>
      <c r="J342" s="113"/>
      <c r="K342" s="114"/>
      <c r="L342" s="115"/>
      <c r="M342" s="105"/>
      <c r="N342" s="105"/>
      <c r="O342" s="105"/>
      <c r="P342" s="105"/>
      <c r="Q342" s="113"/>
      <c r="R342" s="114"/>
      <c r="S342" s="115"/>
    </row>
    <row r="343" spans="1:19" x14ac:dyDescent="0.25">
      <c r="A343" s="111"/>
      <c r="B343" s="112"/>
      <c r="C343" s="105"/>
      <c r="D343" s="105"/>
      <c r="E343" s="105"/>
      <c r="F343" s="105"/>
      <c r="G343" s="105"/>
      <c r="H343" s="105"/>
      <c r="I343" s="105"/>
      <c r="J343" s="113"/>
      <c r="K343" s="114"/>
      <c r="L343" s="115"/>
      <c r="M343" s="105"/>
      <c r="N343" s="105"/>
      <c r="O343" s="105"/>
      <c r="P343" s="105"/>
      <c r="Q343" s="113"/>
      <c r="R343" s="114"/>
      <c r="S343" s="115"/>
    </row>
    <row r="344" spans="1:19" x14ac:dyDescent="0.25">
      <c r="A344" s="111"/>
      <c r="B344" s="112"/>
      <c r="C344" s="105"/>
      <c r="D344" s="105"/>
      <c r="E344" s="105"/>
      <c r="F344" s="105"/>
      <c r="G344" s="105"/>
      <c r="H344" s="105"/>
      <c r="I344" s="105"/>
      <c r="J344" s="113"/>
      <c r="K344" s="114"/>
      <c r="L344" s="115"/>
      <c r="M344" s="105"/>
      <c r="N344" s="105"/>
      <c r="O344" s="105"/>
      <c r="P344" s="105"/>
      <c r="Q344" s="113"/>
      <c r="R344" s="114"/>
      <c r="S344" s="115"/>
    </row>
    <row r="345" spans="1:19" x14ac:dyDescent="0.25">
      <c r="A345" s="111"/>
      <c r="B345" s="112"/>
      <c r="C345" s="105"/>
      <c r="D345" s="105"/>
      <c r="E345" s="105"/>
      <c r="F345" s="105"/>
      <c r="G345" s="105"/>
      <c r="H345" s="105"/>
      <c r="I345" s="105"/>
      <c r="J345" s="113"/>
      <c r="K345" s="114"/>
      <c r="L345" s="115"/>
      <c r="M345" s="105"/>
      <c r="N345" s="105"/>
      <c r="O345" s="105"/>
      <c r="P345" s="105"/>
      <c r="Q345" s="113"/>
      <c r="R345" s="114"/>
      <c r="S345" s="115"/>
    </row>
    <row r="346" spans="1:19" x14ac:dyDescent="0.25">
      <c r="A346" s="111"/>
      <c r="B346" s="112"/>
      <c r="C346" s="105"/>
      <c r="D346" s="105"/>
      <c r="E346" s="105"/>
      <c r="F346" s="105"/>
      <c r="G346" s="105"/>
      <c r="H346" s="105"/>
      <c r="I346" s="105"/>
      <c r="J346" s="113"/>
      <c r="K346" s="114"/>
      <c r="L346" s="115"/>
      <c r="M346" s="105"/>
      <c r="N346" s="105"/>
      <c r="O346" s="105"/>
      <c r="P346" s="105"/>
      <c r="Q346" s="113"/>
      <c r="R346" s="114"/>
      <c r="S346" s="115"/>
    </row>
    <row r="347" spans="1:19" x14ac:dyDescent="0.25">
      <c r="A347" s="111"/>
      <c r="B347" s="112"/>
      <c r="C347" s="105"/>
      <c r="D347" s="105"/>
      <c r="E347" s="105"/>
      <c r="F347" s="105"/>
      <c r="G347" s="105"/>
      <c r="H347" s="105"/>
      <c r="I347" s="105"/>
      <c r="J347" s="113"/>
      <c r="K347" s="114"/>
      <c r="L347" s="115"/>
      <c r="M347" s="105"/>
      <c r="N347" s="105"/>
      <c r="O347" s="105"/>
      <c r="P347" s="105"/>
      <c r="Q347" s="113"/>
      <c r="R347" s="114"/>
      <c r="S347" s="115"/>
    </row>
    <row r="348" spans="1:19" x14ac:dyDescent="0.25">
      <c r="A348" s="111"/>
      <c r="B348" s="112"/>
      <c r="C348" s="105"/>
      <c r="D348" s="105"/>
      <c r="E348" s="105"/>
      <c r="F348" s="105"/>
      <c r="G348" s="105"/>
      <c r="H348" s="105"/>
      <c r="I348" s="105"/>
      <c r="J348" s="113"/>
      <c r="K348" s="114"/>
      <c r="L348" s="115"/>
      <c r="M348" s="105"/>
      <c r="N348" s="105"/>
      <c r="O348" s="105"/>
      <c r="P348" s="105"/>
      <c r="Q348" s="113"/>
      <c r="R348" s="114"/>
      <c r="S348" s="115"/>
    </row>
    <row r="349" spans="1:19" x14ac:dyDescent="0.25">
      <c r="A349" s="111"/>
      <c r="B349" s="112"/>
      <c r="C349" s="105"/>
      <c r="D349" s="105"/>
      <c r="E349" s="105"/>
      <c r="F349" s="105"/>
      <c r="G349" s="105"/>
      <c r="H349" s="105"/>
      <c r="I349" s="105"/>
      <c r="J349" s="113"/>
      <c r="K349" s="114"/>
      <c r="L349" s="115"/>
      <c r="M349" s="105"/>
      <c r="N349" s="105"/>
      <c r="O349" s="105"/>
      <c r="P349" s="105"/>
      <c r="Q349" s="113"/>
      <c r="R349" s="114"/>
      <c r="S349" s="115"/>
    </row>
    <row r="350" spans="1:19" x14ac:dyDescent="0.25">
      <c r="A350" s="111"/>
      <c r="B350" s="112"/>
      <c r="C350" s="105"/>
      <c r="D350" s="105"/>
      <c r="E350" s="105"/>
      <c r="F350" s="105"/>
      <c r="G350" s="105"/>
      <c r="H350" s="105"/>
      <c r="I350" s="105"/>
      <c r="J350" s="113"/>
      <c r="K350" s="114"/>
      <c r="L350" s="115"/>
      <c r="M350" s="105"/>
      <c r="N350" s="105"/>
      <c r="O350" s="105"/>
      <c r="P350" s="105"/>
      <c r="Q350" s="113"/>
      <c r="R350" s="114"/>
      <c r="S350" s="115"/>
    </row>
    <row r="351" spans="1:19" x14ac:dyDescent="0.25">
      <c r="A351" s="111"/>
      <c r="B351" s="112"/>
      <c r="C351" s="105"/>
      <c r="D351" s="105"/>
      <c r="E351" s="105"/>
      <c r="F351" s="105"/>
      <c r="G351" s="105"/>
      <c r="H351" s="105"/>
      <c r="I351" s="105"/>
      <c r="J351" s="113"/>
      <c r="K351" s="114"/>
      <c r="L351" s="115"/>
      <c r="M351" s="105"/>
      <c r="N351" s="105"/>
      <c r="O351" s="105"/>
      <c r="P351" s="105"/>
      <c r="Q351" s="113"/>
      <c r="R351" s="114"/>
      <c r="S351" s="115"/>
    </row>
    <row r="352" spans="1:19" x14ac:dyDescent="0.25">
      <c r="A352" s="111"/>
      <c r="B352" s="112"/>
      <c r="C352" s="105"/>
      <c r="D352" s="105"/>
      <c r="E352" s="105"/>
      <c r="F352" s="105"/>
      <c r="G352" s="105"/>
      <c r="H352" s="105"/>
      <c r="I352" s="105"/>
      <c r="J352" s="113"/>
      <c r="K352" s="114"/>
      <c r="L352" s="115"/>
      <c r="M352" s="105"/>
      <c r="N352" s="105"/>
      <c r="O352" s="105"/>
      <c r="P352" s="105"/>
      <c r="Q352" s="113"/>
      <c r="R352" s="114"/>
      <c r="S352" s="115"/>
    </row>
    <row r="353" spans="1:19" x14ac:dyDescent="0.25">
      <c r="A353" s="111"/>
      <c r="B353" s="112"/>
      <c r="C353" s="105"/>
      <c r="D353" s="105"/>
      <c r="E353" s="105"/>
      <c r="F353" s="105"/>
      <c r="G353" s="105"/>
      <c r="H353" s="105"/>
      <c r="I353" s="105"/>
      <c r="J353" s="113"/>
      <c r="K353" s="114"/>
      <c r="L353" s="115"/>
      <c r="M353" s="105"/>
      <c r="N353" s="105"/>
      <c r="O353" s="105"/>
      <c r="P353" s="105"/>
      <c r="Q353" s="113"/>
      <c r="R353" s="114"/>
      <c r="S353" s="115"/>
    </row>
    <row r="354" spans="1:19" x14ac:dyDescent="0.25">
      <c r="A354" s="111"/>
      <c r="B354" s="112"/>
      <c r="C354" s="105"/>
      <c r="D354" s="105"/>
      <c r="E354" s="105"/>
      <c r="F354" s="105"/>
      <c r="G354" s="105"/>
      <c r="H354" s="105"/>
      <c r="I354" s="105"/>
      <c r="J354" s="113"/>
      <c r="K354" s="114"/>
      <c r="L354" s="115"/>
      <c r="M354" s="105"/>
      <c r="N354" s="105"/>
      <c r="O354" s="105"/>
      <c r="P354" s="105"/>
      <c r="Q354" s="113"/>
      <c r="R354" s="114"/>
      <c r="S354" s="115"/>
    </row>
    <row r="355" spans="1:19" x14ac:dyDescent="0.25">
      <c r="A355" s="111"/>
      <c r="B355" s="112"/>
      <c r="C355" s="105"/>
      <c r="D355" s="105"/>
      <c r="E355" s="105"/>
      <c r="F355" s="105"/>
      <c r="G355" s="105"/>
      <c r="H355" s="105"/>
      <c r="I355" s="105"/>
      <c r="J355" s="113"/>
      <c r="K355" s="114"/>
      <c r="L355" s="115"/>
      <c r="M355" s="105"/>
      <c r="N355" s="105"/>
      <c r="O355" s="105"/>
      <c r="P355" s="105"/>
      <c r="Q355" s="113"/>
      <c r="R355" s="114"/>
      <c r="S355" s="115"/>
    </row>
    <row r="356" spans="1:19" x14ac:dyDescent="0.25">
      <c r="A356" s="111"/>
      <c r="B356" s="112"/>
      <c r="C356" s="105"/>
      <c r="D356" s="105"/>
      <c r="E356" s="105"/>
      <c r="F356" s="105"/>
      <c r="G356" s="105"/>
      <c r="H356" s="105"/>
      <c r="I356" s="105"/>
      <c r="J356" s="113"/>
      <c r="K356" s="114"/>
      <c r="L356" s="115"/>
      <c r="M356" s="105"/>
      <c r="N356" s="105"/>
      <c r="O356" s="105"/>
      <c r="P356" s="105"/>
      <c r="Q356" s="113"/>
      <c r="R356" s="114"/>
      <c r="S356" s="115"/>
    </row>
    <row r="357" spans="1:19" x14ac:dyDescent="0.25">
      <c r="A357" s="111"/>
      <c r="B357" s="112"/>
      <c r="C357" s="105"/>
      <c r="D357" s="105"/>
      <c r="E357" s="105"/>
      <c r="F357" s="105"/>
      <c r="G357" s="105"/>
      <c r="H357" s="105"/>
      <c r="I357" s="105"/>
      <c r="J357" s="113"/>
      <c r="K357" s="114"/>
      <c r="L357" s="115"/>
      <c r="M357" s="105"/>
      <c r="N357" s="105"/>
      <c r="O357" s="105"/>
      <c r="P357" s="105"/>
      <c r="Q357" s="113"/>
      <c r="R357" s="114"/>
      <c r="S357" s="115"/>
    </row>
    <row r="358" spans="1:19" x14ac:dyDescent="0.25">
      <c r="A358" s="111"/>
      <c r="B358" s="112"/>
      <c r="C358" s="105"/>
      <c r="D358" s="105"/>
      <c r="E358" s="105"/>
      <c r="F358" s="105"/>
      <c r="G358" s="105"/>
      <c r="H358" s="105"/>
      <c r="I358" s="105"/>
      <c r="J358" s="113"/>
      <c r="K358" s="114"/>
      <c r="L358" s="115"/>
      <c r="M358" s="105"/>
      <c r="N358" s="105"/>
      <c r="O358" s="105"/>
      <c r="P358" s="105"/>
      <c r="Q358" s="113"/>
      <c r="R358" s="114"/>
      <c r="S358" s="115"/>
    </row>
    <row r="359" spans="1:19" x14ac:dyDescent="0.25">
      <c r="A359" s="111"/>
      <c r="B359" s="112"/>
      <c r="C359" s="105"/>
      <c r="D359" s="105"/>
      <c r="E359" s="105"/>
      <c r="F359" s="105"/>
      <c r="G359" s="105"/>
      <c r="H359" s="105"/>
      <c r="I359" s="105"/>
      <c r="J359" s="113"/>
      <c r="K359" s="114"/>
      <c r="L359" s="115"/>
      <c r="M359" s="105"/>
      <c r="N359" s="105"/>
      <c r="O359" s="105"/>
      <c r="P359" s="105"/>
      <c r="Q359" s="113"/>
      <c r="R359" s="114"/>
      <c r="S359" s="115"/>
    </row>
    <row r="360" spans="1:19" x14ac:dyDescent="0.25">
      <c r="A360" s="111"/>
      <c r="B360" s="112"/>
      <c r="C360" s="105"/>
      <c r="D360" s="105"/>
      <c r="E360" s="105"/>
      <c r="F360" s="105"/>
      <c r="G360" s="105"/>
      <c r="H360" s="105"/>
      <c r="I360" s="105"/>
      <c r="J360" s="113"/>
      <c r="K360" s="114"/>
      <c r="L360" s="115"/>
      <c r="M360" s="105"/>
      <c r="N360" s="105"/>
      <c r="O360" s="105"/>
      <c r="P360" s="105"/>
      <c r="Q360" s="113"/>
      <c r="R360" s="114"/>
      <c r="S360" s="115"/>
    </row>
    <row r="361" spans="1:19" x14ac:dyDescent="0.25">
      <c r="A361" s="111"/>
      <c r="B361" s="112"/>
      <c r="C361" s="105"/>
      <c r="D361" s="105"/>
      <c r="E361" s="105"/>
      <c r="F361" s="105"/>
      <c r="G361" s="105"/>
      <c r="H361" s="105"/>
      <c r="I361" s="105"/>
      <c r="J361" s="113"/>
      <c r="K361" s="114"/>
      <c r="L361" s="115"/>
      <c r="M361" s="105"/>
      <c r="N361" s="105"/>
      <c r="O361" s="105"/>
      <c r="P361" s="105"/>
      <c r="Q361" s="113"/>
      <c r="R361" s="114"/>
      <c r="S361" s="115"/>
    </row>
    <row r="362" spans="1:19" x14ac:dyDescent="0.25">
      <c r="A362" s="111"/>
      <c r="B362" s="112"/>
      <c r="C362" s="105"/>
      <c r="D362" s="105"/>
      <c r="E362" s="105"/>
      <c r="F362" s="105"/>
      <c r="G362" s="105"/>
      <c r="H362" s="105"/>
      <c r="I362" s="105"/>
      <c r="J362" s="113"/>
      <c r="K362" s="114"/>
      <c r="L362" s="115"/>
      <c r="M362" s="105"/>
      <c r="N362" s="105"/>
      <c r="O362" s="105"/>
      <c r="P362" s="105"/>
      <c r="Q362" s="113"/>
      <c r="R362" s="114"/>
      <c r="S362" s="115"/>
    </row>
    <row r="363" spans="1:19" x14ac:dyDescent="0.25">
      <c r="A363" s="111"/>
      <c r="B363" s="112"/>
      <c r="C363" s="105"/>
      <c r="D363" s="105"/>
      <c r="E363" s="105"/>
      <c r="F363" s="105"/>
      <c r="G363" s="105"/>
      <c r="H363" s="105"/>
      <c r="I363" s="105"/>
      <c r="J363" s="113"/>
      <c r="K363" s="114"/>
      <c r="L363" s="115"/>
      <c r="M363" s="105"/>
      <c r="N363" s="105"/>
      <c r="O363" s="105"/>
      <c r="P363" s="105"/>
      <c r="Q363" s="113"/>
      <c r="R363" s="114"/>
      <c r="S363" s="115"/>
    </row>
    <row r="364" spans="1:19" x14ac:dyDescent="0.25">
      <c r="A364" s="111"/>
      <c r="B364" s="112"/>
      <c r="C364" s="105"/>
      <c r="D364" s="105"/>
      <c r="E364" s="105"/>
      <c r="F364" s="105"/>
      <c r="G364" s="105"/>
      <c r="H364" s="105"/>
      <c r="I364" s="105"/>
      <c r="J364" s="113"/>
      <c r="K364" s="114"/>
      <c r="L364" s="115"/>
      <c r="M364" s="105"/>
      <c r="N364" s="105"/>
      <c r="O364" s="105"/>
      <c r="P364" s="105"/>
      <c r="Q364" s="113"/>
      <c r="R364" s="114"/>
      <c r="S364" s="115"/>
    </row>
    <row r="365" spans="1:19" x14ac:dyDescent="0.25">
      <c r="A365" s="111"/>
      <c r="B365" s="112"/>
      <c r="C365" s="105"/>
      <c r="D365" s="105"/>
      <c r="E365" s="105"/>
      <c r="F365" s="105"/>
      <c r="G365" s="105"/>
      <c r="H365" s="105"/>
      <c r="I365" s="105"/>
      <c r="J365" s="113"/>
      <c r="K365" s="114"/>
      <c r="L365" s="115"/>
      <c r="M365" s="105"/>
      <c r="N365" s="105"/>
      <c r="O365" s="105"/>
      <c r="P365" s="105"/>
      <c r="Q365" s="113"/>
      <c r="R365" s="114"/>
      <c r="S365" s="115"/>
    </row>
    <row r="366" spans="1:19" x14ac:dyDescent="0.25">
      <c r="A366" s="111"/>
      <c r="B366" s="112"/>
      <c r="C366" s="105"/>
      <c r="D366" s="105"/>
      <c r="E366" s="105"/>
      <c r="F366" s="105"/>
      <c r="G366" s="105"/>
      <c r="H366" s="105"/>
      <c r="I366" s="105"/>
      <c r="J366" s="113"/>
      <c r="K366" s="114"/>
      <c r="L366" s="115"/>
      <c r="M366" s="105"/>
      <c r="N366" s="105"/>
      <c r="O366" s="105"/>
      <c r="P366" s="105"/>
      <c r="Q366" s="113"/>
      <c r="R366" s="114"/>
      <c r="S366" s="115"/>
    </row>
    <row r="367" spans="1:19" x14ac:dyDescent="0.25">
      <c r="A367" s="111"/>
      <c r="B367" s="112"/>
      <c r="C367" s="105"/>
      <c r="D367" s="105"/>
      <c r="E367" s="105"/>
      <c r="F367" s="105"/>
      <c r="G367" s="105"/>
      <c r="H367" s="105"/>
      <c r="I367" s="105"/>
      <c r="J367" s="113"/>
      <c r="K367" s="114"/>
      <c r="L367" s="115"/>
      <c r="M367" s="105"/>
      <c r="N367" s="105"/>
      <c r="O367" s="105"/>
      <c r="P367" s="105"/>
      <c r="Q367" s="113"/>
      <c r="R367" s="114"/>
      <c r="S367" s="115"/>
    </row>
    <row r="368" spans="1:19" x14ac:dyDescent="0.25">
      <c r="A368" s="111"/>
      <c r="B368" s="112"/>
      <c r="C368" s="105"/>
      <c r="D368" s="105"/>
      <c r="E368" s="105"/>
      <c r="F368" s="105"/>
      <c r="G368" s="105"/>
      <c r="H368" s="105"/>
      <c r="I368" s="105"/>
      <c r="J368" s="113"/>
      <c r="K368" s="114"/>
      <c r="L368" s="115"/>
      <c r="M368" s="105"/>
      <c r="N368" s="105"/>
      <c r="O368" s="105"/>
      <c r="P368" s="105"/>
      <c r="Q368" s="113"/>
      <c r="R368" s="114"/>
      <c r="S368" s="115"/>
    </row>
    <row r="369" spans="1:19" x14ac:dyDescent="0.25">
      <c r="A369" s="111"/>
      <c r="B369" s="112"/>
      <c r="C369" s="105"/>
      <c r="D369" s="105"/>
      <c r="E369" s="105"/>
      <c r="F369" s="105"/>
      <c r="G369" s="105"/>
      <c r="H369" s="105"/>
      <c r="I369" s="105"/>
      <c r="J369" s="113"/>
      <c r="K369" s="114"/>
      <c r="L369" s="115"/>
      <c r="M369" s="105"/>
      <c r="N369" s="105"/>
      <c r="O369" s="105"/>
      <c r="P369" s="105"/>
      <c r="Q369" s="113"/>
      <c r="R369" s="114"/>
      <c r="S369" s="115"/>
    </row>
    <row r="370" spans="1:19" x14ac:dyDescent="0.25">
      <c r="A370" s="111"/>
      <c r="B370" s="112"/>
      <c r="C370" s="105"/>
      <c r="D370" s="105"/>
      <c r="E370" s="105"/>
      <c r="F370" s="105"/>
      <c r="G370" s="105"/>
      <c r="H370" s="105"/>
      <c r="I370" s="105"/>
      <c r="J370" s="113"/>
      <c r="K370" s="114"/>
      <c r="L370" s="115"/>
      <c r="M370" s="105"/>
      <c r="N370" s="105"/>
      <c r="O370" s="105"/>
      <c r="P370" s="105"/>
      <c r="Q370" s="113"/>
      <c r="R370" s="114"/>
      <c r="S370" s="115"/>
    </row>
    <row r="371" spans="1:19" x14ac:dyDescent="0.25">
      <c r="A371" s="111"/>
      <c r="B371" s="112"/>
      <c r="C371" s="105"/>
      <c r="D371" s="105"/>
      <c r="E371" s="105"/>
      <c r="F371" s="105"/>
      <c r="G371" s="105"/>
      <c r="H371" s="105"/>
      <c r="I371" s="105"/>
      <c r="J371" s="113"/>
      <c r="K371" s="114"/>
      <c r="L371" s="115"/>
      <c r="M371" s="105"/>
      <c r="N371" s="105"/>
      <c r="O371" s="105"/>
      <c r="P371" s="105"/>
      <c r="Q371" s="113"/>
      <c r="R371" s="114"/>
      <c r="S371" s="115"/>
    </row>
    <row r="372" spans="1:19" x14ac:dyDescent="0.25">
      <c r="A372" s="111"/>
      <c r="B372" s="112"/>
      <c r="C372" s="105"/>
      <c r="D372" s="105"/>
      <c r="E372" s="105"/>
      <c r="F372" s="105"/>
      <c r="G372" s="105"/>
      <c r="H372" s="105"/>
      <c r="I372" s="105"/>
      <c r="J372" s="113"/>
      <c r="K372" s="114"/>
      <c r="L372" s="115"/>
      <c r="M372" s="105"/>
      <c r="N372" s="105"/>
      <c r="O372" s="105"/>
      <c r="P372" s="105"/>
      <c r="Q372" s="113"/>
      <c r="R372" s="114"/>
      <c r="S372" s="115"/>
    </row>
    <row r="373" spans="1:19" x14ac:dyDescent="0.25">
      <c r="A373" s="111"/>
      <c r="B373" s="112"/>
      <c r="C373" s="105"/>
      <c r="D373" s="105"/>
      <c r="E373" s="105"/>
      <c r="F373" s="105"/>
      <c r="G373" s="105"/>
      <c r="H373" s="105"/>
      <c r="I373" s="105"/>
      <c r="J373" s="113"/>
      <c r="K373" s="114"/>
      <c r="L373" s="115"/>
      <c r="M373" s="105"/>
      <c r="N373" s="105"/>
      <c r="O373" s="105"/>
      <c r="P373" s="105"/>
      <c r="Q373" s="113"/>
      <c r="R373" s="114"/>
      <c r="S373" s="115"/>
    </row>
    <row r="374" spans="1:19" x14ac:dyDescent="0.25">
      <c r="A374" s="111"/>
      <c r="B374" s="112"/>
      <c r="C374" s="105"/>
      <c r="D374" s="105"/>
      <c r="E374" s="105"/>
      <c r="F374" s="105"/>
      <c r="G374" s="105"/>
      <c r="H374" s="105"/>
      <c r="I374" s="105"/>
      <c r="J374" s="113"/>
      <c r="K374" s="114"/>
      <c r="L374" s="115"/>
      <c r="M374" s="105"/>
      <c r="N374" s="105"/>
      <c r="O374" s="105"/>
      <c r="P374" s="105"/>
      <c r="Q374" s="113"/>
      <c r="R374" s="114"/>
      <c r="S374" s="115"/>
    </row>
    <row r="375" spans="1:19" x14ac:dyDescent="0.25">
      <c r="A375" s="111"/>
      <c r="B375" s="112"/>
      <c r="C375" s="105"/>
      <c r="D375" s="105"/>
      <c r="E375" s="105"/>
      <c r="F375" s="105"/>
      <c r="G375" s="105"/>
      <c r="H375" s="105"/>
      <c r="I375" s="105"/>
      <c r="J375" s="113"/>
      <c r="K375" s="114"/>
      <c r="L375" s="115"/>
      <c r="M375" s="105"/>
      <c r="N375" s="105"/>
      <c r="O375" s="105"/>
      <c r="P375" s="105"/>
      <c r="Q375" s="113"/>
      <c r="R375" s="114"/>
      <c r="S375" s="115"/>
    </row>
    <row r="376" spans="1:19" x14ac:dyDescent="0.25">
      <c r="A376" s="111"/>
      <c r="B376" s="112"/>
      <c r="C376" s="105"/>
      <c r="D376" s="105"/>
      <c r="E376" s="105"/>
      <c r="F376" s="105"/>
      <c r="G376" s="105"/>
      <c r="H376" s="105"/>
      <c r="I376" s="105"/>
      <c r="J376" s="113"/>
      <c r="K376" s="114"/>
      <c r="L376" s="115"/>
      <c r="M376" s="105"/>
      <c r="N376" s="105"/>
      <c r="O376" s="105"/>
      <c r="P376" s="105"/>
      <c r="Q376" s="113"/>
      <c r="R376" s="114"/>
      <c r="S376" s="115"/>
    </row>
    <row r="377" spans="1:19" x14ac:dyDescent="0.25">
      <c r="A377" s="111"/>
      <c r="B377" s="112"/>
      <c r="C377" s="105"/>
      <c r="D377" s="105"/>
      <c r="E377" s="105"/>
      <c r="F377" s="105"/>
      <c r="G377" s="105"/>
      <c r="H377" s="105"/>
      <c r="I377" s="105"/>
      <c r="J377" s="113"/>
      <c r="K377" s="114"/>
      <c r="L377" s="115"/>
      <c r="M377" s="105"/>
      <c r="N377" s="105"/>
      <c r="O377" s="105"/>
      <c r="P377" s="105"/>
      <c r="Q377" s="113"/>
      <c r="R377" s="114"/>
      <c r="S377" s="115"/>
    </row>
    <row r="378" spans="1:19" x14ac:dyDescent="0.25">
      <c r="A378" s="111"/>
      <c r="B378" s="112"/>
      <c r="C378" s="105"/>
      <c r="D378" s="105"/>
      <c r="E378" s="105"/>
      <c r="F378" s="105"/>
      <c r="G378" s="105"/>
      <c r="H378" s="105"/>
      <c r="I378" s="105"/>
      <c r="J378" s="113"/>
      <c r="K378" s="114"/>
      <c r="L378" s="115"/>
      <c r="M378" s="105"/>
      <c r="N378" s="105"/>
      <c r="O378" s="105"/>
      <c r="P378" s="105"/>
      <c r="Q378" s="113"/>
      <c r="R378" s="114"/>
      <c r="S378" s="115"/>
    </row>
    <row r="379" spans="1:19" x14ac:dyDescent="0.25">
      <c r="A379" s="111"/>
      <c r="B379" s="112"/>
      <c r="C379" s="105"/>
      <c r="D379" s="105"/>
      <c r="E379" s="105"/>
      <c r="F379" s="105"/>
      <c r="G379" s="105"/>
      <c r="H379" s="105"/>
      <c r="I379" s="105"/>
      <c r="J379" s="113"/>
      <c r="K379" s="114"/>
      <c r="L379" s="115"/>
      <c r="M379" s="105"/>
      <c r="N379" s="105"/>
      <c r="O379" s="105"/>
      <c r="P379" s="105"/>
      <c r="Q379" s="113"/>
      <c r="R379" s="114"/>
      <c r="S379" s="115"/>
    </row>
    <row r="380" spans="1:19" x14ac:dyDescent="0.25">
      <c r="A380" s="111"/>
      <c r="B380" s="112"/>
      <c r="C380" s="105"/>
      <c r="D380" s="105"/>
      <c r="E380" s="105"/>
      <c r="F380" s="105"/>
      <c r="G380" s="105"/>
      <c r="H380" s="105"/>
      <c r="I380" s="105"/>
      <c r="J380" s="113"/>
      <c r="K380" s="114"/>
      <c r="L380" s="115"/>
      <c r="M380" s="105"/>
      <c r="N380" s="105"/>
      <c r="O380" s="105"/>
      <c r="P380" s="105"/>
      <c r="Q380" s="113"/>
      <c r="R380" s="114"/>
      <c r="S380" s="115"/>
    </row>
    <row r="381" spans="1:19" x14ac:dyDescent="0.25">
      <c r="A381" s="111"/>
      <c r="B381" s="112"/>
      <c r="C381" s="105"/>
      <c r="D381" s="105"/>
      <c r="E381" s="105"/>
      <c r="F381" s="105"/>
      <c r="G381" s="105"/>
      <c r="H381" s="105"/>
      <c r="I381" s="105"/>
      <c r="J381" s="113"/>
      <c r="K381" s="114"/>
      <c r="L381" s="115"/>
      <c r="M381" s="105"/>
      <c r="N381" s="105"/>
      <c r="O381" s="105"/>
      <c r="P381" s="105"/>
      <c r="Q381" s="113"/>
      <c r="R381" s="114"/>
      <c r="S381" s="115"/>
    </row>
    <row r="382" spans="1:19" x14ac:dyDescent="0.25">
      <c r="A382" s="111"/>
      <c r="B382" s="112"/>
      <c r="C382" s="105"/>
      <c r="D382" s="105"/>
      <c r="E382" s="105"/>
      <c r="F382" s="105"/>
      <c r="G382" s="105"/>
      <c r="H382" s="105"/>
      <c r="I382" s="105"/>
      <c r="J382" s="113"/>
      <c r="K382" s="114"/>
      <c r="L382" s="115"/>
      <c r="M382" s="105"/>
      <c r="N382" s="105"/>
      <c r="O382" s="105"/>
      <c r="P382" s="105"/>
      <c r="Q382" s="113"/>
      <c r="R382" s="114"/>
      <c r="S382" s="115"/>
    </row>
    <row r="383" spans="1:19" x14ac:dyDescent="0.25">
      <c r="A383" s="111"/>
      <c r="B383" s="112"/>
      <c r="C383" s="105"/>
      <c r="D383" s="105"/>
      <c r="E383" s="105"/>
      <c r="F383" s="105"/>
      <c r="G383" s="105"/>
      <c r="H383" s="105"/>
      <c r="I383" s="105"/>
      <c r="J383" s="113"/>
      <c r="K383" s="114"/>
      <c r="L383" s="115"/>
      <c r="M383" s="105"/>
      <c r="N383" s="105"/>
      <c r="O383" s="105"/>
      <c r="P383" s="105"/>
      <c r="Q383" s="113"/>
      <c r="R383" s="114"/>
      <c r="S383" s="115"/>
    </row>
    <row r="384" spans="1:19" x14ac:dyDescent="0.25">
      <c r="A384" s="111"/>
      <c r="B384" s="112"/>
      <c r="C384" s="105"/>
      <c r="D384" s="105"/>
      <c r="E384" s="105"/>
      <c r="F384" s="105"/>
      <c r="G384" s="105"/>
      <c r="H384" s="105"/>
      <c r="I384" s="105"/>
      <c r="J384" s="113"/>
      <c r="K384" s="114"/>
      <c r="L384" s="115"/>
      <c r="M384" s="105"/>
      <c r="N384" s="105"/>
      <c r="O384" s="105"/>
      <c r="P384" s="105"/>
      <c r="Q384" s="113"/>
      <c r="R384" s="114"/>
      <c r="S384" s="115"/>
    </row>
    <row r="385" spans="1:19" x14ac:dyDescent="0.25">
      <c r="A385" s="111"/>
      <c r="B385" s="112"/>
      <c r="C385" s="105"/>
      <c r="D385" s="105"/>
      <c r="E385" s="105"/>
      <c r="F385" s="105"/>
      <c r="G385" s="105"/>
      <c r="H385" s="105"/>
      <c r="I385" s="105"/>
      <c r="J385" s="113"/>
      <c r="K385" s="114"/>
      <c r="L385" s="115"/>
      <c r="M385" s="105"/>
      <c r="N385" s="105"/>
      <c r="O385" s="105"/>
      <c r="P385" s="105"/>
      <c r="Q385" s="113"/>
      <c r="R385" s="114"/>
      <c r="S385" s="115"/>
    </row>
    <row r="386" spans="1:19" x14ac:dyDescent="0.25">
      <c r="A386" s="111"/>
      <c r="B386" s="112"/>
      <c r="C386" s="105"/>
      <c r="D386" s="105"/>
      <c r="E386" s="105"/>
      <c r="F386" s="105"/>
      <c r="G386" s="105"/>
      <c r="H386" s="105"/>
      <c r="I386" s="105"/>
      <c r="J386" s="113"/>
      <c r="K386" s="114"/>
      <c r="L386" s="115"/>
      <c r="M386" s="105"/>
      <c r="N386" s="105"/>
      <c r="O386" s="105"/>
      <c r="P386" s="105"/>
      <c r="Q386" s="113"/>
      <c r="R386" s="114"/>
      <c r="S386" s="115"/>
    </row>
    <row r="387" spans="1:19" x14ac:dyDescent="0.25">
      <c r="A387" s="111"/>
      <c r="B387" s="112"/>
      <c r="C387" s="105"/>
      <c r="D387" s="105"/>
      <c r="E387" s="105"/>
      <c r="F387" s="105"/>
      <c r="G387" s="105"/>
      <c r="H387" s="105"/>
      <c r="I387" s="105"/>
      <c r="J387" s="113"/>
      <c r="K387" s="114"/>
      <c r="L387" s="115"/>
      <c r="M387" s="105"/>
      <c r="N387" s="105"/>
      <c r="O387" s="105"/>
      <c r="P387" s="105"/>
      <c r="Q387" s="113"/>
      <c r="R387" s="114"/>
      <c r="S387" s="115"/>
    </row>
    <row r="388" spans="1:19" x14ac:dyDescent="0.25">
      <c r="A388" s="111"/>
      <c r="B388" s="112"/>
      <c r="C388" s="105"/>
      <c r="D388" s="105"/>
      <c r="E388" s="105"/>
      <c r="F388" s="105"/>
      <c r="G388" s="105"/>
      <c r="H388" s="105"/>
      <c r="I388" s="105"/>
      <c r="J388" s="113"/>
      <c r="K388" s="114"/>
      <c r="L388" s="115"/>
      <c r="M388" s="105"/>
      <c r="N388" s="105"/>
      <c r="O388" s="105"/>
      <c r="P388" s="105"/>
      <c r="Q388" s="113"/>
      <c r="R388" s="114"/>
      <c r="S388" s="115"/>
    </row>
    <row r="389" spans="1:19" x14ac:dyDescent="0.25">
      <c r="A389" s="111"/>
      <c r="B389" s="112"/>
      <c r="C389" s="105"/>
      <c r="D389" s="105"/>
      <c r="E389" s="105"/>
      <c r="F389" s="105"/>
      <c r="G389" s="105"/>
      <c r="H389" s="105"/>
      <c r="I389" s="105"/>
      <c r="J389" s="113"/>
      <c r="K389" s="114"/>
      <c r="L389" s="115"/>
      <c r="M389" s="105"/>
      <c r="N389" s="105"/>
      <c r="O389" s="105"/>
      <c r="P389" s="105"/>
      <c r="Q389" s="113"/>
      <c r="R389" s="114"/>
      <c r="S389" s="115"/>
    </row>
    <row r="390" spans="1:19" x14ac:dyDescent="0.25">
      <c r="A390" s="111"/>
      <c r="B390" s="112"/>
      <c r="C390" s="105"/>
      <c r="D390" s="105"/>
      <c r="E390" s="105"/>
      <c r="F390" s="105"/>
      <c r="G390" s="105"/>
      <c r="H390" s="105"/>
      <c r="I390" s="105"/>
      <c r="J390" s="113"/>
      <c r="K390" s="114"/>
      <c r="L390" s="115"/>
      <c r="M390" s="105"/>
      <c r="N390" s="105"/>
      <c r="O390" s="105"/>
      <c r="P390" s="105"/>
      <c r="Q390" s="113"/>
      <c r="R390" s="114"/>
      <c r="S390" s="115"/>
    </row>
    <row r="391" spans="1:19" x14ac:dyDescent="0.25">
      <c r="A391" s="111"/>
      <c r="B391" s="112"/>
      <c r="C391" s="105"/>
      <c r="D391" s="105"/>
      <c r="E391" s="105"/>
      <c r="F391" s="105"/>
      <c r="G391" s="105"/>
      <c r="H391" s="105"/>
      <c r="I391" s="105"/>
      <c r="J391" s="113"/>
      <c r="K391" s="114"/>
      <c r="L391" s="115"/>
      <c r="M391" s="105"/>
      <c r="N391" s="105"/>
      <c r="O391" s="105"/>
      <c r="P391" s="105"/>
      <c r="Q391" s="113"/>
      <c r="R391" s="114"/>
      <c r="S391" s="115"/>
    </row>
    <row r="392" spans="1:19" x14ac:dyDescent="0.25">
      <c r="A392" s="111"/>
      <c r="B392" s="112"/>
      <c r="C392" s="105"/>
      <c r="D392" s="105"/>
      <c r="E392" s="105"/>
      <c r="F392" s="105"/>
      <c r="G392" s="105"/>
      <c r="H392" s="105"/>
      <c r="I392" s="105"/>
      <c r="J392" s="113"/>
      <c r="K392" s="114"/>
      <c r="L392" s="115"/>
      <c r="M392" s="105"/>
      <c r="N392" s="105"/>
      <c r="O392" s="105"/>
      <c r="P392" s="105"/>
      <c r="Q392" s="113"/>
      <c r="R392" s="114"/>
      <c r="S392" s="115"/>
    </row>
    <row r="393" spans="1:19" x14ac:dyDescent="0.25">
      <c r="A393" s="111"/>
      <c r="B393" s="112"/>
      <c r="C393" s="105"/>
      <c r="D393" s="105"/>
      <c r="E393" s="105"/>
      <c r="F393" s="105"/>
      <c r="G393" s="105"/>
      <c r="H393" s="105"/>
      <c r="I393" s="105"/>
      <c r="J393" s="113"/>
      <c r="K393" s="114"/>
      <c r="L393" s="115"/>
      <c r="M393" s="105"/>
      <c r="N393" s="105"/>
      <c r="O393" s="105"/>
      <c r="P393" s="105"/>
      <c r="Q393" s="113"/>
      <c r="R393" s="114"/>
      <c r="S393" s="115"/>
    </row>
    <row r="394" spans="1:19" x14ac:dyDescent="0.25">
      <c r="A394" s="111"/>
      <c r="B394" s="112"/>
      <c r="C394" s="105"/>
      <c r="D394" s="105"/>
      <c r="E394" s="105"/>
      <c r="F394" s="105"/>
      <c r="G394" s="105"/>
      <c r="H394" s="105"/>
      <c r="I394" s="105"/>
      <c r="J394" s="113"/>
      <c r="K394" s="114"/>
      <c r="L394" s="115"/>
      <c r="M394" s="105"/>
      <c r="N394" s="105"/>
      <c r="O394" s="105"/>
      <c r="P394" s="105"/>
      <c r="Q394" s="113"/>
      <c r="R394" s="114"/>
      <c r="S394" s="115"/>
    </row>
    <row r="395" spans="1:19" x14ac:dyDescent="0.25">
      <c r="A395" s="111"/>
      <c r="B395" s="112"/>
      <c r="C395" s="105"/>
      <c r="D395" s="105"/>
      <c r="E395" s="105"/>
      <c r="F395" s="105"/>
      <c r="G395" s="105"/>
      <c r="H395" s="105"/>
      <c r="I395" s="105"/>
      <c r="J395" s="113"/>
      <c r="K395" s="114"/>
      <c r="L395" s="115"/>
      <c r="M395" s="105"/>
      <c r="N395" s="105"/>
      <c r="O395" s="105"/>
      <c r="P395" s="105"/>
      <c r="Q395" s="113"/>
      <c r="R395" s="114"/>
      <c r="S395" s="115"/>
    </row>
    <row r="396" spans="1:19" x14ac:dyDescent="0.25">
      <c r="A396" s="111"/>
      <c r="B396" s="112"/>
      <c r="C396" s="105"/>
      <c r="D396" s="105"/>
      <c r="E396" s="105"/>
      <c r="F396" s="105"/>
      <c r="G396" s="105"/>
      <c r="H396" s="105"/>
      <c r="I396" s="105"/>
      <c r="J396" s="113"/>
      <c r="K396" s="114"/>
      <c r="L396" s="115"/>
      <c r="M396" s="105"/>
      <c r="N396" s="105"/>
      <c r="O396" s="105"/>
      <c r="P396" s="105"/>
      <c r="Q396" s="113"/>
      <c r="R396" s="114"/>
      <c r="S396" s="115"/>
    </row>
    <row r="397" spans="1:19" x14ac:dyDescent="0.25">
      <c r="A397" s="111"/>
      <c r="B397" s="112"/>
      <c r="C397" s="105"/>
      <c r="D397" s="105"/>
      <c r="E397" s="105"/>
      <c r="F397" s="105"/>
      <c r="G397" s="105"/>
      <c r="H397" s="105"/>
      <c r="I397" s="105"/>
      <c r="J397" s="113"/>
      <c r="K397" s="114"/>
      <c r="L397" s="115"/>
      <c r="M397" s="105"/>
      <c r="N397" s="105"/>
      <c r="O397" s="105"/>
      <c r="P397" s="105"/>
      <c r="Q397" s="113"/>
      <c r="R397" s="114"/>
      <c r="S397" s="115"/>
    </row>
    <row r="398" spans="1:19" x14ac:dyDescent="0.25">
      <c r="A398" s="111"/>
      <c r="B398" s="112"/>
      <c r="C398" s="105"/>
      <c r="D398" s="105"/>
      <c r="E398" s="105"/>
      <c r="F398" s="105"/>
      <c r="G398" s="105"/>
      <c r="H398" s="105"/>
      <c r="I398" s="105"/>
      <c r="J398" s="113"/>
      <c r="K398" s="114"/>
      <c r="L398" s="115"/>
      <c r="M398" s="105"/>
      <c r="N398" s="105"/>
      <c r="O398" s="105"/>
      <c r="P398" s="105"/>
      <c r="Q398" s="113"/>
      <c r="R398" s="114"/>
      <c r="S398" s="115"/>
    </row>
    <row r="399" spans="1:19" x14ac:dyDescent="0.25">
      <c r="A399" s="111"/>
      <c r="B399" s="112"/>
      <c r="C399" s="105"/>
      <c r="D399" s="105"/>
      <c r="E399" s="105"/>
      <c r="F399" s="105"/>
      <c r="G399" s="105"/>
      <c r="H399" s="105"/>
      <c r="I399" s="105"/>
      <c r="J399" s="113"/>
      <c r="K399" s="114"/>
      <c r="L399" s="115"/>
      <c r="M399" s="105"/>
      <c r="N399" s="105"/>
      <c r="O399" s="105"/>
      <c r="P399" s="105"/>
      <c r="Q399" s="113"/>
      <c r="R399" s="114"/>
      <c r="S399" s="115"/>
    </row>
    <row r="400" spans="1:19" x14ac:dyDescent="0.25">
      <c r="A400" s="111"/>
      <c r="B400" s="112"/>
      <c r="C400" s="105"/>
      <c r="D400" s="105"/>
      <c r="E400" s="105"/>
      <c r="F400" s="105"/>
      <c r="G400" s="105"/>
      <c r="H400" s="105"/>
      <c r="I400" s="105"/>
      <c r="J400" s="113"/>
      <c r="K400" s="114"/>
      <c r="L400" s="115"/>
      <c r="M400" s="105"/>
      <c r="N400" s="105"/>
      <c r="O400" s="105"/>
      <c r="P400" s="105"/>
      <c r="Q400" s="113"/>
      <c r="R400" s="114"/>
      <c r="S400" s="115"/>
    </row>
    <row r="401" spans="1:19" x14ac:dyDescent="0.25">
      <c r="A401" s="111"/>
      <c r="B401" s="112"/>
      <c r="C401" s="105"/>
      <c r="D401" s="105"/>
      <c r="E401" s="105"/>
      <c r="F401" s="105"/>
      <c r="G401" s="105"/>
      <c r="H401" s="105"/>
      <c r="I401" s="105"/>
      <c r="J401" s="113"/>
      <c r="K401" s="114"/>
      <c r="L401" s="115"/>
      <c r="M401" s="105"/>
      <c r="N401" s="105"/>
      <c r="O401" s="105"/>
      <c r="P401" s="105"/>
      <c r="Q401" s="113"/>
      <c r="R401" s="114"/>
      <c r="S401" s="115"/>
    </row>
    <row r="402" spans="1:19" x14ac:dyDescent="0.25">
      <c r="A402" s="111"/>
      <c r="B402" s="112"/>
      <c r="C402" s="105"/>
      <c r="D402" s="105"/>
      <c r="E402" s="105"/>
      <c r="F402" s="105"/>
      <c r="G402" s="105"/>
      <c r="H402" s="105"/>
      <c r="I402" s="105"/>
      <c r="J402" s="113"/>
      <c r="K402" s="114"/>
      <c r="L402" s="115"/>
      <c r="M402" s="105"/>
      <c r="N402" s="105"/>
      <c r="O402" s="105"/>
      <c r="P402" s="105"/>
      <c r="Q402" s="113"/>
      <c r="R402" s="114"/>
      <c r="S402" s="115"/>
    </row>
    <row r="403" spans="1:19" x14ac:dyDescent="0.25">
      <c r="A403" s="111"/>
      <c r="B403" s="112"/>
      <c r="C403" s="105"/>
      <c r="D403" s="105"/>
      <c r="E403" s="105"/>
      <c r="F403" s="105"/>
      <c r="G403" s="105"/>
      <c r="H403" s="105"/>
      <c r="I403" s="105"/>
      <c r="J403" s="113"/>
      <c r="K403" s="114"/>
      <c r="L403" s="115"/>
      <c r="M403" s="105"/>
      <c r="N403" s="105"/>
      <c r="O403" s="105"/>
      <c r="P403" s="105"/>
      <c r="Q403" s="113"/>
      <c r="R403" s="114"/>
      <c r="S403" s="115"/>
    </row>
    <row r="404" spans="1:19" x14ac:dyDescent="0.25">
      <c r="A404" s="111"/>
      <c r="B404" s="112"/>
      <c r="C404" s="105"/>
      <c r="D404" s="105"/>
      <c r="E404" s="105"/>
      <c r="F404" s="105"/>
      <c r="G404" s="105"/>
      <c r="H404" s="105"/>
      <c r="I404" s="105"/>
      <c r="J404" s="113"/>
      <c r="K404" s="114"/>
      <c r="L404" s="115"/>
      <c r="M404" s="105"/>
      <c r="N404" s="105"/>
      <c r="O404" s="105"/>
      <c r="P404" s="105"/>
      <c r="Q404" s="113"/>
      <c r="R404" s="114"/>
      <c r="S404" s="115"/>
    </row>
    <row r="405" spans="1:19" x14ac:dyDescent="0.25">
      <c r="A405" s="111"/>
      <c r="B405" s="112"/>
      <c r="C405" s="105"/>
      <c r="D405" s="105"/>
      <c r="E405" s="105"/>
      <c r="F405" s="105"/>
      <c r="G405" s="105"/>
      <c r="H405" s="105"/>
      <c r="I405" s="105"/>
      <c r="J405" s="113"/>
      <c r="K405" s="114"/>
      <c r="L405" s="115"/>
      <c r="M405" s="105"/>
      <c r="N405" s="105"/>
      <c r="O405" s="105"/>
      <c r="P405" s="105"/>
      <c r="Q405" s="113"/>
      <c r="R405" s="114"/>
      <c r="S405" s="115"/>
    </row>
    <row r="406" spans="1:19" x14ac:dyDescent="0.25">
      <c r="A406" s="111"/>
      <c r="B406" s="112"/>
      <c r="C406" s="105"/>
      <c r="D406" s="105"/>
      <c r="E406" s="105"/>
      <c r="F406" s="105"/>
      <c r="G406" s="105"/>
      <c r="H406" s="105"/>
      <c r="I406" s="105"/>
      <c r="J406" s="113"/>
      <c r="K406" s="114"/>
      <c r="L406" s="115"/>
      <c r="M406" s="105"/>
      <c r="N406" s="105"/>
      <c r="O406" s="105"/>
      <c r="P406" s="105"/>
      <c r="Q406" s="113"/>
      <c r="R406" s="114"/>
      <c r="S406" s="115"/>
    </row>
    <row r="407" spans="1:19" x14ac:dyDescent="0.25">
      <c r="A407" s="111"/>
      <c r="B407" s="112"/>
      <c r="C407" s="105"/>
      <c r="D407" s="105"/>
      <c r="E407" s="105"/>
      <c r="F407" s="105"/>
      <c r="G407" s="105"/>
      <c r="H407" s="105"/>
      <c r="I407" s="105"/>
      <c r="J407" s="113"/>
      <c r="K407" s="114"/>
      <c r="L407" s="115"/>
      <c r="M407" s="105"/>
      <c r="N407" s="105"/>
      <c r="O407" s="105"/>
      <c r="P407" s="105"/>
      <c r="Q407" s="113"/>
      <c r="R407" s="114"/>
      <c r="S407" s="115"/>
    </row>
    <row r="408" spans="1:19" x14ac:dyDescent="0.25">
      <c r="A408" s="111"/>
      <c r="B408" s="112"/>
      <c r="C408" s="105"/>
      <c r="D408" s="105"/>
      <c r="E408" s="105"/>
      <c r="F408" s="105"/>
      <c r="G408" s="105"/>
      <c r="H408" s="105"/>
      <c r="I408" s="105"/>
      <c r="J408" s="113"/>
      <c r="K408" s="114"/>
      <c r="L408" s="115"/>
      <c r="M408" s="105"/>
      <c r="N408" s="105"/>
      <c r="O408" s="105"/>
      <c r="P408" s="105"/>
      <c r="Q408" s="113"/>
      <c r="R408" s="114"/>
      <c r="S408" s="115"/>
    </row>
    <row r="409" spans="1:19" x14ac:dyDescent="0.25">
      <c r="A409" s="111"/>
      <c r="B409" s="112"/>
      <c r="C409" s="105"/>
      <c r="D409" s="105"/>
      <c r="E409" s="105"/>
      <c r="F409" s="105"/>
      <c r="G409" s="105"/>
      <c r="H409" s="105"/>
      <c r="I409" s="105"/>
      <c r="J409" s="113"/>
      <c r="K409" s="114"/>
      <c r="L409" s="115"/>
      <c r="M409" s="105"/>
      <c r="N409" s="105"/>
      <c r="O409" s="105"/>
      <c r="P409" s="105"/>
      <c r="Q409" s="113"/>
      <c r="R409" s="114"/>
      <c r="S409" s="115"/>
    </row>
    <row r="410" spans="1:19" x14ac:dyDescent="0.25">
      <c r="A410" s="111"/>
      <c r="B410" s="112"/>
      <c r="C410" s="105"/>
      <c r="D410" s="105"/>
      <c r="E410" s="105"/>
      <c r="F410" s="105"/>
      <c r="G410" s="105"/>
      <c r="H410" s="105"/>
      <c r="I410" s="105"/>
      <c r="J410" s="113"/>
      <c r="K410" s="114"/>
      <c r="L410" s="115"/>
      <c r="M410" s="105"/>
      <c r="N410" s="105"/>
      <c r="O410" s="105"/>
      <c r="P410" s="105"/>
      <c r="Q410" s="113"/>
      <c r="R410" s="114"/>
      <c r="S410" s="115"/>
    </row>
    <row r="411" spans="1:19" x14ac:dyDescent="0.25">
      <c r="A411" s="111"/>
      <c r="B411" s="112"/>
      <c r="C411" s="105"/>
      <c r="D411" s="105"/>
      <c r="E411" s="105"/>
      <c r="F411" s="105"/>
      <c r="G411" s="105"/>
      <c r="H411" s="105"/>
      <c r="I411" s="105"/>
      <c r="J411" s="113"/>
      <c r="K411" s="114"/>
      <c r="L411" s="115"/>
      <c r="M411" s="105"/>
      <c r="N411" s="105"/>
      <c r="O411" s="105"/>
      <c r="P411" s="105"/>
      <c r="Q411" s="113"/>
      <c r="R411" s="114"/>
      <c r="S411" s="115"/>
    </row>
    <row r="412" spans="1:19" x14ac:dyDescent="0.25">
      <c r="A412" s="111"/>
      <c r="B412" s="112"/>
      <c r="C412" s="105"/>
      <c r="D412" s="105"/>
      <c r="E412" s="105"/>
      <c r="F412" s="105"/>
      <c r="G412" s="105"/>
      <c r="H412" s="105"/>
      <c r="I412" s="105"/>
      <c r="J412" s="113"/>
      <c r="K412" s="114"/>
      <c r="L412" s="115"/>
      <c r="M412" s="105"/>
      <c r="N412" s="105"/>
      <c r="O412" s="105"/>
      <c r="P412" s="105"/>
      <c r="Q412" s="113"/>
      <c r="R412" s="114"/>
      <c r="S412" s="115"/>
    </row>
    <row r="413" spans="1:19" x14ac:dyDescent="0.25">
      <c r="A413" s="111"/>
      <c r="B413" s="112"/>
      <c r="C413" s="105"/>
      <c r="D413" s="105"/>
      <c r="E413" s="105"/>
      <c r="F413" s="105"/>
      <c r="G413" s="105"/>
      <c r="H413" s="105"/>
      <c r="I413" s="105"/>
      <c r="J413" s="113"/>
      <c r="K413" s="114"/>
      <c r="L413" s="115"/>
      <c r="M413" s="105"/>
      <c r="N413" s="105"/>
      <c r="O413" s="105"/>
      <c r="P413" s="105"/>
      <c r="Q413" s="113"/>
      <c r="R413" s="114"/>
      <c r="S413" s="115"/>
    </row>
    <row r="414" spans="1:19" x14ac:dyDescent="0.25">
      <c r="A414" s="111"/>
      <c r="B414" s="112"/>
      <c r="C414" s="105"/>
      <c r="D414" s="105"/>
      <c r="E414" s="105"/>
      <c r="F414" s="105"/>
      <c r="G414" s="105"/>
      <c r="H414" s="105"/>
      <c r="I414" s="105"/>
      <c r="J414" s="113"/>
      <c r="K414" s="114"/>
      <c r="L414" s="115"/>
      <c r="M414" s="105"/>
      <c r="N414" s="105"/>
      <c r="O414" s="105"/>
      <c r="P414" s="105"/>
      <c r="Q414" s="113"/>
      <c r="R414" s="114"/>
      <c r="S414" s="115"/>
    </row>
    <row r="415" spans="1:19" x14ac:dyDescent="0.25">
      <c r="A415" s="111"/>
      <c r="B415" s="112"/>
      <c r="C415" s="105"/>
      <c r="D415" s="105"/>
      <c r="E415" s="105"/>
      <c r="F415" s="105"/>
      <c r="G415" s="105"/>
      <c r="H415" s="105"/>
      <c r="I415" s="105"/>
      <c r="J415" s="113"/>
      <c r="K415" s="114"/>
      <c r="L415" s="115"/>
      <c r="M415" s="105"/>
      <c r="N415" s="105"/>
      <c r="O415" s="105"/>
      <c r="P415" s="105"/>
      <c r="Q415" s="113"/>
      <c r="R415" s="114"/>
      <c r="S415" s="115"/>
    </row>
    <row r="416" spans="1:19" x14ac:dyDescent="0.25">
      <c r="A416" s="111"/>
      <c r="B416" s="112"/>
      <c r="C416" s="105"/>
      <c r="D416" s="105"/>
      <c r="E416" s="105"/>
      <c r="F416" s="105"/>
      <c r="G416" s="105"/>
      <c r="H416" s="105"/>
      <c r="I416" s="105"/>
      <c r="J416" s="113"/>
      <c r="K416" s="114"/>
      <c r="L416" s="115"/>
      <c r="M416" s="105"/>
      <c r="N416" s="105"/>
      <c r="O416" s="105"/>
      <c r="P416" s="105"/>
      <c r="Q416" s="113"/>
      <c r="R416" s="114"/>
      <c r="S416" s="115"/>
    </row>
    <row r="417" spans="1:19" x14ac:dyDescent="0.25">
      <c r="A417" s="111"/>
      <c r="B417" s="112"/>
      <c r="C417" s="105"/>
      <c r="D417" s="105"/>
      <c r="E417" s="105"/>
      <c r="F417" s="105"/>
      <c r="G417" s="105"/>
      <c r="H417" s="105"/>
      <c r="I417" s="105"/>
      <c r="J417" s="113"/>
      <c r="K417" s="114"/>
      <c r="L417" s="115"/>
      <c r="M417" s="105"/>
      <c r="N417" s="105"/>
      <c r="O417" s="105"/>
      <c r="P417" s="105"/>
      <c r="Q417" s="113"/>
      <c r="R417" s="114"/>
      <c r="S417" s="115"/>
    </row>
    <row r="418" spans="1:19" x14ac:dyDescent="0.25">
      <c r="A418" s="111"/>
      <c r="B418" s="112"/>
      <c r="C418" s="105"/>
      <c r="D418" s="105"/>
      <c r="E418" s="105"/>
      <c r="F418" s="105"/>
      <c r="G418" s="105"/>
      <c r="H418" s="105"/>
      <c r="I418" s="105"/>
      <c r="J418" s="113"/>
      <c r="K418" s="114"/>
      <c r="L418" s="115"/>
      <c r="M418" s="105"/>
      <c r="N418" s="105"/>
      <c r="O418" s="105"/>
      <c r="P418" s="105"/>
      <c r="Q418" s="113"/>
      <c r="R418" s="114"/>
      <c r="S418" s="115"/>
    </row>
    <row r="419" spans="1:19" x14ac:dyDescent="0.25">
      <c r="A419" s="111"/>
      <c r="B419" s="112"/>
      <c r="C419" s="105"/>
      <c r="D419" s="105"/>
      <c r="E419" s="105"/>
      <c r="F419" s="105"/>
      <c r="G419" s="105"/>
      <c r="H419" s="105"/>
      <c r="I419" s="105"/>
      <c r="J419" s="113"/>
      <c r="K419" s="114"/>
      <c r="L419" s="115"/>
      <c r="M419" s="105"/>
      <c r="N419" s="105"/>
      <c r="O419" s="105"/>
      <c r="P419" s="105"/>
      <c r="Q419" s="113"/>
      <c r="R419" s="114"/>
      <c r="S419" s="115"/>
    </row>
    <row r="420" spans="1:19" x14ac:dyDescent="0.25">
      <c r="A420" s="111"/>
      <c r="B420" s="112"/>
      <c r="C420" s="105"/>
      <c r="D420" s="105"/>
      <c r="E420" s="105"/>
      <c r="F420" s="105"/>
      <c r="G420" s="105"/>
      <c r="H420" s="105"/>
      <c r="I420" s="105"/>
      <c r="J420" s="113"/>
      <c r="K420" s="114"/>
      <c r="L420" s="115"/>
      <c r="M420" s="105"/>
      <c r="N420" s="105"/>
      <c r="O420" s="105"/>
      <c r="P420" s="105"/>
      <c r="Q420" s="113"/>
      <c r="R420" s="114"/>
      <c r="S420" s="115"/>
    </row>
    <row r="421" spans="1:19" x14ac:dyDescent="0.25">
      <c r="A421" s="111"/>
      <c r="B421" s="112"/>
      <c r="C421" s="105"/>
      <c r="D421" s="105"/>
      <c r="E421" s="105"/>
      <c r="F421" s="105"/>
      <c r="G421" s="105"/>
      <c r="H421" s="105"/>
      <c r="I421" s="105"/>
      <c r="J421" s="113"/>
      <c r="K421" s="114"/>
      <c r="L421" s="115"/>
      <c r="M421" s="105"/>
      <c r="N421" s="105"/>
      <c r="O421" s="105"/>
      <c r="P421" s="105"/>
      <c r="Q421" s="113"/>
      <c r="R421" s="114"/>
      <c r="S421" s="115"/>
    </row>
    <row r="422" spans="1:19" x14ac:dyDescent="0.25">
      <c r="A422" s="111"/>
      <c r="B422" s="112"/>
      <c r="C422" s="105"/>
      <c r="D422" s="105"/>
      <c r="E422" s="105"/>
      <c r="F422" s="105"/>
      <c r="G422" s="105"/>
      <c r="H422" s="105"/>
      <c r="I422" s="105"/>
      <c r="J422" s="113"/>
      <c r="K422" s="114"/>
      <c r="L422" s="115"/>
      <c r="M422" s="105"/>
      <c r="N422" s="105"/>
      <c r="O422" s="105"/>
      <c r="P422" s="105"/>
      <c r="Q422" s="113"/>
      <c r="R422" s="114"/>
      <c r="S422" s="115"/>
    </row>
    <row r="423" spans="1:19" x14ac:dyDescent="0.25">
      <c r="A423" s="111"/>
      <c r="B423" s="112"/>
      <c r="C423" s="105"/>
      <c r="D423" s="105"/>
      <c r="E423" s="105"/>
      <c r="F423" s="105"/>
      <c r="G423" s="105"/>
      <c r="H423" s="105"/>
      <c r="I423" s="105"/>
      <c r="J423" s="113"/>
      <c r="K423" s="114"/>
      <c r="L423" s="115"/>
      <c r="M423" s="105"/>
      <c r="N423" s="105"/>
      <c r="O423" s="105"/>
      <c r="P423" s="105"/>
      <c r="Q423" s="113"/>
      <c r="R423" s="114"/>
      <c r="S423" s="115"/>
    </row>
    <row r="424" spans="1:19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19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19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19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19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19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19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19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19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  <row r="9928" spans="1:19" x14ac:dyDescent="0.25">
      <c r="A9928" s="111"/>
      <c r="B9928" s="112"/>
      <c r="C9928" s="105"/>
      <c r="D9928" s="105"/>
      <c r="E9928" s="105"/>
      <c r="F9928" s="105"/>
      <c r="G9928" s="105"/>
      <c r="H9928" s="105"/>
      <c r="I9928" s="105"/>
      <c r="J9928" s="113"/>
      <c r="K9928" s="114"/>
      <c r="L9928" s="115"/>
      <c r="M9928" s="105"/>
      <c r="N9928" s="105"/>
      <c r="O9928" s="105"/>
      <c r="P9928" s="105"/>
      <c r="Q9928" s="113"/>
      <c r="R9928" s="114"/>
      <c r="S9928" s="115"/>
    </row>
    <row r="9929" spans="1:19" x14ac:dyDescent="0.25">
      <c r="A9929" s="111"/>
      <c r="B9929" s="112"/>
      <c r="C9929" s="105"/>
      <c r="D9929" s="105"/>
      <c r="E9929" s="105"/>
      <c r="F9929" s="105"/>
      <c r="G9929" s="105"/>
      <c r="H9929" s="105"/>
      <c r="I9929" s="105"/>
      <c r="J9929" s="113"/>
      <c r="K9929" s="114"/>
      <c r="L9929" s="115"/>
      <c r="M9929" s="105"/>
      <c r="N9929" s="105"/>
      <c r="O9929" s="105"/>
      <c r="P9929" s="105"/>
      <c r="Q9929" s="113"/>
      <c r="R9929" s="114"/>
      <c r="S9929" s="115"/>
    </row>
    <row r="9930" spans="1:19" x14ac:dyDescent="0.25">
      <c r="A9930" s="111"/>
      <c r="B9930" s="112"/>
      <c r="C9930" s="105"/>
      <c r="D9930" s="105"/>
      <c r="E9930" s="105"/>
      <c r="F9930" s="105"/>
      <c r="G9930" s="105"/>
      <c r="H9930" s="105"/>
      <c r="I9930" s="105"/>
      <c r="J9930" s="113"/>
      <c r="K9930" s="114"/>
      <c r="L9930" s="115"/>
      <c r="M9930" s="105"/>
      <c r="N9930" s="105"/>
      <c r="O9930" s="105"/>
      <c r="P9930" s="105"/>
      <c r="Q9930" s="113"/>
      <c r="R9930" s="114"/>
      <c r="S9930" s="115"/>
    </row>
    <row r="9931" spans="1:19" x14ac:dyDescent="0.25">
      <c r="A9931" s="111"/>
      <c r="B9931" s="112"/>
      <c r="C9931" s="105"/>
      <c r="D9931" s="105"/>
      <c r="E9931" s="105"/>
      <c r="F9931" s="105"/>
      <c r="G9931" s="105"/>
      <c r="H9931" s="105"/>
      <c r="I9931" s="105"/>
      <c r="J9931" s="113"/>
      <c r="K9931" s="114"/>
      <c r="L9931" s="115"/>
      <c r="M9931" s="105"/>
      <c r="N9931" s="105"/>
      <c r="O9931" s="105"/>
      <c r="P9931" s="105"/>
      <c r="Q9931" s="113"/>
      <c r="R9931" s="114"/>
      <c r="S9931" s="115"/>
    </row>
    <row r="9932" spans="1:19" x14ac:dyDescent="0.25">
      <c r="A9932" s="111"/>
      <c r="B9932" s="112"/>
      <c r="C9932" s="105"/>
      <c r="D9932" s="105"/>
      <c r="E9932" s="105"/>
      <c r="F9932" s="105"/>
      <c r="G9932" s="105"/>
      <c r="H9932" s="105"/>
      <c r="I9932" s="105"/>
      <c r="J9932" s="113"/>
      <c r="K9932" s="114"/>
      <c r="L9932" s="115"/>
      <c r="M9932" s="105"/>
      <c r="N9932" s="105"/>
      <c r="O9932" s="105"/>
      <c r="P9932" s="105"/>
      <c r="Q9932" s="113"/>
      <c r="R9932" s="114"/>
      <c r="S9932" s="115"/>
    </row>
    <row r="9933" spans="1:19" x14ac:dyDescent="0.25">
      <c r="A9933" s="111"/>
      <c r="B9933" s="112"/>
      <c r="C9933" s="105"/>
      <c r="D9933" s="105"/>
      <c r="E9933" s="105"/>
      <c r="F9933" s="105"/>
      <c r="G9933" s="105"/>
      <c r="H9933" s="105"/>
      <c r="I9933" s="105"/>
      <c r="J9933" s="113"/>
      <c r="K9933" s="114"/>
      <c r="L9933" s="115"/>
      <c r="M9933" s="105"/>
      <c r="N9933" s="105"/>
      <c r="O9933" s="105"/>
      <c r="P9933" s="105"/>
      <c r="Q9933" s="113"/>
      <c r="R9933" s="114"/>
      <c r="S9933" s="115"/>
    </row>
    <row r="9934" spans="1:19" x14ac:dyDescent="0.25">
      <c r="A9934" s="111"/>
      <c r="B9934" s="112"/>
      <c r="C9934" s="105"/>
      <c r="D9934" s="105"/>
      <c r="E9934" s="105"/>
      <c r="F9934" s="105"/>
      <c r="G9934" s="105"/>
      <c r="H9934" s="105"/>
      <c r="I9934" s="105"/>
      <c r="J9934" s="113"/>
      <c r="K9934" s="114"/>
      <c r="L9934" s="115"/>
      <c r="M9934" s="105"/>
      <c r="N9934" s="105"/>
      <c r="O9934" s="105"/>
      <c r="P9934" s="105"/>
      <c r="Q9934" s="113"/>
      <c r="R9934" s="114"/>
      <c r="S9934" s="115"/>
    </row>
    <row r="9935" spans="1:19" x14ac:dyDescent="0.25">
      <c r="A9935" s="111"/>
      <c r="B9935" s="112"/>
      <c r="C9935" s="105"/>
      <c r="D9935" s="105"/>
      <c r="E9935" s="105"/>
      <c r="F9935" s="105"/>
      <c r="G9935" s="105"/>
      <c r="H9935" s="105"/>
      <c r="I9935" s="105"/>
      <c r="J9935" s="113"/>
      <c r="K9935" s="114"/>
      <c r="L9935" s="115"/>
      <c r="M9935" s="105"/>
      <c r="N9935" s="105"/>
      <c r="O9935" s="105"/>
      <c r="P9935" s="105"/>
      <c r="Q9935" s="113"/>
      <c r="R9935" s="114"/>
      <c r="S9935" s="115"/>
    </row>
    <row r="9936" spans="1:19" x14ac:dyDescent="0.25">
      <c r="A9936" s="111"/>
      <c r="B9936" s="112"/>
      <c r="C9936" s="105"/>
      <c r="D9936" s="105"/>
      <c r="E9936" s="105"/>
      <c r="F9936" s="105"/>
      <c r="G9936" s="105"/>
      <c r="H9936" s="105"/>
      <c r="I9936" s="105"/>
      <c r="J9936" s="113"/>
      <c r="K9936" s="114"/>
      <c r="L9936" s="115"/>
      <c r="M9936" s="105"/>
      <c r="N9936" s="105"/>
      <c r="O9936" s="105"/>
      <c r="P9936" s="105"/>
      <c r="Q9936" s="113"/>
      <c r="R9936" s="114"/>
      <c r="S9936" s="115"/>
    </row>
    <row r="9937" spans="1:19" x14ac:dyDescent="0.25">
      <c r="A9937" s="111"/>
      <c r="B9937" s="112"/>
      <c r="C9937" s="105"/>
      <c r="D9937" s="105"/>
      <c r="E9937" s="105"/>
      <c r="F9937" s="105"/>
      <c r="G9937" s="105"/>
      <c r="H9937" s="105"/>
      <c r="I9937" s="105"/>
      <c r="J9937" s="113"/>
      <c r="K9937" s="114"/>
      <c r="L9937" s="115"/>
      <c r="M9937" s="105"/>
      <c r="N9937" s="105"/>
      <c r="O9937" s="105"/>
      <c r="P9937" s="105"/>
      <c r="Q9937" s="113"/>
      <c r="R9937" s="114"/>
      <c r="S9937" s="115"/>
    </row>
    <row r="9938" spans="1:19" x14ac:dyDescent="0.25">
      <c r="A9938" s="111"/>
      <c r="B9938" s="112"/>
      <c r="C9938" s="105"/>
      <c r="D9938" s="105"/>
      <c r="E9938" s="105"/>
      <c r="F9938" s="105"/>
      <c r="G9938" s="105"/>
      <c r="H9938" s="105"/>
      <c r="I9938" s="105"/>
      <c r="J9938" s="113"/>
      <c r="K9938" s="114"/>
      <c r="L9938" s="115"/>
      <c r="M9938" s="105"/>
      <c r="N9938" s="105"/>
      <c r="O9938" s="105"/>
      <c r="P9938" s="105"/>
      <c r="Q9938" s="113"/>
      <c r="R9938" s="114"/>
      <c r="S9938" s="115"/>
    </row>
    <row r="9939" spans="1:19" x14ac:dyDescent="0.25">
      <c r="A9939" s="111"/>
      <c r="B9939" s="112"/>
      <c r="C9939" s="105"/>
      <c r="D9939" s="105"/>
      <c r="E9939" s="105"/>
      <c r="F9939" s="105"/>
      <c r="G9939" s="105"/>
      <c r="H9939" s="105"/>
      <c r="I9939" s="105"/>
      <c r="J9939" s="113"/>
      <c r="K9939" s="114"/>
      <c r="L9939" s="115"/>
      <c r="M9939" s="105"/>
      <c r="N9939" s="105"/>
      <c r="O9939" s="105"/>
      <c r="P9939" s="105"/>
      <c r="Q9939" s="113"/>
      <c r="R9939" s="114"/>
      <c r="S9939" s="115"/>
    </row>
    <row r="9940" spans="1:19" x14ac:dyDescent="0.25">
      <c r="A9940" s="111"/>
      <c r="B9940" s="112"/>
      <c r="C9940" s="105"/>
      <c r="D9940" s="105"/>
      <c r="E9940" s="105"/>
      <c r="F9940" s="105"/>
      <c r="G9940" s="105"/>
      <c r="H9940" s="105"/>
      <c r="I9940" s="105"/>
      <c r="J9940" s="113"/>
      <c r="K9940" s="114"/>
      <c r="L9940" s="115"/>
      <c r="M9940" s="105"/>
      <c r="N9940" s="105"/>
      <c r="O9940" s="105"/>
      <c r="P9940" s="105"/>
      <c r="Q9940" s="113"/>
      <c r="R9940" s="114"/>
      <c r="S9940" s="115"/>
    </row>
    <row r="9941" spans="1:19" x14ac:dyDescent="0.25">
      <c r="A9941" s="111"/>
      <c r="B9941" s="112"/>
      <c r="C9941" s="105"/>
      <c r="D9941" s="105"/>
      <c r="E9941" s="105"/>
      <c r="F9941" s="105"/>
      <c r="G9941" s="105"/>
      <c r="H9941" s="105"/>
      <c r="I9941" s="105"/>
      <c r="J9941" s="113"/>
      <c r="K9941" s="114"/>
      <c r="L9941" s="115"/>
      <c r="M9941" s="105"/>
      <c r="N9941" s="105"/>
      <c r="O9941" s="105"/>
      <c r="P9941" s="105"/>
      <c r="Q9941" s="113"/>
      <c r="R9941" s="114"/>
      <c r="S9941" s="115"/>
    </row>
    <row r="9942" spans="1:19" x14ac:dyDescent="0.25">
      <c r="A9942" s="111"/>
      <c r="B9942" s="112"/>
      <c r="C9942" s="105"/>
      <c r="D9942" s="105"/>
      <c r="E9942" s="105"/>
      <c r="F9942" s="105"/>
      <c r="G9942" s="105"/>
      <c r="H9942" s="105"/>
      <c r="I9942" s="105"/>
      <c r="J9942" s="113"/>
      <c r="K9942" s="114"/>
      <c r="L9942" s="115"/>
      <c r="M9942" s="105"/>
      <c r="N9942" s="105"/>
      <c r="O9942" s="105"/>
      <c r="P9942" s="105"/>
      <c r="Q9942" s="113"/>
      <c r="R9942" s="114"/>
      <c r="S9942" s="115"/>
    </row>
    <row r="9943" spans="1:19" x14ac:dyDescent="0.25">
      <c r="A9943" s="111"/>
      <c r="B9943" s="112"/>
      <c r="C9943" s="105"/>
      <c r="D9943" s="105"/>
      <c r="E9943" s="105"/>
      <c r="F9943" s="105"/>
      <c r="G9943" s="105"/>
      <c r="H9943" s="105"/>
      <c r="I9943" s="105"/>
      <c r="J9943" s="113"/>
      <c r="K9943" s="114"/>
      <c r="L9943" s="115"/>
      <c r="M9943" s="105"/>
      <c r="N9943" s="105"/>
      <c r="O9943" s="105"/>
      <c r="P9943" s="105"/>
      <c r="Q9943" s="113"/>
      <c r="R9943" s="114"/>
      <c r="S9943" s="115"/>
    </row>
    <row r="9944" spans="1:19" x14ac:dyDescent="0.25">
      <c r="A9944" s="111"/>
      <c r="B9944" s="112"/>
      <c r="C9944" s="105"/>
      <c r="D9944" s="105"/>
      <c r="E9944" s="105"/>
      <c r="F9944" s="105"/>
      <c r="G9944" s="105"/>
      <c r="H9944" s="105"/>
      <c r="I9944" s="105"/>
      <c r="J9944" s="113"/>
      <c r="K9944" s="114"/>
      <c r="L9944" s="115"/>
      <c r="M9944" s="105"/>
      <c r="N9944" s="105"/>
      <c r="O9944" s="105"/>
      <c r="P9944" s="105"/>
      <c r="Q9944" s="113"/>
      <c r="R9944" s="114"/>
      <c r="S9944" s="115"/>
    </row>
    <row r="9945" spans="1:19" x14ac:dyDescent="0.25">
      <c r="A9945" s="111"/>
      <c r="B9945" s="112"/>
      <c r="C9945" s="105"/>
      <c r="D9945" s="105"/>
      <c r="E9945" s="105"/>
      <c r="F9945" s="105"/>
      <c r="G9945" s="105"/>
      <c r="H9945" s="105"/>
      <c r="I9945" s="105"/>
      <c r="J9945" s="113"/>
      <c r="K9945" s="114"/>
      <c r="L9945" s="115"/>
      <c r="M9945" s="105"/>
      <c r="N9945" s="105"/>
      <c r="O9945" s="105"/>
      <c r="P9945" s="105"/>
      <c r="Q9945" s="113"/>
      <c r="R9945" s="114"/>
      <c r="S9945" s="115"/>
    </row>
    <row r="9946" spans="1:19" x14ac:dyDescent="0.25">
      <c r="A9946" s="111"/>
      <c r="B9946" s="112"/>
      <c r="C9946" s="105"/>
      <c r="D9946" s="105"/>
      <c r="E9946" s="105"/>
      <c r="F9946" s="105"/>
      <c r="G9946" s="105"/>
      <c r="H9946" s="105"/>
      <c r="I9946" s="105"/>
      <c r="J9946" s="113"/>
      <c r="K9946" s="114"/>
      <c r="L9946" s="115"/>
      <c r="M9946" s="105"/>
      <c r="N9946" s="105"/>
      <c r="O9946" s="105"/>
      <c r="P9946" s="105"/>
      <c r="Q9946" s="113"/>
      <c r="R9946" s="114"/>
      <c r="S9946" s="115"/>
    </row>
    <row r="9947" spans="1:19" x14ac:dyDescent="0.25">
      <c r="A9947" s="111"/>
      <c r="B9947" s="112"/>
      <c r="C9947" s="105"/>
      <c r="D9947" s="105"/>
      <c r="E9947" s="105"/>
      <c r="F9947" s="105"/>
      <c r="G9947" s="105"/>
      <c r="H9947" s="105"/>
      <c r="I9947" s="105"/>
      <c r="J9947" s="113"/>
      <c r="K9947" s="114"/>
      <c r="L9947" s="115"/>
      <c r="M9947" s="105"/>
      <c r="N9947" s="105"/>
      <c r="O9947" s="105"/>
      <c r="P9947" s="105"/>
      <c r="Q9947" s="113"/>
      <c r="R9947" s="114"/>
      <c r="S9947" s="115"/>
    </row>
    <row r="9948" spans="1:19" x14ac:dyDescent="0.25">
      <c r="A9948" s="111"/>
      <c r="B9948" s="112"/>
      <c r="C9948" s="105"/>
      <c r="D9948" s="105"/>
      <c r="E9948" s="105"/>
      <c r="F9948" s="105"/>
      <c r="G9948" s="105"/>
      <c r="H9948" s="105"/>
      <c r="I9948" s="105"/>
      <c r="J9948" s="113"/>
      <c r="K9948" s="114"/>
      <c r="L9948" s="115"/>
      <c r="M9948" s="105"/>
      <c r="N9948" s="105"/>
      <c r="O9948" s="105"/>
      <c r="P9948" s="105"/>
      <c r="Q9948" s="113"/>
      <c r="R9948" s="114"/>
      <c r="S9948" s="115"/>
    </row>
    <row r="9949" spans="1:19" x14ac:dyDescent="0.25">
      <c r="A9949" s="111"/>
      <c r="B9949" s="112"/>
      <c r="C9949" s="105"/>
      <c r="D9949" s="105"/>
      <c r="E9949" s="105"/>
      <c r="F9949" s="105"/>
      <c r="G9949" s="105"/>
      <c r="H9949" s="105"/>
      <c r="I9949" s="105"/>
      <c r="J9949" s="113"/>
      <c r="K9949" s="114"/>
      <c r="L9949" s="115"/>
      <c r="M9949" s="105"/>
      <c r="N9949" s="105"/>
      <c r="O9949" s="105"/>
      <c r="P9949" s="105"/>
      <c r="Q9949" s="113"/>
      <c r="R9949" s="114"/>
      <c r="S9949" s="115"/>
    </row>
    <row r="9950" spans="1:19" x14ac:dyDescent="0.25">
      <c r="A9950" s="111"/>
      <c r="B9950" s="112"/>
      <c r="C9950" s="105"/>
      <c r="D9950" s="105"/>
      <c r="E9950" s="105"/>
      <c r="F9950" s="105"/>
      <c r="G9950" s="105"/>
      <c r="H9950" s="105"/>
      <c r="I9950" s="105"/>
      <c r="J9950" s="113"/>
      <c r="K9950" s="114"/>
      <c r="L9950" s="115"/>
      <c r="M9950" s="105"/>
      <c r="N9950" s="105"/>
      <c r="O9950" s="105"/>
      <c r="P9950" s="105"/>
      <c r="Q9950" s="113"/>
      <c r="R9950" s="114"/>
      <c r="S9950" s="115"/>
    </row>
    <row r="9951" spans="1:19" x14ac:dyDescent="0.25">
      <c r="A9951" s="111"/>
      <c r="B9951" s="112"/>
      <c r="C9951" s="105"/>
      <c r="D9951" s="105"/>
      <c r="E9951" s="105"/>
      <c r="F9951" s="105"/>
      <c r="G9951" s="105"/>
      <c r="H9951" s="105"/>
      <c r="I9951" s="105"/>
      <c r="J9951" s="113"/>
      <c r="K9951" s="114"/>
      <c r="L9951" s="115"/>
      <c r="M9951" s="105"/>
      <c r="N9951" s="105"/>
      <c r="O9951" s="105"/>
      <c r="P9951" s="105"/>
      <c r="Q9951" s="113"/>
      <c r="R9951" s="114"/>
      <c r="S9951" s="115"/>
    </row>
    <row r="9952" spans="1:19" x14ac:dyDescent="0.25">
      <c r="A9952" s="111"/>
      <c r="B9952" s="112"/>
      <c r="C9952" s="105"/>
      <c r="D9952" s="105"/>
      <c r="E9952" s="105"/>
      <c r="F9952" s="105"/>
      <c r="G9952" s="105"/>
      <c r="H9952" s="105"/>
      <c r="I9952" s="105"/>
      <c r="J9952" s="113"/>
      <c r="K9952" s="114"/>
      <c r="L9952" s="115"/>
      <c r="M9952" s="105"/>
      <c r="N9952" s="105"/>
      <c r="O9952" s="105"/>
      <c r="P9952" s="105"/>
      <c r="Q9952" s="113"/>
      <c r="R9952" s="114"/>
      <c r="S9952" s="115"/>
    </row>
    <row r="9953" spans="1:19" x14ac:dyDescent="0.25">
      <c r="A9953" s="111"/>
      <c r="B9953" s="112"/>
      <c r="C9953" s="105"/>
      <c r="D9953" s="105"/>
      <c r="E9953" s="105"/>
      <c r="F9953" s="105"/>
      <c r="G9953" s="105"/>
      <c r="H9953" s="105"/>
      <c r="I9953" s="105"/>
      <c r="J9953" s="113"/>
      <c r="K9953" s="114"/>
      <c r="L9953" s="115"/>
      <c r="M9953" s="105"/>
      <c r="N9953" s="105"/>
      <c r="O9953" s="105"/>
      <c r="P9953" s="105"/>
      <c r="Q9953" s="113"/>
      <c r="R9953" s="114"/>
      <c r="S9953" s="115"/>
    </row>
    <row r="9954" spans="1:19" x14ac:dyDescent="0.25">
      <c r="A9954" s="111"/>
      <c r="B9954" s="112"/>
      <c r="C9954" s="105"/>
      <c r="D9954" s="105"/>
      <c r="E9954" s="105"/>
      <c r="F9954" s="105"/>
      <c r="G9954" s="105"/>
      <c r="H9954" s="105"/>
      <c r="I9954" s="105"/>
      <c r="J9954" s="113"/>
      <c r="K9954" s="114"/>
      <c r="L9954" s="115"/>
      <c r="M9954" s="105"/>
      <c r="N9954" s="105"/>
      <c r="O9954" s="105"/>
      <c r="P9954" s="105"/>
      <c r="Q9954" s="113"/>
      <c r="R9954" s="114"/>
      <c r="S9954" s="115"/>
    </row>
    <row r="9955" spans="1:19" x14ac:dyDescent="0.25">
      <c r="A9955" s="111"/>
      <c r="B9955" s="112"/>
      <c r="C9955" s="105"/>
      <c r="D9955" s="105"/>
      <c r="E9955" s="105"/>
      <c r="F9955" s="105"/>
      <c r="G9955" s="105"/>
      <c r="H9955" s="105"/>
      <c r="I9955" s="105"/>
      <c r="J9955" s="113"/>
      <c r="K9955" s="114"/>
      <c r="L9955" s="115"/>
      <c r="M9955" s="105"/>
      <c r="N9955" s="105"/>
      <c r="O9955" s="105"/>
      <c r="P9955" s="105"/>
      <c r="Q9955" s="113"/>
      <c r="R9955" s="114"/>
      <c r="S9955" s="115"/>
    </row>
    <row r="9956" spans="1:19" x14ac:dyDescent="0.25">
      <c r="A9956" s="111"/>
      <c r="B9956" s="112"/>
      <c r="C9956" s="105"/>
      <c r="D9956" s="105"/>
      <c r="E9956" s="105"/>
      <c r="F9956" s="105"/>
      <c r="G9956" s="105"/>
      <c r="H9956" s="105"/>
      <c r="I9956" s="105"/>
      <c r="J9956" s="113"/>
      <c r="K9956" s="114"/>
      <c r="L9956" s="115"/>
      <c r="M9956" s="105"/>
      <c r="N9956" s="105"/>
      <c r="O9956" s="105"/>
      <c r="P9956" s="105"/>
      <c r="Q9956" s="113"/>
      <c r="R9956" s="114"/>
      <c r="S9956" s="115"/>
    </row>
    <row r="9957" spans="1:19" x14ac:dyDescent="0.25">
      <c r="A9957" s="111"/>
      <c r="B9957" s="112"/>
      <c r="C9957" s="105"/>
      <c r="D9957" s="105"/>
      <c r="E9957" s="105"/>
      <c r="F9957" s="105"/>
      <c r="G9957" s="105"/>
      <c r="H9957" s="105"/>
      <c r="I9957" s="105"/>
      <c r="J9957" s="113"/>
      <c r="K9957" s="114"/>
      <c r="L9957" s="115"/>
      <c r="M9957" s="105"/>
      <c r="N9957" s="105"/>
      <c r="O9957" s="105"/>
      <c r="P9957" s="105"/>
      <c r="Q9957" s="113"/>
      <c r="R9957" s="114"/>
      <c r="S9957" s="115"/>
    </row>
    <row r="9958" spans="1:19" x14ac:dyDescent="0.25">
      <c r="A9958" s="111"/>
      <c r="B9958" s="112"/>
      <c r="C9958" s="105"/>
      <c r="D9958" s="105"/>
      <c r="E9958" s="105"/>
      <c r="F9958" s="105"/>
      <c r="G9958" s="105"/>
      <c r="H9958" s="105"/>
      <c r="I9958" s="105"/>
      <c r="J9958" s="113"/>
      <c r="K9958" s="114"/>
      <c r="L9958" s="115"/>
      <c r="M9958" s="105"/>
      <c r="N9958" s="105"/>
      <c r="O9958" s="105"/>
      <c r="P9958" s="105"/>
      <c r="Q9958" s="113"/>
      <c r="R9958" s="114"/>
      <c r="S9958" s="115"/>
    </row>
    <row r="9959" spans="1:19" x14ac:dyDescent="0.25">
      <c r="A9959" s="111"/>
      <c r="B9959" s="112"/>
      <c r="C9959" s="105"/>
      <c r="D9959" s="105"/>
      <c r="E9959" s="105"/>
      <c r="F9959" s="105"/>
      <c r="G9959" s="105"/>
      <c r="H9959" s="105"/>
      <c r="I9959" s="105"/>
      <c r="J9959" s="113"/>
      <c r="K9959" s="114"/>
      <c r="L9959" s="115"/>
      <c r="M9959" s="105"/>
      <c r="N9959" s="105"/>
      <c r="O9959" s="105"/>
      <c r="P9959" s="105"/>
      <c r="Q9959" s="113"/>
      <c r="R9959" s="114"/>
      <c r="S9959" s="115"/>
    </row>
    <row r="9960" spans="1:19" x14ac:dyDescent="0.25">
      <c r="A9960" s="111"/>
      <c r="B9960" s="112"/>
      <c r="C9960" s="105"/>
      <c r="D9960" s="105"/>
      <c r="E9960" s="105"/>
      <c r="F9960" s="105"/>
      <c r="G9960" s="105"/>
      <c r="H9960" s="105"/>
      <c r="I9960" s="105"/>
      <c r="J9960" s="113"/>
      <c r="K9960" s="114"/>
      <c r="L9960" s="115"/>
      <c r="M9960" s="105"/>
      <c r="N9960" s="105"/>
      <c r="O9960" s="105"/>
      <c r="P9960" s="105"/>
      <c r="Q9960" s="113"/>
      <c r="R9960" s="114"/>
      <c r="S9960" s="115"/>
    </row>
    <row r="9961" spans="1:19" x14ac:dyDescent="0.25">
      <c r="A9961" s="111"/>
      <c r="B9961" s="112"/>
      <c r="C9961" s="105"/>
      <c r="D9961" s="105"/>
      <c r="E9961" s="105"/>
      <c r="F9961" s="105"/>
      <c r="G9961" s="105"/>
      <c r="H9961" s="105"/>
      <c r="I9961" s="105"/>
      <c r="J9961" s="113"/>
      <c r="K9961" s="114"/>
      <c r="L9961" s="115"/>
      <c r="M9961" s="105"/>
      <c r="N9961" s="105"/>
      <c r="O9961" s="105"/>
      <c r="P9961" s="105"/>
      <c r="Q9961" s="113"/>
      <c r="R9961" s="114"/>
      <c r="S9961" s="115"/>
    </row>
    <row r="9962" spans="1:19" x14ac:dyDescent="0.25">
      <c r="A9962" s="111"/>
      <c r="B9962" s="112"/>
      <c r="C9962" s="105"/>
      <c r="D9962" s="105"/>
      <c r="E9962" s="105"/>
      <c r="F9962" s="105"/>
      <c r="G9962" s="105"/>
      <c r="H9962" s="105"/>
      <c r="I9962" s="105"/>
      <c r="J9962" s="113"/>
      <c r="K9962" s="114"/>
      <c r="L9962" s="115"/>
      <c r="M9962" s="105"/>
      <c r="N9962" s="105"/>
      <c r="O9962" s="105"/>
      <c r="P9962" s="105"/>
      <c r="Q9962" s="113"/>
      <c r="R9962" s="114"/>
      <c r="S9962" s="115"/>
    </row>
    <row r="9963" spans="1:19" x14ac:dyDescent="0.25">
      <c r="A9963" s="111"/>
      <c r="B9963" s="112"/>
      <c r="C9963" s="105"/>
      <c r="D9963" s="105"/>
      <c r="E9963" s="105"/>
      <c r="F9963" s="105"/>
      <c r="G9963" s="105"/>
      <c r="H9963" s="105"/>
      <c r="I9963" s="105"/>
      <c r="J9963" s="113"/>
      <c r="K9963" s="114"/>
      <c r="L9963" s="115"/>
      <c r="M9963" s="105"/>
      <c r="N9963" s="105"/>
      <c r="O9963" s="105"/>
      <c r="P9963" s="105"/>
      <c r="Q9963" s="113"/>
      <c r="R9963" s="114"/>
      <c r="S9963" s="115"/>
    </row>
    <row r="9964" spans="1:19" x14ac:dyDescent="0.25">
      <c r="A9964" s="111"/>
      <c r="B9964" s="112"/>
      <c r="C9964" s="105"/>
      <c r="D9964" s="105"/>
      <c r="E9964" s="105"/>
      <c r="F9964" s="105"/>
      <c r="G9964" s="105"/>
      <c r="H9964" s="105"/>
      <c r="I9964" s="105"/>
      <c r="J9964" s="113"/>
      <c r="K9964" s="114"/>
      <c r="L9964" s="115"/>
      <c r="M9964" s="105"/>
      <c r="N9964" s="105"/>
      <c r="O9964" s="105"/>
      <c r="P9964" s="105"/>
      <c r="Q9964" s="113"/>
      <c r="R9964" s="114"/>
      <c r="S9964" s="115"/>
    </row>
    <row r="9965" spans="1:19" x14ac:dyDescent="0.25">
      <c r="A9965" s="111"/>
      <c r="B9965" s="112"/>
      <c r="C9965" s="105"/>
      <c r="D9965" s="105"/>
      <c r="E9965" s="105"/>
      <c r="F9965" s="105"/>
      <c r="G9965" s="105"/>
      <c r="H9965" s="105"/>
      <c r="I9965" s="105"/>
      <c r="J9965" s="113"/>
      <c r="K9965" s="114"/>
      <c r="L9965" s="115"/>
      <c r="M9965" s="105"/>
      <c r="N9965" s="105"/>
      <c r="O9965" s="105"/>
      <c r="P9965" s="105"/>
      <c r="Q9965" s="113"/>
      <c r="R9965" s="114"/>
      <c r="S9965" s="115"/>
    </row>
    <row r="9966" spans="1:19" x14ac:dyDescent="0.25">
      <c r="A9966" s="111"/>
      <c r="B9966" s="112"/>
      <c r="C9966" s="105"/>
      <c r="D9966" s="105"/>
      <c r="E9966" s="105"/>
      <c r="F9966" s="105"/>
      <c r="G9966" s="105"/>
      <c r="H9966" s="105"/>
      <c r="I9966" s="105"/>
      <c r="J9966" s="113"/>
      <c r="K9966" s="114"/>
      <c r="L9966" s="115"/>
      <c r="M9966" s="105"/>
      <c r="N9966" s="105"/>
      <c r="O9966" s="105"/>
      <c r="P9966" s="105"/>
      <c r="Q9966" s="113"/>
      <c r="R9966" s="114"/>
      <c r="S9966" s="115"/>
    </row>
    <row r="9967" spans="1:19" x14ac:dyDescent="0.25">
      <c r="A9967" s="111"/>
      <c r="B9967" s="112"/>
      <c r="C9967" s="105"/>
      <c r="D9967" s="105"/>
      <c r="E9967" s="105"/>
      <c r="F9967" s="105"/>
      <c r="G9967" s="105"/>
      <c r="H9967" s="105"/>
      <c r="I9967" s="105"/>
      <c r="J9967" s="113"/>
      <c r="K9967" s="114"/>
      <c r="L9967" s="115"/>
      <c r="M9967" s="105"/>
      <c r="N9967" s="105"/>
      <c r="O9967" s="105"/>
      <c r="P9967" s="105"/>
      <c r="Q9967" s="113"/>
      <c r="R9967" s="114"/>
      <c r="S9967" s="115"/>
    </row>
    <row r="9968" spans="1:19" x14ac:dyDescent="0.25">
      <c r="A9968" s="111"/>
      <c r="B9968" s="112"/>
      <c r="C9968" s="105"/>
      <c r="D9968" s="105"/>
      <c r="E9968" s="105"/>
      <c r="F9968" s="105"/>
      <c r="G9968" s="105"/>
      <c r="H9968" s="105"/>
      <c r="I9968" s="105"/>
      <c r="J9968" s="113"/>
      <c r="K9968" s="114"/>
      <c r="L9968" s="115"/>
      <c r="M9968" s="105"/>
      <c r="N9968" s="105"/>
      <c r="O9968" s="105"/>
      <c r="P9968" s="105"/>
      <c r="Q9968" s="113"/>
      <c r="R9968" s="114"/>
      <c r="S9968" s="115"/>
    </row>
    <row r="9969" spans="1:19" x14ac:dyDescent="0.25">
      <c r="A9969" s="111"/>
      <c r="B9969" s="112"/>
      <c r="C9969" s="105"/>
      <c r="D9969" s="105"/>
      <c r="E9969" s="105"/>
      <c r="F9969" s="105"/>
      <c r="G9969" s="105"/>
      <c r="H9969" s="105"/>
      <c r="I9969" s="105"/>
      <c r="J9969" s="113"/>
      <c r="K9969" s="114"/>
      <c r="L9969" s="115"/>
      <c r="M9969" s="105"/>
      <c r="N9969" s="105"/>
      <c r="O9969" s="105"/>
      <c r="P9969" s="105"/>
      <c r="Q9969" s="113"/>
      <c r="R9969" s="114"/>
      <c r="S9969" s="115"/>
    </row>
    <row r="9970" spans="1:19" x14ac:dyDescent="0.25">
      <c r="A9970" s="111"/>
      <c r="B9970" s="112"/>
      <c r="C9970" s="105"/>
      <c r="D9970" s="105"/>
      <c r="E9970" s="105"/>
      <c r="F9970" s="105"/>
      <c r="G9970" s="105"/>
      <c r="H9970" s="105"/>
      <c r="I9970" s="105"/>
      <c r="J9970" s="113"/>
      <c r="K9970" s="114"/>
      <c r="L9970" s="115"/>
      <c r="M9970" s="105"/>
      <c r="N9970" s="105"/>
      <c r="O9970" s="105"/>
      <c r="P9970" s="105"/>
      <c r="Q9970" s="113"/>
      <c r="R9970" s="114"/>
      <c r="S9970" s="115"/>
    </row>
    <row r="9971" spans="1:19" x14ac:dyDescent="0.25">
      <c r="A9971" s="111"/>
      <c r="B9971" s="112"/>
      <c r="C9971" s="105"/>
      <c r="D9971" s="105"/>
      <c r="E9971" s="105"/>
      <c r="F9971" s="105"/>
      <c r="G9971" s="105"/>
      <c r="H9971" s="105"/>
      <c r="I9971" s="105"/>
      <c r="J9971" s="113"/>
      <c r="K9971" s="114"/>
      <c r="L9971" s="115"/>
      <c r="M9971" s="105"/>
      <c r="N9971" s="105"/>
      <c r="O9971" s="105"/>
      <c r="P9971" s="105"/>
      <c r="Q9971" s="113"/>
      <c r="R9971" s="114"/>
      <c r="S9971" s="115"/>
    </row>
    <row r="9972" spans="1:19" x14ac:dyDescent="0.25">
      <c r="A9972" s="111"/>
      <c r="B9972" s="112"/>
      <c r="C9972" s="105"/>
      <c r="D9972" s="105"/>
      <c r="E9972" s="105"/>
      <c r="F9972" s="105"/>
      <c r="G9972" s="105"/>
      <c r="H9972" s="105"/>
      <c r="I9972" s="105"/>
      <c r="J9972" s="113"/>
      <c r="K9972" s="114"/>
      <c r="L9972" s="115"/>
      <c r="M9972" s="105"/>
      <c r="N9972" s="105"/>
      <c r="O9972" s="105"/>
      <c r="P9972" s="105"/>
      <c r="Q9972" s="113"/>
      <c r="R9972" s="114"/>
      <c r="S9972" s="115"/>
    </row>
    <row r="9973" spans="1:19" x14ac:dyDescent="0.25">
      <c r="A9973" s="111"/>
      <c r="B9973" s="112"/>
      <c r="C9973" s="105"/>
      <c r="D9973" s="105"/>
      <c r="E9973" s="105"/>
      <c r="F9973" s="105"/>
      <c r="G9973" s="105"/>
      <c r="H9973" s="105"/>
      <c r="I9973" s="105"/>
      <c r="J9973" s="113"/>
      <c r="K9973" s="114"/>
      <c r="L9973" s="115"/>
      <c r="M9973" s="105"/>
      <c r="N9973" s="105"/>
      <c r="O9973" s="105"/>
      <c r="P9973" s="105"/>
      <c r="Q9973" s="113"/>
      <c r="R9973" s="114"/>
      <c r="S9973" s="115"/>
    </row>
    <row r="9974" spans="1:19" x14ac:dyDescent="0.25">
      <c r="A9974" s="111"/>
      <c r="B9974" s="112"/>
      <c r="C9974" s="105"/>
      <c r="D9974" s="105"/>
      <c r="E9974" s="105"/>
      <c r="F9974" s="105"/>
      <c r="G9974" s="105"/>
      <c r="H9974" s="105"/>
      <c r="I9974" s="105"/>
      <c r="J9974" s="113"/>
      <c r="K9974" s="114"/>
      <c r="L9974" s="115"/>
      <c r="M9974" s="105"/>
      <c r="N9974" s="105"/>
      <c r="O9974" s="105"/>
      <c r="P9974" s="105"/>
      <c r="Q9974" s="113"/>
      <c r="R9974" s="114"/>
      <c r="S9974" s="115"/>
    </row>
    <row r="9975" spans="1:19" x14ac:dyDescent="0.25">
      <c r="A9975" s="111"/>
      <c r="B9975" s="112"/>
      <c r="C9975" s="105"/>
      <c r="D9975" s="105"/>
      <c r="E9975" s="105"/>
      <c r="F9975" s="105"/>
      <c r="G9975" s="105"/>
      <c r="H9975" s="105"/>
      <c r="I9975" s="105"/>
      <c r="J9975" s="113"/>
      <c r="K9975" s="114"/>
      <c r="L9975" s="115"/>
      <c r="M9975" s="105"/>
      <c r="N9975" s="105"/>
      <c r="O9975" s="105"/>
      <c r="P9975" s="105"/>
      <c r="Q9975" s="113"/>
      <c r="R9975" s="114"/>
      <c r="S9975" s="115"/>
    </row>
    <row r="9976" spans="1:19" x14ac:dyDescent="0.25">
      <c r="A9976" s="111"/>
      <c r="B9976" s="112"/>
      <c r="C9976" s="105"/>
      <c r="D9976" s="105"/>
      <c r="E9976" s="105"/>
      <c r="F9976" s="105"/>
      <c r="G9976" s="105"/>
      <c r="H9976" s="105"/>
      <c r="I9976" s="105"/>
      <c r="J9976" s="113"/>
      <c r="K9976" s="114"/>
      <c r="L9976" s="115"/>
      <c r="M9976" s="105"/>
      <c r="N9976" s="105"/>
      <c r="O9976" s="105"/>
      <c r="P9976" s="105"/>
      <c r="Q9976" s="113"/>
      <c r="R9976" s="114"/>
      <c r="S9976" s="115"/>
    </row>
    <row r="9977" spans="1:19" x14ac:dyDescent="0.25">
      <c r="A9977" s="111"/>
      <c r="B9977" s="112"/>
      <c r="C9977" s="105"/>
      <c r="D9977" s="105"/>
      <c r="E9977" s="105"/>
      <c r="F9977" s="105"/>
      <c r="G9977" s="105"/>
      <c r="H9977" s="105"/>
      <c r="I9977" s="105"/>
      <c r="J9977" s="113"/>
      <c r="K9977" s="114"/>
      <c r="L9977" s="115"/>
      <c r="M9977" s="105"/>
      <c r="N9977" s="105"/>
      <c r="O9977" s="105"/>
      <c r="P9977" s="105"/>
      <c r="Q9977" s="113"/>
      <c r="R9977" s="114"/>
      <c r="S9977" s="115"/>
    </row>
    <row r="9978" spans="1:19" x14ac:dyDescent="0.25">
      <c r="A9978" s="111"/>
      <c r="B9978" s="112"/>
      <c r="C9978" s="105"/>
      <c r="D9978" s="105"/>
      <c r="E9978" s="105"/>
      <c r="F9978" s="105"/>
      <c r="G9978" s="105"/>
      <c r="H9978" s="105"/>
      <c r="I9978" s="105"/>
      <c r="J9978" s="113"/>
      <c r="K9978" s="114"/>
      <c r="L9978" s="115"/>
      <c r="M9978" s="105"/>
      <c r="N9978" s="105"/>
      <c r="O9978" s="105"/>
      <c r="P9978" s="105"/>
      <c r="Q9978" s="113"/>
      <c r="R9978" s="114"/>
      <c r="S9978" s="115"/>
    </row>
    <row r="9979" spans="1:19" x14ac:dyDescent="0.25">
      <c r="A9979" s="111"/>
      <c r="B9979" s="112"/>
      <c r="C9979" s="105"/>
      <c r="D9979" s="105"/>
      <c r="E9979" s="105"/>
      <c r="F9979" s="105"/>
      <c r="G9979" s="105"/>
      <c r="H9979" s="105"/>
      <c r="I9979" s="105"/>
      <c r="J9979" s="113"/>
      <c r="K9979" s="114"/>
      <c r="L9979" s="115"/>
      <c r="M9979" s="105"/>
      <c r="N9979" s="105"/>
      <c r="O9979" s="105"/>
      <c r="P9979" s="105"/>
      <c r="Q9979" s="113"/>
      <c r="R9979" s="114"/>
      <c r="S9979" s="115"/>
    </row>
    <row r="9980" spans="1:19" x14ac:dyDescent="0.25">
      <c r="A9980" s="111"/>
      <c r="B9980" s="112"/>
      <c r="C9980" s="105"/>
      <c r="D9980" s="105"/>
      <c r="E9980" s="105"/>
      <c r="F9980" s="105"/>
      <c r="G9980" s="105"/>
      <c r="H9980" s="105"/>
      <c r="I9980" s="105"/>
      <c r="J9980" s="113"/>
      <c r="K9980" s="114"/>
      <c r="L9980" s="115"/>
      <c r="M9980" s="105"/>
      <c r="N9980" s="105"/>
      <c r="O9980" s="105"/>
      <c r="P9980" s="105"/>
      <c r="Q9980" s="113"/>
      <c r="R9980" s="114"/>
      <c r="S9980" s="115"/>
    </row>
    <row r="9981" spans="1:19" x14ac:dyDescent="0.25">
      <c r="A9981" s="111"/>
      <c r="B9981" s="112"/>
      <c r="C9981" s="105"/>
      <c r="D9981" s="105"/>
      <c r="E9981" s="105"/>
      <c r="F9981" s="105"/>
      <c r="G9981" s="105"/>
      <c r="H9981" s="105"/>
      <c r="I9981" s="105"/>
      <c r="J9981" s="113"/>
      <c r="K9981" s="114"/>
      <c r="L9981" s="115"/>
      <c r="M9981" s="105"/>
      <c r="N9981" s="105"/>
      <c r="O9981" s="105"/>
      <c r="P9981" s="105"/>
      <c r="Q9981" s="113"/>
      <c r="R9981" s="114"/>
      <c r="S9981" s="115"/>
    </row>
    <row r="9982" spans="1:19" x14ac:dyDescent="0.25">
      <c r="A9982" s="111"/>
      <c r="B9982" s="112"/>
      <c r="C9982" s="105"/>
      <c r="D9982" s="105"/>
      <c r="E9982" s="105"/>
      <c r="F9982" s="105"/>
      <c r="G9982" s="105"/>
      <c r="H9982" s="105"/>
      <c r="I9982" s="105"/>
      <c r="J9982" s="113"/>
      <c r="K9982" s="114"/>
      <c r="L9982" s="115"/>
      <c r="M9982" s="105"/>
      <c r="N9982" s="105"/>
      <c r="O9982" s="105"/>
      <c r="P9982" s="105"/>
      <c r="Q9982" s="113"/>
      <c r="R9982" s="114"/>
      <c r="S9982" s="115"/>
    </row>
    <row r="9983" spans="1:19" x14ac:dyDescent="0.25">
      <c r="A9983" s="111"/>
      <c r="B9983" s="112"/>
      <c r="C9983" s="105"/>
      <c r="D9983" s="105"/>
      <c r="E9983" s="105"/>
      <c r="F9983" s="105"/>
      <c r="G9983" s="105"/>
      <c r="H9983" s="105"/>
      <c r="I9983" s="105"/>
      <c r="J9983" s="113"/>
      <c r="K9983" s="114"/>
      <c r="L9983" s="115"/>
      <c r="M9983" s="105"/>
      <c r="N9983" s="105"/>
      <c r="O9983" s="105"/>
      <c r="P9983" s="105"/>
      <c r="Q9983" s="113"/>
      <c r="R9983" s="114"/>
      <c r="S9983" s="115"/>
    </row>
    <row r="9984" spans="1:19" x14ac:dyDescent="0.25">
      <c r="A9984" s="111"/>
      <c r="B9984" s="112"/>
      <c r="C9984" s="105"/>
      <c r="D9984" s="105"/>
      <c r="E9984" s="105"/>
      <c r="F9984" s="105"/>
      <c r="G9984" s="105"/>
      <c r="H9984" s="105"/>
      <c r="I9984" s="105"/>
      <c r="J9984" s="113"/>
      <c r="K9984" s="114"/>
      <c r="L9984" s="115"/>
      <c r="M9984" s="105"/>
      <c r="N9984" s="105"/>
      <c r="O9984" s="105"/>
      <c r="P9984" s="105"/>
      <c r="Q9984" s="113"/>
      <c r="R9984" s="114"/>
      <c r="S9984" s="115"/>
    </row>
    <row r="9985" spans="1:19" x14ac:dyDescent="0.25">
      <c r="A9985" s="111"/>
      <c r="B9985" s="112"/>
      <c r="C9985" s="105"/>
      <c r="D9985" s="105"/>
      <c r="E9985" s="105"/>
      <c r="F9985" s="105"/>
      <c r="G9985" s="105"/>
      <c r="H9985" s="105"/>
      <c r="I9985" s="105"/>
      <c r="J9985" s="113"/>
      <c r="K9985" s="114"/>
      <c r="L9985" s="115"/>
      <c r="M9985" s="105"/>
      <c r="N9985" s="105"/>
      <c r="O9985" s="105"/>
      <c r="P9985" s="105"/>
      <c r="Q9985" s="113"/>
      <c r="R9985" s="114"/>
      <c r="S9985" s="115"/>
    </row>
    <row r="9986" spans="1:19" x14ac:dyDescent="0.25">
      <c r="A9986" s="111"/>
      <c r="B9986" s="112"/>
      <c r="C9986" s="105"/>
      <c r="D9986" s="105"/>
      <c r="E9986" s="105"/>
      <c r="F9986" s="105"/>
      <c r="G9986" s="105"/>
      <c r="H9986" s="105"/>
      <c r="I9986" s="105"/>
      <c r="J9986" s="113"/>
      <c r="K9986" s="114"/>
      <c r="L9986" s="115"/>
      <c r="M9986" s="105"/>
      <c r="N9986" s="105"/>
      <c r="O9986" s="105"/>
      <c r="P9986" s="105"/>
      <c r="Q9986" s="113"/>
      <c r="R9986" s="114"/>
      <c r="S9986" s="115"/>
    </row>
    <row r="9987" spans="1:19" x14ac:dyDescent="0.25">
      <c r="A9987" s="111"/>
      <c r="B9987" s="112"/>
      <c r="C9987" s="105"/>
      <c r="D9987" s="105"/>
      <c r="E9987" s="105"/>
      <c r="F9987" s="105"/>
      <c r="G9987" s="105"/>
      <c r="H9987" s="105"/>
      <c r="I9987" s="105"/>
      <c r="J9987" s="113"/>
      <c r="K9987" s="114"/>
      <c r="L9987" s="115"/>
      <c r="M9987" s="105"/>
      <c r="N9987" s="105"/>
      <c r="O9987" s="105"/>
      <c r="P9987" s="105"/>
      <c r="Q9987" s="113"/>
      <c r="R9987" s="114"/>
      <c r="S9987" s="115"/>
    </row>
    <row r="9988" spans="1:19" x14ac:dyDescent="0.25">
      <c r="A9988" s="111"/>
      <c r="B9988" s="112"/>
      <c r="C9988" s="105"/>
      <c r="D9988" s="105"/>
      <c r="E9988" s="105"/>
      <c r="F9988" s="105"/>
      <c r="G9988" s="105"/>
      <c r="H9988" s="105"/>
      <c r="I9988" s="105"/>
      <c r="J9988" s="113"/>
      <c r="K9988" s="114"/>
      <c r="L9988" s="115"/>
      <c r="M9988" s="105"/>
      <c r="N9988" s="105"/>
      <c r="O9988" s="105"/>
      <c r="P9988" s="105"/>
      <c r="Q9988" s="113"/>
      <c r="R9988" s="114"/>
      <c r="S9988" s="115"/>
    </row>
    <row r="9989" spans="1:19" x14ac:dyDescent="0.25">
      <c r="A9989" s="111"/>
      <c r="B9989" s="112"/>
      <c r="C9989" s="105"/>
      <c r="D9989" s="105"/>
      <c r="E9989" s="105"/>
      <c r="F9989" s="105"/>
      <c r="G9989" s="105"/>
      <c r="H9989" s="105"/>
      <c r="I9989" s="105"/>
      <c r="J9989" s="113"/>
      <c r="K9989" s="114"/>
      <c r="L9989" s="115"/>
      <c r="M9989" s="105"/>
      <c r="N9989" s="105"/>
      <c r="O9989" s="105"/>
      <c r="P9989" s="105"/>
      <c r="Q9989" s="113"/>
      <c r="R9989" s="114"/>
      <c r="S9989" s="115"/>
    </row>
    <row r="9990" spans="1:19" x14ac:dyDescent="0.25">
      <c r="A9990" s="111"/>
      <c r="B9990" s="112"/>
      <c r="C9990" s="105"/>
      <c r="D9990" s="105"/>
      <c r="E9990" s="105"/>
      <c r="F9990" s="105"/>
      <c r="G9990" s="105"/>
      <c r="H9990" s="105"/>
      <c r="I9990" s="105"/>
      <c r="J9990" s="113"/>
      <c r="K9990" s="114"/>
      <c r="L9990" s="115"/>
      <c r="M9990" s="105"/>
      <c r="N9990" s="105"/>
      <c r="O9990" s="105"/>
      <c r="P9990" s="105"/>
      <c r="Q9990" s="113"/>
      <c r="R9990" s="114"/>
      <c r="S9990" s="115"/>
    </row>
    <row r="9991" spans="1:19" x14ac:dyDescent="0.25">
      <c r="A9991" s="111"/>
      <c r="B9991" s="112"/>
      <c r="C9991" s="105"/>
      <c r="D9991" s="105"/>
      <c r="E9991" s="105"/>
      <c r="F9991" s="105"/>
      <c r="G9991" s="105"/>
      <c r="H9991" s="105"/>
      <c r="I9991" s="105"/>
      <c r="J9991" s="113"/>
      <c r="K9991" s="114"/>
      <c r="L9991" s="115"/>
      <c r="M9991" s="105"/>
      <c r="N9991" s="105"/>
      <c r="O9991" s="105"/>
      <c r="P9991" s="105"/>
      <c r="Q9991" s="113"/>
      <c r="R9991" s="114"/>
      <c r="S9991" s="115"/>
    </row>
    <row r="9992" spans="1:19" x14ac:dyDescent="0.25">
      <c r="A9992" s="111"/>
      <c r="B9992" s="112"/>
      <c r="C9992" s="105"/>
      <c r="D9992" s="105"/>
      <c r="E9992" s="105"/>
      <c r="F9992" s="105"/>
      <c r="G9992" s="105"/>
      <c r="H9992" s="105"/>
      <c r="I9992" s="105"/>
      <c r="J9992" s="113"/>
      <c r="K9992" s="114"/>
      <c r="L9992" s="115"/>
      <c r="M9992" s="105"/>
      <c r="N9992" s="105"/>
      <c r="O9992" s="105"/>
      <c r="P9992" s="105"/>
      <c r="Q9992" s="113"/>
      <c r="R9992" s="114"/>
      <c r="S9992" s="115"/>
    </row>
    <row r="9993" spans="1:19" x14ac:dyDescent="0.25">
      <c r="A9993" s="111"/>
      <c r="B9993" s="112"/>
      <c r="C9993" s="105"/>
      <c r="D9993" s="105"/>
      <c r="E9993" s="105"/>
      <c r="F9993" s="105"/>
      <c r="G9993" s="105"/>
      <c r="H9993" s="105"/>
      <c r="I9993" s="105"/>
      <c r="J9993" s="113"/>
      <c r="K9993" s="114"/>
      <c r="L9993" s="115"/>
      <c r="M9993" s="105"/>
      <c r="N9993" s="105"/>
      <c r="O9993" s="105"/>
      <c r="P9993" s="105"/>
      <c r="Q9993" s="113"/>
      <c r="R9993" s="114"/>
      <c r="S9993" s="115"/>
    </row>
    <row r="9994" spans="1:19" x14ac:dyDescent="0.25">
      <c r="A9994" s="111"/>
      <c r="B9994" s="112"/>
      <c r="C9994" s="105"/>
      <c r="D9994" s="105"/>
      <c r="E9994" s="105"/>
      <c r="F9994" s="105"/>
      <c r="G9994" s="105"/>
      <c r="H9994" s="105"/>
      <c r="I9994" s="105"/>
      <c r="J9994" s="113"/>
      <c r="K9994" s="114"/>
      <c r="L9994" s="115"/>
      <c r="M9994" s="105"/>
      <c r="N9994" s="105"/>
      <c r="O9994" s="105"/>
      <c r="P9994" s="105"/>
      <c r="Q9994" s="113"/>
      <c r="R9994" s="114"/>
      <c r="S9994" s="115"/>
    </row>
    <row r="9995" spans="1:19" x14ac:dyDescent="0.25">
      <c r="A9995" s="111"/>
      <c r="B9995" s="112"/>
      <c r="C9995" s="105"/>
      <c r="D9995" s="105"/>
      <c r="E9995" s="105"/>
      <c r="F9995" s="105"/>
      <c r="G9995" s="105"/>
      <c r="H9995" s="105"/>
      <c r="I9995" s="105"/>
      <c r="J9995" s="113"/>
      <c r="K9995" s="114"/>
      <c r="L9995" s="115"/>
      <c r="M9995" s="105"/>
      <c r="N9995" s="105"/>
      <c r="O9995" s="105"/>
      <c r="P9995" s="105"/>
      <c r="Q9995" s="113"/>
      <c r="R9995" s="114"/>
      <c r="S9995" s="115"/>
    </row>
    <row r="9996" spans="1:19" x14ac:dyDescent="0.25">
      <c r="A9996" s="111"/>
      <c r="B9996" s="112"/>
      <c r="C9996" s="105"/>
      <c r="D9996" s="105"/>
      <c r="E9996" s="105"/>
      <c r="F9996" s="105"/>
      <c r="G9996" s="105"/>
      <c r="H9996" s="105"/>
      <c r="I9996" s="105"/>
      <c r="J9996" s="113"/>
      <c r="K9996" s="114"/>
      <c r="L9996" s="115"/>
      <c r="M9996" s="105"/>
      <c r="N9996" s="105"/>
      <c r="O9996" s="105"/>
      <c r="P9996" s="105"/>
      <c r="Q9996" s="113"/>
      <c r="R9996" s="114"/>
      <c r="S9996" s="115"/>
    </row>
    <row r="9997" spans="1:19" x14ac:dyDescent="0.25">
      <c r="A9997" s="111"/>
      <c r="B9997" s="112"/>
      <c r="C9997" s="105"/>
      <c r="D9997" s="105"/>
      <c r="E9997" s="105"/>
      <c r="F9997" s="105"/>
      <c r="G9997" s="105"/>
      <c r="H9997" s="105"/>
      <c r="I9997" s="105"/>
      <c r="J9997" s="113"/>
      <c r="K9997" s="114"/>
      <c r="L9997" s="115"/>
      <c r="M9997" s="105"/>
      <c r="N9997" s="105"/>
      <c r="O9997" s="105"/>
      <c r="P9997" s="105"/>
      <c r="Q9997" s="113"/>
      <c r="R9997" s="114"/>
      <c r="S9997" s="115"/>
    </row>
    <row r="9998" spans="1:19" x14ac:dyDescent="0.25">
      <c r="A9998" s="111"/>
      <c r="B9998" s="112"/>
      <c r="C9998" s="105"/>
      <c r="D9998" s="105"/>
      <c r="E9998" s="105"/>
      <c r="F9998" s="105"/>
      <c r="G9998" s="105"/>
      <c r="H9998" s="105"/>
      <c r="I9998" s="105"/>
      <c r="J9998" s="113"/>
      <c r="K9998" s="114"/>
      <c r="L9998" s="115"/>
      <c r="M9998" s="105"/>
      <c r="N9998" s="105"/>
      <c r="O9998" s="105"/>
      <c r="P9998" s="105"/>
      <c r="Q9998" s="113"/>
      <c r="R9998" s="114"/>
      <c r="S9998" s="115"/>
    </row>
    <row r="9999" spans="1:19" x14ac:dyDescent="0.25">
      <c r="A9999" s="111"/>
      <c r="B9999" s="112"/>
      <c r="C9999" s="105"/>
      <c r="D9999" s="105"/>
      <c r="E9999" s="105"/>
      <c r="F9999" s="105"/>
      <c r="G9999" s="105"/>
      <c r="H9999" s="105"/>
      <c r="I9999" s="105"/>
      <c r="J9999" s="113"/>
      <c r="K9999" s="114"/>
      <c r="L9999" s="115"/>
      <c r="M9999" s="105"/>
      <c r="N9999" s="105"/>
      <c r="O9999" s="105"/>
      <c r="P9999" s="105"/>
      <c r="Q9999" s="113"/>
      <c r="R9999" s="114"/>
      <c r="S9999" s="115"/>
    </row>
    <row r="10000" spans="1:19" x14ac:dyDescent="0.25">
      <c r="A10000" s="111"/>
      <c r="B10000" s="112"/>
      <c r="C10000" s="105"/>
      <c r="D10000" s="105"/>
      <c r="E10000" s="105"/>
      <c r="F10000" s="105"/>
      <c r="G10000" s="105"/>
      <c r="H10000" s="105"/>
      <c r="I10000" s="105"/>
      <c r="J10000" s="113"/>
      <c r="K10000" s="114"/>
      <c r="L10000" s="115"/>
      <c r="M10000" s="105"/>
      <c r="N10000" s="105"/>
      <c r="O10000" s="105"/>
      <c r="P10000" s="105"/>
      <c r="Q10000" s="113"/>
      <c r="R10000" s="114"/>
      <c r="S10000" s="115"/>
    </row>
    <row r="10001" spans="1:19" x14ac:dyDescent="0.25">
      <c r="A10001" s="111"/>
      <c r="B10001" s="112"/>
      <c r="C10001" s="105"/>
      <c r="D10001" s="105"/>
      <c r="E10001" s="105"/>
      <c r="F10001" s="105"/>
      <c r="G10001" s="105"/>
      <c r="H10001" s="105"/>
      <c r="I10001" s="105"/>
      <c r="J10001" s="113"/>
      <c r="K10001" s="114"/>
      <c r="L10001" s="115"/>
      <c r="M10001" s="105"/>
      <c r="N10001" s="105"/>
      <c r="O10001" s="105"/>
      <c r="P10001" s="105"/>
      <c r="Q10001" s="113"/>
      <c r="R10001" s="114"/>
      <c r="S10001" s="115"/>
    </row>
    <row r="10002" spans="1:19" x14ac:dyDescent="0.25">
      <c r="A10002" s="111"/>
      <c r="B10002" s="112"/>
      <c r="C10002" s="105"/>
      <c r="D10002" s="105"/>
      <c r="E10002" s="105"/>
      <c r="F10002" s="105"/>
      <c r="G10002" s="105"/>
      <c r="H10002" s="105"/>
      <c r="I10002" s="105"/>
      <c r="J10002" s="113"/>
      <c r="K10002" s="114"/>
      <c r="L10002" s="115"/>
      <c r="M10002" s="105"/>
      <c r="N10002" s="105"/>
      <c r="O10002" s="105"/>
      <c r="P10002" s="105"/>
      <c r="Q10002" s="113"/>
      <c r="R10002" s="114"/>
      <c r="S10002" s="115"/>
    </row>
    <row r="10003" spans="1:19" x14ac:dyDescent="0.25">
      <c r="A10003" s="111"/>
      <c r="B10003" s="112"/>
      <c r="C10003" s="105"/>
      <c r="D10003" s="105"/>
      <c r="E10003" s="105"/>
      <c r="F10003" s="105"/>
      <c r="G10003" s="105"/>
      <c r="H10003" s="105"/>
      <c r="I10003" s="105"/>
      <c r="J10003" s="113"/>
      <c r="K10003" s="114"/>
      <c r="L10003" s="115"/>
      <c r="M10003" s="105"/>
      <c r="N10003" s="105"/>
      <c r="O10003" s="105"/>
      <c r="P10003" s="105"/>
      <c r="Q10003" s="113"/>
      <c r="R10003" s="114"/>
      <c r="S10003" s="115"/>
    </row>
    <row r="10004" spans="1:19" x14ac:dyDescent="0.25">
      <c r="A10004" s="111"/>
      <c r="B10004" s="112"/>
      <c r="C10004" s="105"/>
      <c r="D10004" s="105"/>
      <c r="E10004" s="105"/>
      <c r="F10004" s="105"/>
      <c r="G10004" s="105"/>
      <c r="H10004" s="105"/>
      <c r="I10004" s="105"/>
      <c r="J10004" s="113"/>
      <c r="K10004" s="114"/>
      <c r="L10004" s="115"/>
      <c r="M10004" s="105"/>
      <c r="N10004" s="105"/>
      <c r="O10004" s="105"/>
      <c r="P10004" s="105"/>
      <c r="Q10004" s="113"/>
      <c r="R10004" s="114"/>
      <c r="S10004" s="115"/>
    </row>
    <row r="10005" spans="1:19" x14ac:dyDescent="0.25">
      <c r="A10005" s="111"/>
      <c r="B10005" s="112"/>
      <c r="C10005" s="105"/>
      <c r="D10005" s="105"/>
      <c r="E10005" s="105"/>
      <c r="F10005" s="105"/>
      <c r="G10005" s="105"/>
      <c r="H10005" s="105"/>
      <c r="I10005" s="105"/>
      <c r="J10005" s="113"/>
      <c r="K10005" s="114"/>
      <c r="L10005" s="115"/>
      <c r="M10005" s="105"/>
      <c r="N10005" s="105"/>
      <c r="O10005" s="105"/>
      <c r="P10005" s="105"/>
      <c r="Q10005" s="113"/>
      <c r="R10005" s="114"/>
      <c r="S10005" s="115"/>
    </row>
    <row r="10006" spans="1:19" x14ac:dyDescent="0.25">
      <c r="A10006" s="111"/>
      <c r="B10006" s="112"/>
      <c r="C10006" s="105"/>
      <c r="D10006" s="105"/>
      <c r="E10006" s="105"/>
      <c r="F10006" s="105"/>
      <c r="G10006" s="105"/>
      <c r="H10006" s="105"/>
      <c r="I10006" s="105"/>
      <c r="J10006" s="113"/>
      <c r="K10006" s="114"/>
      <c r="L10006" s="115"/>
      <c r="M10006" s="105"/>
      <c r="N10006" s="105"/>
      <c r="O10006" s="105"/>
      <c r="P10006" s="105"/>
      <c r="Q10006" s="113"/>
      <c r="R10006" s="114"/>
      <c r="S10006" s="115"/>
    </row>
    <row r="10007" spans="1:19" x14ac:dyDescent="0.25">
      <c r="A10007" s="111"/>
      <c r="B10007" s="112"/>
      <c r="C10007" s="105"/>
      <c r="D10007" s="105"/>
      <c r="E10007" s="105"/>
      <c r="F10007" s="105"/>
      <c r="G10007" s="105"/>
      <c r="H10007" s="105"/>
      <c r="I10007" s="105"/>
      <c r="J10007" s="113"/>
      <c r="K10007" s="114"/>
      <c r="L10007" s="115"/>
      <c r="M10007" s="105"/>
      <c r="N10007" s="105"/>
      <c r="O10007" s="105"/>
      <c r="P10007" s="105"/>
      <c r="Q10007" s="113"/>
      <c r="R10007" s="114"/>
      <c r="S10007" s="115"/>
    </row>
    <row r="10008" spans="1:19" x14ac:dyDescent="0.25">
      <c r="A10008" s="111"/>
      <c r="B10008" s="112"/>
      <c r="C10008" s="105"/>
      <c r="D10008" s="105"/>
      <c r="E10008" s="105"/>
      <c r="F10008" s="105"/>
      <c r="G10008" s="105"/>
      <c r="H10008" s="105"/>
      <c r="I10008" s="105"/>
      <c r="J10008" s="113"/>
      <c r="K10008" s="114"/>
      <c r="L10008" s="115"/>
      <c r="M10008" s="105"/>
      <c r="N10008" s="105"/>
      <c r="O10008" s="105"/>
      <c r="P10008" s="105"/>
      <c r="Q10008" s="113"/>
      <c r="R10008" s="114"/>
      <c r="S10008" s="115"/>
    </row>
    <row r="10009" spans="1:19" x14ac:dyDescent="0.25">
      <c r="A10009" s="111"/>
      <c r="B10009" s="112"/>
      <c r="C10009" s="105"/>
      <c r="D10009" s="105"/>
      <c r="E10009" s="105"/>
      <c r="F10009" s="105"/>
      <c r="G10009" s="105"/>
      <c r="H10009" s="105"/>
      <c r="I10009" s="105"/>
      <c r="J10009" s="113"/>
      <c r="K10009" s="114"/>
      <c r="L10009" s="115"/>
      <c r="M10009" s="105"/>
      <c r="N10009" s="105"/>
      <c r="O10009" s="105"/>
      <c r="P10009" s="105"/>
      <c r="Q10009" s="113"/>
      <c r="R10009" s="114"/>
      <c r="S10009" s="115"/>
    </row>
    <row r="10010" spans="1:19" x14ac:dyDescent="0.25">
      <c r="A10010" s="111"/>
      <c r="B10010" s="112"/>
      <c r="C10010" s="105"/>
      <c r="D10010" s="105"/>
      <c r="E10010" s="105"/>
      <c r="F10010" s="105"/>
      <c r="G10010" s="105"/>
      <c r="H10010" s="105"/>
      <c r="I10010" s="105"/>
      <c r="J10010" s="113"/>
      <c r="K10010" s="114"/>
      <c r="L10010" s="115"/>
      <c r="M10010" s="105"/>
      <c r="N10010" s="105"/>
      <c r="O10010" s="105"/>
      <c r="P10010" s="105"/>
      <c r="Q10010" s="113"/>
      <c r="R10010" s="114"/>
      <c r="S10010" s="115"/>
    </row>
    <row r="10011" spans="1:19" x14ac:dyDescent="0.25">
      <c r="A10011" s="111"/>
      <c r="B10011" s="112"/>
      <c r="C10011" s="105"/>
      <c r="D10011" s="105"/>
      <c r="E10011" s="105"/>
      <c r="F10011" s="105"/>
      <c r="G10011" s="105"/>
      <c r="H10011" s="105"/>
      <c r="I10011" s="105"/>
      <c r="J10011" s="113"/>
      <c r="K10011" s="114"/>
      <c r="L10011" s="115"/>
      <c r="M10011" s="105"/>
      <c r="N10011" s="105"/>
      <c r="O10011" s="105"/>
      <c r="P10011" s="105"/>
      <c r="Q10011" s="113"/>
      <c r="R10011" s="114"/>
      <c r="S10011" s="115"/>
    </row>
    <row r="10012" spans="1:19" x14ac:dyDescent="0.25">
      <c r="A10012" s="111"/>
      <c r="B10012" s="112"/>
      <c r="C10012" s="105"/>
      <c r="D10012" s="105"/>
      <c r="E10012" s="105"/>
      <c r="F10012" s="105"/>
      <c r="G10012" s="105"/>
      <c r="H10012" s="105"/>
      <c r="I10012" s="105"/>
      <c r="J10012" s="113"/>
      <c r="K10012" s="114"/>
      <c r="L10012" s="115"/>
      <c r="M10012" s="105"/>
      <c r="N10012" s="105"/>
      <c r="O10012" s="105"/>
      <c r="P10012" s="105"/>
      <c r="Q10012" s="113"/>
      <c r="R10012" s="114"/>
      <c r="S10012" s="115"/>
    </row>
    <row r="10013" spans="1:19" x14ac:dyDescent="0.25">
      <c r="A10013" s="111"/>
      <c r="B10013" s="112"/>
      <c r="C10013" s="105"/>
      <c r="D10013" s="105"/>
      <c r="E10013" s="105"/>
      <c r="F10013" s="105"/>
      <c r="G10013" s="105"/>
      <c r="H10013" s="105"/>
      <c r="I10013" s="105"/>
      <c r="J10013" s="113"/>
      <c r="K10013" s="114"/>
      <c r="L10013" s="115"/>
      <c r="M10013" s="105"/>
      <c r="N10013" s="105"/>
      <c r="O10013" s="105"/>
      <c r="P10013" s="105"/>
      <c r="Q10013" s="113"/>
      <c r="R10013" s="114"/>
      <c r="S10013" s="115"/>
    </row>
    <row r="10014" spans="1:19" x14ac:dyDescent="0.25">
      <c r="A10014" s="111"/>
      <c r="B10014" s="112"/>
      <c r="C10014" s="105"/>
      <c r="D10014" s="105"/>
      <c r="E10014" s="105"/>
      <c r="F10014" s="105"/>
      <c r="G10014" s="105"/>
      <c r="H10014" s="105"/>
      <c r="I10014" s="105"/>
      <c r="J10014" s="113"/>
      <c r="K10014" s="114"/>
      <c r="L10014" s="115"/>
      <c r="M10014" s="105"/>
      <c r="N10014" s="105"/>
      <c r="O10014" s="105"/>
      <c r="P10014" s="105"/>
      <c r="Q10014" s="113"/>
      <c r="R10014" s="114"/>
      <c r="S10014" s="115"/>
    </row>
    <row r="10015" spans="1:19" x14ac:dyDescent="0.25">
      <c r="A10015" s="111"/>
      <c r="B10015" s="112"/>
      <c r="C10015" s="105"/>
      <c r="D10015" s="105"/>
      <c r="E10015" s="105"/>
      <c r="F10015" s="105"/>
      <c r="G10015" s="105"/>
      <c r="H10015" s="105"/>
      <c r="I10015" s="105"/>
      <c r="J10015" s="113"/>
      <c r="K10015" s="114"/>
      <c r="L10015" s="115"/>
      <c r="M10015" s="105"/>
      <c r="N10015" s="105"/>
      <c r="O10015" s="105"/>
      <c r="P10015" s="105"/>
      <c r="Q10015" s="113"/>
      <c r="R10015" s="114"/>
      <c r="S10015" s="115"/>
    </row>
    <row r="10016" spans="1:19" x14ac:dyDescent="0.25">
      <c r="A10016" s="111"/>
      <c r="B10016" s="112"/>
      <c r="C10016" s="105"/>
      <c r="D10016" s="105"/>
      <c r="E10016" s="105"/>
      <c r="F10016" s="105"/>
      <c r="G10016" s="105"/>
      <c r="H10016" s="105"/>
      <c r="I10016" s="105"/>
      <c r="J10016" s="113"/>
      <c r="K10016" s="114"/>
      <c r="L10016" s="115"/>
      <c r="M10016" s="105"/>
      <c r="N10016" s="105"/>
      <c r="O10016" s="105"/>
      <c r="P10016" s="105"/>
      <c r="Q10016" s="113"/>
      <c r="R10016" s="114"/>
      <c r="S10016" s="115"/>
    </row>
    <row r="10017" spans="1:19" x14ac:dyDescent="0.25">
      <c r="A10017" s="111"/>
      <c r="B10017" s="112"/>
      <c r="C10017" s="105"/>
      <c r="D10017" s="105"/>
      <c r="E10017" s="105"/>
      <c r="F10017" s="105"/>
      <c r="G10017" s="105"/>
      <c r="H10017" s="105"/>
      <c r="I10017" s="105"/>
      <c r="J10017" s="113"/>
      <c r="K10017" s="114"/>
      <c r="L10017" s="115"/>
      <c r="M10017" s="105"/>
      <c r="N10017" s="105"/>
      <c r="O10017" s="105"/>
      <c r="P10017" s="105"/>
      <c r="Q10017" s="113"/>
      <c r="R10017" s="114"/>
      <c r="S10017" s="115"/>
    </row>
    <row r="10018" spans="1:19" x14ac:dyDescent="0.25">
      <c r="A10018" s="111"/>
      <c r="B10018" s="112"/>
      <c r="C10018" s="105"/>
      <c r="D10018" s="105"/>
      <c r="E10018" s="105"/>
      <c r="F10018" s="105"/>
      <c r="G10018" s="105"/>
      <c r="H10018" s="105"/>
      <c r="I10018" s="105"/>
      <c r="J10018" s="113"/>
      <c r="K10018" s="114"/>
      <c r="L10018" s="115"/>
      <c r="M10018" s="105"/>
      <c r="N10018" s="105"/>
      <c r="O10018" s="105"/>
      <c r="P10018" s="105"/>
      <c r="Q10018" s="113"/>
      <c r="R10018" s="114"/>
      <c r="S10018" s="115"/>
    </row>
    <row r="10019" spans="1:19" x14ac:dyDescent="0.25">
      <c r="A10019" s="111"/>
      <c r="B10019" s="112"/>
      <c r="C10019" s="105"/>
      <c r="D10019" s="105"/>
      <c r="E10019" s="105"/>
      <c r="F10019" s="105"/>
      <c r="G10019" s="105"/>
      <c r="H10019" s="105"/>
      <c r="I10019" s="105"/>
      <c r="J10019" s="113"/>
      <c r="K10019" s="114"/>
      <c r="L10019" s="115"/>
      <c r="M10019" s="105"/>
      <c r="N10019" s="105"/>
      <c r="O10019" s="105"/>
      <c r="P10019" s="105"/>
      <c r="Q10019" s="113"/>
      <c r="R10019" s="114"/>
      <c r="S10019" s="115"/>
    </row>
    <row r="10020" spans="1:19" x14ac:dyDescent="0.25">
      <c r="A10020" s="111"/>
      <c r="B10020" s="112"/>
      <c r="C10020" s="105"/>
      <c r="D10020" s="105"/>
      <c r="E10020" s="105"/>
      <c r="F10020" s="105"/>
      <c r="G10020" s="105"/>
      <c r="H10020" s="105"/>
      <c r="I10020" s="105"/>
      <c r="J10020" s="113"/>
      <c r="K10020" s="114"/>
      <c r="L10020" s="115"/>
      <c r="M10020" s="105"/>
      <c r="N10020" s="105"/>
      <c r="O10020" s="105"/>
      <c r="P10020" s="105"/>
      <c r="Q10020" s="113"/>
      <c r="R10020" s="114"/>
      <c r="S10020" s="115"/>
    </row>
    <row r="10021" spans="1:19" x14ac:dyDescent="0.25">
      <c r="A10021" s="111"/>
      <c r="B10021" s="112"/>
      <c r="C10021" s="105"/>
      <c r="D10021" s="105"/>
      <c r="E10021" s="105"/>
      <c r="F10021" s="105"/>
      <c r="G10021" s="105"/>
      <c r="H10021" s="105"/>
      <c r="I10021" s="105"/>
      <c r="J10021" s="113"/>
      <c r="K10021" s="114"/>
      <c r="L10021" s="115"/>
      <c r="M10021" s="105"/>
      <c r="N10021" s="105"/>
      <c r="O10021" s="105"/>
      <c r="P10021" s="105"/>
      <c r="Q10021" s="113"/>
      <c r="R10021" s="114"/>
      <c r="S10021" s="115"/>
    </row>
    <row r="10022" spans="1:19" x14ac:dyDescent="0.25">
      <c r="A10022" s="111"/>
      <c r="B10022" s="112"/>
      <c r="C10022" s="105"/>
      <c r="D10022" s="105"/>
      <c r="E10022" s="105"/>
      <c r="F10022" s="105"/>
      <c r="G10022" s="105"/>
      <c r="H10022" s="105"/>
      <c r="I10022" s="105"/>
      <c r="J10022" s="113"/>
      <c r="K10022" s="114"/>
      <c r="L10022" s="115"/>
      <c r="M10022" s="105"/>
      <c r="N10022" s="105"/>
      <c r="O10022" s="105"/>
      <c r="P10022" s="105"/>
      <c r="Q10022" s="113"/>
      <c r="R10022" s="114"/>
      <c r="S10022" s="115"/>
    </row>
    <row r="10023" spans="1:19" x14ac:dyDescent="0.25">
      <c r="A10023" s="111"/>
      <c r="B10023" s="112"/>
      <c r="C10023" s="105"/>
      <c r="D10023" s="105"/>
      <c r="E10023" s="105"/>
      <c r="F10023" s="105"/>
      <c r="G10023" s="105"/>
      <c r="H10023" s="105"/>
      <c r="I10023" s="105"/>
      <c r="J10023" s="113"/>
      <c r="K10023" s="114"/>
      <c r="L10023" s="115"/>
      <c r="M10023" s="105"/>
      <c r="N10023" s="105"/>
      <c r="O10023" s="105"/>
      <c r="P10023" s="105"/>
      <c r="Q10023" s="113"/>
      <c r="R10023" s="114"/>
      <c r="S10023" s="115"/>
    </row>
    <row r="10024" spans="1:19" x14ac:dyDescent="0.25">
      <c r="A10024" s="111"/>
      <c r="B10024" s="112"/>
      <c r="C10024" s="105"/>
      <c r="D10024" s="105"/>
      <c r="E10024" s="105"/>
      <c r="F10024" s="105"/>
      <c r="G10024" s="105"/>
      <c r="H10024" s="105"/>
      <c r="I10024" s="105"/>
      <c r="J10024" s="113"/>
      <c r="K10024" s="114"/>
      <c r="L10024" s="115"/>
      <c r="M10024" s="105"/>
      <c r="N10024" s="105"/>
      <c r="O10024" s="105"/>
      <c r="P10024" s="105"/>
      <c r="Q10024" s="113"/>
      <c r="R10024" s="114"/>
      <c r="S10024" s="115"/>
    </row>
    <row r="10025" spans="1:19" x14ac:dyDescent="0.25">
      <c r="A10025" s="111"/>
      <c r="B10025" s="112"/>
      <c r="C10025" s="105"/>
      <c r="D10025" s="105"/>
      <c r="E10025" s="105"/>
      <c r="F10025" s="105"/>
      <c r="G10025" s="105"/>
      <c r="H10025" s="105"/>
      <c r="I10025" s="105"/>
      <c r="J10025" s="113"/>
      <c r="K10025" s="114"/>
      <c r="L10025" s="115"/>
      <c r="M10025" s="105"/>
      <c r="N10025" s="105"/>
      <c r="O10025" s="105"/>
      <c r="P10025" s="105"/>
      <c r="Q10025" s="113"/>
      <c r="R10025" s="114"/>
      <c r="S10025" s="115"/>
    </row>
    <row r="10026" spans="1:19" x14ac:dyDescent="0.25">
      <c r="A10026" s="111"/>
      <c r="B10026" s="112"/>
      <c r="C10026" s="105"/>
      <c r="D10026" s="105"/>
      <c r="E10026" s="105"/>
      <c r="F10026" s="105"/>
      <c r="G10026" s="105"/>
      <c r="H10026" s="105"/>
      <c r="I10026" s="105"/>
      <c r="J10026" s="113"/>
      <c r="K10026" s="114"/>
      <c r="L10026" s="115"/>
      <c r="M10026" s="105"/>
      <c r="N10026" s="105"/>
      <c r="O10026" s="105"/>
      <c r="P10026" s="105"/>
      <c r="Q10026" s="113"/>
      <c r="R10026" s="114"/>
      <c r="S10026" s="115"/>
    </row>
    <row r="10027" spans="1:19" x14ac:dyDescent="0.25">
      <c r="A10027" s="111"/>
      <c r="B10027" s="112"/>
      <c r="C10027" s="105"/>
      <c r="D10027" s="105"/>
      <c r="E10027" s="105"/>
      <c r="F10027" s="105"/>
      <c r="G10027" s="105"/>
      <c r="H10027" s="105"/>
      <c r="I10027" s="105"/>
      <c r="J10027" s="113"/>
      <c r="K10027" s="114"/>
      <c r="L10027" s="115"/>
      <c r="M10027" s="105"/>
      <c r="N10027" s="105"/>
      <c r="O10027" s="105"/>
      <c r="P10027" s="105"/>
      <c r="Q10027" s="113"/>
      <c r="R10027" s="114"/>
      <c r="S10027" s="115"/>
    </row>
    <row r="10028" spans="1:19" x14ac:dyDescent="0.25">
      <c r="A10028" s="111"/>
      <c r="B10028" s="112"/>
      <c r="C10028" s="105"/>
      <c r="D10028" s="105"/>
      <c r="E10028" s="105"/>
      <c r="F10028" s="105"/>
      <c r="G10028" s="105"/>
      <c r="H10028" s="105"/>
      <c r="I10028" s="105"/>
      <c r="J10028" s="113"/>
      <c r="K10028" s="114"/>
      <c r="L10028" s="115"/>
      <c r="M10028" s="105"/>
      <c r="N10028" s="105"/>
      <c r="O10028" s="105"/>
      <c r="P10028" s="105"/>
      <c r="Q10028" s="113"/>
      <c r="R10028" s="114"/>
      <c r="S10028" s="115"/>
    </row>
    <row r="10029" spans="1:19" x14ac:dyDescent="0.25">
      <c r="A10029" s="111"/>
      <c r="B10029" s="112"/>
      <c r="C10029" s="105"/>
      <c r="D10029" s="105"/>
      <c r="E10029" s="105"/>
      <c r="F10029" s="105"/>
      <c r="G10029" s="105"/>
      <c r="H10029" s="105"/>
      <c r="I10029" s="105"/>
      <c r="J10029" s="113"/>
      <c r="K10029" s="114"/>
      <c r="L10029" s="115"/>
      <c r="M10029" s="105"/>
      <c r="N10029" s="105"/>
      <c r="O10029" s="105"/>
      <c r="P10029" s="105"/>
      <c r="Q10029" s="113"/>
      <c r="R10029" s="114"/>
      <c r="S10029" s="115"/>
    </row>
    <row r="10030" spans="1:19" x14ac:dyDescent="0.25">
      <c r="A10030" s="111"/>
      <c r="B10030" s="112"/>
      <c r="C10030" s="105"/>
      <c r="D10030" s="105"/>
      <c r="E10030" s="105"/>
      <c r="F10030" s="105"/>
      <c r="G10030" s="105"/>
      <c r="H10030" s="105"/>
      <c r="I10030" s="105"/>
      <c r="J10030" s="113"/>
      <c r="K10030" s="114"/>
      <c r="L10030" s="115"/>
      <c r="M10030" s="105"/>
      <c r="N10030" s="105"/>
      <c r="O10030" s="105"/>
      <c r="P10030" s="105"/>
      <c r="Q10030" s="113"/>
      <c r="R10030" s="114"/>
      <c r="S10030" s="115"/>
    </row>
    <row r="10031" spans="1:19" x14ac:dyDescent="0.25">
      <c r="A10031" s="111"/>
      <c r="B10031" s="112"/>
      <c r="C10031" s="105"/>
      <c r="D10031" s="105"/>
      <c r="E10031" s="105"/>
      <c r="F10031" s="105"/>
      <c r="G10031" s="105"/>
      <c r="H10031" s="105"/>
      <c r="I10031" s="105"/>
      <c r="J10031" s="113"/>
      <c r="K10031" s="114"/>
      <c r="L10031" s="115"/>
      <c r="M10031" s="105"/>
      <c r="N10031" s="105"/>
      <c r="O10031" s="105"/>
      <c r="P10031" s="105"/>
      <c r="Q10031" s="113"/>
      <c r="R10031" s="114"/>
      <c r="S10031" s="115"/>
    </row>
    <row r="10032" spans="1:19" x14ac:dyDescent="0.25">
      <c r="A10032" s="111"/>
      <c r="B10032" s="112"/>
      <c r="C10032" s="105"/>
      <c r="D10032" s="105"/>
      <c r="E10032" s="105"/>
      <c r="F10032" s="105"/>
      <c r="G10032" s="105"/>
      <c r="H10032" s="105"/>
      <c r="I10032" s="105"/>
      <c r="J10032" s="113"/>
      <c r="K10032" s="114"/>
      <c r="L10032" s="115"/>
      <c r="M10032" s="105"/>
      <c r="N10032" s="105"/>
      <c r="O10032" s="105"/>
      <c r="P10032" s="105"/>
      <c r="Q10032" s="113"/>
      <c r="R10032" s="114"/>
      <c r="S10032" s="115"/>
    </row>
    <row r="10033" spans="1:19" x14ac:dyDescent="0.25">
      <c r="A10033" s="111"/>
      <c r="B10033" s="112"/>
      <c r="C10033" s="105"/>
      <c r="D10033" s="105"/>
      <c r="E10033" s="105"/>
      <c r="F10033" s="105"/>
      <c r="G10033" s="105"/>
      <c r="H10033" s="105"/>
      <c r="I10033" s="105"/>
      <c r="J10033" s="113"/>
      <c r="K10033" s="114"/>
      <c r="L10033" s="115"/>
      <c r="M10033" s="105"/>
      <c r="N10033" s="105"/>
      <c r="O10033" s="105"/>
      <c r="P10033" s="105"/>
      <c r="Q10033" s="113"/>
      <c r="R10033" s="114"/>
      <c r="S10033" s="115"/>
    </row>
    <row r="10034" spans="1:19" x14ac:dyDescent="0.25">
      <c r="A10034" s="111"/>
      <c r="B10034" s="112"/>
      <c r="C10034" s="105"/>
      <c r="D10034" s="105"/>
      <c r="E10034" s="105"/>
      <c r="F10034" s="105"/>
      <c r="G10034" s="105"/>
      <c r="H10034" s="105"/>
      <c r="I10034" s="105"/>
      <c r="J10034" s="113"/>
      <c r="K10034" s="114"/>
      <c r="L10034" s="115"/>
      <c r="M10034" s="105"/>
      <c r="N10034" s="105"/>
      <c r="O10034" s="105"/>
      <c r="P10034" s="105"/>
      <c r="Q10034" s="113"/>
      <c r="R10034" s="114"/>
      <c r="S10034" s="115"/>
    </row>
    <row r="10035" spans="1:19" x14ac:dyDescent="0.25">
      <c r="A10035" s="111"/>
      <c r="B10035" s="112"/>
      <c r="C10035" s="105"/>
      <c r="D10035" s="105"/>
      <c r="E10035" s="105"/>
      <c r="F10035" s="105"/>
      <c r="G10035" s="105"/>
      <c r="H10035" s="105"/>
      <c r="I10035" s="105"/>
      <c r="J10035" s="113"/>
      <c r="K10035" s="114"/>
      <c r="L10035" s="115"/>
      <c r="M10035" s="105"/>
      <c r="N10035" s="105"/>
      <c r="O10035" s="105"/>
      <c r="P10035" s="105"/>
      <c r="Q10035" s="113"/>
      <c r="R10035" s="114"/>
      <c r="S10035" s="115"/>
    </row>
    <row r="10036" spans="1:19" x14ac:dyDescent="0.25">
      <c r="A10036" s="111"/>
      <c r="B10036" s="112"/>
      <c r="C10036" s="105"/>
      <c r="D10036" s="105"/>
      <c r="E10036" s="105"/>
      <c r="F10036" s="105"/>
      <c r="G10036" s="105"/>
      <c r="H10036" s="105"/>
      <c r="I10036" s="105"/>
      <c r="J10036" s="113"/>
      <c r="K10036" s="114"/>
      <c r="L10036" s="115"/>
      <c r="M10036" s="105"/>
      <c r="N10036" s="105"/>
      <c r="O10036" s="105"/>
      <c r="P10036" s="105"/>
      <c r="Q10036" s="113"/>
      <c r="R10036" s="114"/>
      <c r="S10036" s="115"/>
    </row>
    <row r="10037" spans="1:19" x14ac:dyDescent="0.25">
      <c r="A10037" s="111"/>
      <c r="B10037" s="112"/>
      <c r="C10037" s="105"/>
      <c r="D10037" s="105"/>
      <c r="E10037" s="105"/>
      <c r="F10037" s="105"/>
      <c r="G10037" s="105"/>
      <c r="H10037" s="105"/>
      <c r="I10037" s="105"/>
      <c r="J10037" s="113"/>
      <c r="K10037" s="114"/>
      <c r="L10037" s="115"/>
      <c r="M10037" s="105"/>
      <c r="N10037" s="105"/>
      <c r="O10037" s="105"/>
      <c r="P10037" s="105"/>
      <c r="Q10037" s="113"/>
      <c r="R10037" s="114"/>
      <c r="S10037" s="115"/>
    </row>
    <row r="10038" spans="1:19" x14ac:dyDescent="0.25">
      <c r="A10038" s="111"/>
      <c r="B10038" s="112"/>
      <c r="C10038" s="105"/>
      <c r="D10038" s="105"/>
      <c r="E10038" s="105"/>
      <c r="F10038" s="105"/>
      <c r="G10038" s="105"/>
      <c r="H10038" s="105"/>
      <c r="I10038" s="105"/>
      <c r="J10038" s="113"/>
      <c r="K10038" s="114"/>
      <c r="L10038" s="115"/>
      <c r="M10038" s="105"/>
      <c r="N10038" s="105"/>
      <c r="O10038" s="105"/>
      <c r="P10038" s="105"/>
      <c r="Q10038" s="113"/>
      <c r="R10038" s="114"/>
      <c r="S10038" s="115"/>
    </row>
    <row r="10039" spans="1:19" x14ac:dyDescent="0.25">
      <c r="A10039" s="111"/>
      <c r="B10039" s="112"/>
      <c r="C10039" s="105"/>
      <c r="D10039" s="105"/>
      <c r="E10039" s="105"/>
      <c r="F10039" s="105"/>
      <c r="G10039" s="105"/>
      <c r="H10039" s="105"/>
      <c r="I10039" s="105"/>
      <c r="J10039" s="113"/>
      <c r="K10039" s="114"/>
      <c r="L10039" s="115"/>
      <c r="M10039" s="105"/>
      <c r="N10039" s="105"/>
      <c r="O10039" s="105"/>
      <c r="P10039" s="105"/>
      <c r="Q10039" s="113"/>
      <c r="R10039" s="114"/>
      <c r="S10039" s="115"/>
    </row>
    <row r="10040" spans="1:19" x14ac:dyDescent="0.25">
      <c r="A10040" s="111"/>
      <c r="B10040" s="112"/>
      <c r="C10040" s="105"/>
      <c r="D10040" s="105"/>
      <c r="E10040" s="105"/>
      <c r="F10040" s="105"/>
      <c r="G10040" s="105"/>
      <c r="H10040" s="105"/>
      <c r="I10040" s="105"/>
      <c r="J10040" s="113"/>
      <c r="K10040" s="114"/>
      <c r="L10040" s="115"/>
      <c r="M10040" s="105"/>
      <c r="N10040" s="105"/>
      <c r="O10040" s="105"/>
      <c r="P10040" s="105"/>
      <c r="Q10040" s="113"/>
      <c r="R10040" s="114"/>
      <c r="S10040" s="115"/>
    </row>
    <row r="10041" spans="1:19" x14ac:dyDescent="0.25">
      <c r="A10041" s="111"/>
      <c r="B10041" s="112"/>
      <c r="C10041" s="105"/>
      <c r="D10041" s="105"/>
      <c r="E10041" s="105"/>
      <c r="F10041" s="105"/>
      <c r="G10041" s="105"/>
      <c r="H10041" s="105"/>
      <c r="I10041" s="105"/>
      <c r="J10041" s="113"/>
      <c r="K10041" s="114"/>
      <c r="L10041" s="115"/>
      <c r="M10041" s="105"/>
      <c r="N10041" s="105"/>
      <c r="O10041" s="105"/>
      <c r="P10041" s="105"/>
      <c r="Q10041" s="113"/>
      <c r="R10041" s="114"/>
      <c r="S10041" s="115"/>
    </row>
    <row r="10042" spans="1:19" x14ac:dyDescent="0.25">
      <c r="A10042" s="111"/>
      <c r="B10042" s="112"/>
      <c r="C10042" s="105"/>
      <c r="D10042" s="105"/>
      <c r="E10042" s="105"/>
      <c r="F10042" s="105"/>
      <c r="G10042" s="105"/>
      <c r="H10042" s="105"/>
      <c r="I10042" s="105"/>
      <c r="J10042" s="113"/>
      <c r="K10042" s="114"/>
      <c r="L10042" s="115"/>
      <c r="M10042" s="105"/>
      <c r="N10042" s="105"/>
      <c r="O10042" s="105"/>
      <c r="P10042" s="105"/>
      <c r="Q10042" s="113"/>
      <c r="R10042" s="114"/>
      <c r="S10042" s="115"/>
    </row>
    <row r="10043" spans="1:19" x14ac:dyDescent="0.25">
      <c r="A10043" s="111"/>
      <c r="B10043" s="112"/>
      <c r="C10043" s="105"/>
      <c r="D10043" s="105"/>
      <c r="E10043" s="105"/>
      <c r="F10043" s="105"/>
      <c r="G10043" s="105"/>
      <c r="H10043" s="105"/>
      <c r="I10043" s="105"/>
      <c r="J10043" s="113"/>
      <c r="K10043" s="114"/>
      <c r="L10043" s="115"/>
      <c r="M10043" s="105"/>
      <c r="N10043" s="105"/>
      <c r="O10043" s="105"/>
      <c r="P10043" s="105"/>
      <c r="Q10043" s="113"/>
      <c r="R10043" s="114"/>
      <c r="S10043" s="115"/>
    </row>
    <row r="10044" spans="1:19" x14ac:dyDescent="0.25">
      <c r="A10044" s="111"/>
      <c r="B10044" s="112"/>
      <c r="C10044" s="105"/>
      <c r="D10044" s="105"/>
      <c r="E10044" s="105"/>
      <c r="F10044" s="105"/>
      <c r="G10044" s="105"/>
      <c r="H10044" s="105"/>
      <c r="I10044" s="105"/>
      <c r="J10044" s="113"/>
      <c r="K10044" s="114"/>
      <c r="L10044" s="115"/>
      <c r="M10044" s="105"/>
      <c r="N10044" s="105"/>
      <c r="O10044" s="105"/>
      <c r="P10044" s="105"/>
      <c r="Q10044" s="113"/>
      <c r="R10044" s="114"/>
      <c r="S10044" s="115"/>
    </row>
    <row r="10045" spans="1:19" x14ac:dyDescent="0.25">
      <c r="A10045" s="111"/>
      <c r="B10045" s="112"/>
      <c r="C10045" s="105"/>
      <c r="D10045" s="105"/>
      <c r="E10045" s="105"/>
      <c r="F10045" s="105"/>
      <c r="G10045" s="105"/>
      <c r="H10045" s="105"/>
      <c r="I10045" s="105"/>
      <c r="J10045" s="113"/>
      <c r="K10045" s="114"/>
      <c r="L10045" s="115"/>
      <c r="M10045" s="105"/>
      <c r="N10045" s="105"/>
      <c r="O10045" s="105"/>
      <c r="P10045" s="105"/>
      <c r="Q10045" s="113"/>
      <c r="R10045" s="114"/>
      <c r="S10045" s="115"/>
    </row>
    <row r="10046" spans="1:19" x14ac:dyDescent="0.25">
      <c r="A10046" s="111"/>
      <c r="B10046" s="112"/>
      <c r="C10046" s="105"/>
      <c r="D10046" s="105"/>
      <c r="E10046" s="105"/>
      <c r="F10046" s="105"/>
      <c r="G10046" s="105"/>
      <c r="H10046" s="105"/>
      <c r="I10046" s="105"/>
      <c r="J10046" s="113"/>
      <c r="K10046" s="114"/>
      <c r="L10046" s="115"/>
      <c r="M10046" s="105"/>
      <c r="N10046" s="105"/>
      <c r="O10046" s="105"/>
      <c r="P10046" s="105"/>
      <c r="Q10046" s="113"/>
      <c r="R10046" s="114"/>
      <c r="S10046" s="115"/>
    </row>
    <row r="10047" spans="1:19" x14ac:dyDescent="0.25">
      <c r="A10047" s="111"/>
      <c r="B10047" s="112"/>
      <c r="C10047" s="105"/>
      <c r="D10047" s="105"/>
      <c r="E10047" s="105"/>
      <c r="F10047" s="105"/>
      <c r="G10047" s="105"/>
      <c r="H10047" s="105"/>
      <c r="I10047" s="105"/>
      <c r="J10047" s="113"/>
      <c r="K10047" s="114"/>
      <c r="L10047" s="115"/>
      <c r="M10047" s="105"/>
      <c r="N10047" s="105"/>
      <c r="O10047" s="105"/>
      <c r="P10047" s="105"/>
      <c r="Q10047" s="113"/>
      <c r="R10047" s="114"/>
      <c r="S10047" s="115"/>
    </row>
    <row r="10048" spans="1:19" x14ac:dyDescent="0.25">
      <c r="A10048" s="111"/>
      <c r="B10048" s="112"/>
      <c r="C10048" s="105"/>
      <c r="D10048" s="105"/>
      <c r="E10048" s="105"/>
      <c r="F10048" s="105"/>
      <c r="G10048" s="105"/>
      <c r="H10048" s="105"/>
      <c r="I10048" s="105"/>
      <c r="J10048" s="113"/>
      <c r="K10048" s="114"/>
      <c r="L10048" s="115"/>
      <c r="M10048" s="105"/>
      <c r="N10048" s="105"/>
      <c r="O10048" s="105"/>
      <c r="P10048" s="105"/>
      <c r="Q10048" s="113"/>
      <c r="R10048" s="114"/>
      <c r="S10048" s="115"/>
    </row>
    <row r="10049" spans="1:19" x14ac:dyDescent="0.25">
      <c r="A10049" s="111"/>
      <c r="B10049" s="112"/>
      <c r="C10049" s="105"/>
      <c r="D10049" s="105"/>
      <c r="E10049" s="105"/>
      <c r="F10049" s="105"/>
      <c r="G10049" s="105"/>
      <c r="H10049" s="105"/>
      <c r="I10049" s="105"/>
      <c r="J10049" s="113"/>
      <c r="K10049" s="114"/>
      <c r="L10049" s="115"/>
      <c r="M10049" s="105"/>
      <c r="N10049" s="105"/>
      <c r="O10049" s="105"/>
      <c r="P10049" s="105"/>
      <c r="Q10049" s="113"/>
      <c r="R10049" s="114"/>
      <c r="S10049" s="115"/>
    </row>
    <row r="10050" spans="1:19" x14ac:dyDescent="0.25">
      <c r="A10050" s="111"/>
      <c r="B10050" s="112"/>
      <c r="C10050" s="105"/>
      <c r="D10050" s="105"/>
      <c r="E10050" s="105"/>
      <c r="F10050" s="105"/>
      <c r="G10050" s="105"/>
      <c r="H10050" s="105"/>
      <c r="I10050" s="105"/>
      <c r="J10050" s="113"/>
      <c r="K10050" s="114"/>
      <c r="L10050" s="115"/>
      <c r="M10050" s="105"/>
      <c r="N10050" s="105"/>
      <c r="O10050" s="105"/>
      <c r="P10050" s="105"/>
      <c r="Q10050" s="113"/>
      <c r="R10050" s="114"/>
      <c r="S10050" s="115"/>
    </row>
    <row r="10051" spans="1:19" x14ac:dyDescent="0.25">
      <c r="A10051" s="111"/>
      <c r="B10051" s="112"/>
      <c r="C10051" s="105"/>
      <c r="D10051" s="105"/>
      <c r="E10051" s="105"/>
      <c r="F10051" s="105"/>
      <c r="G10051" s="105"/>
      <c r="H10051" s="105"/>
      <c r="I10051" s="105"/>
      <c r="J10051" s="113"/>
      <c r="K10051" s="114"/>
      <c r="L10051" s="115"/>
      <c r="M10051" s="105"/>
      <c r="N10051" s="105"/>
      <c r="O10051" s="105"/>
      <c r="P10051" s="105"/>
      <c r="Q10051" s="113"/>
      <c r="R10051" s="114"/>
      <c r="S10051" s="115"/>
    </row>
    <row r="10052" spans="1:19" x14ac:dyDescent="0.25">
      <c r="A10052" s="111"/>
      <c r="B10052" s="112"/>
      <c r="C10052" s="105"/>
      <c r="D10052" s="105"/>
      <c r="E10052" s="105"/>
      <c r="F10052" s="105"/>
      <c r="G10052" s="105"/>
      <c r="H10052" s="105"/>
      <c r="I10052" s="105"/>
      <c r="J10052" s="113"/>
      <c r="K10052" s="114"/>
      <c r="L10052" s="115"/>
      <c r="M10052" s="105"/>
      <c r="N10052" s="105"/>
      <c r="O10052" s="105"/>
      <c r="P10052" s="105"/>
      <c r="Q10052" s="113"/>
      <c r="R10052" s="114"/>
      <c r="S10052" s="115"/>
    </row>
    <row r="10053" spans="1:19" x14ac:dyDescent="0.25">
      <c r="A10053" s="111"/>
      <c r="B10053" s="112"/>
      <c r="C10053" s="105"/>
      <c r="D10053" s="105"/>
      <c r="E10053" s="105"/>
      <c r="F10053" s="105"/>
      <c r="G10053" s="105"/>
      <c r="H10053" s="105"/>
      <c r="I10053" s="105"/>
      <c r="J10053" s="113"/>
      <c r="K10053" s="114"/>
      <c r="L10053" s="115"/>
      <c r="M10053" s="105"/>
      <c r="N10053" s="105"/>
      <c r="O10053" s="105"/>
      <c r="P10053" s="105"/>
      <c r="Q10053" s="113"/>
      <c r="R10053" s="114"/>
      <c r="S10053" s="115"/>
    </row>
    <row r="10054" spans="1:19" x14ac:dyDescent="0.25">
      <c r="A10054" s="111"/>
      <c r="B10054" s="112"/>
      <c r="C10054" s="105"/>
      <c r="D10054" s="105"/>
      <c r="E10054" s="105"/>
      <c r="F10054" s="105"/>
      <c r="G10054" s="105"/>
      <c r="H10054" s="105"/>
      <c r="I10054" s="105"/>
      <c r="J10054" s="113"/>
      <c r="K10054" s="114"/>
      <c r="L10054" s="115"/>
      <c r="M10054" s="105"/>
      <c r="N10054" s="105"/>
      <c r="O10054" s="105"/>
      <c r="P10054" s="105"/>
      <c r="Q10054" s="113"/>
      <c r="R10054" s="114"/>
      <c r="S10054" s="115"/>
    </row>
    <row r="10055" spans="1:19" x14ac:dyDescent="0.25">
      <c r="A10055" s="111"/>
      <c r="B10055" s="112"/>
      <c r="C10055" s="105"/>
      <c r="D10055" s="105"/>
      <c r="E10055" s="105"/>
      <c r="F10055" s="105"/>
      <c r="G10055" s="105"/>
      <c r="H10055" s="105"/>
      <c r="I10055" s="105"/>
      <c r="J10055" s="113"/>
      <c r="K10055" s="114"/>
      <c r="L10055" s="115"/>
      <c r="M10055" s="105"/>
      <c r="N10055" s="105"/>
      <c r="O10055" s="105"/>
      <c r="P10055" s="105"/>
      <c r="Q10055" s="113"/>
      <c r="R10055" s="114"/>
      <c r="S10055" s="115"/>
    </row>
    <row r="10056" spans="1:19" x14ac:dyDescent="0.25">
      <c r="A10056" s="111"/>
      <c r="B10056" s="112"/>
      <c r="C10056" s="105"/>
      <c r="D10056" s="105"/>
      <c r="E10056" s="105"/>
      <c r="F10056" s="105"/>
      <c r="G10056" s="105"/>
      <c r="H10056" s="105"/>
      <c r="I10056" s="105"/>
      <c r="J10056" s="113"/>
      <c r="K10056" s="114"/>
      <c r="L10056" s="115"/>
      <c r="M10056" s="105"/>
      <c r="N10056" s="105"/>
      <c r="O10056" s="105"/>
      <c r="P10056" s="105"/>
      <c r="Q10056" s="113"/>
      <c r="R10056" s="114"/>
      <c r="S10056" s="115"/>
    </row>
    <row r="10057" spans="1:19" x14ac:dyDescent="0.25">
      <c r="A10057" s="111"/>
      <c r="B10057" s="112"/>
      <c r="C10057" s="105"/>
      <c r="D10057" s="105"/>
      <c r="E10057" s="105"/>
      <c r="F10057" s="105"/>
      <c r="G10057" s="105"/>
      <c r="H10057" s="105"/>
      <c r="I10057" s="105"/>
      <c r="J10057" s="113"/>
      <c r="K10057" s="114"/>
      <c r="L10057" s="115"/>
      <c r="M10057" s="105"/>
      <c r="N10057" s="105"/>
      <c r="O10057" s="105"/>
      <c r="P10057" s="105"/>
      <c r="Q10057" s="113"/>
      <c r="R10057" s="114"/>
      <c r="S10057" s="115"/>
    </row>
    <row r="10058" spans="1:19" x14ac:dyDescent="0.25">
      <c r="A10058" s="111"/>
      <c r="B10058" s="112"/>
      <c r="C10058" s="105"/>
      <c r="D10058" s="105"/>
      <c r="E10058" s="105"/>
      <c r="F10058" s="105"/>
      <c r="G10058" s="105"/>
      <c r="H10058" s="105"/>
      <c r="I10058" s="105"/>
      <c r="J10058" s="113"/>
      <c r="K10058" s="114"/>
      <c r="L10058" s="115"/>
      <c r="M10058" s="105"/>
      <c r="N10058" s="105"/>
      <c r="O10058" s="105"/>
      <c r="P10058" s="105"/>
      <c r="Q10058" s="113"/>
      <c r="R10058" s="114"/>
      <c r="S10058" s="115"/>
    </row>
    <row r="10059" spans="1:19" x14ac:dyDescent="0.25">
      <c r="A10059" s="111"/>
      <c r="B10059" s="112"/>
      <c r="C10059" s="105"/>
      <c r="D10059" s="105"/>
      <c r="E10059" s="105"/>
      <c r="F10059" s="105"/>
      <c r="G10059" s="105"/>
      <c r="H10059" s="105"/>
      <c r="I10059" s="105"/>
      <c r="J10059" s="113"/>
      <c r="K10059" s="114"/>
      <c r="L10059" s="115"/>
      <c r="M10059" s="105"/>
      <c r="N10059" s="105"/>
      <c r="O10059" s="105"/>
      <c r="P10059" s="105"/>
      <c r="Q10059" s="113"/>
      <c r="R10059" s="114"/>
      <c r="S10059" s="115"/>
    </row>
    <row r="10060" spans="1:19" x14ac:dyDescent="0.25">
      <c r="A10060" s="111"/>
      <c r="B10060" s="112"/>
      <c r="C10060" s="105"/>
      <c r="D10060" s="105"/>
      <c r="E10060" s="105"/>
      <c r="F10060" s="105"/>
      <c r="G10060" s="105"/>
      <c r="H10060" s="105"/>
      <c r="I10060" s="105"/>
      <c r="J10060" s="113"/>
      <c r="K10060" s="114"/>
      <c r="L10060" s="115"/>
      <c r="M10060" s="105"/>
      <c r="N10060" s="105"/>
      <c r="O10060" s="105"/>
      <c r="P10060" s="105"/>
      <c r="Q10060" s="113"/>
      <c r="R10060" s="114"/>
      <c r="S10060" s="115"/>
    </row>
    <row r="10061" spans="1:19" x14ac:dyDescent="0.25">
      <c r="A10061" s="111"/>
      <c r="B10061" s="112"/>
      <c r="C10061" s="105"/>
      <c r="D10061" s="105"/>
      <c r="E10061" s="105"/>
      <c r="F10061" s="105"/>
      <c r="G10061" s="105"/>
      <c r="H10061" s="105"/>
      <c r="I10061" s="105"/>
      <c r="J10061" s="113"/>
      <c r="K10061" s="114"/>
      <c r="L10061" s="115"/>
      <c r="M10061" s="105"/>
      <c r="N10061" s="105"/>
      <c r="O10061" s="105"/>
      <c r="P10061" s="105"/>
      <c r="Q10061" s="113"/>
      <c r="R10061" s="114"/>
      <c r="S10061" s="115"/>
    </row>
    <row r="10062" spans="1:19" x14ac:dyDescent="0.25">
      <c r="A10062" s="111"/>
      <c r="B10062" s="112"/>
      <c r="C10062" s="105"/>
      <c r="D10062" s="105"/>
      <c r="E10062" s="105"/>
      <c r="F10062" s="105"/>
      <c r="G10062" s="105"/>
      <c r="H10062" s="105"/>
      <c r="I10062" s="105"/>
      <c r="J10062" s="113"/>
      <c r="K10062" s="114"/>
      <c r="L10062" s="115"/>
      <c r="M10062" s="105"/>
      <c r="N10062" s="105"/>
      <c r="O10062" s="105"/>
      <c r="P10062" s="105"/>
      <c r="Q10062" s="113"/>
      <c r="R10062" s="114"/>
      <c r="S10062" s="115"/>
    </row>
    <row r="10063" spans="1:19" x14ac:dyDescent="0.25">
      <c r="A10063" s="111"/>
      <c r="B10063" s="112"/>
      <c r="C10063" s="105"/>
      <c r="D10063" s="105"/>
      <c r="E10063" s="105"/>
      <c r="F10063" s="105"/>
      <c r="G10063" s="105"/>
      <c r="H10063" s="105"/>
      <c r="I10063" s="105"/>
      <c r="J10063" s="113"/>
      <c r="K10063" s="114"/>
      <c r="L10063" s="115"/>
      <c r="M10063" s="105"/>
      <c r="N10063" s="105"/>
      <c r="O10063" s="105"/>
      <c r="P10063" s="105"/>
      <c r="Q10063" s="113"/>
      <c r="R10063" s="114"/>
      <c r="S10063" s="115"/>
    </row>
    <row r="10064" spans="1:19" x14ac:dyDescent="0.25">
      <c r="A10064" s="111"/>
      <c r="B10064" s="112"/>
      <c r="C10064" s="105"/>
      <c r="D10064" s="105"/>
      <c r="E10064" s="105"/>
      <c r="F10064" s="105"/>
      <c r="G10064" s="105"/>
      <c r="H10064" s="105"/>
      <c r="I10064" s="105"/>
      <c r="J10064" s="113"/>
      <c r="K10064" s="114"/>
      <c r="L10064" s="115"/>
      <c r="M10064" s="105"/>
      <c r="N10064" s="105"/>
      <c r="O10064" s="105"/>
      <c r="P10064" s="105"/>
      <c r="Q10064" s="113"/>
      <c r="R10064" s="114"/>
      <c r="S10064" s="115"/>
    </row>
    <row r="10065" spans="1:19" x14ac:dyDescent="0.25">
      <c r="A10065" s="111"/>
      <c r="B10065" s="112"/>
      <c r="C10065" s="105"/>
      <c r="D10065" s="105"/>
      <c r="E10065" s="105"/>
      <c r="F10065" s="105"/>
      <c r="G10065" s="105"/>
      <c r="H10065" s="105"/>
      <c r="I10065" s="105"/>
      <c r="J10065" s="113"/>
      <c r="K10065" s="114"/>
      <c r="L10065" s="115"/>
      <c r="M10065" s="105"/>
      <c r="N10065" s="105"/>
      <c r="O10065" s="105"/>
      <c r="P10065" s="105"/>
      <c r="Q10065" s="113"/>
      <c r="R10065" s="114"/>
      <c r="S10065" s="115"/>
    </row>
    <row r="10066" spans="1:19" x14ac:dyDescent="0.25">
      <c r="A10066" s="111"/>
      <c r="B10066" s="112"/>
      <c r="C10066" s="105"/>
      <c r="D10066" s="105"/>
      <c r="E10066" s="105"/>
      <c r="F10066" s="105"/>
      <c r="G10066" s="105"/>
      <c r="H10066" s="105"/>
      <c r="I10066" s="105"/>
      <c r="J10066" s="113"/>
      <c r="K10066" s="114"/>
      <c r="L10066" s="115"/>
      <c r="M10066" s="105"/>
      <c r="N10066" s="105"/>
      <c r="O10066" s="105"/>
      <c r="P10066" s="105"/>
      <c r="Q10066" s="113"/>
      <c r="R10066" s="114"/>
      <c r="S10066" s="115"/>
    </row>
    <row r="10067" spans="1:19" x14ac:dyDescent="0.25">
      <c r="A10067" s="111"/>
      <c r="B10067" s="112"/>
      <c r="C10067" s="105"/>
      <c r="D10067" s="105"/>
      <c r="E10067" s="105"/>
      <c r="F10067" s="105"/>
      <c r="G10067" s="105"/>
      <c r="H10067" s="105"/>
      <c r="I10067" s="105"/>
      <c r="J10067" s="113"/>
      <c r="K10067" s="114"/>
      <c r="L10067" s="115"/>
      <c r="M10067" s="105"/>
      <c r="N10067" s="105"/>
      <c r="O10067" s="105"/>
      <c r="P10067" s="105"/>
      <c r="Q10067" s="113"/>
      <c r="R10067" s="114"/>
      <c r="S10067" s="115"/>
    </row>
    <row r="10068" spans="1:19" x14ac:dyDescent="0.25">
      <c r="A10068" s="111"/>
      <c r="B10068" s="112"/>
      <c r="C10068" s="105"/>
      <c r="D10068" s="105"/>
      <c r="E10068" s="105"/>
      <c r="F10068" s="105"/>
      <c r="G10068" s="105"/>
      <c r="H10068" s="105"/>
      <c r="I10068" s="105"/>
      <c r="J10068" s="113"/>
      <c r="K10068" s="114"/>
      <c r="L10068" s="115"/>
      <c r="M10068" s="105"/>
      <c r="N10068" s="105"/>
      <c r="O10068" s="105"/>
      <c r="P10068" s="105"/>
      <c r="Q10068" s="113"/>
      <c r="R10068" s="114"/>
      <c r="S10068" s="115"/>
    </row>
    <row r="10069" spans="1:19" x14ac:dyDescent="0.25">
      <c r="A10069" s="111"/>
      <c r="B10069" s="112"/>
      <c r="C10069" s="105"/>
      <c r="D10069" s="105"/>
      <c r="E10069" s="105"/>
      <c r="F10069" s="105"/>
      <c r="G10069" s="105"/>
      <c r="H10069" s="105"/>
      <c r="I10069" s="105"/>
      <c r="J10069" s="113"/>
      <c r="K10069" s="114"/>
      <c r="L10069" s="115"/>
      <c r="M10069" s="105"/>
      <c r="N10069" s="105"/>
      <c r="O10069" s="105"/>
      <c r="P10069" s="105"/>
      <c r="Q10069" s="113"/>
      <c r="R10069" s="114"/>
      <c r="S10069" s="115"/>
    </row>
    <row r="10070" spans="1:19" x14ac:dyDescent="0.25">
      <c r="A10070" s="111"/>
      <c r="B10070" s="112"/>
      <c r="C10070" s="105"/>
      <c r="D10070" s="105"/>
      <c r="E10070" s="105"/>
      <c r="F10070" s="105"/>
      <c r="G10070" s="105"/>
      <c r="H10070" s="105"/>
      <c r="I10070" s="105"/>
      <c r="J10070" s="113"/>
      <c r="K10070" s="114"/>
      <c r="L10070" s="115"/>
      <c r="M10070" s="105"/>
      <c r="N10070" s="105"/>
      <c r="O10070" s="105"/>
      <c r="P10070" s="105"/>
      <c r="Q10070" s="113"/>
      <c r="R10070" s="114"/>
      <c r="S10070" s="115"/>
    </row>
    <row r="10071" spans="1:19" x14ac:dyDescent="0.25">
      <c r="A10071" s="111"/>
      <c r="B10071" s="112"/>
      <c r="C10071" s="105"/>
      <c r="D10071" s="105"/>
      <c r="E10071" s="105"/>
      <c r="F10071" s="105"/>
      <c r="G10071" s="105"/>
      <c r="H10071" s="105"/>
      <c r="I10071" s="105"/>
      <c r="J10071" s="113"/>
      <c r="K10071" s="114"/>
      <c r="L10071" s="115"/>
      <c r="M10071" s="105"/>
      <c r="N10071" s="105"/>
      <c r="O10071" s="105"/>
      <c r="P10071" s="105"/>
      <c r="Q10071" s="113"/>
      <c r="R10071" s="114"/>
      <c r="S10071" s="115"/>
    </row>
    <row r="10072" spans="1:19" x14ac:dyDescent="0.25">
      <c r="A10072" s="111"/>
      <c r="B10072" s="112"/>
      <c r="C10072" s="105"/>
      <c r="D10072" s="105"/>
      <c r="E10072" s="105"/>
      <c r="F10072" s="105"/>
      <c r="G10072" s="105"/>
      <c r="H10072" s="105"/>
      <c r="I10072" s="105"/>
      <c r="J10072" s="113"/>
      <c r="K10072" s="114"/>
      <c r="L10072" s="115"/>
      <c r="M10072" s="105"/>
      <c r="N10072" s="105"/>
      <c r="O10072" s="105"/>
      <c r="P10072" s="105"/>
      <c r="Q10072" s="113"/>
      <c r="R10072" s="114"/>
      <c r="S10072" s="115"/>
    </row>
    <row r="10073" spans="1:19" x14ac:dyDescent="0.25">
      <c r="A10073" s="111"/>
      <c r="B10073" s="112"/>
      <c r="C10073" s="105"/>
      <c r="D10073" s="105"/>
      <c r="E10073" s="105"/>
      <c r="F10073" s="105"/>
      <c r="G10073" s="105"/>
      <c r="H10073" s="105"/>
      <c r="I10073" s="105"/>
      <c r="J10073" s="113"/>
      <c r="K10073" s="114"/>
      <c r="L10073" s="115"/>
      <c r="M10073" s="105"/>
      <c r="N10073" s="105"/>
      <c r="O10073" s="105"/>
      <c r="P10073" s="105"/>
      <c r="Q10073" s="113"/>
      <c r="R10073" s="114"/>
      <c r="S10073" s="115"/>
    </row>
    <row r="10074" spans="1:19" x14ac:dyDescent="0.25">
      <c r="A10074" s="111"/>
      <c r="B10074" s="112"/>
      <c r="C10074" s="105"/>
      <c r="D10074" s="105"/>
      <c r="E10074" s="105"/>
      <c r="F10074" s="105"/>
      <c r="G10074" s="105"/>
      <c r="H10074" s="105"/>
      <c r="I10074" s="105"/>
      <c r="J10074" s="113"/>
      <c r="K10074" s="114"/>
      <c r="L10074" s="115"/>
      <c r="M10074" s="105"/>
      <c r="N10074" s="105"/>
      <c r="O10074" s="105"/>
      <c r="P10074" s="105"/>
      <c r="Q10074" s="113"/>
      <c r="R10074" s="114"/>
      <c r="S10074" s="115"/>
    </row>
    <row r="10075" spans="1:19" x14ac:dyDescent="0.25">
      <c r="A10075" s="111"/>
      <c r="B10075" s="112"/>
      <c r="C10075" s="105"/>
      <c r="D10075" s="105"/>
      <c r="E10075" s="105"/>
      <c r="F10075" s="105"/>
      <c r="G10075" s="105"/>
      <c r="H10075" s="105"/>
      <c r="I10075" s="105"/>
      <c r="J10075" s="113"/>
      <c r="K10075" s="114"/>
      <c r="L10075" s="115"/>
      <c r="M10075" s="105"/>
      <c r="N10075" s="105"/>
      <c r="O10075" s="105"/>
      <c r="P10075" s="105"/>
      <c r="Q10075" s="113"/>
      <c r="R10075" s="114"/>
      <c r="S10075" s="115"/>
    </row>
    <row r="10076" spans="1:19" x14ac:dyDescent="0.25">
      <c r="A10076" s="111"/>
      <c r="B10076" s="112"/>
      <c r="C10076" s="105"/>
      <c r="D10076" s="105"/>
      <c r="E10076" s="105"/>
      <c r="F10076" s="105"/>
      <c r="G10076" s="105"/>
      <c r="H10076" s="105"/>
      <c r="I10076" s="105"/>
      <c r="J10076" s="113"/>
      <c r="K10076" s="114"/>
      <c r="L10076" s="115"/>
      <c r="M10076" s="105"/>
      <c r="N10076" s="105"/>
      <c r="O10076" s="105"/>
      <c r="P10076" s="105"/>
      <c r="Q10076" s="113"/>
      <c r="R10076" s="114"/>
      <c r="S10076" s="115"/>
    </row>
    <row r="10077" spans="1:19" x14ac:dyDescent="0.25">
      <c r="A10077" s="111"/>
      <c r="B10077" s="112"/>
      <c r="C10077" s="105"/>
      <c r="D10077" s="105"/>
      <c r="E10077" s="105"/>
      <c r="F10077" s="105"/>
      <c r="G10077" s="105"/>
      <c r="H10077" s="105"/>
      <c r="I10077" s="105"/>
      <c r="J10077" s="113"/>
      <c r="K10077" s="114"/>
      <c r="L10077" s="115"/>
      <c r="M10077" s="105"/>
      <c r="N10077" s="105"/>
      <c r="O10077" s="105"/>
      <c r="P10077" s="105"/>
      <c r="Q10077" s="113"/>
      <c r="R10077" s="114"/>
      <c r="S10077" s="115"/>
    </row>
    <row r="10078" spans="1:19" x14ac:dyDescent="0.25">
      <c r="A10078" s="111"/>
      <c r="B10078" s="112"/>
      <c r="C10078" s="105"/>
      <c r="D10078" s="105"/>
      <c r="E10078" s="105"/>
      <c r="F10078" s="105"/>
      <c r="G10078" s="105"/>
      <c r="H10078" s="105"/>
      <c r="I10078" s="105"/>
      <c r="J10078" s="113"/>
      <c r="K10078" s="114"/>
      <c r="L10078" s="115"/>
      <c r="M10078" s="105"/>
      <c r="N10078" s="105"/>
      <c r="O10078" s="105"/>
      <c r="P10078" s="105"/>
      <c r="Q10078" s="113"/>
      <c r="R10078" s="114"/>
      <c r="S10078" s="115"/>
    </row>
    <row r="10079" spans="1:19" x14ac:dyDescent="0.25">
      <c r="A10079" s="111"/>
      <c r="B10079" s="112"/>
      <c r="C10079" s="105"/>
      <c r="D10079" s="105"/>
      <c r="E10079" s="105"/>
      <c r="F10079" s="105"/>
      <c r="G10079" s="105"/>
      <c r="H10079" s="105"/>
      <c r="I10079" s="105"/>
      <c r="J10079" s="113"/>
      <c r="K10079" s="114"/>
      <c r="L10079" s="115"/>
      <c r="M10079" s="105"/>
      <c r="N10079" s="105"/>
      <c r="O10079" s="105"/>
      <c r="P10079" s="105"/>
      <c r="Q10079" s="113"/>
      <c r="R10079" s="114"/>
      <c r="S10079" s="115"/>
    </row>
    <row r="10080" spans="1:19" x14ac:dyDescent="0.25">
      <c r="A10080" s="111"/>
      <c r="B10080" s="112"/>
      <c r="C10080" s="105"/>
      <c r="D10080" s="105"/>
      <c r="E10080" s="105"/>
      <c r="F10080" s="105"/>
      <c r="G10080" s="105"/>
      <c r="H10080" s="105"/>
      <c r="I10080" s="105"/>
      <c r="J10080" s="113"/>
      <c r="K10080" s="114"/>
      <c r="L10080" s="115"/>
      <c r="M10080" s="105"/>
      <c r="N10080" s="105"/>
      <c r="O10080" s="105"/>
      <c r="P10080" s="105"/>
      <c r="Q10080" s="113"/>
      <c r="R10080" s="114"/>
      <c r="S10080" s="115"/>
    </row>
    <row r="10081" spans="1:19" x14ac:dyDescent="0.25">
      <c r="A10081" s="111"/>
      <c r="B10081" s="112"/>
      <c r="C10081" s="105"/>
      <c r="D10081" s="105"/>
      <c r="E10081" s="105"/>
      <c r="F10081" s="105"/>
      <c r="G10081" s="105"/>
      <c r="H10081" s="105"/>
      <c r="I10081" s="105"/>
      <c r="J10081" s="113"/>
      <c r="K10081" s="114"/>
      <c r="L10081" s="115"/>
      <c r="M10081" s="105"/>
      <c r="N10081" s="105"/>
      <c r="O10081" s="105"/>
      <c r="P10081" s="105"/>
      <c r="Q10081" s="113"/>
      <c r="R10081" s="114"/>
      <c r="S10081" s="115"/>
    </row>
    <row r="10082" spans="1:19" x14ac:dyDescent="0.25">
      <c r="A10082" s="111"/>
      <c r="B10082" s="112"/>
      <c r="C10082" s="105"/>
      <c r="D10082" s="105"/>
      <c r="E10082" s="105"/>
      <c r="F10082" s="105"/>
      <c r="G10082" s="105"/>
      <c r="H10082" s="105"/>
      <c r="I10082" s="105"/>
      <c r="J10082" s="113"/>
      <c r="K10082" s="114"/>
      <c r="L10082" s="115"/>
      <c r="M10082" s="105"/>
      <c r="N10082" s="105"/>
      <c r="O10082" s="105"/>
      <c r="P10082" s="105"/>
      <c r="Q10082" s="113"/>
      <c r="R10082" s="114"/>
      <c r="S10082" s="115"/>
    </row>
    <row r="10083" spans="1:19" x14ac:dyDescent="0.25">
      <c r="A10083" s="111"/>
      <c r="B10083" s="112"/>
      <c r="C10083" s="105"/>
      <c r="D10083" s="105"/>
      <c r="E10083" s="105"/>
      <c r="F10083" s="105"/>
      <c r="G10083" s="105"/>
      <c r="H10083" s="105"/>
      <c r="I10083" s="105"/>
      <c r="J10083" s="113"/>
      <c r="K10083" s="114"/>
      <c r="L10083" s="115"/>
      <c r="M10083" s="105"/>
      <c r="N10083" s="105"/>
      <c r="O10083" s="105"/>
      <c r="P10083" s="105"/>
      <c r="Q10083" s="113"/>
      <c r="R10083" s="114"/>
      <c r="S10083" s="115"/>
    </row>
    <row r="10084" spans="1:19" x14ac:dyDescent="0.25">
      <c r="A10084" s="111"/>
      <c r="B10084" s="112"/>
      <c r="C10084" s="105"/>
      <c r="D10084" s="105"/>
      <c r="E10084" s="105"/>
      <c r="F10084" s="105"/>
      <c r="G10084" s="105"/>
      <c r="H10084" s="105"/>
      <c r="I10084" s="105"/>
      <c r="J10084" s="113"/>
      <c r="K10084" s="114"/>
      <c r="L10084" s="115"/>
      <c r="M10084" s="105"/>
      <c r="N10084" s="105"/>
      <c r="O10084" s="105"/>
      <c r="P10084" s="105"/>
      <c r="Q10084" s="113"/>
      <c r="R10084" s="114"/>
      <c r="S10084" s="115"/>
    </row>
    <row r="10085" spans="1:19" x14ac:dyDescent="0.25">
      <c r="A10085" s="111"/>
      <c r="B10085" s="112"/>
      <c r="C10085" s="105"/>
      <c r="D10085" s="105"/>
      <c r="E10085" s="105"/>
      <c r="F10085" s="105"/>
      <c r="G10085" s="105"/>
      <c r="H10085" s="105"/>
      <c r="I10085" s="105"/>
      <c r="J10085" s="113"/>
      <c r="K10085" s="114"/>
      <c r="L10085" s="115"/>
      <c r="M10085" s="105"/>
      <c r="N10085" s="105"/>
      <c r="O10085" s="105"/>
      <c r="P10085" s="105"/>
      <c r="Q10085" s="113"/>
      <c r="R10085" s="114"/>
      <c r="S10085" s="115"/>
    </row>
    <row r="10086" spans="1:19" x14ac:dyDescent="0.25">
      <c r="A10086" s="111"/>
      <c r="B10086" s="112"/>
      <c r="C10086" s="105"/>
      <c r="D10086" s="105"/>
      <c r="E10086" s="105"/>
      <c r="F10086" s="105"/>
      <c r="G10086" s="105"/>
      <c r="H10086" s="105"/>
      <c r="I10086" s="105"/>
      <c r="J10086" s="113"/>
      <c r="K10086" s="114"/>
      <c r="L10086" s="115"/>
      <c r="M10086" s="105"/>
      <c r="N10086" s="105"/>
      <c r="O10086" s="105"/>
      <c r="P10086" s="105"/>
      <c r="Q10086" s="113"/>
      <c r="R10086" s="114"/>
      <c r="S10086" s="115"/>
    </row>
    <row r="10087" spans="1:19" x14ac:dyDescent="0.25">
      <c r="A10087" s="111"/>
      <c r="B10087" s="112"/>
      <c r="C10087" s="105"/>
      <c r="D10087" s="105"/>
      <c r="E10087" s="105"/>
      <c r="F10087" s="105"/>
      <c r="G10087" s="105"/>
      <c r="H10087" s="105"/>
      <c r="I10087" s="105"/>
      <c r="J10087" s="113"/>
      <c r="K10087" s="114"/>
      <c r="L10087" s="115"/>
      <c r="M10087" s="105"/>
      <c r="N10087" s="105"/>
      <c r="O10087" s="105"/>
      <c r="P10087" s="105"/>
      <c r="Q10087" s="113"/>
      <c r="R10087" s="114"/>
      <c r="S10087" s="115"/>
    </row>
    <row r="10088" spans="1:19" x14ac:dyDescent="0.25">
      <c r="A10088" s="111"/>
      <c r="B10088" s="112"/>
      <c r="C10088" s="105"/>
      <c r="D10088" s="105"/>
      <c r="E10088" s="105"/>
      <c r="F10088" s="105"/>
      <c r="G10088" s="105"/>
      <c r="H10088" s="105"/>
      <c r="I10088" s="105"/>
      <c r="J10088" s="113"/>
      <c r="K10088" s="114"/>
      <c r="L10088" s="115"/>
      <c r="M10088" s="105"/>
      <c r="N10088" s="105"/>
      <c r="O10088" s="105"/>
      <c r="P10088" s="105"/>
      <c r="Q10088" s="113"/>
      <c r="R10088" s="114"/>
      <c r="S10088" s="115"/>
    </row>
    <row r="10089" spans="1:19" x14ac:dyDescent="0.25">
      <c r="A10089" s="111"/>
      <c r="B10089" s="112"/>
      <c r="C10089" s="105"/>
      <c r="D10089" s="105"/>
      <c r="E10089" s="105"/>
      <c r="F10089" s="105"/>
      <c r="G10089" s="105"/>
      <c r="H10089" s="105"/>
      <c r="I10089" s="105"/>
      <c r="J10089" s="113"/>
      <c r="K10089" s="114"/>
      <c r="L10089" s="115"/>
      <c r="M10089" s="105"/>
      <c r="N10089" s="105"/>
      <c r="O10089" s="105"/>
      <c r="P10089" s="105"/>
      <c r="Q10089" s="113"/>
      <c r="R10089" s="114"/>
      <c r="S10089" s="115"/>
    </row>
    <row r="10090" spans="1:19" x14ac:dyDescent="0.25">
      <c r="A10090" s="111"/>
      <c r="B10090" s="112"/>
      <c r="C10090" s="105"/>
      <c r="D10090" s="105"/>
      <c r="E10090" s="105"/>
      <c r="F10090" s="105"/>
      <c r="G10090" s="105"/>
      <c r="H10090" s="105"/>
      <c r="I10090" s="105"/>
      <c r="J10090" s="113"/>
      <c r="K10090" s="114"/>
      <c r="L10090" s="115"/>
      <c r="M10090" s="105"/>
      <c r="N10090" s="105"/>
      <c r="O10090" s="105"/>
      <c r="P10090" s="105"/>
      <c r="Q10090" s="113"/>
      <c r="R10090" s="114"/>
      <c r="S10090" s="115"/>
    </row>
    <row r="10091" spans="1:19" x14ac:dyDescent="0.25">
      <c r="A10091" s="111"/>
      <c r="B10091" s="112"/>
      <c r="C10091" s="105"/>
      <c r="D10091" s="105"/>
      <c r="E10091" s="105"/>
      <c r="F10091" s="105"/>
      <c r="G10091" s="105"/>
      <c r="H10091" s="105"/>
      <c r="I10091" s="105"/>
      <c r="J10091" s="113"/>
      <c r="K10091" s="114"/>
      <c r="L10091" s="115"/>
      <c r="M10091" s="105"/>
      <c r="N10091" s="105"/>
      <c r="O10091" s="105"/>
      <c r="P10091" s="105"/>
      <c r="Q10091" s="113"/>
      <c r="R10091" s="114"/>
      <c r="S10091" s="115"/>
    </row>
    <row r="10092" spans="1:19" x14ac:dyDescent="0.25">
      <c r="A10092" s="111"/>
      <c r="B10092" s="112"/>
      <c r="C10092" s="105"/>
      <c r="D10092" s="105"/>
      <c r="E10092" s="105"/>
      <c r="F10092" s="105"/>
      <c r="G10092" s="105"/>
      <c r="H10092" s="105"/>
      <c r="I10092" s="105"/>
      <c r="J10092" s="113"/>
      <c r="K10092" s="114"/>
      <c r="L10092" s="115"/>
      <c r="M10092" s="105"/>
      <c r="N10092" s="105"/>
      <c r="O10092" s="105"/>
      <c r="P10092" s="105"/>
      <c r="Q10092" s="113"/>
      <c r="R10092" s="114"/>
      <c r="S10092" s="115"/>
    </row>
    <row r="10093" spans="1:19" x14ac:dyDescent="0.25">
      <c r="A10093" s="111"/>
      <c r="B10093" s="112"/>
      <c r="C10093" s="105"/>
      <c r="D10093" s="105"/>
      <c r="E10093" s="105"/>
      <c r="F10093" s="105"/>
      <c r="G10093" s="105"/>
      <c r="H10093" s="105"/>
      <c r="I10093" s="105"/>
      <c r="J10093" s="113"/>
      <c r="K10093" s="114"/>
      <c r="L10093" s="115"/>
      <c r="M10093" s="105"/>
      <c r="N10093" s="105"/>
      <c r="O10093" s="105"/>
      <c r="P10093" s="105"/>
      <c r="Q10093" s="113"/>
      <c r="R10093" s="114"/>
      <c r="S10093" s="115"/>
    </row>
    <row r="10094" spans="1:19" x14ac:dyDescent="0.25">
      <c r="A10094" s="111"/>
      <c r="B10094" s="112"/>
      <c r="C10094" s="105"/>
      <c r="D10094" s="105"/>
      <c r="E10094" s="105"/>
      <c r="F10094" s="105"/>
      <c r="G10094" s="105"/>
      <c r="H10094" s="105"/>
      <c r="I10094" s="105"/>
      <c r="J10094" s="113"/>
      <c r="K10094" s="114"/>
      <c r="L10094" s="115"/>
      <c r="M10094" s="105"/>
      <c r="N10094" s="105"/>
      <c r="O10094" s="105"/>
      <c r="P10094" s="105"/>
      <c r="Q10094" s="113"/>
      <c r="R10094" s="114"/>
      <c r="S10094" s="115"/>
    </row>
    <row r="10095" spans="1:19" x14ac:dyDescent="0.25">
      <c r="A10095" s="111"/>
      <c r="B10095" s="112"/>
      <c r="C10095" s="105"/>
      <c r="D10095" s="105"/>
      <c r="E10095" s="105"/>
      <c r="F10095" s="105"/>
      <c r="G10095" s="105"/>
      <c r="H10095" s="105"/>
      <c r="I10095" s="105"/>
      <c r="J10095" s="113"/>
      <c r="K10095" s="114"/>
      <c r="L10095" s="115"/>
      <c r="M10095" s="105"/>
      <c r="N10095" s="105"/>
      <c r="O10095" s="105"/>
      <c r="P10095" s="105"/>
      <c r="Q10095" s="113"/>
      <c r="R10095" s="114"/>
      <c r="S10095" s="115"/>
    </row>
    <row r="10096" spans="1:19" x14ac:dyDescent="0.25">
      <c r="A10096" s="111"/>
      <c r="B10096" s="112"/>
      <c r="C10096" s="105"/>
      <c r="D10096" s="105"/>
      <c r="E10096" s="105"/>
      <c r="F10096" s="105"/>
      <c r="G10096" s="105"/>
      <c r="H10096" s="105"/>
      <c r="I10096" s="105"/>
      <c r="J10096" s="113"/>
      <c r="K10096" s="114"/>
      <c r="L10096" s="115"/>
      <c r="M10096" s="105"/>
      <c r="N10096" s="105"/>
      <c r="O10096" s="105"/>
      <c r="P10096" s="105"/>
      <c r="Q10096" s="113"/>
      <c r="R10096" s="114"/>
      <c r="S10096" s="115"/>
    </row>
    <row r="10097" spans="1:19" x14ac:dyDescent="0.25">
      <c r="A10097" s="111"/>
      <c r="B10097" s="112"/>
      <c r="C10097" s="105"/>
      <c r="D10097" s="105"/>
      <c r="E10097" s="105"/>
      <c r="F10097" s="105"/>
      <c r="G10097" s="105"/>
      <c r="H10097" s="105"/>
      <c r="I10097" s="105"/>
      <c r="J10097" s="113"/>
      <c r="K10097" s="114"/>
      <c r="L10097" s="115"/>
      <c r="M10097" s="105"/>
      <c r="N10097" s="105"/>
      <c r="O10097" s="105"/>
      <c r="P10097" s="105"/>
      <c r="Q10097" s="113"/>
      <c r="R10097" s="114"/>
      <c r="S10097" s="115"/>
    </row>
    <row r="10098" spans="1:19" x14ac:dyDescent="0.25">
      <c r="A10098" s="111"/>
      <c r="B10098" s="112"/>
      <c r="C10098" s="105"/>
      <c r="D10098" s="105"/>
      <c r="E10098" s="105"/>
      <c r="F10098" s="105"/>
      <c r="G10098" s="105"/>
      <c r="H10098" s="105"/>
      <c r="I10098" s="105"/>
      <c r="J10098" s="113"/>
      <c r="K10098" s="114"/>
      <c r="L10098" s="115"/>
      <c r="M10098" s="105"/>
      <c r="N10098" s="105"/>
      <c r="O10098" s="105"/>
      <c r="P10098" s="105"/>
      <c r="Q10098" s="113"/>
      <c r="R10098" s="114"/>
      <c r="S10098" s="115"/>
    </row>
    <row r="10099" spans="1:19" x14ac:dyDescent="0.25">
      <c r="A10099" s="111"/>
      <c r="B10099" s="112"/>
      <c r="C10099" s="105"/>
      <c r="D10099" s="105"/>
      <c r="E10099" s="105"/>
      <c r="F10099" s="105"/>
      <c r="G10099" s="105"/>
      <c r="H10099" s="105"/>
      <c r="I10099" s="105"/>
      <c r="J10099" s="113"/>
      <c r="K10099" s="114"/>
      <c r="L10099" s="115"/>
      <c r="M10099" s="105"/>
      <c r="N10099" s="105"/>
      <c r="O10099" s="105"/>
      <c r="P10099" s="105"/>
      <c r="Q10099" s="113"/>
      <c r="R10099" s="114"/>
      <c r="S10099" s="115"/>
    </row>
    <row r="10100" spans="1:19" x14ac:dyDescent="0.25">
      <c r="A10100" s="111"/>
      <c r="B10100" s="112"/>
      <c r="C10100" s="105"/>
      <c r="D10100" s="105"/>
      <c r="E10100" s="105"/>
      <c r="F10100" s="105"/>
      <c r="G10100" s="105"/>
      <c r="H10100" s="105"/>
      <c r="I10100" s="105"/>
      <c r="J10100" s="113"/>
      <c r="K10100" s="114"/>
      <c r="L10100" s="115"/>
      <c r="M10100" s="105"/>
      <c r="N10100" s="105"/>
      <c r="O10100" s="105"/>
      <c r="P10100" s="105"/>
      <c r="Q10100" s="113"/>
      <c r="R10100" s="114"/>
      <c r="S10100" s="115"/>
    </row>
    <row r="10101" spans="1:19" x14ac:dyDescent="0.25">
      <c r="A10101" s="111"/>
      <c r="B10101" s="112"/>
      <c r="C10101" s="105"/>
      <c r="D10101" s="105"/>
      <c r="E10101" s="105"/>
      <c r="F10101" s="105"/>
      <c r="G10101" s="105"/>
      <c r="H10101" s="105"/>
      <c r="I10101" s="105"/>
      <c r="J10101" s="113"/>
      <c r="K10101" s="114"/>
      <c r="L10101" s="115"/>
      <c r="M10101" s="105"/>
      <c r="N10101" s="105"/>
      <c r="O10101" s="105"/>
      <c r="P10101" s="105"/>
      <c r="Q10101" s="113"/>
      <c r="R10101" s="114"/>
      <c r="S10101" s="115"/>
    </row>
    <row r="10102" spans="1:19" x14ac:dyDescent="0.25">
      <c r="A10102" s="111"/>
      <c r="B10102" s="112"/>
      <c r="C10102" s="105"/>
      <c r="D10102" s="105"/>
      <c r="E10102" s="105"/>
      <c r="F10102" s="105"/>
      <c r="G10102" s="105"/>
      <c r="H10102" s="105"/>
      <c r="I10102" s="105"/>
      <c r="J10102" s="113"/>
      <c r="K10102" s="114"/>
      <c r="L10102" s="115"/>
      <c r="M10102" s="105"/>
      <c r="N10102" s="105"/>
      <c r="O10102" s="105"/>
      <c r="P10102" s="105"/>
      <c r="Q10102" s="113"/>
      <c r="R10102" s="114"/>
      <c r="S10102" s="115"/>
    </row>
    <row r="10103" spans="1:19" x14ac:dyDescent="0.25">
      <c r="A10103" s="111"/>
      <c r="B10103" s="112"/>
      <c r="C10103" s="105"/>
      <c r="D10103" s="105"/>
      <c r="E10103" s="105"/>
      <c r="F10103" s="105"/>
      <c r="G10103" s="105"/>
      <c r="H10103" s="105"/>
      <c r="I10103" s="105"/>
      <c r="J10103" s="113"/>
      <c r="K10103" s="114"/>
      <c r="L10103" s="115"/>
      <c r="M10103" s="105"/>
      <c r="N10103" s="105"/>
      <c r="O10103" s="105"/>
      <c r="P10103" s="105"/>
      <c r="Q10103" s="113"/>
      <c r="R10103" s="114"/>
      <c r="S10103" s="115"/>
    </row>
    <row r="10104" spans="1:19" x14ac:dyDescent="0.25">
      <c r="A10104" s="111"/>
      <c r="B10104" s="112"/>
      <c r="C10104" s="105"/>
      <c r="D10104" s="105"/>
      <c r="E10104" s="105"/>
      <c r="F10104" s="105"/>
      <c r="G10104" s="105"/>
      <c r="H10104" s="105"/>
      <c r="I10104" s="105"/>
      <c r="J10104" s="113"/>
      <c r="K10104" s="114"/>
      <c r="L10104" s="115"/>
      <c r="M10104" s="105"/>
      <c r="N10104" s="105"/>
      <c r="O10104" s="105"/>
      <c r="P10104" s="105"/>
      <c r="Q10104" s="113"/>
      <c r="R10104" s="114"/>
      <c r="S10104" s="115"/>
    </row>
    <row r="10105" spans="1:19" x14ac:dyDescent="0.25">
      <c r="A10105" s="111"/>
      <c r="B10105" s="112"/>
      <c r="C10105" s="105"/>
      <c r="D10105" s="105"/>
      <c r="E10105" s="105"/>
      <c r="F10105" s="105"/>
      <c r="G10105" s="105"/>
      <c r="H10105" s="105"/>
      <c r="I10105" s="105"/>
      <c r="J10105" s="113"/>
      <c r="K10105" s="114"/>
      <c r="L10105" s="115"/>
      <c r="M10105" s="105"/>
      <c r="N10105" s="105"/>
      <c r="O10105" s="105"/>
      <c r="P10105" s="105"/>
      <c r="Q10105" s="113"/>
      <c r="R10105" s="114"/>
      <c r="S10105" s="115"/>
    </row>
    <row r="10106" spans="1:19" x14ac:dyDescent="0.25">
      <c r="A10106" s="111"/>
      <c r="B10106" s="112"/>
      <c r="C10106" s="105"/>
      <c r="D10106" s="105"/>
      <c r="E10106" s="105"/>
      <c r="F10106" s="105"/>
      <c r="G10106" s="105"/>
      <c r="H10106" s="105"/>
      <c r="I10106" s="105"/>
      <c r="J10106" s="113"/>
      <c r="K10106" s="114"/>
      <c r="L10106" s="115"/>
      <c r="M10106" s="105"/>
      <c r="N10106" s="105"/>
      <c r="O10106" s="105"/>
      <c r="P10106" s="105"/>
      <c r="Q10106" s="113"/>
      <c r="R10106" s="114"/>
      <c r="S10106" s="115"/>
    </row>
    <row r="10107" spans="1:19" x14ac:dyDescent="0.25">
      <c r="A10107" s="111"/>
      <c r="B10107" s="112"/>
      <c r="C10107" s="105"/>
      <c r="D10107" s="105"/>
      <c r="E10107" s="105"/>
      <c r="F10107" s="105"/>
      <c r="G10107" s="105"/>
      <c r="H10107" s="105"/>
      <c r="I10107" s="105"/>
      <c r="J10107" s="113"/>
      <c r="K10107" s="114"/>
      <c r="L10107" s="115"/>
      <c r="M10107" s="105"/>
      <c r="N10107" s="105"/>
      <c r="O10107" s="105"/>
      <c r="P10107" s="105"/>
      <c r="Q10107" s="113"/>
      <c r="R10107" s="114"/>
      <c r="S10107" s="115"/>
    </row>
    <row r="10108" spans="1:19" x14ac:dyDescent="0.25">
      <c r="A10108" s="111"/>
      <c r="B10108" s="112"/>
      <c r="C10108" s="105"/>
      <c r="D10108" s="105"/>
      <c r="E10108" s="105"/>
      <c r="F10108" s="105"/>
      <c r="G10108" s="105"/>
      <c r="H10108" s="105"/>
      <c r="I10108" s="105"/>
      <c r="J10108" s="113"/>
      <c r="K10108" s="114"/>
      <c r="L10108" s="115"/>
      <c r="M10108" s="105"/>
      <c r="N10108" s="105"/>
      <c r="O10108" s="105"/>
      <c r="P10108" s="105"/>
      <c r="Q10108" s="113"/>
      <c r="R10108" s="114"/>
      <c r="S10108" s="115"/>
    </row>
    <row r="10109" spans="1:19" x14ac:dyDescent="0.25">
      <c r="A10109" s="111"/>
      <c r="B10109" s="112"/>
      <c r="C10109" s="105"/>
      <c r="D10109" s="105"/>
      <c r="E10109" s="105"/>
      <c r="F10109" s="105"/>
      <c r="G10109" s="105"/>
      <c r="H10109" s="105"/>
      <c r="I10109" s="105"/>
      <c r="J10109" s="113"/>
      <c r="K10109" s="114"/>
      <c r="L10109" s="115"/>
      <c r="M10109" s="105"/>
      <c r="N10109" s="105"/>
      <c r="O10109" s="105"/>
      <c r="P10109" s="105"/>
      <c r="Q10109" s="113"/>
      <c r="R10109" s="114"/>
      <c r="S10109" s="115"/>
    </row>
    <row r="10110" spans="1:19" x14ac:dyDescent="0.25">
      <c r="A10110" s="111"/>
      <c r="B10110" s="112"/>
      <c r="C10110" s="105"/>
      <c r="D10110" s="105"/>
      <c r="E10110" s="105"/>
      <c r="F10110" s="105"/>
      <c r="G10110" s="105"/>
      <c r="H10110" s="105"/>
      <c r="I10110" s="105"/>
      <c r="J10110" s="113"/>
      <c r="K10110" s="114"/>
      <c r="L10110" s="115"/>
      <c r="M10110" s="105"/>
      <c r="N10110" s="105"/>
      <c r="O10110" s="105"/>
      <c r="P10110" s="105"/>
      <c r="Q10110" s="113"/>
      <c r="R10110" s="114"/>
      <c r="S10110" s="115"/>
    </row>
    <row r="10111" spans="1:19" x14ac:dyDescent="0.25">
      <c r="A10111" s="111"/>
      <c r="B10111" s="112"/>
      <c r="C10111" s="105"/>
      <c r="D10111" s="105"/>
      <c r="E10111" s="105"/>
      <c r="F10111" s="105"/>
      <c r="G10111" s="105"/>
      <c r="H10111" s="105"/>
      <c r="I10111" s="105"/>
      <c r="J10111" s="113"/>
      <c r="K10111" s="114"/>
      <c r="L10111" s="115"/>
      <c r="M10111" s="105"/>
      <c r="N10111" s="105"/>
      <c r="O10111" s="105"/>
      <c r="P10111" s="105"/>
      <c r="Q10111" s="113"/>
      <c r="R10111" s="114"/>
      <c r="S10111" s="115"/>
    </row>
    <row r="10112" spans="1:19" x14ac:dyDescent="0.25">
      <c r="A10112" s="111"/>
      <c r="B10112" s="112"/>
      <c r="C10112" s="105"/>
      <c r="D10112" s="105"/>
      <c r="E10112" s="105"/>
      <c r="F10112" s="105"/>
      <c r="G10112" s="105"/>
      <c r="H10112" s="105"/>
      <c r="I10112" s="105"/>
      <c r="J10112" s="113"/>
      <c r="K10112" s="114"/>
      <c r="L10112" s="115"/>
      <c r="M10112" s="105"/>
      <c r="N10112" s="105"/>
      <c r="O10112" s="105"/>
      <c r="P10112" s="105"/>
      <c r="Q10112" s="113"/>
      <c r="R10112" s="114"/>
      <c r="S10112" s="115"/>
    </row>
    <row r="10113" spans="1:19" x14ac:dyDescent="0.25">
      <c r="A10113" s="111"/>
      <c r="B10113" s="112"/>
      <c r="C10113" s="105"/>
      <c r="D10113" s="105"/>
      <c r="E10113" s="105"/>
      <c r="F10113" s="105"/>
      <c r="G10113" s="105"/>
      <c r="H10113" s="105"/>
      <c r="I10113" s="105"/>
      <c r="J10113" s="113"/>
      <c r="K10113" s="114"/>
      <c r="L10113" s="115"/>
      <c r="M10113" s="105"/>
      <c r="N10113" s="105"/>
      <c r="O10113" s="105"/>
      <c r="P10113" s="105"/>
      <c r="Q10113" s="113"/>
      <c r="R10113" s="114"/>
      <c r="S10113" s="115"/>
    </row>
    <row r="10114" spans="1:19" x14ac:dyDescent="0.25">
      <c r="A10114" s="111"/>
      <c r="B10114" s="112"/>
      <c r="C10114" s="105"/>
      <c r="D10114" s="105"/>
      <c r="E10114" s="105"/>
      <c r="F10114" s="105"/>
      <c r="G10114" s="105"/>
      <c r="H10114" s="105"/>
      <c r="I10114" s="105"/>
      <c r="J10114" s="113"/>
      <c r="K10114" s="114"/>
      <c r="L10114" s="115"/>
      <c r="M10114" s="105"/>
      <c r="N10114" s="105"/>
      <c r="O10114" s="105"/>
      <c r="P10114" s="105"/>
      <c r="Q10114" s="113"/>
      <c r="R10114" s="114"/>
      <c r="S10114" s="115"/>
    </row>
    <row r="10115" spans="1:19" x14ac:dyDescent="0.25">
      <c r="A10115" s="111"/>
      <c r="B10115" s="112"/>
      <c r="C10115" s="105"/>
      <c r="D10115" s="105"/>
      <c r="E10115" s="105"/>
      <c r="F10115" s="105"/>
      <c r="G10115" s="105"/>
      <c r="H10115" s="105"/>
      <c r="I10115" s="105"/>
      <c r="J10115" s="113"/>
      <c r="K10115" s="114"/>
      <c r="L10115" s="115"/>
      <c r="M10115" s="105"/>
      <c r="N10115" s="105"/>
      <c r="O10115" s="105"/>
      <c r="P10115" s="105"/>
      <c r="Q10115" s="113"/>
      <c r="R10115" s="114"/>
      <c r="S10115" s="115"/>
    </row>
    <row r="10116" spans="1:19" x14ac:dyDescent="0.25">
      <c r="A10116" s="111"/>
      <c r="B10116" s="112"/>
      <c r="C10116" s="105"/>
      <c r="D10116" s="105"/>
      <c r="E10116" s="105"/>
      <c r="F10116" s="105"/>
      <c r="G10116" s="105"/>
      <c r="H10116" s="105"/>
      <c r="I10116" s="105"/>
      <c r="J10116" s="113"/>
      <c r="K10116" s="114"/>
      <c r="L10116" s="115"/>
      <c r="M10116" s="105"/>
      <c r="N10116" s="105"/>
      <c r="O10116" s="105"/>
      <c r="P10116" s="105"/>
      <c r="Q10116" s="113"/>
      <c r="R10116" s="114"/>
      <c r="S10116" s="115"/>
    </row>
    <row r="10117" spans="1:19" x14ac:dyDescent="0.25">
      <c r="A10117" s="111"/>
      <c r="B10117" s="112"/>
      <c r="C10117" s="105"/>
      <c r="D10117" s="105"/>
      <c r="E10117" s="105"/>
      <c r="F10117" s="105"/>
      <c r="G10117" s="105"/>
      <c r="H10117" s="105"/>
      <c r="I10117" s="105"/>
      <c r="J10117" s="113"/>
      <c r="K10117" s="114"/>
      <c r="L10117" s="115"/>
      <c r="M10117" s="105"/>
      <c r="N10117" s="105"/>
      <c r="O10117" s="105"/>
      <c r="P10117" s="105"/>
      <c r="Q10117" s="113"/>
      <c r="R10117" s="114"/>
      <c r="S10117" s="115"/>
    </row>
    <row r="10118" spans="1:19" x14ac:dyDescent="0.25">
      <c r="A10118" s="111"/>
      <c r="B10118" s="112"/>
      <c r="C10118" s="105"/>
      <c r="D10118" s="105"/>
      <c r="E10118" s="105"/>
      <c r="F10118" s="105"/>
      <c r="G10118" s="105"/>
      <c r="H10118" s="105"/>
      <c r="I10118" s="105"/>
      <c r="J10118" s="113"/>
      <c r="K10118" s="114"/>
      <c r="L10118" s="115"/>
      <c r="M10118" s="105"/>
      <c r="N10118" s="105"/>
      <c r="O10118" s="105"/>
      <c r="P10118" s="105"/>
      <c r="Q10118" s="113"/>
      <c r="R10118" s="114"/>
      <c r="S10118" s="115"/>
    </row>
    <row r="10119" spans="1:19" x14ac:dyDescent="0.25">
      <c r="A10119" s="111"/>
      <c r="B10119" s="112"/>
      <c r="C10119" s="105"/>
      <c r="D10119" s="105"/>
      <c r="E10119" s="105"/>
      <c r="F10119" s="105"/>
      <c r="G10119" s="105"/>
      <c r="H10119" s="105"/>
      <c r="I10119" s="105"/>
      <c r="J10119" s="113"/>
      <c r="K10119" s="114"/>
      <c r="L10119" s="115"/>
      <c r="M10119" s="105"/>
      <c r="N10119" s="105"/>
      <c r="O10119" s="105"/>
      <c r="P10119" s="105"/>
      <c r="Q10119" s="113"/>
      <c r="R10119" s="114"/>
      <c r="S10119" s="115"/>
    </row>
    <row r="10120" spans="1:19" x14ac:dyDescent="0.25">
      <c r="A10120" s="111"/>
      <c r="B10120" s="112"/>
      <c r="C10120" s="105"/>
      <c r="D10120" s="105"/>
      <c r="E10120" s="105"/>
      <c r="F10120" s="105"/>
      <c r="G10120" s="105"/>
      <c r="H10120" s="105"/>
      <c r="I10120" s="105"/>
      <c r="J10120" s="113"/>
      <c r="K10120" s="114"/>
      <c r="L10120" s="115"/>
      <c r="M10120" s="105"/>
      <c r="N10120" s="105"/>
      <c r="O10120" s="105"/>
      <c r="P10120" s="105"/>
      <c r="Q10120" s="113"/>
      <c r="R10120" s="114"/>
      <c r="S10120" s="115"/>
    </row>
    <row r="10121" spans="1:19" x14ac:dyDescent="0.25">
      <c r="A10121" s="111"/>
      <c r="B10121" s="112"/>
      <c r="C10121" s="105"/>
      <c r="D10121" s="105"/>
      <c r="E10121" s="105"/>
      <c r="F10121" s="105"/>
      <c r="G10121" s="105"/>
      <c r="H10121" s="105"/>
      <c r="I10121" s="105"/>
      <c r="J10121" s="113"/>
      <c r="K10121" s="114"/>
      <c r="L10121" s="115"/>
      <c r="M10121" s="105"/>
      <c r="N10121" s="105"/>
      <c r="O10121" s="105"/>
      <c r="P10121" s="105"/>
      <c r="Q10121" s="113"/>
      <c r="R10121" s="114"/>
      <c r="S10121" s="115"/>
    </row>
    <row r="10122" spans="1:19" x14ac:dyDescent="0.25">
      <c r="A10122" s="111"/>
      <c r="B10122" s="112"/>
      <c r="C10122" s="105"/>
      <c r="D10122" s="105"/>
      <c r="E10122" s="105"/>
      <c r="F10122" s="105"/>
      <c r="G10122" s="105"/>
      <c r="H10122" s="105"/>
      <c r="I10122" s="105"/>
      <c r="J10122" s="113"/>
      <c r="K10122" s="114"/>
      <c r="L10122" s="115"/>
      <c r="M10122" s="105"/>
      <c r="N10122" s="105"/>
      <c r="O10122" s="105"/>
      <c r="P10122" s="105"/>
      <c r="Q10122" s="113"/>
      <c r="R10122" s="114"/>
      <c r="S10122" s="115"/>
    </row>
    <row r="10123" spans="1:19" x14ac:dyDescent="0.25">
      <c r="A10123" s="111"/>
      <c r="B10123" s="112"/>
      <c r="C10123" s="105"/>
      <c r="D10123" s="105"/>
      <c r="E10123" s="105"/>
      <c r="F10123" s="105"/>
      <c r="G10123" s="105"/>
      <c r="H10123" s="105"/>
      <c r="I10123" s="105"/>
      <c r="J10123" s="113"/>
      <c r="K10123" s="114"/>
      <c r="L10123" s="115"/>
      <c r="M10123" s="105"/>
      <c r="N10123" s="105"/>
      <c r="O10123" s="105"/>
      <c r="P10123" s="105"/>
      <c r="Q10123" s="113"/>
      <c r="R10123" s="114"/>
      <c r="S10123" s="115"/>
    </row>
    <row r="10124" spans="1:19" x14ac:dyDescent="0.25">
      <c r="A10124" s="111"/>
      <c r="B10124" s="112"/>
      <c r="C10124" s="105"/>
      <c r="D10124" s="105"/>
      <c r="E10124" s="105"/>
      <c r="F10124" s="105"/>
      <c r="G10124" s="105"/>
      <c r="H10124" s="105"/>
      <c r="I10124" s="105"/>
      <c r="J10124" s="113"/>
      <c r="K10124" s="114"/>
      <c r="L10124" s="115"/>
      <c r="M10124" s="105"/>
      <c r="N10124" s="105"/>
      <c r="O10124" s="105"/>
      <c r="P10124" s="105"/>
      <c r="Q10124" s="113"/>
      <c r="R10124" s="114"/>
      <c r="S10124" s="115"/>
    </row>
    <row r="10125" spans="1:19" x14ac:dyDescent="0.25">
      <c r="A10125" s="111"/>
      <c r="B10125" s="112"/>
      <c r="C10125" s="105"/>
      <c r="D10125" s="105"/>
      <c r="E10125" s="105"/>
      <c r="F10125" s="105"/>
      <c r="G10125" s="105"/>
      <c r="H10125" s="105"/>
      <c r="I10125" s="105"/>
      <c r="J10125" s="113"/>
      <c r="K10125" s="114"/>
      <c r="L10125" s="115"/>
      <c r="M10125" s="105"/>
      <c r="N10125" s="105"/>
      <c r="O10125" s="105"/>
      <c r="P10125" s="105"/>
      <c r="Q10125" s="113"/>
      <c r="R10125" s="114"/>
      <c r="S10125" s="115"/>
    </row>
    <row r="10126" spans="1:19" x14ac:dyDescent="0.25">
      <c r="A10126" s="111"/>
      <c r="B10126" s="112"/>
      <c r="C10126" s="105"/>
      <c r="D10126" s="105"/>
      <c r="E10126" s="105"/>
      <c r="F10126" s="105"/>
      <c r="G10126" s="105"/>
      <c r="H10126" s="105"/>
      <c r="I10126" s="105"/>
      <c r="J10126" s="113"/>
      <c r="K10126" s="114"/>
      <c r="L10126" s="115"/>
      <c r="M10126" s="105"/>
      <c r="N10126" s="105"/>
      <c r="O10126" s="105"/>
      <c r="P10126" s="105"/>
      <c r="Q10126" s="113"/>
      <c r="R10126" s="114"/>
      <c r="S10126" s="115"/>
    </row>
    <row r="10127" spans="1:19" x14ac:dyDescent="0.25">
      <c r="A10127" s="111"/>
      <c r="B10127" s="112"/>
      <c r="C10127" s="105"/>
      <c r="D10127" s="105"/>
      <c r="E10127" s="105"/>
      <c r="F10127" s="105"/>
      <c r="G10127" s="105"/>
      <c r="H10127" s="105"/>
      <c r="I10127" s="105"/>
      <c r="J10127" s="113"/>
      <c r="K10127" s="114"/>
      <c r="L10127" s="115"/>
      <c r="M10127" s="105"/>
      <c r="N10127" s="105"/>
      <c r="O10127" s="105"/>
      <c r="P10127" s="105"/>
      <c r="Q10127" s="113"/>
      <c r="R10127" s="114"/>
      <c r="S10127" s="115"/>
    </row>
    <row r="10128" spans="1:19" x14ac:dyDescent="0.25">
      <c r="A10128" s="111"/>
      <c r="B10128" s="112"/>
      <c r="C10128" s="105"/>
      <c r="D10128" s="105"/>
      <c r="E10128" s="105"/>
      <c r="F10128" s="105"/>
      <c r="G10128" s="105"/>
      <c r="H10128" s="105"/>
      <c r="I10128" s="105"/>
      <c r="J10128" s="113"/>
      <c r="K10128" s="114"/>
      <c r="L10128" s="115"/>
      <c r="M10128" s="105"/>
      <c r="N10128" s="105"/>
      <c r="O10128" s="105"/>
      <c r="P10128" s="105"/>
      <c r="Q10128" s="113"/>
      <c r="R10128" s="114"/>
      <c r="S10128" s="115"/>
    </row>
    <row r="10129" spans="1:19" x14ac:dyDescent="0.25">
      <c r="A10129" s="111"/>
      <c r="B10129" s="112"/>
      <c r="C10129" s="105"/>
      <c r="D10129" s="105"/>
      <c r="E10129" s="105"/>
      <c r="F10129" s="105"/>
      <c r="G10129" s="105"/>
      <c r="H10129" s="105"/>
      <c r="I10129" s="105"/>
      <c r="J10129" s="113"/>
      <c r="K10129" s="114"/>
      <c r="L10129" s="115"/>
      <c r="M10129" s="105"/>
      <c r="N10129" s="105"/>
      <c r="O10129" s="105"/>
      <c r="P10129" s="105"/>
      <c r="Q10129" s="113"/>
      <c r="R10129" s="114"/>
      <c r="S10129" s="115"/>
    </row>
    <row r="10130" spans="1:19" x14ac:dyDescent="0.25">
      <c r="A10130" s="111"/>
      <c r="B10130" s="112"/>
      <c r="C10130" s="105"/>
      <c r="D10130" s="105"/>
      <c r="E10130" s="105"/>
      <c r="F10130" s="105"/>
      <c r="G10130" s="105"/>
      <c r="H10130" s="105"/>
      <c r="I10130" s="105"/>
      <c r="J10130" s="113"/>
      <c r="K10130" s="114"/>
      <c r="L10130" s="115"/>
      <c r="M10130" s="105"/>
      <c r="N10130" s="105"/>
      <c r="O10130" s="105"/>
      <c r="P10130" s="105"/>
      <c r="Q10130" s="113"/>
      <c r="R10130" s="114"/>
      <c r="S10130" s="115"/>
    </row>
    <row r="10131" spans="1:19" x14ac:dyDescent="0.25">
      <c r="A10131" s="111"/>
      <c r="B10131" s="112"/>
      <c r="C10131" s="105"/>
      <c r="D10131" s="105"/>
      <c r="E10131" s="105"/>
      <c r="F10131" s="105"/>
      <c r="G10131" s="105"/>
      <c r="H10131" s="105"/>
      <c r="I10131" s="105"/>
      <c r="J10131" s="113"/>
      <c r="K10131" s="114"/>
      <c r="L10131" s="115"/>
      <c r="M10131" s="105"/>
      <c r="N10131" s="105"/>
      <c r="O10131" s="105"/>
      <c r="P10131" s="105"/>
      <c r="Q10131" s="113"/>
      <c r="R10131" s="114"/>
      <c r="S10131" s="115"/>
    </row>
    <row r="10132" spans="1:19" x14ac:dyDescent="0.25">
      <c r="A10132" s="111"/>
      <c r="B10132" s="112"/>
      <c r="C10132" s="105"/>
      <c r="D10132" s="105"/>
      <c r="E10132" s="105"/>
      <c r="F10132" s="105"/>
      <c r="G10132" s="105"/>
      <c r="H10132" s="105"/>
      <c r="I10132" s="105"/>
      <c r="J10132" s="113"/>
      <c r="K10132" s="114"/>
      <c r="L10132" s="115"/>
      <c r="M10132" s="105"/>
      <c r="N10132" s="105"/>
      <c r="O10132" s="105"/>
      <c r="P10132" s="105"/>
      <c r="Q10132" s="113"/>
      <c r="R10132" s="114"/>
      <c r="S10132" s="115"/>
    </row>
    <row r="10133" spans="1:19" x14ac:dyDescent="0.25">
      <c r="A10133" s="111"/>
      <c r="B10133" s="112"/>
      <c r="C10133" s="105"/>
      <c r="D10133" s="105"/>
      <c r="E10133" s="105"/>
      <c r="F10133" s="105"/>
      <c r="G10133" s="105"/>
      <c r="H10133" s="105"/>
      <c r="I10133" s="105"/>
      <c r="J10133" s="113"/>
      <c r="K10133" s="114"/>
      <c r="L10133" s="115"/>
      <c r="M10133" s="105"/>
      <c r="N10133" s="105"/>
      <c r="O10133" s="105"/>
      <c r="P10133" s="105"/>
      <c r="Q10133" s="113"/>
      <c r="R10133" s="114"/>
      <c r="S10133" s="115"/>
    </row>
    <row r="10134" spans="1:19" x14ac:dyDescent="0.25">
      <c r="A10134" s="111"/>
      <c r="B10134" s="112"/>
      <c r="C10134" s="105"/>
      <c r="D10134" s="105"/>
      <c r="E10134" s="105"/>
      <c r="F10134" s="105"/>
      <c r="G10134" s="105"/>
      <c r="H10134" s="105"/>
      <c r="I10134" s="105"/>
      <c r="J10134" s="113"/>
      <c r="K10134" s="114"/>
      <c r="L10134" s="115"/>
      <c r="M10134" s="105"/>
      <c r="N10134" s="105"/>
      <c r="O10134" s="105"/>
      <c r="P10134" s="105"/>
      <c r="Q10134" s="113"/>
      <c r="R10134" s="114"/>
      <c r="S10134" s="115"/>
    </row>
    <row r="10135" spans="1:19" x14ac:dyDescent="0.25">
      <c r="A10135" s="111"/>
      <c r="B10135" s="112"/>
      <c r="C10135" s="105"/>
      <c r="D10135" s="105"/>
      <c r="E10135" s="105"/>
      <c r="F10135" s="105"/>
      <c r="G10135" s="105"/>
      <c r="H10135" s="105"/>
      <c r="I10135" s="105"/>
      <c r="J10135" s="113"/>
      <c r="K10135" s="114"/>
      <c r="L10135" s="115"/>
      <c r="M10135" s="105"/>
      <c r="N10135" s="105"/>
      <c r="O10135" s="105"/>
      <c r="P10135" s="105"/>
      <c r="Q10135" s="113"/>
      <c r="R10135" s="114"/>
      <c r="S10135" s="115"/>
    </row>
    <row r="10136" spans="1:19" x14ac:dyDescent="0.25">
      <c r="A10136" s="111"/>
      <c r="B10136" s="112"/>
      <c r="C10136" s="105"/>
      <c r="D10136" s="105"/>
      <c r="E10136" s="105"/>
      <c r="F10136" s="105"/>
      <c r="G10136" s="105"/>
      <c r="H10136" s="105"/>
      <c r="I10136" s="105"/>
      <c r="J10136" s="113"/>
      <c r="K10136" s="114"/>
      <c r="L10136" s="115"/>
      <c r="M10136" s="105"/>
      <c r="N10136" s="105"/>
      <c r="O10136" s="105"/>
      <c r="P10136" s="105"/>
      <c r="Q10136" s="113"/>
      <c r="R10136" s="114"/>
      <c r="S10136" s="115"/>
    </row>
    <row r="10137" spans="1:19" x14ac:dyDescent="0.25">
      <c r="A10137" s="111"/>
      <c r="B10137" s="112"/>
      <c r="C10137" s="105"/>
      <c r="D10137" s="105"/>
      <c r="E10137" s="105"/>
      <c r="F10137" s="105"/>
      <c r="G10137" s="105"/>
      <c r="H10137" s="105"/>
      <c r="I10137" s="105"/>
      <c r="J10137" s="113"/>
      <c r="K10137" s="114"/>
      <c r="L10137" s="115"/>
      <c r="M10137" s="105"/>
      <c r="N10137" s="105"/>
      <c r="O10137" s="105"/>
      <c r="P10137" s="105"/>
      <c r="Q10137" s="113"/>
      <c r="R10137" s="114"/>
      <c r="S10137" s="115"/>
    </row>
    <row r="10138" spans="1:19" x14ac:dyDescent="0.25">
      <c r="A10138" s="111"/>
      <c r="B10138" s="112"/>
      <c r="C10138" s="105"/>
      <c r="D10138" s="105"/>
      <c r="E10138" s="105"/>
      <c r="F10138" s="105"/>
      <c r="G10138" s="105"/>
      <c r="H10138" s="105"/>
      <c r="I10138" s="105"/>
      <c r="J10138" s="113"/>
      <c r="K10138" s="114"/>
      <c r="L10138" s="115"/>
      <c r="M10138" s="105"/>
      <c r="N10138" s="105"/>
      <c r="O10138" s="105"/>
      <c r="P10138" s="105"/>
      <c r="Q10138" s="113"/>
      <c r="R10138" s="114"/>
      <c r="S10138" s="115"/>
    </row>
    <row r="10139" spans="1:19" x14ac:dyDescent="0.25">
      <c r="A10139" s="111"/>
      <c r="B10139" s="112"/>
      <c r="C10139" s="105"/>
      <c r="D10139" s="105"/>
      <c r="E10139" s="105"/>
      <c r="F10139" s="105"/>
      <c r="G10139" s="105"/>
      <c r="H10139" s="105"/>
      <c r="I10139" s="105"/>
      <c r="J10139" s="113"/>
      <c r="K10139" s="114"/>
      <c r="L10139" s="115"/>
      <c r="M10139" s="105"/>
      <c r="N10139" s="105"/>
      <c r="O10139" s="105"/>
      <c r="P10139" s="105"/>
      <c r="Q10139" s="113"/>
      <c r="R10139" s="114"/>
      <c r="S10139" s="115"/>
    </row>
    <row r="10140" spans="1:19" x14ac:dyDescent="0.25">
      <c r="A10140" s="111"/>
      <c r="B10140" s="112"/>
      <c r="C10140" s="105"/>
      <c r="D10140" s="105"/>
      <c r="E10140" s="105"/>
      <c r="F10140" s="105"/>
      <c r="G10140" s="105"/>
      <c r="H10140" s="105"/>
      <c r="I10140" s="105"/>
      <c r="J10140" s="113"/>
      <c r="K10140" s="114"/>
      <c r="L10140" s="115"/>
      <c r="M10140" s="105"/>
      <c r="N10140" s="105"/>
      <c r="O10140" s="105"/>
      <c r="P10140" s="105"/>
      <c r="Q10140" s="113"/>
      <c r="R10140" s="114"/>
      <c r="S10140" s="115"/>
    </row>
    <row r="10141" spans="1:19" x14ac:dyDescent="0.25">
      <c r="A10141" s="111"/>
      <c r="B10141" s="112"/>
      <c r="C10141" s="105"/>
      <c r="D10141" s="105"/>
      <c r="E10141" s="105"/>
      <c r="F10141" s="105"/>
      <c r="G10141" s="105"/>
      <c r="H10141" s="105"/>
      <c r="I10141" s="105"/>
      <c r="J10141" s="113"/>
      <c r="K10141" s="114"/>
      <c r="L10141" s="115"/>
      <c r="M10141" s="105"/>
      <c r="N10141" s="105"/>
      <c r="O10141" s="105"/>
      <c r="P10141" s="105"/>
      <c r="Q10141" s="113"/>
      <c r="R10141" s="114"/>
      <c r="S10141" s="115"/>
    </row>
    <row r="10142" spans="1:19" x14ac:dyDescent="0.25">
      <c r="A10142" s="111"/>
      <c r="B10142" s="112"/>
      <c r="C10142" s="105"/>
      <c r="D10142" s="105"/>
      <c r="E10142" s="105"/>
      <c r="F10142" s="105"/>
      <c r="G10142" s="105"/>
      <c r="H10142" s="105"/>
      <c r="I10142" s="105"/>
      <c r="J10142" s="113"/>
      <c r="K10142" s="114"/>
      <c r="L10142" s="115"/>
      <c r="M10142" s="105"/>
      <c r="N10142" s="105"/>
      <c r="O10142" s="105"/>
      <c r="P10142" s="105"/>
      <c r="Q10142" s="113"/>
      <c r="R10142" s="114"/>
      <c r="S10142" s="115"/>
    </row>
    <row r="10143" spans="1:19" x14ac:dyDescent="0.25">
      <c r="A10143" s="111"/>
      <c r="B10143" s="112"/>
      <c r="C10143" s="105"/>
      <c r="D10143" s="105"/>
      <c r="E10143" s="105"/>
      <c r="F10143" s="105"/>
      <c r="G10143" s="105"/>
      <c r="H10143" s="105"/>
      <c r="I10143" s="105"/>
      <c r="J10143" s="113"/>
      <c r="K10143" s="114"/>
      <c r="L10143" s="115"/>
      <c r="M10143" s="105"/>
      <c r="N10143" s="105"/>
      <c r="O10143" s="105"/>
      <c r="P10143" s="105"/>
      <c r="Q10143" s="113"/>
      <c r="R10143" s="114"/>
      <c r="S10143" s="115"/>
    </row>
    <row r="10144" spans="1:19" x14ac:dyDescent="0.25">
      <c r="A10144" s="111"/>
      <c r="B10144" s="112"/>
      <c r="C10144" s="105"/>
      <c r="D10144" s="105"/>
      <c r="E10144" s="105"/>
      <c r="F10144" s="105"/>
      <c r="G10144" s="105"/>
      <c r="H10144" s="105"/>
      <c r="I10144" s="105"/>
      <c r="J10144" s="113"/>
      <c r="K10144" s="114"/>
      <c r="L10144" s="115"/>
      <c r="M10144" s="105"/>
      <c r="N10144" s="105"/>
      <c r="O10144" s="105"/>
      <c r="P10144" s="105"/>
      <c r="Q10144" s="113"/>
      <c r="R10144" s="114"/>
      <c r="S10144" s="115"/>
    </row>
    <row r="10145" spans="1:19" x14ac:dyDescent="0.25">
      <c r="A10145" s="111"/>
      <c r="B10145" s="112"/>
      <c r="C10145" s="105"/>
      <c r="D10145" s="105"/>
      <c r="E10145" s="105"/>
      <c r="F10145" s="105"/>
      <c r="G10145" s="105"/>
      <c r="H10145" s="105"/>
      <c r="I10145" s="105"/>
      <c r="J10145" s="113"/>
      <c r="K10145" s="114"/>
      <c r="L10145" s="115"/>
      <c r="M10145" s="105"/>
      <c r="N10145" s="105"/>
      <c r="O10145" s="105"/>
      <c r="P10145" s="105"/>
      <c r="Q10145" s="113"/>
      <c r="R10145" s="114"/>
      <c r="S10145" s="115"/>
    </row>
    <row r="10146" spans="1:19" x14ac:dyDescent="0.25">
      <c r="A10146" s="111"/>
      <c r="B10146" s="112"/>
      <c r="C10146" s="105"/>
      <c r="D10146" s="105"/>
      <c r="E10146" s="105"/>
      <c r="F10146" s="105"/>
      <c r="G10146" s="105"/>
      <c r="H10146" s="105"/>
      <c r="I10146" s="105"/>
      <c r="J10146" s="113"/>
      <c r="K10146" s="114"/>
      <c r="L10146" s="115"/>
      <c r="M10146" s="105"/>
      <c r="N10146" s="105"/>
      <c r="O10146" s="105"/>
      <c r="P10146" s="105"/>
      <c r="Q10146" s="113"/>
      <c r="R10146" s="114"/>
      <c r="S10146" s="115"/>
    </row>
    <row r="10147" spans="1:19" x14ac:dyDescent="0.25">
      <c r="A10147" s="111"/>
      <c r="B10147" s="112"/>
      <c r="C10147" s="105"/>
      <c r="D10147" s="105"/>
      <c r="E10147" s="105"/>
      <c r="F10147" s="105"/>
      <c r="G10147" s="105"/>
      <c r="H10147" s="105"/>
      <c r="I10147" s="105"/>
      <c r="J10147" s="113"/>
      <c r="K10147" s="114"/>
      <c r="L10147" s="115"/>
      <c r="M10147" s="105"/>
      <c r="N10147" s="105"/>
      <c r="O10147" s="105"/>
      <c r="P10147" s="105"/>
      <c r="Q10147" s="113"/>
      <c r="R10147" s="114"/>
      <c r="S10147" s="115"/>
    </row>
    <row r="10148" spans="1:19" x14ac:dyDescent="0.25">
      <c r="A10148" s="111"/>
      <c r="B10148" s="112"/>
      <c r="C10148" s="105"/>
      <c r="D10148" s="105"/>
      <c r="E10148" s="105"/>
      <c r="F10148" s="105"/>
      <c r="G10148" s="105"/>
      <c r="H10148" s="105"/>
      <c r="I10148" s="105"/>
      <c r="J10148" s="113"/>
      <c r="K10148" s="114"/>
      <c r="L10148" s="115"/>
      <c r="M10148" s="105"/>
      <c r="N10148" s="105"/>
      <c r="O10148" s="105"/>
      <c r="P10148" s="105"/>
      <c r="Q10148" s="113"/>
      <c r="R10148" s="114"/>
      <c r="S10148" s="115"/>
    </row>
    <row r="10149" spans="1:19" x14ac:dyDescent="0.25">
      <c r="A10149" s="111"/>
      <c r="B10149" s="112"/>
      <c r="C10149" s="105"/>
      <c r="D10149" s="105"/>
      <c r="E10149" s="105"/>
      <c r="F10149" s="105"/>
      <c r="G10149" s="105"/>
      <c r="H10149" s="105"/>
      <c r="I10149" s="105"/>
      <c r="J10149" s="113"/>
      <c r="K10149" s="114"/>
      <c r="L10149" s="115"/>
      <c r="M10149" s="105"/>
      <c r="N10149" s="105"/>
      <c r="O10149" s="105"/>
      <c r="P10149" s="105"/>
      <c r="Q10149" s="113"/>
      <c r="R10149" s="114"/>
      <c r="S10149" s="115"/>
    </row>
    <row r="10150" spans="1:19" x14ac:dyDescent="0.25">
      <c r="A10150" s="111"/>
      <c r="B10150" s="112"/>
      <c r="C10150" s="105"/>
      <c r="D10150" s="105"/>
      <c r="E10150" s="105"/>
      <c r="F10150" s="105"/>
      <c r="G10150" s="105"/>
      <c r="H10150" s="105"/>
      <c r="I10150" s="105"/>
      <c r="J10150" s="113"/>
      <c r="K10150" s="114"/>
      <c r="L10150" s="115"/>
      <c r="M10150" s="105"/>
      <c r="N10150" s="105"/>
      <c r="O10150" s="105"/>
      <c r="P10150" s="105"/>
      <c r="Q10150" s="113"/>
      <c r="R10150" s="114"/>
      <c r="S10150" s="115"/>
    </row>
    <row r="10151" spans="1:19" x14ac:dyDescent="0.25">
      <c r="A10151" s="111"/>
      <c r="B10151" s="112"/>
      <c r="C10151" s="105"/>
      <c r="D10151" s="105"/>
      <c r="E10151" s="105"/>
      <c r="F10151" s="105"/>
      <c r="G10151" s="105"/>
      <c r="H10151" s="105"/>
      <c r="I10151" s="105"/>
      <c r="J10151" s="113"/>
      <c r="K10151" s="114"/>
      <c r="L10151" s="115"/>
      <c r="M10151" s="105"/>
      <c r="N10151" s="105"/>
      <c r="O10151" s="105"/>
      <c r="P10151" s="105"/>
      <c r="Q10151" s="113"/>
      <c r="R10151" s="114"/>
      <c r="S10151" s="115"/>
    </row>
    <row r="10152" spans="1:19" x14ac:dyDescent="0.25">
      <c r="A10152" s="111"/>
      <c r="B10152" s="112"/>
      <c r="C10152" s="105"/>
      <c r="D10152" s="105"/>
      <c r="E10152" s="105"/>
      <c r="F10152" s="105"/>
      <c r="G10152" s="105"/>
      <c r="H10152" s="105"/>
      <c r="I10152" s="105"/>
      <c r="J10152" s="113"/>
      <c r="K10152" s="114"/>
      <c r="L10152" s="115"/>
      <c r="M10152" s="105"/>
      <c r="N10152" s="105"/>
      <c r="O10152" s="105"/>
      <c r="P10152" s="105"/>
      <c r="Q10152" s="113"/>
      <c r="R10152" s="114"/>
      <c r="S10152" s="115"/>
    </row>
    <row r="10153" spans="1:19" x14ac:dyDescent="0.25">
      <c r="A10153" s="111"/>
      <c r="B10153" s="112"/>
      <c r="C10153" s="105"/>
      <c r="D10153" s="105"/>
      <c r="E10153" s="105"/>
      <c r="F10153" s="105"/>
      <c r="G10153" s="105"/>
      <c r="H10153" s="105"/>
      <c r="I10153" s="105"/>
      <c r="J10153" s="113"/>
      <c r="K10153" s="114"/>
      <c r="L10153" s="115"/>
      <c r="M10153" s="105"/>
      <c r="N10153" s="105"/>
      <c r="O10153" s="105"/>
      <c r="P10153" s="105"/>
      <c r="Q10153" s="113"/>
      <c r="R10153" s="114"/>
      <c r="S10153" s="115"/>
    </row>
    <row r="10154" spans="1:19" x14ac:dyDescent="0.25">
      <c r="A10154" s="111"/>
      <c r="B10154" s="112"/>
      <c r="C10154" s="105"/>
      <c r="D10154" s="105"/>
      <c r="E10154" s="105"/>
      <c r="F10154" s="105"/>
      <c r="G10154" s="105"/>
      <c r="H10154" s="105"/>
      <c r="I10154" s="105"/>
      <c r="J10154" s="113"/>
      <c r="K10154" s="114"/>
      <c r="L10154" s="115"/>
      <c r="M10154" s="105"/>
      <c r="N10154" s="105"/>
      <c r="O10154" s="105"/>
      <c r="P10154" s="105"/>
      <c r="Q10154" s="113"/>
      <c r="R10154" s="114"/>
      <c r="S10154" s="115"/>
    </row>
    <row r="10155" spans="1:19" x14ac:dyDescent="0.25">
      <c r="A10155" s="111"/>
      <c r="B10155" s="112"/>
      <c r="C10155" s="105"/>
      <c r="D10155" s="105"/>
      <c r="E10155" s="105"/>
      <c r="F10155" s="105"/>
      <c r="G10155" s="105"/>
      <c r="H10155" s="105"/>
      <c r="I10155" s="105"/>
      <c r="J10155" s="113"/>
      <c r="K10155" s="114"/>
      <c r="L10155" s="115"/>
      <c r="M10155" s="105"/>
      <c r="N10155" s="105"/>
      <c r="O10155" s="105"/>
      <c r="P10155" s="105"/>
      <c r="Q10155" s="113"/>
      <c r="R10155" s="114"/>
      <c r="S10155" s="115"/>
    </row>
    <row r="10156" spans="1:19" x14ac:dyDescent="0.25">
      <c r="A10156" s="111"/>
      <c r="B10156" s="112"/>
      <c r="C10156" s="105"/>
      <c r="D10156" s="105"/>
      <c r="E10156" s="105"/>
      <c r="F10156" s="105"/>
      <c r="G10156" s="105"/>
      <c r="H10156" s="105"/>
      <c r="I10156" s="105"/>
      <c r="J10156" s="113"/>
      <c r="K10156" s="114"/>
      <c r="L10156" s="115"/>
      <c r="M10156" s="105"/>
      <c r="N10156" s="105"/>
      <c r="O10156" s="105"/>
      <c r="P10156" s="105"/>
      <c r="Q10156" s="113"/>
      <c r="R10156" s="114"/>
      <c r="S10156" s="115"/>
    </row>
    <row r="10157" spans="1:19" x14ac:dyDescent="0.25">
      <c r="A10157" s="111"/>
      <c r="B10157" s="112"/>
      <c r="C10157" s="105"/>
      <c r="D10157" s="105"/>
      <c r="E10157" s="105"/>
      <c r="F10157" s="105"/>
      <c r="G10157" s="105"/>
      <c r="H10157" s="105"/>
      <c r="I10157" s="105"/>
      <c r="J10157" s="113"/>
      <c r="K10157" s="114"/>
      <c r="L10157" s="115"/>
      <c r="M10157" s="105"/>
      <c r="N10157" s="105"/>
      <c r="O10157" s="105"/>
      <c r="P10157" s="105"/>
      <c r="Q10157" s="113"/>
      <c r="R10157" s="114"/>
      <c r="S10157" s="115"/>
    </row>
    <row r="10158" spans="1:19" x14ac:dyDescent="0.25">
      <c r="A10158" s="111"/>
      <c r="B10158" s="112"/>
      <c r="C10158" s="105"/>
      <c r="D10158" s="105"/>
      <c r="E10158" s="105"/>
      <c r="F10158" s="105"/>
      <c r="G10158" s="105"/>
      <c r="H10158" s="105"/>
      <c r="I10158" s="105"/>
      <c r="J10158" s="113"/>
      <c r="K10158" s="114"/>
      <c r="L10158" s="115"/>
      <c r="M10158" s="105"/>
      <c r="N10158" s="105"/>
      <c r="O10158" s="105"/>
      <c r="P10158" s="105"/>
      <c r="Q10158" s="113"/>
      <c r="R10158" s="114"/>
      <c r="S10158" s="115"/>
    </row>
    <row r="10159" spans="1:19" x14ac:dyDescent="0.25">
      <c r="A10159" s="111"/>
      <c r="B10159" s="112"/>
      <c r="C10159" s="105"/>
      <c r="D10159" s="105"/>
      <c r="E10159" s="105"/>
      <c r="F10159" s="105"/>
      <c r="G10159" s="105"/>
      <c r="H10159" s="105"/>
      <c r="I10159" s="105"/>
      <c r="J10159" s="113"/>
      <c r="K10159" s="114"/>
      <c r="L10159" s="115"/>
      <c r="M10159" s="105"/>
      <c r="N10159" s="105"/>
      <c r="O10159" s="105"/>
      <c r="P10159" s="105"/>
      <c r="Q10159" s="113"/>
      <c r="R10159" s="114"/>
      <c r="S10159" s="115"/>
    </row>
    <row r="10160" spans="1:19" x14ac:dyDescent="0.25">
      <c r="A10160" s="111"/>
      <c r="B10160" s="112"/>
      <c r="C10160" s="105"/>
      <c r="D10160" s="105"/>
      <c r="E10160" s="105"/>
      <c r="F10160" s="105"/>
      <c r="G10160" s="105"/>
      <c r="H10160" s="105"/>
      <c r="I10160" s="105"/>
      <c r="J10160" s="113"/>
      <c r="K10160" s="114"/>
      <c r="L10160" s="115"/>
      <c r="M10160" s="105"/>
      <c r="N10160" s="105"/>
      <c r="O10160" s="105"/>
      <c r="P10160" s="105"/>
      <c r="Q10160" s="113"/>
      <c r="R10160" s="114"/>
      <c r="S10160" s="115"/>
    </row>
    <row r="10161" spans="1:19" x14ac:dyDescent="0.25">
      <c r="A10161" s="111"/>
      <c r="B10161" s="112"/>
      <c r="C10161" s="105"/>
      <c r="D10161" s="105"/>
      <c r="E10161" s="105"/>
      <c r="F10161" s="105"/>
      <c r="G10161" s="105"/>
      <c r="H10161" s="105"/>
      <c r="I10161" s="105"/>
      <c r="J10161" s="113"/>
      <c r="K10161" s="114"/>
      <c r="L10161" s="115"/>
      <c r="M10161" s="105"/>
      <c r="N10161" s="105"/>
      <c r="O10161" s="105"/>
      <c r="P10161" s="105"/>
      <c r="Q10161" s="113"/>
      <c r="R10161" s="114"/>
      <c r="S10161" s="115"/>
    </row>
    <row r="10162" spans="1:19" x14ac:dyDescent="0.25">
      <c r="A10162" s="111"/>
      <c r="B10162" s="112"/>
      <c r="C10162" s="105"/>
      <c r="D10162" s="105"/>
      <c r="E10162" s="105"/>
      <c r="F10162" s="105"/>
      <c r="G10162" s="105"/>
      <c r="H10162" s="105"/>
      <c r="I10162" s="105"/>
      <c r="J10162" s="113"/>
      <c r="K10162" s="114"/>
      <c r="L10162" s="115"/>
      <c r="M10162" s="105"/>
      <c r="N10162" s="105"/>
      <c r="O10162" s="105"/>
      <c r="P10162" s="105"/>
      <c r="Q10162" s="113"/>
      <c r="R10162" s="114"/>
      <c r="S10162" s="115"/>
    </row>
    <row r="10163" spans="1:19" x14ac:dyDescent="0.25">
      <c r="A10163" s="111"/>
      <c r="B10163" s="112"/>
      <c r="C10163" s="105"/>
      <c r="D10163" s="105"/>
      <c r="E10163" s="105"/>
      <c r="F10163" s="105"/>
      <c r="G10163" s="105"/>
      <c r="H10163" s="105"/>
      <c r="I10163" s="105"/>
      <c r="J10163" s="113"/>
      <c r="K10163" s="114"/>
      <c r="L10163" s="115"/>
      <c r="M10163" s="105"/>
      <c r="N10163" s="105"/>
      <c r="O10163" s="105"/>
      <c r="P10163" s="105"/>
      <c r="Q10163" s="113"/>
      <c r="R10163" s="114"/>
      <c r="S10163" s="115"/>
    </row>
    <row r="10164" spans="1:19" x14ac:dyDescent="0.25">
      <c r="A10164" s="111"/>
      <c r="B10164" s="112"/>
      <c r="C10164" s="105"/>
      <c r="D10164" s="105"/>
      <c r="E10164" s="105"/>
      <c r="F10164" s="105"/>
      <c r="G10164" s="105"/>
      <c r="H10164" s="105"/>
      <c r="I10164" s="105"/>
      <c r="J10164" s="113"/>
      <c r="K10164" s="114"/>
      <c r="L10164" s="115"/>
      <c r="M10164" s="105"/>
      <c r="N10164" s="105"/>
      <c r="O10164" s="105"/>
      <c r="P10164" s="105"/>
      <c r="Q10164" s="113"/>
      <c r="R10164" s="114"/>
      <c r="S10164" s="115"/>
    </row>
    <row r="10165" spans="1:19" x14ac:dyDescent="0.25">
      <c r="A10165" s="111"/>
      <c r="B10165" s="112"/>
      <c r="C10165" s="105"/>
      <c r="D10165" s="105"/>
      <c r="E10165" s="105"/>
      <c r="F10165" s="105"/>
      <c r="G10165" s="105"/>
      <c r="H10165" s="105"/>
      <c r="I10165" s="105"/>
      <c r="J10165" s="113"/>
      <c r="K10165" s="114"/>
      <c r="L10165" s="115"/>
      <c r="M10165" s="105"/>
      <c r="N10165" s="105"/>
      <c r="O10165" s="105"/>
      <c r="P10165" s="105"/>
      <c r="Q10165" s="113"/>
      <c r="R10165" s="114"/>
      <c r="S10165" s="115"/>
    </row>
    <row r="10166" spans="1:19" x14ac:dyDescent="0.25">
      <c r="A10166" s="111"/>
      <c r="B10166" s="112"/>
      <c r="C10166" s="105"/>
      <c r="D10166" s="105"/>
      <c r="E10166" s="105"/>
      <c r="F10166" s="105"/>
      <c r="G10166" s="105"/>
      <c r="H10166" s="105"/>
      <c r="I10166" s="105"/>
      <c r="J10166" s="113"/>
      <c r="K10166" s="114"/>
      <c r="L10166" s="115"/>
      <c r="M10166" s="105"/>
      <c r="N10166" s="105"/>
      <c r="O10166" s="105"/>
      <c r="P10166" s="105"/>
      <c r="Q10166" s="113"/>
      <c r="R10166" s="114"/>
      <c r="S10166" s="115"/>
    </row>
    <row r="10167" spans="1:19" x14ac:dyDescent="0.25">
      <c r="A10167" s="111"/>
      <c r="B10167" s="112"/>
      <c r="C10167" s="105"/>
      <c r="D10167" s="105"/>
      <c r="E10167" s="105"/>
      <c r="F10167" s="105"/>
      <c r="G10167" s="105"/>
      <c r="H10167" s="105"/>
      <c r="I10167" s="105"/>
      <c r="J10167" s="113"/>
      <c r="K10167" s="114"/>
      <c r="L10167" s="115"/>
      <c r="M10167" s="105"/>
      <c r="N10167" s="105"/>
      <c r="O10167" s="105"/>
      <c r="P10167" s="105"/>
      <c r="Q10167" s="113"/>
      <c r="R10167" s="114"/>
      <c r="S10167" s="115"/>
    </row>
    <row r="10168" spans="1:19" x14ac:dyDescent="0.25">
      <c r="A10168" s="111"/>
      <c r="B10168" s="112"/>
      <c r="C10168" s="105"/>
      <c r="D10168" s="105"/>
      <c r="E10168" s="105"/>
      <c r="F10168" s="105"/>
      <c r="G10168" s="105"/>
      <c r="H10168" s="105"/>
      <c r="I10168" s="105"/>
      <c r="J10168" s="113"/>
      <c r="K10168" s="114"/>
      <c r="L10168" s="115"/>
      <c r="M10168" s="105"/>
      <c r="N10168" s="105"/>
      <c r="O10168" s="105"/>
      <c r="P10168" s="105"/>
      <c r="Q10168" s="113"/>
      <c r="R10168" s="114"/>
      <c r="S10168" s="115"/>
    </row>
    <row r="10169" spans="1:19" x14ac:dyDescent="0.25">
      <c r="A10169" s="111"/>
      <c r="B10169" s="112"/>
      <c r="C10169" s="105"/>
      <c r="D10169" s="105"/>
      <c r="E10169" s="105"/>
      <c r="F10169" s="105"/>
      <c r="G10169" s="105"/>
      <c r="H10169" s="105"/>
      <c r="I10169" s="105"/>
      <c r="J10169" s="113"/>
      <c r="K10169" s="114"/>
      <c r="L10169" s="115"/>
      <c r="M10169" s="105"/>
      <c r="N10169" s="105"/>
      <c r="O10169" s="105"/>
      <c r="P10169" s="105"/>
      <c r="Q10169" s="113"/>
      <c r="R10169" s="114"/>
      <c r="S10169" s="115"/>
    </row>
    <row r="10170" spans="1:19" x14ac:dyDescent="0.25">
      <c r="A10170" s="111"/>
      <c r="B10170" s="112"/>
      <c r="C10170" s="105"/>
      <c r="D10170" s="105"/>
      <c r="E10170" s="105"/>
      <c r="F10170" s="105"/>
      <c r="G10170" s="105"/>
      <c r="H10170" s="105"/>
      <c r="I10170" s="105"/>
      <c r="J10170" s="113"/>
      <c r="K10170" s="114"/>
      <c r="L10170" s="115"/>
      <c r="M10170" s="105"/>
      <c r="N10170" s="105"/>
      <c r="O10170" s="105"/>
      <c r="P10170" s="105"/>
      <c r="Q10170" s="113"/>
      <c r="R10170" s="114"/>
      <c r="S10170" s="115"/>
    </row>
    <row r="10171" spans="1:19" x14ac:dyDescent="0.25">
      <c r="A10171" s="111"/>
      <c r="B10171" s="112"/>
      <c r="C10171" s="105"/>
      <c r="D10171" s="105"/>
      <c r="E10171" s="105"/>
      <c r="F10171" s="105"/>
      <c r="G10171" s="105"/>
      <c r="H10171" s="105"/>
      <c r="I10171" s="105"/>
      <c r="J10171" s="113"/>
      <c r="K10171" s="114"/>
      <c r="L10171" s="115"/>
      <c r="M10171" s="105"/>
      <c r="N10171" s="105"/>
      <c r="O10171" s="105"/>
      <c r="P10171" s="105"/>
      <c r="Q10171" s="113"/>
      <c r="R10171" s="114"/>
      <c r="S10171" s="115"/>
    </row>
    <row r="10172" spans="1:19" x14ac:dyDescent="0.25">
      <c r="A10172" s="111"/>
      <c r="B10172" s="112"/>
      <c r="C10172" s="105"/>
      <c r="D10172" s="105"/>
      <c r="E10172" s="105"/>
      <c r="F10172" s="105"/>
      <c r="G10172" s="105"/>
      <c r="H10172" s="105"/>
      <c r="I10172" s="105"/>
      <c r="J10172" s="113"/>
      <c r="K10172" s="114"/>
      <c r="L10172" s="115"/>
      <c r="M10172" s="105"/>
      <c r="N10172" s="105"/>
      <c r="O10172" s="105"/>
      <c r="P10172" s="105"/>
      <c r="Q10172" s="113"/>
      <c r="R10172" s="114"/>
      <c r="S10172" s="115"/>
    </row>
    <row r="10173" spans="1:19" x14ac:dyDescent="0.25">
      <c r="A10173" s="111"/>
      <c r="B10173" s="112"/>
      <c r="C10173" s="105"/>
      <c r="D10173" s="105"/>
      <c r="E10173" s="105"/>
      <c r="F10173" s="105"/>
      <c r="G10173" s="105"/>
      <c r="H10173" s="105"/>
      <c r="I10173" s="105"/>
      <c r="J10173" s="113"/>
      <c r="K10173" s="114"/>
      <c r="L10173" s="115"/>
      <c r="M10173" s="105"/>
      <c r="N10173" s="105"/>
      <c r="O10173" s="105"/>
      <c r="P10173" s="105"/>
      <c r="Q10173" s="113"/>
      <c r="R10173" s="114"/>
      <c r="S10173" s="115"/>
    </row>
    <row r="10174" spans="1:19" x14ac:dyDescent="0.25">
      <c r="A10174" s="111"/>
      <c r="B10174" s="112"/>
      <c r="C10174" s="105"/>
      <c r="D10174" s="105"/>
      <c r="E10174" s="105"/>
      <c r="F10174" s="105"/>
      <c r="G10174" s="105"/>
      <c r="H10174" s="105"/>
      <c r="I10174" s="105"/>
      <c r="J10174" s="113"/>
      <c r="K10174" s="114"/>
      <c r="L10174" s="115"/>
      <c r="M10174" s="105"/>
      <c r="N10174" s="105"/>
      <c r="O10174" s="105"/>
      <c r="P10174" s="105"/>
      <c r="Q10174" s="113"/>
      <c r="R10174" s="114"/>
      <c r="S10174" s="115"/>
    </row>
    <row r="10175" spans="1:19" x14ac:dyDescent="0.25">
      <c r="A10175" s="111"/>
      <c r="B10175" s="112"/>
      <c r="C10175" s="105"/>
      <c r="D10175" s="105"/>
      <c r="E10175" s="105"/>
      <c r="F10175" s="105"/>
      <c r="G10175" s="105"/>
      <c r="H10175" s="105"/>
      <c r="I10175" s="105"/>
      <c r="J10175" s="113"/>
      <c r="K10175" s="114"/>
      <c r="L10175" s="115"/>
      <c r="M10175" s="105"/>
      <c r="N10175" s="105"/>
      <c r="O10175" s="105"/>
      <c r="P10175" s="105"/>
      <c r="Q10175" s="113"/>
      <c r="R10175" s="114"/>
      <c r="S10175" s="115"/>
    </row>
    <row r="10176" spans="1:19" x14ac:dyDescent="0.25">
      <c r="A10176" s="111"/>
      <c r="B10176" s="112"/>
      <c r="C10176" s="105"/>
      <c r="D10176" s="105"/>
      <c r="E10176" s="105"/>
      <c r="F10176" s="105"/>
      <c r="G10176" s="105"/>
      <c r="H10176" s="105"/>
      <c r="I10176" s="105"/>
      <c r="J10176" s="113"/>
      <c r="K10176" s="114"/>
      <c r="L10176" s="115"/>
      <c r="M10176" s="105"/>
      <c r="N10176" s="105"/>
      <c r="O10176" s="105"/>
      <c r="P10176" s="105"/>
      <c r="Q10176" s="113"/>
      <c r="R10176" s="114"/>
      <c r="S10176" s="115"/>
    </row>
    <row r="10177" spans="1:19" x14ac:dyDescent="0.25">
      <c r="A10177" s="111"/>
      <c r="B10177" s="112"/>
      <c r="C10177" s="105"/>
      <c r="D10177" s="105"/>
      <c r="E10177" s="105"/>
      <c r="F10177" s="105"/>
      <c r="G10177" s="105"/>
      <c r="H10177" s="105"/>
      <c r="I10177" s="105"/>
      <c r="J10177" s="113"/>
      <c r="K10177" s="114"/>
      <c r="L10177" s="115"/>
      <c r="M10177" s="105"/>
      <c r="N10177" s="105"/>
      <c r="O10177" s="105"/>
      <c r="P10177" s="105"/>
      <c r="Q10177" s="113"/>
      <c r="R10177" s="114"/>
      <c r="S10177" s="115"/>
    </row>
    <row r="10178" spans="1:19" x14ac:dyDescent="0.25">
      <c r="A10178" s="111"/>
      <c r="B10178" s="112"/>
      <c r="C10178" s="105"/>
      <c r="D10178" s="105"/>
      <c r="E10178" s="105"/>
      <c r="F10178" s="105"/>
      <c r="G10178" s="105"/>
      <c r="H10178" s="105"/>
      <c r="I10178" s="105"/>
      <c r="J10178" s="113"/>
      <c r="K10178" s="114"/>
      <c r="L10178" s="115"/>
      <c r="M10178" s="105"/>
      <c r="N10178" s="105"/>
      <c r="O10178" s="105"/>
      <c r="P10178" s="105"/>
      <c r="Q10178" s="113"/>
      <c r="R10178" s="114"/>
      <c r="S10178" s="115"/>
    </row>
    <row r="10179" spans="1:19" x14ac:dyDescent="0.25">
      <c r="A10179" s="111"/>
      <c r="B10179" s="112"/>
      <c r="C10179" s="105"/>
      <c r="D10179" s="105"/>
      <c r="E10179" s="105"/>
      <c r="F10179" s="105"/>
      <c r="G10179" s="105"/>
      <c r="H10179" s="105"/>
      <c r="I10179" s="105"/>
      <c r="J10179" s="113"/>
      <c r="K10179" s="114"/>
      <c r="L10179" s="115"/>
      <c r="M10179" s="105"/>
      <c r="N10179" s="105"/>
      <c r="O10179" s="105"/>
      <c r="P10179" s="105"/>
      <c r="Q10179" s="113"/>
      <c r="R10179" s="114"/>
      <c r="S10179" s="115"/>
    </row>
    <row r="10180" spans="1:19" x14ac:dyDescent="0.25">
      <c r="A10180" s="111"/>
      <c r="B10180" s="112"/>
      <c r="C10180" s="105"/>
      <c r="D10180" s="105"/>
      <c r="E10180" s="105"/>
      <c r="F10180" s="105"/>
      <c r="G10180" s="105"/>
      <c r="H10180" s="105"/>
      <c r="I10180" s="105"/>
      <c r="J10180" s="113"/>
      <c r="K10180" s="114"/>
      <c r="L10180" s="115"/>
      <c r="M10180" s="105"/>
      <c r="N10180" s="105"/>
      <c r="O10180" s="105"/>
      <c r="P10180" s="105"/>
      <c r="Q10180" s="113"/>
      <c r="R10180" s="114"/>
      <c r="S10180" s="115"/>
    </row>
    <row r="10181" spans="1:19" x14ac:dyDescent="0.25">
      <c r="A10181" s="111"/>
      <c r="B10181" s="112"/>
      <c r="C10181" s="105"/>
      <c r="D10181" s="105"/>
      <c r="E10181" s="105"/>
      <c r="F10181" s="105"/>
      <c r="G10181" s="105"/>
      <c r="H10181" s="105"/>
      <c r="I10181" s="105"/>
      <c r="J10181" s="113"/>
      <c r="K10181" s="114"/>
      <c r="L10181" s="115"/>
      <c r="M10181" s="105"/>
      <c r="N10181" s="105"/>
      <c r="O10181" s="105"/>
      <c r="P10181" s="105"/>
      <c r="Q10181" s="113"/>
      <c r="R10181" s="114"/>
      <c r="S10181" s="115"/>
    </row>
    <row r="10182" spans="1:19" x14ac:dyDescent="0.25">
      <c r="A10182" s="111"/>
      <c r="B10182" s="112"/>
      <c r="C10182" s="105"/>
      <c r="D10182" s="105"/>
      <c r="E10182" s="105"/>
      <c r="F10182" s="105"/>
      <c r="G10182" s="105"/>
      <c r="H10182" s="105"/>
      <c r="I10182" s="105"/>
      <c r="J10182" s="113"/>
      <c r="K10182" s="114"/>
      <c r="L10182" s="115"/>
      <c r="M10182" s="105"/>
      <c r="N10182" s="105"/>
      <c r="O10182" s="105"/>
      <c r="P10182" s="105"/>
      <c r="Q10182" s="113"/>
      <c r="R10182" s="114"/>
      <c r="S10182" s="115"/>
    </row>
    <row r="10183" spans="1:19" x14ac:dyDescent="0.25">
      <c r="A10183" s="111"/>
      <c r="B10183" s="112"/>
      <c r="C10183" s="105"/>
      <c r="D10183" s="105"/>
      <c r="E10183" s="105"/>
      <c r="F10183" s="105"/>
      <c r="G10183" s="105"/>
      <c r="H10183" s="105"/>
      <c r="I10183" s="105"/>
      <c r="J10183" s="113"/>
      <c r="K10183" s="114"/>
      <c r="L10183" s="115"/>
      <c r="M10183" s="105"/>
      <c r="N10183" s="105"/>
      <c r="O10183" s="105"/>
      <c r="P10183" s="105"/>
      <c r="Q10183" s="113"/>
      <c r="R10183" s="114"/>
      <c r="S10183" s="115"/>
    </row>
    <row r="10184" spans="1:19" x14ac:dyDescent="0.25">
      <c r="A10184" s="111"/>
      <c r="B10184" s="112"/>
      <c r="C10184" s="105"/>
      <c r="D10184" s="105"/>
      <c r="E10184" s="105"/>
      <c r="F10184" s="105"/>
      <c r="G10184" s="105"/>
      <c r="H10184" s="105"/>
      <c r="I10184" s="105"/>
      <c r="J10184" s="113"/>
      <c r="K10184" s="114"/>
      <c r="L10184" s="115"/>
      <c r="M10184" s="105"/>
      <c r="N10184" s="105"/>
      <c r="O10184" s="105"/>
      <c r="P10184" s="105"/>
      <c r="Q10184" s="113"/>
      <c r="R10184" s="114"/>
      <c r="S10184" s="115"/>
    </row>
    <row r="10185" spans="1:19" x14ac:dyDescent="0.25">
      <c r="A10185" s="111"/>
      <c r="B10185" s="112"/>
      <c r="C10185" s="105"/>
      <c r="D10185" s="105"/>
      <c r="E10185" s="105"/>
      <c r="F10185" s="105"/>
      <c r="G10185" s="105"/>
      <c r="H10185" s="105"/>
      <c r="I10185" s="105"/>
      <c r="J10185" s="113"/>
      <c r="K10185" s="114"/>
      <c r="L10185" s="115"/>
      <c r="M10185" s="105"/>
      <c r="N10185" s="105"/>
      <c r="O10185" s="105"/>
      <c r="P10185" s="105"/>
      <c r="Q10185" s="113"/>
      <c r="R10185" s="114"/>
      <c r="S10185" s="115"/>
    </row>
    <row r="10186" spans="1:19" x14ac:dyDescent="0.25">
      <c r="A10186" s="111"/>
      <c r="B10186" s="112"/>
      <c r="C10186" s="105"/>
      <c r="D10186" s="105"/>
      <c r="E10186" s="105"/>
      <c r="F10186" s="105"/>
      <c r="G10186" s="105"/>
      <c r="H10186" s="105"/>
      <c r="I10186" s="105"/>
      <c r="J10186" s="113"/>
      <c r="K10186" s="114"/>
      <c r="L10186" s="115"/>
      <c r="M10186" s="105"/>
      <c r="N10186" s="105"/>
      <c r="O10186" s="105"/>
      <c r="P10186" s="105"/>
      <c r="Q10186" s="113"/>
      <c r="R10186" s="114"/>
      <c r="S10186" s="115"/>
    </row>
    <row r="10187" spans="1:19" x14ac:dyDescent="0.25">
      <c r="A10187" s="111"/>
      <c r="B10187" s="112"/>
      <c r="C10187" s="105"/>
      <c r="D10187" s="105"/>
      <c r="E10187" s="105"/>
      <c r="F10187" s="105"/>
      <c r="G10187" s="105"/>
      <c r="H10187" s="105"/>
      <c r="I10187" s="105"/>
      <c r="J10187" s="113"/>
      <c r="K10187" s="114"/>
      <c r="L10187" s="115"/>
      <c r="M10187" s="105"/>
      <c r="N10187" s="105"/>
      <c r="O10187" s="105"/>
      <c r="P10187" s="105"/>
      <c r="Q10187" s="113"/>
      <c r="R10187" s="114"/>
      <c r="S10187" s="115"/>
    </row>
    <row r="10188" spans="1:19" x14ac:dyDescent="0.25">
      <c r="A10188" s="111"/>
      <c r="B10188" s="112"/>
      <c r="C10188" s="105"/>
      <c r="D10188" s="105"/>
      <c r="E10188" s="105"/>
      <c r="F10188" s="105"/>
      <c r="G10188" s="105"/>
      <c r="H10188" s="105"/>
      <c r="I10188" s="105"/>
      <c r="J10188" s="113"/>
      <c r="K10188" s="114"/>
      <c r="L10188" s="115"/>
      <c r="M10188" s="105"/>
      <c r="N10188" s="105"/>
      <c r="O10188" s="105"/>
      <c r="P10188" s="105"/>
      <c r="Q10188" s="113"/>
      <c r="R10188" s="114"/>
      <c r="S10188" s="115"/>
    </row>
    <row r="10189" spans="1:19" x14ac:dyDescent="0.25">
      <c r="A10189" s="111"/>
      <c r="B10189" s="112"/>
      <c r="C10189" s="105"/>
      <c r="D10189" s="105"/>
      <c r="E10189" s="105"/>
      <c r="F10189" s="105"/>
      <c r="G10189" s="105"/>
      <c r="H10189" s="105"/>
      <c r="I10189" s="105"/>
      <c r="J10189" s="113"/>
      <c r="K10189" s="114"/>
      <c r="L10189" s="115"/>
      <c r="M10189" s="105"/>
      <c r="N10189" s="105"/>
      <c r="O10189" s="105"/>
      <c r="P10189" s="105"/>
      <c r="Q10189" s="113"/>
      <c r="R10189" s="114"/>
      <c r="S10189" s="115"/>
    </row>
    <row r="10190" spans="1:19" x14ac:dyDescent="0.25">
      <c r="A10190" s="111"/>
      <c r="B10190" s="112"/>
      <c r="C10190" s="105"/>
      <c r="D10190" s="105"/>
      <c r="E10190" s="105"/>
      <c r="F10190" s="105"/>
      <c r="G10190" s="105"/>
      <c r="H10190" s="105"/>
      <c r="I10190" s="105"/>
      <c r="J10190" s="113"/>
      <c r="K10190" s="114"/>
      <c r="L10190" s="115"/>
      <c r="M10190" s="105"/>
      <c r="N10190" s="105"/>
      <c r="O10190" s="105"/>
      <c r="P10190" s="105"/>
      <c r="Q10190" s="113"/>
      <c r="R10190" s="114"/>
      <c r="S10190" s="115"/>
    </row>
    <row r="10191" spans="1:19" x14ac:dyDescent="0.25">
      <c r="A10191" s="111"/>
      <c r="B10191" s="112"/>
      <c r="C10191" s="105"/>
      <c r="D10191" s="105"/>
      <c r="E10191" s="105"/>
      <c r="F10191" s="105"/>
      <c r="G10191" s="105"/>
      <c r="H10191" s="105"/>
      <c r="I10191" s="105"/>
      <c r="J10191" s="113"/>
      <c r="K10191" s="114"/>
      <c r="L10191" s="115"/>
      <c r="M10191" s="105"/>
      <c r="N10191" s="105"/>
      <c r="O10191" s="105"/>
      <c r="P10191" s="105"/>
      <c r="Q10191" s="113"/>
      <c r="R10191" s="114"/>
      <c r="S10191" s="115"/>
    </row>
    <row r="10192" spans="1:19" x14ac:dyDescent="0.25">
      <c r="A10192" s="111"/>
      <c r="B10192" s="112"/>
      <c r="C10192" s="105"/>
      <c r="D10192" s="105"/>
      <c r="E10192" s="105"/>
      <c r="F10192" s="105"/>
      <c r="G10192" s="105"/>
      <c r="H10192" s="105"/>
      <c r="I10192" s="105"/>
      <c r="J10192" s="113"/>
      <c r="K10192" s="114"/>
      <c r="L10192" s="115"/>
      <c r="M10192" s="105"/>
      <c r="N10192" s="105"/>
      <c r="O10192" s="105"/>
      <c r="P10192" s="105"/>
      <c r="Q10192" s="113"/>
      <c r="R10192" s="114"/>
      <c r="S10192" s="115"/>
    </row>
    <row r="10193" spans="1:19" x14ac:dyDescent="0.25">
      <c r="A10193" s="111"/>
      <c r="B10193" s="112"/>
      <c r="C10193" s="105"/>
      <c r="D10193" s="105"/>
      <c r="E10193" s="105"/>
      <c r="F10193" s="105"/>
      <c r="G10193" s="105"/>
      <c r="H10193" s="105"/>
      <c r="I10193" s="105"/>
      <c r="J10193" s="113"/>
      <c r="K10193" s="114"/>
      <c r="L10193" s="115"/>
      <c r="M10193" s="105"/>
      <c r="N10193" s="105"/>
      <c r="O10193" s="105"/>
      <c r="P10193" s="105"/>
      <c r="Q10193" s="113"/>
      <c r="R10193" s="114"/>
      <c r="S10193" s="115"/>
    </row>
    <row r="10194" spans="1:19" x14ac:dyDescent="0.25">
      <c r="A10194" s="111"/>
      <c r="B10194" s="112"/>
      <c r="C10194" s="105"/>
      <c r="D10194" s="105"/>
      <c r="E10194" s="105"/>
      <c r="F10194" s="105"/>
      <c r="G10194" s="105"/>
      <c r="H10194" s="105"/>
      <c r="I10194" s="105"/>
      <c r="J10194" s="113"/>
      <c r="K10194" s="114"/>
      <c r="L10194" s="115"/>
      <c r="M10194" s="105"/>
      <c r="N10194" s="105"/>
      <c r="O10194" s="105"/>
      <c r="P10194" s="105"/>
      <c r="Q10194" s="113"/>
      <c r="R10194" s="114"/>
      <c r="S10194" s="115"/>
    </row>
    <row r="10195" spans="1:19" x14ac:dyDescent="0.25">
      <c r="A10195" s="111"/>
      <c r="B10195" s="112"/>
      <c r="C10195" s="105"/>
      <c r="D10195" s="105"/>
      <c r="E10195" s="105"/>
      <c r="F10195" s="105"/>
      <c r="G10195" s="105"/>
      <c r="H10195" s="105"/>
      <c r="I10195" s="105"/>
      <c r="J10195" s="113"/>
      <c r="K10195" s="114"/>
      <c r="L10195" s="115"/>
      <c r="M10195" s="105"/>
      <c r="N10195" s="105"/>
      <c r="O10195" s="105"/>
      <c r="P10195" s="105"/>
      <c r="Q10195" s="113"/>
      <c r="R10195" s="114"/>
      <c r="S10195" s="115"/>
    </row>
    <row r="10196" spans="1:19" x14ac:dyDescent="0.25">
      <c r="A10196" s="111"/>
      <c r="B10196" s="112"/>
      <c r="C10196" s="105"/>
      <c r="D10196" s="105"/>
      <c r="E10196" s="105"/>
      <c r="F10196" s="105"/>
      <c r="G10196" s="105"/>
      <c r="H10196" s="105"/>
      <c r="I10196" s="105"/>
      <c r="J10196" s="113"/>
      <c r="K10196" s="114"/>
      <c r="L10196" s="115"/>
      <c r="M10196" s="105"/>
      <c r="N10196" s="105"/>
      <c r="O10196" s="105"/>
      <c r="P10196" s="105"/>
      <c r="Q10196" s="113"/>
      <c r="R10196" s="114"/>
      <c r="S10196" s="115"/>
    </row>
    <row r="10197" spans="1:19" x14ac:dyDescent="0.25">
      <c r="A10197" s="111"/>
      <c r="B10197" s="112"/>
      <c r="C10197" s="105"/>
      <c r="D10197" s="105"/>
      <c r="E10197" s="105"/>
      <c r="F10197" s="105"/>
      <c r="G10197" s="105"/>
      <c r="H10197" s="105"/>
      <c r="I10197" s="105"/>
      <c r="J10197" s="113"/>
      <c r="K10197" s="114"/>
      <c r="L10197" s="115"/>
      <c r="M10197" s="105"/>
      <c r="N10197" s="105"/>
      <c r="O10197" s="105"/>
      <c r="P10197" s="105"/>
      <c r="Q10197" s="113"/>
      <c r="R10197" s="114"/>
      <c r="S10197" s="115"/>
    </row>
    <row r="10198" spans="1:19" x14ac:dyDescent="0.25">
      <c r="A10198" s="111"/>
      <c r="B10198" s="112"/>
      <c r="C10198" s="105"/>
      <c r="D10198" s="105"/>
      <c r="E10198" s="105"/>
      <c r="F10198" s="105"/>
      <c r="G10198" s="105"/>
      <c r="H10198" s="105"/>
      <c r="I10198" s="105"/>
      <c r="J10198" s="113"/>
      <c r="K10198" s="114"/>
      <c r="L10198" s="115"/>
      <c r="M10198" s="105"/>
      <c r="N10198" s="105"/>
      <c r="O10198" s="105"/>
      <c r="P10198" s="105"/>
      <c r="Q10198" s="113"/>
      <c r="R10198" s="114"/>
      <c r="S10198" s="115"/>
    </row>
    <row r="10199" spans="1:19" x14ac:dyDescent="0.25">
      <c r="A10199" s="111"/>
      <c r="B10199" s="112"/>
      <c r="C10199" s="105"/>
      <c r="D10199" s="105"/>
      <c r="E10199" s="105"/>
      <c r="F10199" s="105"/>
      <c r="G10199" s="105"/>
      <c r="H10199" s="105"/>
      <c r="I10199" s="105"/>
      <c r="J10199" s="113"/>
      <c r="K10199" s="114"/>
      <c r="L10199" s="115"/>
      <c r="M10199" s="105"/>
      <c r="N10199" s="105"/>
      <c r="O10199" s="105"/>
      <c r="P10199" s="105"/>
      <c r="Q10199" s="113"/>
      <c r="R10199" s="114"/>
      <c r="S10199" s="115"/>
    </row>
    <row r="10200" spans="1:19" x14ac:dyDescent="0.25">
      <c r="A10200" s="111"/>
      <c r="B10200" s="112"/>
      <c r="C10200" s="105"/>
      <c r="D10200" s="105"/>
      <c r="E10200" s="105"/>
      <c r="F10200" s="105"/>
      <c r="G10200" s="105"/>
      <c r="H10200" s="105"/>
      <c r="I10200" s="105"/>
      <c r="J10200" s="113"/>
      <c r="K10200" s="114"/>
      <c r="L10200" s="115"/>
      <c r="M10200" s="105"/>
      <c r="N10200" s="105"/>
      <c r="O10200" s="105"/>
      <c r="P10200" s="105"/>
      <c r="Q10200" s="113"/>
      <c r="R10200" s="114"/>
      <c r="S10200" s="115"/>
    </row>
    <row r="10201" spans="1:19" x14ac:dyDescent="0.25">
      <c r="A10201" s="111"/>
      <c r="B10201" s="112"/>
      <c r="C10201" s="105"/>
      <c r="D10201" s="105"/>
      <c r="E10201" s="105"/>
      <c r="F10201" s="105"/>
      <c r="G10201" s="105"/>
      <c r="H10201" s="105"/>
      <c r="I10201" s="105"/>
      <c r="J10201" s="113"/>
      <c r="K10201" s="114"/>
      <c r="L10201" s="115"/>
      <c r="M10201" s="105"/>
      <c r="N10201" s="105"/>
      <c r="O10201" s="105"/>
      <c r="P10201" s="105"/>
      <c r="Q10201" s="113"/>
      <c r="R10201" s="114"/>
      <c r="S10201" s="115"/>
    </row>
    <row r="10202" spans="1:19" x14ac:dyDescent="0.25">
      <c r="A10202" s="111"/>
      <c r="B10202" s="112"/>
      <c r="C10202" s="105"/>
      <c r="D10202" s="105"/>
      <c r="E10202" s="105"/>
      <c r="F10202" s="105"/>
      <c r="G10202" s="105"/>
      <c r="H10202" s="105"/>
      <c r="I10202" s="105"/>
      <c r="J10202" s="113"/>
      <c r="K10202" s="114"/>
      <c r="L10202" s="115"/>
      <c r="M10202" s="105"/>
      <c r="N10202" s="105"/>
      <c r="O10202" s="105"/>
      <c r="P10202" s="105"/>
      <c r="Q10202" s="113"/>
      <c r="R10202" s="114"/>
      <c r="S10202" s="115"/>
    </row>
    <row r="10203" spans="1:19" x14ac:dyDescent="0.25">
      <c r="A10203" s="111"/>
      <c r="B10203" s="112"/>
      <c r="C10203" s="105"/>
      <c r="D10203" s="105"/>
      <c r="E10203" s="105"/>
      <c r="F10203" s="105"/>
      <c r="G10203" s="105"/>
      <c r="H10203" s="105"/>
      <c r="I10203" s="105"/>
      <c r="J10203" s="113"/>
      <c r="K10203" s="114"/>
      <c r="L10203" s="115"/>
      <c r="M10203" s="105"/>
      <c r="N10203" s="105"/>
      <c r="O10203" s="105"/>
      <c r="P10203" s="105"/>
      <c r="Q10203" s="113"/>
      <c r="R10203" s="114"/>
      <c r="S10203" s="115"/>
    </row>
    <row r="10204" spans="1:19" x14ac:dyDescent="0.25">
      <c r="A10204" s="111"/>
      <c r="B10204" s="112"/>
      <c r="C10204" s="105"/>
      <c r="D10204" s="105"/>
      <c r="E10204" s="105"/>
      <c r="F10204" s="105"/>
      <c r="G10204" s="105"/>
      <c r="H10204" s="105"/>
      <c r="I10204" s="105"/>
      <c r="J10204" s="113"/>
      <c r="K10204" s="114"/>
      <c r="L10204" s="115"/>
      <c r="M10204" s="105"/>
      <c r="N10204" s="105"/>
      <c r="O10204" s="105"/>
      <c r="P10204" s="105"/>
      <c r="Q10204" s="113"/>
      <c r="R10204" s="114"/>
      <c r="S10204" s="115"/>
    </row>
    <row r="10205" spans="1:19" x14ac:dyDescent="0.25">
      <c r="A10205" s="111"/>
      <c r="B10205" s="112"/>
      <c r="C10205" s="105"/>
      <c r="D10205" s="105"/>
      <c r="E10205" s="105"/>
      <c r="F10205" s="105"/>
      <c r="G10205" s="105"/>
      <c r="H10205" s="105"/>
      <c r="I10205" s="105"/>
      <c r="J10205" s="113"/>
      <c r="K10205" s="114"/>
      <c r="L10205" s="115"/>
      <c r="M10205" s="105"/>
      <c r="N10205" s="105"/>
      <c r="O10205" s="105"/>
      <c r="P10205" s="105"/>
      <c r="Q10205" s="113"/>
      <c r="R10205" s="114"/>
      <c r="S10205" s="115"/>
    </row>
    <row r="10206" spans="1:19" x14ac:dyDescent="0.25">
      <c r="A10206" s="111"/>
      <c r="B10206" s="112"/>
      <c r="C10206" s="105"/>
      <c r="D10206" s="105"/>
      <c r="E10206" s="105"/>
      <c r="F10206" s="105"/>
      <c r="G10206" s="105"/>
      <c r="H10206" s="105"/>
      <c r="I10206" s="105"/>
      <c r="J10206" s="113"/>
      <c r="K10206" s="114"/>
      <c r="L10206" s="115"/>
      <c r="M10206" s="105"/>
      <c r="N10206" s="105"/>
      <c r="O10206" s="105"/>
      <c r="P10206" s="105"/>
      <c r="Q10206" s="113"/>
      <c r="R10206" s="114"/>
      <c r="S10206" s="115"/>
    </row>
    <row r="10207" spans="1:19" x14ac:dyDescent="0.25">
      <c r="A10207" s="111"/>
      <c r="B10207" s="112"/>
      <c r="C10207" s="105"/>
      <c r="D10207" s="105"/>
      <c r="E10207" s="105"/>
      <c r="F10207" s="105"/>
      <c r="G10207" s="105"/>
      <c r="H10207" s="105"/>
      <c r="I10207" s="105"/>
      <c r="J10207" s="113"/>
      <c r="K10207" s="114"/>
      <c r="L10207" s="115"/>
      <c r="M10207" s="105"/>
      <c r="N10207" s="105"/>
      <c r="O10207" s="105"/>
      <c r="P10207" s="105"/>
      <c r="Q10207" s="113"/>
      <c r="R10207" s="114"/>
      <c r="S10207" s="115"/>
    </row>
    <row r="10208" spans="1:19" x14ac:dyDescent="0.25">
      <c r="A10208" s="111"/>
      <c r="B10208" s="112"/>
      <c r="C10208" s="105"/>
      <c r="D10208" s="105"/>
      <c r="E10208" s="105"/>
      <c r="F10208" s="105"/>
      <c r="G10208" s="105"/>
      <c r="H10208" s="105"/>
      <c r="I10208" s="105"/>
      <c r="J10208" s="113"/>
      <c r="K10208" s="114"/>
      <c r="L10208" s="115"/>
      <c r="M10208" s="105"/>
      <c r="N10208" s="105"/>
      <c r="O10208" s="105"/>
      <c r="P10208" s="105"/>
      <c r="Q10208" s="113"/>
      <c r="R10208" s="114"/>
      <c r="S10208" s="115"/>
    </row>
    <row r="10209" spans="1:19" x14ac:dyDescent="0.25">
      <c r="A10209" s="111"/>
      <c r="B10209" s="112"/>
      <c r="C10209" s="105"/>
      <c r="D10209" s="105"/>
      <c r="E10209" s="105"/>
      <c r="F10209" s="105"/>
      <c r="G10209" s="105"/>
      <c r="H10209" s="105"/>
      <c r="I10209" s="105"/>
      <c r="J10209" s="113"/>
      <c r="K10209" s="114"/>
      <c r="L10209" s="115"/>
      <c r="M10209" s="105"/>
      <c r="N10209" s="105"/>
      <c r="O10209" s="105"/>
      <c r="P10209" s="105"/>
      <c r="Q10209" s="113"/>
      <c r="R10209" s="114"/>
      <c r="S10209" s="115"/>
    </row>
    <row r="10210" spans="1:19" x14ac:dyDescent="0.25">
      <c r="A10210" s="111"/>
      <c r="B10210" s="112"/>
      <c r="C10210" s="105"/>
      <c r="D10210" s="105"/>
      <c r="E10210" s="105"/>
      <c r="F10210" s="105"/>
      <c r="G10210" s="105"/>
      <c r="H10210" s="105"/>
      <c r="I10210" s="105"/>
      <c r="J10210" s="113"/>
      <c r="K10210" s="114"/>
      <c r="L10210" s="115"/>
      <c r="M10210" s="105"/>
      <c r="N10210" s="105"/>
      <c r="O10210" s="105"/>
      <c r="P10210" s="105"/>
      <c r="Q10210" s="113"/>
      <c r="R10210" s="114"/>
      <c r="S10210" s="115"/>
    </row>
    <row r="10211" spans="1:19" x14ac:dyDescent="0.25">
      <c r="A10211" s="111"/>
      <c r="B10211" s="112"/>
      <c r="C10211" s="105"/>
      <c r="D10211" s="105"/>
      <c r="E10211" s="105"/>
      <c r="F10211" s="105"/>
      <c r="G10211" s="105"/>
      <c r="H10211" s="105"/>
      <c r="I10211" s="105"/>
      <c r="J10211" s="113"/>
      <c r="K10211" s="114"/>
      <c r="L10211" s="115"/>
      <c r="M10211" s="105"/>
      <c r="N10211" s="105"/>
      <c r="O10211" s="105"/>
      <c r="P10211" s="105"/>
      <c r="Q10211" s="113"/>
      <c r="R10211" s="114"/>
      <c r="S10211" s="115"/>
    </row>
    <row r="10212" spans="1:19" x14ac:dyDescent="0.25">
      <c r="A10212" s="111"/>
      <c r="B10212" s="112"/>
      <c r="C10212" s="105"/>
      <c r="D10212" s="105"/>
      <c r="E10212" s="105"/>
      <c r="F10212" s="105"/>
      <c r="G10212" s="105"/>
      <c r="H10212" s="105"/>
      <c r="I10212" s="105"/>
      <c r="J10212" s="113"/>
      <c r="K10212" s="114"/>
      <c r="L10212" s="115"/>
      <c r="M10212" s="105"/>
      <c r="N10212" s="105"/>
      <c r="O10212" s="105"/>
      <c r="P10212" s="105"/>
      <c r="Q10212" s="113"/>
      <c r="R10212" s="114"/>
      <c r="S10212" s="115"/>
    </row>
    <row r="10213" spans="1:19" x14ac:dyDescent="0.25">
      <c r="A10213" s="111"/>
      <c r="B10213" s="112"/>
      <c r="C10213" s="105"/>
      <c r="D10213" s="105"/>
      <c r="E10213" s="105"/>
      <c r="F10213" s="105"/>
      <c r="G10213" s="105"/>
      <c r="H10213" s="105"/>
      <c r="I10213" s="105"/>
      <c r="J10213" s="113"/>
      <c r="K10213" s="114"/>
      <c r="L10213" s="115"/>
      <c r="M10213" s="105"/>
      <c r="N10213" s="105"/>
      <c r="O10213" s="105"/>
      <c r="P10213" s="105"/>
      <c r="Q10213" s="113"/>
      <c r="R10213" s="114"/>
      <c r="S10213" s="115"/>
    </row>
    <row r="10214" spans="1:19" x14ac:dyDescent="0.25">
      <c r="A10214" s="111"/>
      <c r="B10214" s="112"/>
      <c r="C10214" s="105"/>
      <c r="D10214" s="105"/>
      <c r="E10214" s="105"/>
      <c r="F10214" s="105"/>
      <c r="G10214" s="105"/>
      <c r="H10214" s="105"/>
      <c r="I10214" s="105"/>
      <c r="J10214" s="113"/>
      <c r="K10214" s="114"/>
      <c r="L10214" s="115"/>
      <c r="M10214" s="105"/>
      <c r="N10214" s="105"/>
      <c r="O10214" s="105"/>
      <c r="P10214" s="105"/>
      <c r="Q10214" s="113"/>
      <c r="R10214" s="114"/>
      <c r="S10214" s="115"/>
    </row>
    <row r="10215" spans="1:19" x14ac:dyDescent="0.25">
      <c r="A10215" s="111"/>
      <c r="B10215" s="112"/>
      <c r="C10215" s="105"/>
      <c r="D10215" s="105"/>
      <c r="E10215" s="105"/>
      <c r="F10215" s="105"/>
      <c r="G10215" s="105"/>
      <c r="H10215" s="105"/>
      <c r="I10215" s="105"/>
      <c r="J10215" s="113"/>
      <c r="K10215" s="114"/>
      <c r="L10215" s="115"/>
      <c r="M10215" s="105"/>
      <c r="N10215" s="105"/>
      <c r="O10215" s="105"/>
      <c r="P10215" s="105"/>
      <c r="Q10215" s="113"/>
      <c r="R10215" s="114"/>
      <c r="S10215" s="115"/>
    </row>
    <row r="10216" spans="1:19" x14ac:dyDescent="0.25">
      <c r="A10216" s="111"/>
      <c r="B10216" s="112"/>
      <c r="C10216" s="105"/>
      <c r="D10216" s="105"/>
      <c r="E10216" s="105"/>
      <c r="F10216" s="105"/>
      <c r="G10216" s="105"/>
      <c r="H10216" s="105"/>
      <c r="I10216" s="105"/>
      <c r="J10216" s="113"/>
      <c r="K10216" s="114"/>
      <c r="L10216" s="115"/>
      <c r="M10216" s="105"/>
      <c r="N10216" s="105"/>
      <c r="O10216" s="105"/>
      <c r="P10216" s="105"/>
      <c r="Q10216" s="113"/>
      <c r="R10216" s="114"/>
      <c r="S10216" s="115"/>
    </row>
    <row r="10217" spans="1:19" x14ac:dyDescent="0.25">
      <c r="A10217" s="111"/>
      <c r="B10217" s="112"/>
      <c r="C10217" s="105"/>
      <c r="D10217" s="105"/>
      <c r="E10217" s="105"/>
      <c r="F10217" s="105"/>
      <c r="G10217" s="105"/>
      <c r="H10217" s="105"/>
      <c r="I10217" s="105"/>
      <c r="J10217" s="113"/>
      <c r="K10217" s="114"/>
      <c r="L10217" s="115"/>
      <c r="M10217" s="105"/>
      <c r="N10217" s="105"/>
      <c r="O10217" s="105"/>
      <c r="P10217" s="105"/>
      <c r="Q10217" s="113"/>
      <c r="R10217" s="114"/>
      <c r="S10217" s="115"/>
    </row>
    <row r="10218" spans="1:19" x14ac:dyDescent="0.25">
      <c r="A10218" s="111"/>
      <c r="B10218" s="112"/>
      <c r="C10218" s="105"/>
      <c r="D10218" s="105"/>
      <c r="E10218" s="105"/>
      <c r="F10218" s="105"/>
      <c r="G10218" s="105"/>
      <c r="H10218" s="105"/>
      <c r="I10218" s="105"/>
      <c r="J10218" s="113"/>
      <c r="K10218" s="114"/>
      <c r="L10218" s="115"/>
      <c r="M10218" s="105"/>
      <c r="N10218" s="105"/>
      <c r="O10218" s="105"/>
      <c r="P10218" s="105"/>
      <c r="Q10218" s="113"/>
      <c r="R10218" s="114"/>
      <c r="S10218" s="115"/>
    </row>
    <row r="10219" spans="1:19" x14ac:dyDescent="0.25">
      <c r="A10219" s="111"/>
      <c r="B10219" s="112"/>
      <c r="C10219" s="105"/>
      <c r="D10219" s="105"/>
      <c r="E10219" s="105"/>
      <c r="F10219" s="105"/>
      <c r="G10219" s="105"/>
      <c r="H10219" s="105"/>
      <c r="I10219" s="105"/>
      <c r="J10219" s="113"/>
      <c r="K10219" s="114"/>
      <c r="L10219" s="115"/>
      <c r="M10219" s="105"/>
      <c r="N10219" s="105"/>
      <c r="O10219" s="105"/>
      <c r="P10219" s="105"/>
      <c r="Q10219" s="113"/>
      <c r="R10219" s="114"/>
      <c r="S10219" s="115"/>
    </row>
    <row r="10220" spans="1:19" x14ac:dyDescent="0.25">
      <c r="A10220" s="111"/>
      <c r="B10220" s="112"/>
      <c r="C10220" s="105"/>
      <c r="D10220" s="105"/>
      <c r="E10220" s="105"/>
      <c r="F10220" s="105"/>
      <c r="G10220" s="105"/>
      <c r="H10220" s="105"/>
      <c r="I10220" s="105"/>
      <c r="J10220" s="113"/>
      <c r="K10220" s="114"/>
      <c r="L10220" s="115"/>
      <c r="M10220" s="105"/>
      <c r="N10220" s="105"/>
      <c r="O10220" s="105"/>
      <c r="P10220" s="105"/>
      <c r="Q10220" s="113"/>
      <c r="R10220" s="114"/>
      <c r="S10220" s="115"/>
    </row>
    <row r="10221" spans="1:19" x14ac:dyDescent="0.25">
      <c r="A10221" s="111"/>
      <c r="B10221" s="112"/>
      <c r="C10221" s="105"/>
      <c r="D10221" s="105"/>
      <c r="E10221" s="105"/>
      <c r="F10221" s="105"/>
      <c r="G10221" s="105"/>
      <c r="H10221" s="105"/>
      <c r="I10221" s="105"/>
      <c r="J10221" s="113"/>
      <c r="K10221" s="114"/>
      <c r="L10221" s="115"/>
      <c r="M10221" s="105"/>
      <c r="N10221" s="105"/>
      <c r="O10221" s="105"/>
      <c r="P10221" s="105"/>
      <c r="Q10221" s="113"/>
      <c r="R10221" s="114"/>
      <c r="S10221" s="115"/>
    </row>
    <row r="10222" spans="1:19" x14ac:dyDescent="0.25">
      <c r="A10222" s="111"/>
      <c r="B10222" s="112"/>
      <c r="C10222" s="105"/>
      <c r="D10222" s="105"/>
      <c r="E10222" s="105"/>
      <c r="F10222" s="105"/>
      <c r="G10222" s="105"/>
      <c r="H10222" s="105"/>
      <c r="I10222" s="105"/>
      <c r="J10222" s="113"/>
      <c r="K10222" s="114"/>
      <c r="L10222" s="115"/>
      <c r="M10222" s="105"/>
      <c r="N10222" s="105"/>
      <c r="O10222" s="105"/>
      <c r="P10222" s="105"/>
      <c r="Q10222" s="113"/>
      <c r="R10222" s="114"/>
      <c r="S10222" s="115"/>
    </row>
    <row r="10223" spans="1:19" x14ac:dyDescent="0.25">
      <c r="A10223" s="111"/>
      <c r="B10223" s="112"/>
      <c r="C10223" s="105"/>
      <c r="D10223" s="105"/>
      <c r="E10223" s="105"/>
      <c r="F10223" s="105"/>
      <c r="G10223" s="105"/>
      <c r="H10223" s="105"/>
      <c r="I10223" s="105"/>
      <c r="J10223" s="113"/>
      <c r="K10223" s="114"/>
      <c r="L10223" s="115"/>
      <c r="M10223" s="105"/>
      <c r="N10223" s="105"/>
      <c r="O10223" s="105"/>
      <c r="P10223" s="105"/>
      <c r="Q10223" s="113"/>
      <c r="R10223" s="114"/>
      <c r="S10223" s="115"/>
    </row>
    <row r="10224" spans="1:19" x14ac:dyDescent="0.25">
      <c r="A10224" s="111"/>
      <c r="B10224" s="112"/>
      <c r="C10224" s="105"/>
      <c r="D10224" s="105"/>
      <c r="E10224" s="105"/>
      <c r="F10224" s="105"/>
      <c r="G10224" s="105"/>
      <c r="H10224" s="105"/>
      <c r="I10224" s="105"/>
      <c r="J10224" s="113"/>
      <c r="K10224" s="114"/>
      <c r="L10224" s="115"/>
      <c r="M10224" s="105"/>
      <c r="N10224" s="105"/>
      <c r="O10224" s="105"/>
      <c r="P10224" s="105"/>
      <c r="Q10224" s="113"/>
      <c r="R10224" s="114"/>
      <c r="S10224" s="115"/>
    </row>
    <row r="10225" spans="1:19" x14ac:dyDescent="0.25">
      <c r="A10225" s="111"/>
      <c r="B10225" s="112"/>
      <c r="C10225" s="105"/>
      <c r="D10225" s="105"/>
      <c r="E10225" s="105"/>
      <c r="F10225" s="105"/>
      <c r="G10225" s="105"/>
      <c r="H10225" s="105"/>
      <c r="I10225" s="105"/>
      <c r="J10225" s="113"/>
      <c r="K10225" s="114"/>
      <c r="L10225" s="115"/>
      <c r="M10225" s="105"/>
      <c r="N10225" s="105"/>
      <c r="O10225" s="105"/>
      <c r="P10225" s="105"/>
      <c r="Q10225" s="113"/>
      <c r="R10225" s="114"/>
      <c r="S10225" s="115"/>
    </row>
    <row r="10226" spans="1:19" x14ac:dyDescent="0.25">
      <c r="A10226" s="111"/>
      <c r="B10226" s="112"/>
      <c r="C10226" s="105"/>
      <c r="D10226" s="105"/>
      <c r="E10226" s="105"/>
      <c r="F10226" s="105"/>
      <c r="G10226" s="105"/>
      <c r="H10226" s="105"/>
      <c r="I10226" s="105"/>
      <c r="J10226" s="113"/>
      <c r="K10226" s="114"/>
      <c r="L10226" s="115"/>
      <c r="M10226" s="105"/>
      <c r="N10226" s="105"/>
      <c r="O10226" s="105"/>
      <c r="P10226" s="105"/>
      <c r="Q10226" s="113"/>
      <c r="R10226" s="114"/>
      <c r="S10226" s="115"/>
    </row>
    <row r="10227" spans="1:19" x14ac:dyDescent="0.25">
      <c r="A10227" s="111"/>
      <c r="B10227" s="112"/>
      <c r="C10227" s="105"/>
      <c r="D10227" s="105"/>
      <c r="E10227" s="105"/>
      <c r="F10227" s="105"/>
      <c r="G10227" s="105"/>
      <c r="H10227" s="105"/>
      <c r="I10227" s="105"/>
      <c r="J10227" s="113"/>
      <c r="K10227" s="114"/>
      <c r="L10227" s="115"/>
      <c r="M10227" s="105"/>
      <c r="N10227" s="105"/>
      <c r="O10227" s="105"/>
      <c r="P10227" s="105"/>
      <c r="Q10227" s="113"/>
      <c r="R10227" s="114"/>
      <c r="S10227" s="115"/>
    </row>
    <row r="10228" spans="1:19" x14ac:dyDescent="0.25">
      <c r="A10228" s="111"/>
      <c r="B10228" s="112"/>
      <c r="C10228" s="105"/>
      <c r="D10228" s="105"/>
      <c r="E10228" s="105"/>
      <c r="F10228" s="105"/>
      <c r="G10228" s="105"/>
      <c r="H10228" s="105"/>
      <c r="I10228" s="105"/>
      <c r="J10228" s="113"/>
      <c r="K10228" s="114"/>
      <c r="L10228" s="115"/>
      <c r="M10228" s="105"/>
      <c r="N10228" s="105"/>
      <c r="O10228" s="105"/>
      <c r="P10228" s="105"/>
      <c r="Q10228" s="113"/>
      <c r="R10228" s="114"/>
      <c r="S10228" s="115"/>
    </row>
    <row r="10229" spans="1:19" x14ac:dyDescent="0.25">
      <c r="A10229" s="111"/>
      <c r="B10229" s="112"/>
      <c r="C10229" s="105"/>
      <c r="D10229" s="105"/>
      <c r="E10229" s="105"/>
      <c r="F10229" s="105"/>
      <c r="G10229" s="105"/>
      <c r="H10229" s="105"/>
      <c r="I10229" s="105"/>
      <c r="J10229" s="113"/>
      <c r="K10229" s="114"/>
      <c r="L10229" s="115"/>
      <c r="M10229" s="105"/>
      <c r="N10229" s="105"/>
      <c r="O10229" s="105"/>
      <c r="P10229" s="105"/>
      <c r="Q10229" s="113"/>
      <c r="R10229" s="114"/>
      <c r="S10229" s="115"/>
    </row>
    <row r="10230" spans="1:19" x14ac:dyDescent="0.25">
      <c r="A10230" s="111"/>
      <c r="B10230" s="112"/>
      <c r="C10230" s="105"/>
      <c r="D10230" s="105"/>
      <c r="E10230" s="105"/>
      <c r="F10230" s="105"/>
      <c r="G10230" s="105"/>
      <c r="H10230" s="105"/>
      <c r="I10230" s="105"/>
      <c r="J10230" s="113"/>
      <c r="K10230" s="114"/>
      <c r="L10230" s="115"/>
      <c r="M10230" s="105"/>
      <c r="N10230" s="105"/>
      <c r="O10230" s="105"/>
      <c r="P10230" s="105"/>
      <c r="Q10230" s="113"/>
      <c r="R10230" s="114"/>
      <c r="S10230" s="115"/>
    </row>
    <row r="10231" spans="1:19" x14ac:dyDescent="0.25">
      <c r="A10231" s="111"/>
      <c r="B10231" s="112"/>
      <c r="C10231" s="105"/>
      <c r="D10231" s="105"/>
      <c r="E10231" s="105"/>
      <c r="F10231" s="105"/>
      <c r="G10231" s="105"/>
      <c r="H10231" s="105"/>
      <c r="I10231" s="105"/>
      <c r="J10231" s="113"/>
      <c r="K10231" s="114"/>
      <c r="L10231" s="115"/>
      <c r="M10231" s="105"/>
      <c r="N10231" s="105"/>
      <c r="O10231" s="105"/>
      <c r="P10231" s="105"/>
      <c r="Q10231" s="113"/>
      <c r="R10231" s="114"/>
      <c r="S10231" s="115"/>
    </row>
    <row r="10232" spans="1:19" x14ac:dyDescent="0.25">
      <c r="A10232" s="111"/>
      <c r="B10232" s="112"/>
      <c r="C10232" s="105"/>
      <c r="D10232" s="105"/>
      <c r="E10232" s="105"/>
      <c r="F10232" s="105"/>
      <c r="G10232" s="105"/>
      <c r="H10232" s="105"/>
      <c r="I10232" s="105"/>
      <c r="J10232" s="113"/>
      <c r="K10232" s="114"/>
      <c r="L10232" s="115"/>
      <c r="M10232" s="105"/>
      <c r="N10232" s="105"/>
      <c r="O10232" s="105"/>
      <c r="P10232" s="105"/>
      <c r="Q10232" s="113"/>
      <c r="R10232" s="114"/>
      <c r="S10232" s="115"/>
    </row>
    <row r="10233" spans="1:19" x14ac:dyDescent="0.25">
      <c r="A10233" s="111"/>
      <c r="B10233" s="112"/>
      <c r="C10233" s="105"/>
      <c r="D10233" s="105"/>
      <c r="E10233" s="105"/>
      <c r="F10233" s="105"/>
      <c r="G10233" s="105"/>
      <c r="H10233" s="105"/>
      <c r="I10233" s="105"/>
      <c r="J10233" s="113"/>
      <c r="K10233" s="114"/>
      <c r="L10233" s="115"/>
      <c r="M10233" s="105"/>
      <c r="N10233" s="105"/>
      <c r="O10233" s="105"/>
      <c r="P10233" s="105"/>
      <c r="Q10233" s="113"/>
      <c r="R10233" s="114"/>
      <c r="S10233" s="115"/>
    </row>
    <row r="10234" spans="1:19" x14ac:dyDescent="0.25">
      <c r="A10234" s="111"/>
      <c r="B10234" s="112"/>
      <c r="C10234" s="105"/>
      <c r="D10234" s="105"/>
      <c r="E10234" s="105"/>
      <c r="F10234" s="105"/>
      <c r="G10234" s="105"/>
      <c r="H10234" s="105"/>
      <c r="I10234" s="105"/>
      <c r="J10234" s="113"/>
      <c r="K10234" s="114"/>
      <c r="L10234" s="115"/>
      <c r="M10234" s="105"/>
      <c r="N10234" s="105"/>
      <c r="O10234" s="105"/>
      <c r="P10234" s="105"/>
      <c r="Q10234" s="113"/>
      <c r="R10234" s="114"/>
      <c r="S10234" s="115"/>
    </row>
    <row r="10235" spans="1:19" x14ac:dyDescent="0.25">
      <c r="A10235" s="111"/>
      <c r="B10235" s="112"/>
      <c r="C10235" s="105"/>
      <c r="D10235" s="105"/>
      <c r="E10235" s="105"/>
      <c r="F10235" s="105"/>
      <c r="G10235" s="105"/>
      <c r="H10235" s="105"/>
      <c r="I10235" s="105"/>
      <c r="J10235" s="113"/>
      <c r="K10235" s="114"/>
      <c r="L10235" s="115"/>
      <c r="M10235" s="105"/>
      <c r="N10235" s="105"/>
      <c r="O10235" s="105"/>
      <c r="P10235" s="105"/>
      <c r="Q10235" s="113"/>
      <c r="R10235" s="114"/>
      <c r="S10235" s="115"/>
    </row>
    <row r="10236" spans="1:19" x14ac:dyDescent="0.25">
      <c r="A10236" s="111"/>
      <c r="B10236" s="112"/>
      <c r="C10236" s="105"/>
      <c r="D10236" s="105"/>
      <c r="E10236" s="105"/>
      <c r="F10236" s="105"/>
      <c r="G10236" s="105"/>
      <c r="H10236" s="105"/>
      <c r="I10236" s="105"/>
      <c r="J10236" s="113"/>
      <c r="K10236" s="114"/>
      <c r="L10236" s="115"/>
      <c r="M10236" s="105"/>
      <c r="N10236" s="105"/>
      <c r="O10236" s="105"/>
      <c r="P10236" s="105"/>
      <c r="Q10236" s="113"/>
      <c r="R10236" s="114"/>
      <c r="S10236" s="115"/>
    </row>
    <row r="10237" spans="1:19" x14ac:dyDescent="0.25">
      <c r="A10237" s="111"/>
      <c r="B10237" s="112"/>
      <c r="C10237" s="105"/>
      <c r="D10237" s="105"/>
      <c r="E10237" s="105"/>
      <c r="F10237" s="105"/>
      <c r="G10237" s="105"/>
      <c r="H10237" s="105"/>
      <c r="I10237" s="105"/>
      <c r="J10237" s="113"/>
      <c r="K10237" s="114"/>
      <c r="L10237" s="115"/>
      <c r="M10237" s="105"/>
      <c r="N10237" s="105"/>
      <c r="O10237" s="105"/>
      <c r="P10237" s="105"/>
      <c r="Q10237" s="113"/>
      <c r="R10237" s="114"/>
      <c r="S10237" s="115"/>
    </row>
    <row r="10238" spans="1:19" x14ac:dyDescent="0.25">
      <c r="A10238" s="111"/>
      <c r="B10238" s="112"/>
      <c r="C10238" s="105"/>
      <c r="D10238" s="105"/>
      <c r="E10238" s="105"/>
      <c r="F10238" s="105"/>
      <c r="G10238" s="105"/>
      <c r="H10238" s="105"/>
      <c r="I10238" s="105"/>
      <c r="J10238" s="113"/>
      <c r="K10238" s="114"/>
      <c r="L10238" s="115"/>
      <c r="M10238" s="105"/>
      <c r="N10238" s="105"/>
      <c r="O10238" s="105"/>
      <c r="P10238" s="105"/>
      <c r="Q10238" s="113"/>
      <c r="R10238" s="114"/>
      <c r="S10238" s="115"/>
    </row>
    <row r="10239" spans="1:19" x14ac:dyDescent="0.25">
      <c r="A10239" s="111"/>
      <c r="B10239" s="112"/>
      <c r="C10239" s="105"/>
      <c r="D10239" s="105"/>
      <c r="E10239" s="105"/>
      <c r="F10239" s="105"/>
      <c r="G10239" s="105"/>
      <c r="H10239" s="105"/>
      <c r="I10239" s="105"/>
      <c r="J10239" s="113"/>
      <c r="K10239" s="114"/>
      <c r="L10239" s="115"/>
      <c r="M10239" s="105"/>
      <c r="N10239" s="105"/>
      <c r="O10239" s="105"/>
      <c r="P10239" s="105"/>
      <c r="Q10239" s="113"/>
      <c r="R10239" s="114"/>
      <c r="S10239" s="115"/>
    </row>
    <row r="10240" spans="1:19" x14ac:dyDescent="0.25">
      <c r="A10240" s="111"/>
      <c r="B10240" s="112"/>
      <c r="C10240" s="105"/>
      <c r="D10240" s="105"/>
      <c r="E10240" s="105"/>
      <c r="F10240" s="105"/>
      <c r="G10240" s="105"/>
      <c r="H10240" s="105"/>
      <c r="I10240" s="105"/>
      <c r="J10240" s="113"/>
      <c r="K10240" s="114"/>
      <c r="L10240" s="115"/>
      <c r="M10240" s="105"/>
      <c r="N10240" s="105"/>
      <c r="O10240" s="105"/>
      <c r="P10240" s="105"/>
      <c r="Q10240" s="113"/>
      <c r="R10240" s="114"/>
      <c r="S10240" s="115"/>
    </row>
    <row r="10241" spans="1:19" x14ac:dyDescent="0.25">
      <c r="A10241" s="111"/>
      <c r="B10241" s="112"/>
      <c r="C10241" s="105"/>
      <c r="D10241" s="105"/>
      <c r="E10241" s="105"/>
      <c r="F10241" s="105"/>
      <c r="G10241" s="105"/>
      <c r="H10241" s="105"/>
      <c r="I10241" s="105"/>
      <c r="J10241" s="113"/>
      <c r="K10241" s="114"/>
      <c r="L10241" s="115"/>
      <c r="M10241" s="105"/>
      <c r="N10241" s="105"/>
      <c r="O10241" s="105"/>
      <c r="P10241" s="105"/>
      <c r="Q10241" s="113"/>
      <c r="R10241" s="114"/>
      <c r="S10241" s="115"/>
    </row>
    <row r="10242" spans="1:19" x14ac:dyDescent="0.25">
      <c r="A10242" s="111"/>
      <c r="B10242" s="112"/>
      <c r="C10242" s="105"/>
      <c r="D10242" s="105"/>
      <c r="E10242" s="105"/>
      <c r="F10242" s="105"/>
      <c r="G10242" s="105"/>
      <c r="H10242" s="105"/>
      <c r="I10242" s="105"/>
      <c r="J10242" s="113"/>
      <c r="K10242" s="114"/>
      <c r="L10242" s="115"/>
      <c r="M10242" s="105"/>
      <c r="N10242" s="105"/>
      <c r="O10242" s="105"/>
      <c r="P10242" s="105"/>
      <c r="Q10242" s="113"/>
      <c r="R10242" s="114"/>
      <c r="S10242" s="115"/>
    </row>
    <row r="10243" spans="1:19" x14ac:dyDescent="0.25">
      <c r="A10243" s="111"/>
      <c r="B10243" s="112"/>
      <c r="C10243" s="105"/>
      <c r="D10243" s="105"/>
      <c r="E10243" s="105"/>
      <c r="F10243" s="105"/>
      <c r="G10243" s="105"/>
      <c r="H10243" s="105"/>
      <c r="I10243" s="105"/>
      <c r="J10243" s="113"/>
      <c r="K10243" s="114"/>
      <c r="L10243" s="115"/>
      <c r="M10243" s="105"/>
      <c r="N10243" s="105"/>
      <c r="O10243" s="105"/>
      <c r="P10243" s="105"/>
      <c r="Q10243" s="113"/>
      <c r="R10243" s="114"/>
      <c r="S10243" s="115"/>
    </row>
    <row r="10244" spans="1:19" x14ac:dyDescent="0.25">
      <c r="A10244" s="111"/>
      <c r="B10244" s="112"/>
      <c r="C10244" s="105"/>
      <c r="D10244" s="105"/>
      <c r="E10244" s="105"/>
      <c r="F10244" s="105"/>
      <c r="G10244" s="105"/>
      <c r="H10244" s="105"/>
      <c r="I10244" s="105"/>
      <c r="J10244" s="113"/>
      <c r="K10244" s="114"/>
      <c r="L10244" s="115"/>
      <c r="M10244" s="105"/>
      <c r="N10244" s="105"/>
      <c r="O10244" s="105"/>
      <c r="P10244" s="105"/>
      <c r="Q10244" s="113"/>
      <c r="R10244" s="114"/>
      <c r="S10244" s="115"/>
    </row>
    <row r="10245" spans="1:19" x14ac:dyDescent="0.25">
      <c r="A10245" s="111"/>
      <c r="B10245" s="112"/>
      <c r="C10245" s="105"/>
      <c r="D10245" s="105"/>
      <c r="E10245" s="105"/>
      <c r="F10245" s="105"/>
      <c r="G10245" s="105"/>
      <c r="H10245" s="105"/>
      <c r="I10245" s="105"/>
      <c r="J10245" s="113"/>
      <c r="K10245" s="114"/>
      <c r="L10245" s="115"/>
      <c r="M10245" s="105"/>
      <c r="N10245" s="105"/>
      <c r="O10245" s="105"/>
      <c r="P10245" s="105"/>
      <c r="Q10245" s="113"/>
      <c r="R10245" s="114"/>
      <c r="S10245" s="115"/>
    </row>
    <row r="10246" spans="1:19" x14ac:dyDescent="0.25">
      <c r="A10246" s="111"/>
      <c r="B10246" s="112"/>
      <c r="C10246" s="105"/>
      <c r="D10246" s="105"/>
      <c r="E10246" s="105"/>
      <c r="F10246" s="105"/>
      <c r="G10246" s="105"/>
      <c r="H10246" s="105"/>
      <c r="I10246" s="105"/>
      <c r="J10246" s="113"/>
      <c r="K10246" s="114"/>
      <c r="L10246" s="115"/>
      <c r="M10246" s="105"/>
      <c r="N10246" s="105"/>
      <c r="O10246" s="105"/>
      <c r="P10246" s="105"/>
      <c r="Q10246" s="113"/>
      <c r="R10246" s="114"/>
      <c r="S10246" s="115"/>
    </row>
    <row r="10247" spans="1:19" x14ac:dyDescent="0.25">
      <c r="A10247" s="111"/>
      <c r="B10247" s="112"/>
      <c r="C10247" s="105"/>
      <c r="D10247" s="105"/>
      <c r="E10247" s="105"/>
      <c r="F10247" s="105"/>
      <c r="G10247" s="105"/>
      <c r="H10247" s="105"/>
      <c r="I10247" s="105"/>
      <c r="J10247" s="113"/>
      <c r="K10247" s="114"/>
      <c r="L10247" s="115"/>
      <c r="M10247" s="105"/>
      <c r="N10247" s="105"/>
      <c r="O10247" s="105"/>
      <c r="P10247" s="105"/>
      <c r="Q10247" s="113"/>
      <c r="R10247" s="114"/>
      <c r="S10247" s="115"/>
    </row>
    <row r="10248" spans="1:19" x14ac:dyDescent="0.25">
      <c r="A10248" s="111"/>
      <c r="B10248" s="112"/>
      <c r="C10248" s="105"/>
      <c r="D10248" s="105"/>
      <c r="E10248" s="105"/>
      <c r="F10248" s="105"/>
      <c r="G10248" s="105"/>
      <c r="H10248" s="105"/>
      <c r="I10248" s="105"/>
      <c r="J10248" s="113"/>
      <c r="K10248" s="114"/>
      <c r="L10248" s="115"/>
      <c r="M10248" s="105"/>
      <c r="N10248" s="105"/>
      <c r="O10248" s="105"/>
      <c r="P10248" s="105"/>
      <c r="Q10248" s="113"/>
      <c r="R10248" s="114"/>
      <c r="S10248" s="115"/>
    </row>
    <row r="10249" spans="1:19" x14ac:dyDescent="0.25">
      <c r="A10249" s="111"/>
      <c r="B10249" s="112"/>
      <c r="C10249" s="105"/>
      <c r="D10249" s="105"/>
      <c r="E10249" s="105"/>
      <c r="F10249" s="105"/>
      <c r="G10249" s="105"/>
      <c r="H10249" s="105"/>
      <c r="I10249" s="105"/>
      <c r="J10249" s="113"/>
      <c r="K10249" s="114"/>
      <c r="L10249" s="115"/>
      <c r="M10249" s="105"/>
      <c r="N10249" s="105"/>
      <c r="O10249" s="105"/>
      <c r="P10249" s="105"/>
      <c r="Q10249" s="113"/>
      <c r="R10249" s="114"/>
      <c r="S10249" s="115"/>
    </row>
    <row r="10250" spans="1:19" x14ac:dyDescent="0.25">
      <c r="A10250" s="111"/>
      <c r="B10250" s="112"/>
      <c r="C10250" s="105"/>
      <c r="D10250" s="105"/>
      <c r="E10250" s="105"/>
      <c r="F10250" s="105"/>
      <c r="G10250" s="105"/>
      <c r="H10250" s="105"/>
      <c r="I10250" s="105"/>
      <c r="J10250" s="113"/>
      <c r="K10250" s="114"/>
      <c r="L10250" s="115"/>
      <c r="M10250" s="105"/>
      <c r="N10250" s="105"/>
      <c r="O10250" s="105"/>
      <c r="P10250" s="105"/>
      <c r="Q10250" s="113"/>
      <c r="R10250" s="114"/>
      <c r="S10250" s="115"/>
    </row>
    <row r="10251" spans="1:19" x14ac:dyDescent="0.25">
      <c r="A10251" s="111"/>
      <c r="B10251" s="112"/>
      <c r="C10251" s="105"/>
      <c r="D10251" s="105"/>
      <c r="E10251" s="105"/>
      <c r="F10251" s="105"/>
      <c r="G10251" s="105"/>
      <c r="H10251" s="105"/>
      <c r="I10251" s="105"/>
      <c r="J10251" s="113"/>
      <c r="K10251" s="114"/>
      <c r="L10251" s="115"/>
      <c r="M10251" s="105"/>
      <c r="N10251" s="105"/>
      <c r="O10251" s="105"/>
      <c r="P10251" s="105"/>
      <c r="Q10251" s="113"/>
      <c r="R10251" s="114"/>
      <c r="S10251" s="115"/>
    </row>
    <row r="10252" spans="1:19" x14ac:dyDescent="0.25">
      <c r="A10252" s="111"/>
      <c r="B10252" s="112"/>
      <c r="C10252" s="105"/>
      <c r="D10252" s="105"/>
      <c r="E10252" s="105"/>
      <c r="F10252" s="105"/>
      <c r="G10252" s="105"/>
      <c r="H10252" s="105"/>
      <c r="I10252" s="105"/>
      <c r="J10252" s="113"/>
      <c r="K10252" s="114"/>
      <c r="L10252" s="115"/>
      <c r="M10252" s="105"/>
      <c r="N10252" s="105"/>
      <c r="O10252" s="105"/>
      <c r="P10252" s="105"/>
      <c r="Q10252" s="113"/>
      <c r="R10252" s="114"/>
      <c r="S10252" s="115"/>
    </row>
    <row r="10253" spans="1:19" x14ac:dyDescent="0.25">
      <c r="A10253" s="111"/>
      <c r="B10253" s="112"/>
      <c r="C10253" s="105"/>
      <c r="D10253" s="105"/>
      <c r="E10253" s="105"/>
      <c r="F10253" s="105"/>
      <c r="G10253" s="105"/>
      <c r="H10253" s="105"/>
      <c r="I10253" s="105"/>
      <c r="J10253" s="113"/>
      <c r="K10253" s="114"/>
      <c r="L10253" s="115"/>
      <c r="M10253" s="105"/>
      <c r="N10253" s="105"/>
      <c r="O10253" s="105"/>
      <c r="P10253" s="105"/>
      <c r="Q10253" s="113"/>
      <c r="R10253" s="114"/>
      <c r="S10253" s="115"/>
    </row>
    <row r="10254" spans="1:19" x14ac:dyDescent="0.25">
      <c r="A10254" s="111"/>
      <c r="B10254" s="112"/>
      <c r="C10254" s="105"/>
      <c r="D10254" s="105"/>
      <c r="E10254" s="105"/>
      <c r="F10254" s="105"/>
      <c r="G10254" s="105"/>
      <c r="H10254" s="105"/>
      <c r="I10254" s="105"/>
      <c r="J10254" s="113"/>
      <c r="K10254" s="114"/>
      <c r="L10254" s="115"/>
      <c r="M10254" s="105"/>
      <c r="N10254" s="105"/>
      <c r="O10254" s="105"/>
      <c r="P10254" s="105"/>
      <c r="Q10254" s="113"/>
      <c r="R10254" s="114"/>
      <c r="S10254" s="115"/>
    </row>
    <row r="10255" spans="1:19" x14ac:dyDescent="0.25">
      <c r="A10255" s="111"/>
      <c r="B10255" s="112"/>
      <c r="C10255" s="105"/>
      <c r="D10255" s="105"/>
      <c r="E10255" s="105"/>
      <c r="F10255" s="105"/>
      <c r="G10255" s="105"/>
      <c r="H10255" s="105"/>
      <c r="I10255" s="105"/>
      <c r="J10255" s="113"/>
      <c r="K10255" s="114"/>
      <c r="L10255" s="115"/>
      <c r="M10255" s="105"/>
      <c r="N10255" s="105"/>
      <c r="O10255" s="105"/>
      <c r="P10255" s="105"/>
      <c r="Q10255" s="113"/>
      <c r="R10255" s="114"/>
      <c r="S10255" s="115"/>
    </row>
    <row r="10256" spans="1:19" x14ac:dyDescent="0.25">
      <c r="A10256" s="111"/>
      <c r="B10256" s="112"/>
      <c r="C10256" s="105"/>
      <c r="D10256" s="105"/>
      <c r="E10256" s="105"/>
      <c r="F10256" s="105"/>
      <c r="G10256" s="105"/>
      <c r="H10256" s="105"/>
      <c r="I10256" s="105"/>
      <c r="J10256" s="113"/>
      <c r="K10256" s="114"/>
      <c r="L10256" s="115"/>
      <c r="M10256" s="105"/>
      <c r="N10256" s="105"/>
      <c r="O10256" s="105"/>
      <c r="P10256" s="105"/>
      <c r="Q10256" s="113"/>
      <c r="R10256" s="114"/>
      <c r="S10256" s="115"/>
    </row>
    <row r="10257" spans="1:19" x14ac:dyDescent="0.25">
      <c r="A10257" s="111"/>
      <c r="B10257" s="112"/>
      <c r="C10257" s="105"/>
      <c r="D10257" s="105"/>
      <c r="E10257" s="105"/>
      <c r="F10257" s="105"/>
      <c r="G10257" s="105"/>
      <c r="H10257" s="105"/>
      <c r="I10257" s="105"/>
      <c r="J10257" s="113"/>
      <c r="K10257" s="114"/>
      <c r="L10257" s="115"/>
      <c r="M10257" s="105"/>
      <c r="N10257" s="105"/>
      <c r="O10257" s="105"/>
      <c r="P10257" s="105"/>
      <c r="Q10257" s="113"/>
      <c r="R10257" s="114"/>
      <c r="S10257" s="115"/>
    </row>
    <row r="10258" spans="1:19" x14ac:dyDescent="0.25">
      <c r="A10258" s="111"/>
      <c r="B10258" s="112"/>
      <c r="C10258" s="105"/>
      <c r="D10258" s="105"/>
      <c r="E10258" s="105"/>
      <c r="F10258" s="105"/>
      <c r="G10258" s="105"/>
      <c r="H10258" s="105"/>
      <c r="I10258" s="105"/>
      <c r="J10258" s="113"/>
      <c r="K10258" s="114"/>
      <c r="L10258" s="115"/>
      <c r="M10258" s="105"/>
      <c r="N10258" s="105"/>
      <c r="O10258" s="105"/>
      <c r="P10258" s="105"/>
      <c r="Q10258" s="113"/>
      <c r="R10258" s="114"/>
      <c r="S10258" s="115"/>
    </row>
    <row r="10259" spans="1:19" x14ac:dyDescent="0.25">
      <c r="A10259" s="111"/>
      <c r="B10259" s="112"/>
      <c r="C10259" s="105"/>
      <c r="D10259" s="105"/>
      <c r="E10259" s="105"/>
      <c r="F10259" s="105"/>
      <c r="G10259" s="105"/>
      <c r="H10259" s="105"/>
      <c r="I10259" s="105"/>
      <c r="J10259" s="113"/>
      <c r="K10259" s="114"/>
      <c r="L10259" s="115"/>
      <c r="M10259" s="105"/>
      <c r="N10259" s="105"/>
      <c r="O10259" s="105"/>
      <c r="P10259" s="105"/>
      <c r="Q10259" s="113"/>
      <c r="R10259" s="114"/>
      <c r="S10259" s="115"/>
    </row>
    <row r="10260" spans="1:19" x14ac:dyDescent="0.25">
      <c r="A10260" s="111"/>
      <c r="B10260" s="112"/>
      <c r="C10260" s="105"/>
      <c r="D10260" s="105"/>
      <c r="E10260" s="105"/>
      <c r="F10260" s="105"/>
      <c r="G10260" s="105"/>
      <c r="H10260" s="105"/>
      <c r="I10260" s="105"/>
      <c r="J10260" s="113"/>
      <c r="K10260" s="114"/>
      <c r="L10260" s="115"/>
      <c r="M10260" s="105"/>
      <c r="N10260" s="105"/>
      <c r="O10260" s="105"/>
      <c r="P10260" s="105"/>
      <c r="Q10260" s="113"/>
      <c r="R10260" s="114"/>
      <c r="S10260" s="115"/>
    </row>
    <row r="10261" spans="1:19" x14ac:dyDescent="0.25">
      <c r="A10261" s="111"/>
      <c r="B10261" s="112"/>
      <c r="C10261" s="105"/>
      <c r="D10261" s="105"/>
      <c r="E10261" s="105"/>
      <c r="F10261" s="105"/>
      <c r="G10261" s="105"/>
      <c r="H10261" s="105"/>
      <c r="I10261" s="105"/>
      <c r="J10261" s="113"/>
      <c r="K10261" s="114"/>
      <c r="L10261" s="115"/>
      <c r="M10261" s="105"/>
      <c r="N10261" s="105"/>
      <c r="O10261" s="105"/>
      <c r="P10261" s="105"/>
      <c r="Q10261" s="113"/>
      <c r="R10261" s="114"/>
      <c r="S10261" s="115"/>
    </row>
    <row r="10262" spans="1:19" x14ac:dyDescent="0.25">
      <c r="A10262" s="111"/>
      <c r="B10262" s="112"/>
      <c r="C10262" s="105"/>
      <c r="D10262" s="105"/>
      <c r="E10262" s="105"/>
      <c r="F10262" s="105"/>
      <c r="G10262" s="105"/>
      <c r="H10262" s="105"/>
      <c r="I10262" s="105"/>
      <c r="J10262" s="113"/>
      <c r="K10262" s="114"/>
      <c r="L10262" s="115"/>
      <c r="M10262" s="105"/>
      <c r="N10262" s="105"/>
      <c r="O10262" s="105"/>
      <c r="P10262" s="105"/>
      <c r="Q10262" s="113"/>
      <c r="R10262" s="114"/>
      <c r="S10262" s="115"/>
    </row>
    <row r="10263" spans="1:19" x14ac:dyDescent="0.25">
      <c r="A10263" s="111"/>
      <c r="B10263" s="112"/>
      <c r="C10263" s="105"/>
      <c r="D10263" s="105"/>
      <c r="E10263" s="105"/>
      <c r="F10263" s="105"/>
      <c r="G10263" s="105"/>
      <c r="H10263" s="105"/>
      <c r="I10263" s="105"/>
      <c r="J10263" s="113"/>
      <c r="K10263" s="114"/>
      <c r="L10263" s="115"/>
      <c r="M10263" s="105"/>
      <c r="N10263" s="105"/>
      <c r="O10263" s="105"/>
      <c r="P10263" s="105"/>
      <c r="Q10263" s="113"/>
      <c r="R10263" s="114"/>
      <c r="S10263" s="115"/>
    </row>
    <row r="10264" spans="1:19" x14ac:dyDescent="0.25">
      <c r="A10264" s="111"/>
      <c r="B10264" s="112"/>
      <c r="C10264" s="105"/>
      <c r="D10264" s="105"/>
      <c r="E10264" s="105"/>
      <c r="F10264" s="105"/>
      <c r="G10264" s="105"/>
      <c r="H10264" s="105"/>
      <c r="I10264" s="105"/>
      <c r="J10264" s="113"/>
      <c r="K10264" s="114"/>
      <c r="L10264" s="115"/>
      <c r="M10264" s="105"/>
      <c r="N10264" s="105"/>
      <c r="O10264" s="105"/>
      <c r="P10264" s="105"/>
      <c r="Q10264" s="113"/>
      <c r="R10264" s="114"/>
      <c r="S10264" s="115"/>
    </row>
    <row r="10265" spans="1:19" x14ac:dyDescent="0.25">
      <c r="A10265" s="111"/>
      <c r="B10265" s="112"/>
      <c r="C10265" s="105"/>
      <c r="D10265" s="105"/>
      <c r="E10265" s="105"/>
      <c r="F10265" s="105"/>
      <c r="G10265" s="105"/>
      <c r="H10265" s="105"/>
      <c r="I10265" s="105"/>
      <c r="J10265" s="113"/>
      <c r="K10265" s="114"/>
      <c r="L10265" s="115"/>
      <c r="M10265" s="105"/>
      <c r="N10265" s="105"/>
      <c r="O10265" s="105"/>
      <c r="P10265" s="105"/>
      <c r="Q10265" s="113"/>
      <c r="R10265" s="114"/>
      <c r="S10265" s="115"/>
    </row>
    <row r="10266" spans="1:19" x14ac:dyDescent="0.25">
      <c r="A10266" s="111"/>
      <c r="B10266" s="112"/>
      <c r="C10266" s="105"/>
      <c r="D10266" s="105"/>
      <c r="E10266" s="105"/>
      <c r="F10266" s="105"/>
      <c r="G10266" s="105"/>
      <c r="H10266" s="105"/>
      <c r="I10266" s="105"/>
      <c r="J10266" s="113"/>
      <c r="K10266" s="114"/>
      <c r="L10266" s="115"/>
      <c r="M10266" s="105"/>
      <c r="N10266" s="105"/>
      <c r="O10266" s="105"/>
      <c r="P10266" s="105"/>
      <c r="Q10266" s="113"/>
      <c r="R10266" s="114"/>
      <c r="S10266" s="115"/>
    </row>
    <row r="10267" spans="1:19" x14ac:dyDescent="0.25">
      <c r="A10267" s="111"/>
      <c r="B10267" s="112"/>
      <c r="C10267" s="105"/>
      <c r="D10267" s="105"/>
      <c r="E10267" s="105"/>
      <c r="F10267" s="105"/>
      <c r="G10267" s="105"/>
      <c r="H10267" s="105"/>
      <c r="I10267" s="105"/>
      <c r="J10267" s="113"/>
      <c r="K10267" s="114"/>
      <c r="L10267" s="115"/>
      <c r="M10267" s="105"/>
      <c r="N10267" s="105"/>
      <c r="O10267" s="105"/>
      <c r="P10267" s="105"/>
      <c r="Q10267" s="113"/>
      <c r="R10267" s="114"/>
      <c r="S10267" s="115"/>
    </row>
    <row r="10268" spans="1:19" x14ac:dyDescent="0.25">
      <c r="A10268" s="111"/>
      <c r="B10268" s="112"/>
      <c r="C10268" s="105"/>
      <c r="D10268" s="105"/>
      <c r="E10268" s="105"/>
      <c r="F10268" s="105"/>
      <c r="G10268" s="105"/>
      <c r="H10268" s="105"/>
      <c r="I10268" s="105"/>
      <c r="J10268" s="113"/>
      <c r="K10268" s="114"/>
      <c r="L10268" s="115"/>
      <c r="M10268" s="105"/>
      <c r="N10268" s="105"/>
      <c r="O10268" s="105"/>
      <c r="P10268" s="105"/>
      <c r="Q10268" s="113"/>
      <c r="R10268" s="114"/>
      <c r="S10268" s="115"/>
    </row>
    <row r="10269" spans="1:19" x14ac:dyDescent="0.25">
      <c r="A10269" s="111"/>
      <c r="B10269" s="112"/>
      <c r="C10269" s="105"/>
      <c r="D10269" s="105"/>
      <c r="E10269" s="105"/>
      <c r="F10269" s="105"/>
      <c r="G10269" s="105"/>
      <c r="H10269" s="105"/>
      <c r="I10269" s="105"/>
      <c r="J10269" s="113"/>
      <c r="K10269" s="114"/>
      <c r="L10269" s="115"/>
      <c r="M10269" s="105"/>
      <c r="N10269" s="105"/>
      <c r="O10269" s="105"/>
      <c r="P10269" s="105"/>
      <c r="Q10269" s="113"/>
      <c r="R10269" s="114"/>
      <c r="S10269" s="115"/>
    </row>
    <row r="10270" spans="1:19" x14ac:dyDescent="0.25">
      <c r="A10270" s="111"/>
      <c r="B10270" s="112"/>
      <c r="C10270" s="105"/>
      <c r="D10270" s="105"/>
      <c r="E10270" s="105"/>
      <c r="F10270" s="105"/>
      <c r="G10270" s="105"/>
      <c r="H10270" s="105"/>
      <c r="I10270" s="105"/>
      <c r="J10270" s="113"/>
      <c r="K10270" s="114"/>
      <c r="L10270" s="115"/>
      <c r="M10270" s="105"/>
      <c r="N10270" s="105"/>
      <c r="O10270" s="105"/>
      <c r="P10270" s="105"/>
      <c r="Q10270" s="113"/>
      <c r="R10270" s="114"/>
      <c r="S10270" s="115"/>
    </row>
    <row r="10271" spans="1:19" x14ac:dyDescent="0.25">
      <c r="A10271" s="111"/>
      <c r="B10271" s="112"/>
      <c r="C10271" s="105"/>
      <c r="D10271" s="105"/>
      <c r="E10271" s="105"/>
      <c r="F10271" s="105"/>
      <c r="G10271" s="105"/>
      <c r="H10271" s="105"/>
      <c r="I10271" s="105"/>
      <c r="J10271" s="113"/>
      <c r="K10271" s="114"/>
      <c r="L10271" s="115"/>
      <c r="M10271" s="105"/>
      <c r="N10271" s="105"/>
      <c r="O10271" s="105"/>
      <c r="P10271" s="105"/>
      <c r="Q10271" s="113"/>
      <c r="R10271" s="114"/>
      <c r="S10271" s="115"/>
    </row>
    <row r="10272" spans="1:19" x14ac:dyDescent="0.25">
      <c r="A10272" s="111"/>
      <c r="B10272" s="112"/>
      <c r="C10272" s="105"/>
      <c r="D10272" s="105"/>
      <c r="E10272" s="105"/>
      <c r="F10272" s="105"/>
      <c r="G10272" s="105"/>
      <c r="H10272" s="105"/>
      <c r="I10272" s="105"/>
      <c r="J10272" s="113"/>
      <c r="K10272" s="114"/>
      <c r="L10272" s="115"/>
      <c r="M10272" s="105"/>
      <c r="N10272" s="105"/>
      <c r="O10272" s="105"/>
      <c r="P10272" s="105"/>
      <c r="Q10272" s="113"/>
      <c r="R10272" s="114"/>
      <c r="S10272" s="115"/>
    </row>
    <row r="10273" spans="1:19" x14ac:dyDescent="0.25">
      <c r="A10273" s="111"/>
      <c r="B10273" s="112"/>
      <c r="C10273" s="105"/>
      <c r="D10273" s="105"/>
      <c r="E10273" s="105"/>
      <c r="F10273" s="105"/>
      <c r="G10273" s="105"/>
      <c r="H10273" s="105"/>
      <c r="I10273" s="105"/>
      <c r="J10273" s="113"/>
      <c r="K10273" s="114"/>
      <c r="L10273" s="115"/>
      <c r="M10273" s="105"/>
      <c r="N10273" s="105"/>
      <c r="O10273" s="105"/>
      <c r="P10273" s="105"/>
      <c r="Q10273" s="113"/>
      <c r="R10273" s="114"/>
      <c r="S10273" s="115"/>
    </row>
    <row r="10274" spans="1:19" x14ac:dyDescent="0.25">
      <c r="A10274" s="111"/>
      <c r="B10274" s="112"/>
      <c r="C10274" s="105"/>
      <c r="D10274" s="105"/>
      <c r="E10274" s="105"/>
      <c r="F10274" s="105"/>
      <c r="G10274" s="105"/>
      <c r="H10274" s="105"/>
      <c r="I10274" s="105"/>
      <c r="J10274" s="113"/>
      <c r="K10274" s="114"/>
      <c r="L10274" s="115"/>
      <c r="M10274" s="105"/>
      <c r="N10274" s="105"/>
      <c r="O10274" s="105"/>
      <c r="P10274" s="105"/>
      <c r="Q10274" s="113"/>
      <c r="R10274" s="114"/>
      <c r="S10274" s="115"/>
    </row>
    <row r="10275" spans="1:19" x14ac:dyDescent="0.25">
      <c r="A10275" s="111"/>
      <c r="B10275" s="112"/>
      <c r="C10275" s="105"/>
      <c r="D10275" s="105"/>
      <c r="E10275" s="105"/>
      <c r="F10275" s="105"/>
      <c r="G10275" s="105"/>
      <c r="H10275" s="105"/>
      <c r="I10275" s="105"/>
      <c r="J10275" s="113"/>
      <c r="K10275" s="114"/>
      <c r="L10275" s="115"/>
      <c r="M10275" s="105"/>
      <c r="N10275" s="105"/>
      <c r="O10275" s="105"/>
      <c r="P10275" s="105"/>
      <c r="Q10275" s="113"/>
      <c r="R10275" s="114"/>
      <c r="S10275" s="115"/>
    </row>
    <row r="10276" spans="1:19" x14ac:dyDescent="0.25">
      <c r="A10276" s="111"/>
      <c r="B10276" s="112"/>
      <c r="C10276" s="105"/>
      <c r="D10276" s="105"/>
      <c r="E10276" s="105"/>
      <c r="F10276" s="105"/>
      <c r="G10276" s="105"/>
      <c r="H10276" s="105"/>
      <c r="I10276" s="105"/>
      <c r="J10276" s="113"/>
      <c r="K10276" s="114"/>
      <c r="L10276" s="115"/>
      <c r="M10276" s="105"/>
      <c r="N10276" s="105"/>
      <c r="O10276" s="105"/>
      <c r="P10276" s="105"/>
      <c r="Q10276" s="113"/>
      <c r="R10276" s="114"/>
      <c r="S10276" s="115"/>
    </row>
    <row r="10277" spans="1:19" x14ac:dyDescent="0.25">
      <c r="A10277" s="111"/>
      <c r="B10277" s="112"/>
      <c r="C10277" s="105"/>
      <c r="D10277" s="105"/>
      <c r="E10277" s="105"/>
      <c r="F10277" s="105"/>
      <c r="G10277" s="105"/>
      <c r="H10277" s="105"/>
      <c r="I10277" s="105"/>
      <c r="J10277" s="113"/>
      <c r="K10277" s="114"/>
      <c r="L10277" s="115"/>
      <c r="M10277" s="105"/>
      <c r="N10277" s="105"/>
      <c r="O10277" s="105"/>
      <c r="P10277" s="105"/>
      <c r="Q10277" s="113"/>
      <c r="R10277" s="114"/>
      <c r="S10277" s="115"/>
    </row>
    <row r="10278" spans="1:19" x14ac:dyDescent="0.25">
      <c r="A10278" s="111"/>
      <c r="B10278" s="112"/>
      <c r="C10278" s="105"/>
      <c r="D10278" s="105"/>
      <c r="E10278" s="105"/>
      <c r="F10278" s="105"/>
      <c r="G10278" s="105"/>
      <c r="H10278" s="105"/>
      <c r="I10278" s="105"/>
      <c r="J10278" s="113"/>
      <c r="K10278" s="114"/>
      <c r="L10278" s="115"/>
      <c r="M10278" s="105"/>
      <c r="N10278" s="105"/>
      <c r="O10278" s="105"/>
      <c r="P10278" s="105"/>
      <c r="Q10278" s="113"/>
      <c r="R10278" s="114"/>
      <c r="S10278" s="115"/>
    </row>
    <row r="10279" spans="1:19" x14ac:dyDescent="0.25">
      <c r="A10279" s="111"/>
      <c r="B10279" s="112"/>
      <c r="C10279" s="105"/>
      <c r="D10279" s="105"/>
      <c r="E10279" s="105"/>
      <c r="F10279" s="105"/>
      <c r="G10279" s="105"/>
      <c r="H10279" s="105"/>
      <c r="I10279" s="105"/>
      <c r="J10279" s="113"/>
      <c r="K10279" s="114"/>
      <c r="L10279" s="115"/>
      <c r="M10279" s="105"/>
      <c r="N10279" s="105"/>
      <c r="O10279" s="105"/>
      <c r="P10279" s="105"/>
      <c r="Q10279" s="113"/>
      <c r="R10279" s="114"/>
      <c r="S10279" s="115"/>
    </row>
    <row r="10280" spans="1:19" x14ac:dyDescent="0.25">
      <c r="A10280" s="111"/>
      <c r="B10280" s="112"/>
      <c r="C10280" s="105"/>
      <c r="D10280" s="105"/>
      <c r="E10280" s="105"/>
      <c r="F10280" s="105"/>
      <c r="G10280" s="105"/>
      <c r="H10280" s="105"/>
      <c r="I10280" s="105"/>
      <c r="J10280" s="113"/>
      <c r="K10280" s="114"/>
      <c r="L10280" s="115"/>
      <c r="M10280" s="105"/>
      <c r="N10280" s="105"/>
      <c r="O10280" s="105"/>
      <c r="P10280" s="105"/>
      <c r="Q10280" s="113"/>
      <c r="R10280" s="114"/>
      <c r="S10280" s="115"/>
    </row>
    <row r="10281" spans="1:19" x14ac:dyDescent="0.25">
      <c r="A10281" s="111"/>
      <c r="B10281" s="112"/>
      <c r="C10281" s="105"/>
      <c r="D10281" s="105"/>
      <c r="E10281" s="105"/>
      <c r="F10281" s="105"/>
      <c r="G10281" s="105"/>
      <c r="H10281" s="105"/>
      <c r="I10281" s="105"/>
      <c r="J10281" s="113"/>
      <c r="K10281" s="114"/>
      <c r="L10281" s="115"/>
      <c r="M10281" s="105"/>
      <c r="N10281" s="105"/>
      <c r="O10281" s="105"/>
      <c r="P10281" s="105"/>
      <c r="Q10281" s="113"/>
      <c r="R10281" s="114"/>
      <c r="S10281" s="115"/>
    </row>
    <row r="10282" spans="1:19" x14ac:dyDescent="0.25">
      <c r="A10282" s="111"/>
      <c r="B10282" s="112"/>
      <c r="C10282" s="105"/>
      <c r="D10282" s="105"/>
      <c r="E10282" s="105"/>
      <c r="F10282" s="105"/>
      <c r="G10282" s="105"/>
      <c r="H10282" s="105"/>
      <c r="I10282" s="105"/>
      <c r="J10282" s="113"/>
      <c r="K10282" s="114"/>
      <c r="L10282" s="115"/>
      <c r="M10282" s="105"/>
      <c r="N10282" s="105"/>
      <c r="O10282" s="105"/>
      <c r="P10282" s="105"/>
      <c r="Q10282" s="113"/>
      <c r="R10282" s="114"/>
      <c r="S10282" s="115"/>
    </row>
    <row r="10283" spans="1:19" x14ac:dyDescent="0.25">
      <c r="A10283" s="111"/>
      <c r="B10283" s="112"/>
      <c r="C10283" s="105"/>
      <c r="D10283" s="105"/>
      <c r="E10283" s="105"/>
      <c r="F10283" s="105"/>
      <c r="G10283" s="105"/>
      <c r="H10283" s="105"/>
      <c r="I10283" s="105"/>
      <c r="J10283" s="113"/>
      <c r="K10283" s="114"/>
      <c r="L10283" s="115"/>
      <c r="M10283" s="105"/>
      <c r="N10283" s="105"/>
      <c r="O10283" s="105"/>
      <c r="P10283" s="105"/>
      <c r="Q10283" s="113"/>
      <c r="R10283" s="114"/>
      <c r="S10283" s="115"/>
    </row>
    <row r="10284" spans="1:19" x14ac:dyDescent="0.25">
      <c r="A10284" s="111"/>
      <c r="B10284" s="112"/>
      <c r="C10284" s="105"/>
      <c r="D10284" s="105"/>
      <c r="E10284" s="105"/>
      <c r="F10284" s="105"/>
      <c r="G10284" s="105"/>
      <c r="H10284" s="105"/>
      <c r="I10284" s="105"/>
      <c r="J10284" s="113"/>
      <c r="K10284" s="114"/>
      <c r="L10284" s="115"/>
      <c r="M10284" s="105"/>
      <c r="N10284" s="105"/>
      <c r="O10284" s="105"/>
      <c r="P10284" s="105"/>
      <c r="Q10284" s="113"/>
      <c r="R10284" s="114"/>
      <c r="S10284" s="115"/>
    </row>
    <row r="10285" spans="1:19" x14ac:dyDescent="0.25">
      <c r="A10285" s="111"/>
      <c r="B10285" s="112"/>
      <c r="C10285" s="105"/>
      <c r="D10285" s="105"/>
      <c r="E10285" s="105"/>
      <c r="F10285" s="105"/>
      <c r="G10285" s="105"/>
      <c r="H10285" s="105"/>
      <c r="I10285" s="105"/>
      <c r="J10285" s="113"/>
      <c r="K10285" s="114"/>
      <c r="L10285" s="115"/>
      <c r="M10285" s="105"/>
      <c r="N10285" s="105"/>
      <c r="O10285" s="105"/>
      <c r="P10285" s="105"/>
      <c r="Q10285" s="113"/>
      <c r="R10285" s="114"/>
      <c r="S10285" s="115"/>
    </row>
    <row r="10286" spans="1:19" x14ac:dyDescent="0.25">
      <c r="A10286" s="111"/>
      <c r="B10286" s="112"/>
      <c r="C10286" s="105"/>
      <c r="D10286" s="105"/>
      <c r="E10286" s="105"/>
      <c r="F10286" s="105"/>
      <c r="G10286" s="105"/>
      <c r="H10286" s="105"/>
      <c r="I10286" s="105"/>
      <c r="J10286" s="113"/>
      <c r="K10286" s="114"/>
      <c r="L10286" s="115"/>
      <c r="M10286" s="105"/>
      <c r="N10286" s="105"/>
      <c r="O10286" s="105"/>
      <c r="P10286" s="105"/>
      <c r="Q10286" s="113"/>
      <c r="R10286" s="114"/>
      <c r="S10286" s="115"/>
    </row>
    <row r="10287" spans="1:19" x14ac:dyDescent="0.25">
      <c r="A10287" s="111"/>
      <c r="B10287" s="112"/>
      <c r="C10287" s="105"/>
      <c r="D10287" s="105"/>
      <c r="E10287" s="105"/>
      <c r="F10287" s="105"/>
      <c r="G10287" s="105"/>
      <c r="H10287" s="105"/>
      <c r="I10287" s="105"/>
      <c r="J10287" s="113"/>
      <c r="K10287" s="114"/>
      <c r="L10287" s="115"/>
      <c r="M10287" s="105"/>
      <c r="N10287" s="105"/>
      <c r="O10287" s="105"/>
      <c r="P10287" s="105"/>
      <c r="Q10287" s="113"/>
      <c r="R10287" s="114"/>
      <c r="S10287" s="115"/>
    </row>
    <row r="10288" spans="1:19" x14ac:dyDescent="0.25">
      <c r="A10288" s="111"/>
      <c r="B10288" s="112"/>
      <c r="C10288" s="105"/>
      <c r="D10288" s="105"/>
      <c r="E10288" s="105"/>
      <c r="F10288" s="105"/>
      <c r="G10288" s="105"/>
      <c r="H10288" s="105"/>
      <c r="I10288" s="105"/>
      <c r="J10288" s="113"/>
      <c r="K10288" s="114"/>
      <c r="L10288" s="115"/>
      <c r="M10288" s="105"/>
      <c r="N10288" s="105"/>
      <c r="O10288" s="105"/>
      <c r="P10288" s="105"/>
      <c r="Q10288" s="113"/>
      <c r="R10288" s="114"/>
      <c r="S10288" s="115"/>
    </row>
    <row r="10289" spans="1:19" x14ac:dyDescent="0.25">
      <c r="A10289" s="111"/>
      <c r="B10289" s="112"/>
      <c r="C10289" s="105"/>
      <c r="D10289" s="105"/>
      <c r="E10289" s="105"/>
      <c r="F10289" s="105"/>
      <c r="G10289" s="105"/>
      <c r="H10289" s="105"/>
      <c r="I10289" s="105"/>
      <c r="J10289" s="113"/>
      <c r="K10289" s="114"/>
      <c r="L10289" s="115"/>
      <c r="M10289" s="105"/>
      <c r="N10289" s="105"/>
      <c r="O10289" s="105"/>
      <c r="P10289" s="105"/>
      <c r="Q10289" s="113"/>
      <c r="R10289" s="114"/>
      <c r="S10289" s="115"/>
    </row>
    <row r="10290" spans="1:19" x14ac:dyDescent="0.25">
      <c r="A10290" s="111"/>
      <c r="B10290" s="112"/>
      <c r="C10290" s="105"/>
      <c r="D10290" s="105"/>
      <c r="E10290" s="105"/>
      <c r="F10290" s="105"/>
      <c r="G10290" s="105"/>
      <c r="H10290" s="105"/>
      <c r="I10290" s="105"/>
      <c r="J10290" s="113"/>
      <c r="K10290" s="114"/>
      <c r="L10290" s="115"/>
      <c r="M10290" s="105"/>
      <c r="N10290" s="105"/>
      <c r="O10290" s="105"/>
      <c r="P10290" s="105"/>
      <c r="Q10290" s="113"/>
      <c r="R10290" s="114"/>
      <c r="S10290" s="115"/>
    </row>
    <row r="10291" spans="1:19" x14ac:dyDescent="0.25">
      <c r="A10291" s="111"/>
      <c r="B10291" s="112"/>
      <c r="C10291" s="105"/>
      <c r="D10291" s="105"/>
      <c r="E10291" s="105"/>
      <c r="F10291" s="105"/>
      <c r="G10291" s="105"/>
      <c r="H10291" s="105"/>
      <c r="I10291" s="105"/>
      <c r="J10291" s="113"/>
      <c r="K10291" s="114"/>
      <c r="L10291" s="115"/>
      <c r="M10291" s="105"/>
      <c r="N10291" s="105"/>
      <c r="O10291" s="105"/>
      <c r="P10291" s="105"/>
      <c r="Q10291" s="113"/>
      <c r="R10291" s="114"/>
      <c r="S10291" s="115"/>
    </row>
    <row r="10292" spans="1:19" x14ac:dyDescent="0.25">
      <c r="A10292" s="111"/>
      <c r="B10292" s="112"/>
      <c r="C10292" s="105"/>
      <c r="D10292" s="105"/>
      <c r="E10292" s="105"/>
      <c r="F10292" s="105"/>
      <c r="G10292" s="105"/>
      <c r="H10292" s="105"/>
      <c r="I10292" s="105"/>
      <c r="J10292" s="113"/>
      <c r="K10292" s="114"/>
      <c r="L10292" s="115"/>
      <c r="M10292" s="105"/>
      <c r="N10292" s="105"/>
      <c r="O10292" s="105"/>
      <c r="P10292" s="105"/>
      <c r="Q10292" s="113"/>
      <c r="R10292" s="114"/>
      <c r="S10292" s="115"/>
    </row>
    <row r="10293" spans="1:19" x14ac:dyDescent="0.25">
      <c r="A10293" s="111"/>
      <c r="B10293" s="112"/>
      <c r="C10293" s="105"/>
      <c r="D10293" s="105"/>
      <c r="E10293" s="105"/>
      <c r="F10293" s="105"/>
      <c r="G10293" s="105"/>
      <c r="H10293" s="105"/>
      <c r="I10293" s="105"/>
      <c r="J10293" s="113"/>
      <c r="K10293" s="114"/>
      <c r="L10293" s="115"/>
      <c r="M10293" s="105"/>
      <c r="N10293" s="105"/>
      <c r="O10293" s="105"/>
      <c r="P10293" s="105"/>
      <c r="Q10293" s="113"/>
      <c r="R10293" s="114"/>
      <c r="S10293" s="115"/>
    </row>
    <row r="10294" spans="1:19" x14ac:dyDescent="0.25">
      <c r="A10294" s="111"/>
      <c r="B10294" s="112"/>
      <c r="C10294" s="105"/>
      <c r="D10294" s="105"/>
      <c r="E10294" s="105"/>
      <c r="F10294" s="105"/>
      <c r="G10294" s="105"/>
      <c r="H10294" s="105"/>
      <c r="I10294" s="105"/>
      <c r="J10294" s="113"/>
      <c r="K10294" s="114"/>
      <c r="L10294" s="115"/>
      <c r="M10294" s="105"/>
      <c r="N10294" s="105"/>
      <c r="O10294" s="105"/>
      <c r="P10294" s="105"/>
      <c r="Q10294" s="113"/>
      <c r="R10294" s="114"/>
      <c r="S10294" s="115"/>
    </row>
    <row r="10295" spans="1:19" x14ac:dyDescent="0.25">
      <c r="A10295" s="111"/>
      <c r="B10295" s="112"/>
      <c r="C10295" s="105"/>
      <c r="D10295" s="105"/>
      <c r="E10295" s="105"/>
      <c r="F10295" s="105"/>
      <c r="G10295" s="105"/>
      <c r="H10295" s="105"/>
      <c r="I10295" s="105"/>
      <c r="J10295" s="113"/>
      <c r="K10295" s="114"/>
      <c r="L10295" s="115"/>
      <c r="M10295" s="105"/>
      <c r="N10295" s="105"/>
      <c r="O10295" s="105"/>
      <c r="P10295" s="105"/>
      <c r="Q10295" s="113"/>
      <c r="R10295" s="114"/>
      <c r="S10295" s="115"/>
    </row>
    <row r="10296" spans="1:19" x14ac:dyDescent="0.25">
      <c r="A10296" s="111"/>
      <c r="B10296" s="112"/>
      <c r="C10296" s="105"/>
      <c r="D10296" s="105"/>
      <c r="E10296" s="105"/>
      <c r="F10296" s="105"/>
      <c r="G10296" s="105"/>
      <c r="H10296" s="105"/>
      <c r="I10296" s="105"/>
      <c r="J10296" s="113"/>
      <c r="K10296" s="114"/>
      <c r="L10296" s="115"/>
      <c r="M10296" s="105"/>
      <c r="N10296" s="105"/>
      <c r="O10296" s="105"/>
      <c r="P10296" s="105"/>
      <c r="Q10296" s="113"/>
      <c r="R10296" s="114"/>
      <c r="S10296" s="115"/>
    </row>
    <row r="10297" spans="1:19" x14ac:dyDescent="0.25">
      <c r="A10297" s="111"/>
      <c r="B10297" s="112"/>
      <c r="C10297" s="105"/>
      <c r="D10297" s="105"/>
      <c r="E10297" s="105"/>
      <c r="F10297" s="105"/>
      <c r="G10297" s="105"/>
      <c r="H10297" s="105"/>
      <c r="I10297" s="105"/>
      <c r="J10297" s="113"/>
      <c r="K10297" s="114"/>
      <c r="L10297" s="115"/>
      <c r="M10297" s="105"/>
      <c r="N10297" s="105"/>
      <c r="O10297" s="105"/>
      <c r="P10297" s="105"/>
      <c r="Q10297" s="113"/>
      <c r="R10297" s="114"/>
      <c r="S10297" s="115"/>
    </row>
    <row r="10298" spans="1:19" x14ac:dyDescent="0.25">
      <c r="A10298" s="111"/>
      <c r="B10298" s="112"/>
      <c r="C10298" s="105"/>
      <c r="D10298" s="105"/>
      <c r="E10298" s="105"/>
      <c r="F10298" s="105"/>
      <c r="G10298" s="105"/>
      <c r="H10298" s="105"/>
      <c r="I10298" s="105"/>
      <c r="J10298" s="113"/>
      <c r="K10298" s="114"/>
      <c r="L10298" s="115"/>
      <c r="M10298" s="105"/>
      <c r="N10298" s="105"/>
      <c r="O10298" s="105"/>
      <c r="P10298" s="105"/>
      <c r="Q10298" s="113"/>
      <c r="R10298" s="114"/>
      <c r="S10298" s="115"/>
    </row>
    <row r="10299" spans="1:19" x14ac:dyDescent="0.25">
      <c r="A10299" s="111"/>
      <c r="B10299" s="112"/>
      <c r="C10299" s="105"/>
      <c r="D10299" s="105"/>
      <c r="E10299" s="105"/>
      <c r="F10299" s="105"/>
      <c r="G10299" s="105"/>
      <c r="H10299" s="105"/>
      <c r="I10299" s="105"/>
      <c r="J10299" s="113"/>
      <c r="K10299" s="114"/>
      <c r="L10299" s="115"/>
      <c r="M10299" s="105"/>
      <c r="N10299" s="105"/>
      <c r="O10299" s="105"/>
      <c r="P10299" s="105"/>
      <c r="Q10299" s="113"/>
      <c r="R10299" s="114"/>
      <c r="S10299" s="115"/>
    </row>
    <row r="10300" spans="1:19" x14ac:dyDescent="0.25">
      <c r="A10300" s="111"/>
      <c r="B10300" s="112"/>
      <c r="C10300" s="105"/>
      <c r="D10300" s="105"/>
      <c r="E10300" s="105"/>
      <c r="F10300" s="105"/>
      <c r="G10300" s="105"/>
      <c r="H10300" s="105"/>
      <c r="I10300" s="105"/>
      <c r="J10300" s="113"/>
      <c r="K10300" s="114"/>
      <c r="L10300" s="115"/>
      <c r="M10300" s="105"/>
      <c r="N10300" s="105"/>
      <c r="O10300" s="105"/>
      <c r="P10300" s="105"/>
      <c r="Q10300" s="113"/>
      <c r="R10300" s="114"/>
      <c r="S10300" s="115"/>
    </row>
    <row r="10301" spans="1:19" x14ac:dyDescent="0.25">
      <c r="A10301" s="111"/>
      <c r="B10301" s="112"/>
      <c r="C10301" s="105"/>
      <c r="D10301" s="105"/>
      <c r="E10301" s="105"/>
      <c r="F10301" s="105"/>
      <c r="G10301" s="105"/>
      <c r="H10301" s="105"/>
      <c r="I10301" s="105"/>
      <c r="J10301" s="113"/>
      <c r="K10301" s="114"/>
      <c r="L10301" s="115"/>
      <c r="M10301" s="105"/>
      <c r="N10301" s="105"/>
      <c r="O10301" s="105"/>
      <c r="P10301" s="105"/>
      <c r="Q10301" s="113"/>
      <c r="R10301" s="114"/>
      <c r="S10301" s="115"/>
    </row>
    <row r="10302" spans="1:19" x14ac:dyDescent="0.25">
      <c r="A10302" s="111"/>
      <c r="B10302" s="112"/>
      <c r="C10302" s="105"/>
      <c r="D10302" s="105"/>
      <c r="E10302" s="105"/>
      <c r="F10302" s="105"/>
      <c r="G10302" s="105"/>
      <c r="H10302" s="105"/>
      <c r="I10302" s="105"/>
      <c r="J10302" s="113"/>
      <c r="K10302" s="114"/>
      <c r="L10302" s="115"/>
      <c r="M10302" s="105"/>
      <c r="N10302" s="105"/>
      <c r="O10302" s="105"/>
      <c r="P10302" s="105"/>
      <c r="Q10302" s="113"/>
      <c r="R10302" s="114"/>
      <c r="S10302" s="115"/>
    </row>
    <row r="10303" spans="1:19" x14ac:dyDescent="0.25">
      <c r="A10303" s="111"/>
      <c r="B10303" s="112"/>
      <c r="C10303" s="105"/>
      <c r="D10303" s="105"/>
      <c r="E10303" s="105"/>
      <c r="F10303" s="105"/>
      <c r="G10303" s="105"/>
      <c r="H10303" s="105"/>
      <c r="I10303" s="105"/>
      <c r="J10303" s="113"/>
      <c r="K10303" s="114"/>
      <c r="L10303" s="115"/>
      <c r="M10303" s="105"/>
      <c r="N10303" s="105"/>
      <c r="O10303" s="105"/>
      <c r="P10303" s="105"/>
      <c r="Q10303" s="113"/>
      <c r="R10303" s="114"/>
      <c r="S10303" s="115"/>
    </row>
    <row r="10304" spans="1:19" x14ac:dyDescent="0.25">
      <c r="A10304" s="111"/>
      <c r="B10304" s="112"/>
      <c r="C10304" s="105"/>
      <c r="D10304" s="105"/>
      <c r="E10304" s="105"/>
      <c r="F10304" s="105"/>
      <c r="G10304" s="105"/>
      <c r="H10304" s="105"/>
      <c r="I10304" s="105"/>
      <c r="J10304" s="113"/>
      <c r="K10304" s="114"/>
      <c r="L10304" s="115"/>
      <c r="M10304" s="105"/>
      <c r="N10304" s="105"/>
      <c r="O10304" s="105"/>
      <c r="P10304" s="105"/>
      <c r="Q10304" s="113"/>
      <c r="R10304" s="114"/>
      <c r="S10304" s="115"/>
    </row>
    <row r="10305" spans="1:19" x14ac:dyDescent="0.25">
      <c r="A10305" s="111"/>
      <c r="B10305" s="112"/>
      <c r="C10305" s="105"/>
      <c r="D10305" s="105"/>
      <c r="E10305" s="105"/>
      <c r="F10305" s="105"/>
      <c r="G10305" s="105"/>
      <c r="H10305" s="105"/>
      <c r="I10305" s="105"/>
      <c r="J10305" s="113"/>
      <c r="K10305" s="114"/>
      <c r="L10305" s="115"/>
      <c r="M10305" s="105"/>
      <c r="N10305" s="105"/>
      <c r="O10305" s="105"/>
      <c r="P10305" s="105"/>
      <c r="Q10305" s="113"/>
      <c r="R10305" s="114"/>
      <c r="S10305" s="115"/>
    </row>
    <row r="10306" spans="1:19" x14ac:dyDescent="0.25">
      <c r="A10306" s="111"/>
      <c r="B10306" s="112"/>
      <c r="C10306" s="105"/>
      <c r="D10306" s="105"/>
      <c r="E10306" s="105"/>
      <c r="F10306" s="105"/>
      <c r="G10306" s="105"/>
      <c r="H10306" s="105"/>
      <c r="I10306" s="105"/>
      <c r="J10306" s="113"/>
      <c r="K10306" s="114"/>
      <c r="L10306" s="115"/>
      <c r="M10306" s="105"/>
      <c r="N10306" s="105"/>
      <c r="O10306" s="105"/>
      <c r="P10306" s="105"/>
      <c r="Q10306" s="113"/>
      <c r="R10306" s="114"/>
      <c r="S10306" s="115"/>
    </row>
    <row r="10307" spans="1:19" x14ac:dyDescent="0.25">
      <c r="A10307" s="111"/>
      <c r="B10307" s="112"/>
      <c r="C10307" s="105"/>
      <c r="D10307" s="105"/>
      <c r="E10307" s="105"/>
      <c r="F10307" s="105"/>
      <c r="G10307" s="105"/>
      <c r="H10307" s="105"/>
      <c r="I10307" s="105"/>
      <c r="J10307" s="113"/>
      <c r="K10307" s="114"/>
      <c r="L10307" s="115"/>
      <c r="M10307" s="105"/>
      <c r="N10307" s="105"/>
      <c r="O10307" s="105"/>
      <c r="P10307" s="105"/>
      <c r="Q10307" s="113"/>
      <c r="R10307" s="114"/>
      <c r="S10307" s="115"/>
    </row>
    <row r="10308" spans="1:19" x14ac:dyDescent="0.25">
      <c r="A10308" s="111"/>
      <c r="B10308" s="112"/>
      <c r="C10308" s="105"/>
      <c r="D10308" s="105"/>
      <c r="E10308" s="105"/>
      <c r="F10308" s="105"/>
      <c r="G10308" s="105"/>
      <c r="H10308" s="105"/>
      <c r="I10308" s="105"/>
      <c r="J10308" s="113"/>
      <c r="K10308" s="114"/>
      <c r="L10308" s="115"/>
      <c r="M10308" s="105"/>
      <c r="N10308" s="105"/>
      <c r="O10308" s="105"/>
      <c r="P10308" s="105"/>
      <c r="Q10308" s="113"/>
      <c r="R10308" s="114"/>
      <c r="S10308" s="115"/>
    </row>
    <row r="10309" spans="1:19" x14ac:dyDescent="0.25">
      <c r="A10309" s="111"/>
      <c r="B10309" s="112"/>
      <c r="C10309" s="105"/>
      <c r="D10309" s="105"/>
      <c r="E10309" s="105"/>
      <c r="F10309" s="105"/>
      <c r="G10309" s="105"/>
      <c r="H10309" s="105"/>
      <c r="I10309" s="105"/>
      <c r="J10309" s="113"/>
      <c r="K10309" s="114"/>
      <c r="L10309" s="115"/>
      <c r="M10309" s="105"/>
      <c r="N10309" s="105"/>
      <c r="O10309" s="105"/>
      <c r="P10309" s="105"/>
      <c r="Q10309" s="113"/>
      <c r="R10309" s="114"/>
      <c r="S10309" s="115"/>
    </row>
    <row r="10310" spans="1:19" x14ac:dyDescent="0.25">
      <c r="A10310" s="111"/>
      <c r="B10310" s="112"/>
      <c r="C10310" s="105"/>
      <c r="D10310" s="105"/>
      <c r="E10310" s="105"/>
      <c r="F10310" s="105"/>
      <c r="G10310" s="105"/>
      <c r="H10310" s="105"/>
      <c r="I10310" s="105"/>
      <c r="J10310" s="113"/>
      <c r="K10310" s="114"/>
      <c r="L10310" s="115"/>
      <c r="M10310" s="105"/>
      <c r="N10310" s="105"/>
      <c r="O10310" s="105"/>
      <c r="P10310" s="105"/>
      <c r="Q10310" s="113"/>
      <c r="R10310" s="114"/>
      <c r="S10310" s="115"/>
    </row>
    <row r="10311" spans="1:19" x14ac:dyDescent="0.25">
      <c r="A10311" s="111"/>
      <c r="B10311" s="112"/>
      <c r="C10311" s="105"/>
      <c r="D10311" s="105"/>
      <c r="E10311" s="105"/>
      <c r="F10311" s="105"/>
      <c r="G10311" s="105"/>
      <c r="H10311" s="105"/>
      <c r="I10311" s="105"/>
      <c r="J10311" s="113"/>
      <c r="K10311" s="114"/>
      <c r="L10311" s="115"/>
      <c r="M10311" s="105"/>
      <c r="N10311" s="105"/>
      <c r="O10311" s="105"/>
      <c r="P10311" s="105"/>
      <c r="Q10311" s="113"/>
      <c r="R10311" s="114"/>
      <c r="S10311" s="115"/>
    </row>
    <row r="10312" spans="1:19" x14ac:dyDescent="0.25">
      <c r="A10312" s="111"/>
      <c r="B10312" s="112"/>
      <c r="C10312" s="105"/>
      <c r="D10312" s="105"/>
      <c r="E10312" s="105"/>
      <c r="F10312" s="105"/>
      <c r="G10312" s="105"/>
      <c r="H10312" s="105"/>
      <c r="I10312" s="105"/>
      <c r="J10312" s="113"/>
      <c r="K10312" s="114"/>
      <c r="L10312" s="115"/>
      <c r="M10312" s="105"/>
      <c r="N10312" s="105"/>
      <c r="O10312" s="105"/>
      <c r="P10312" s="105"/>
      <c r="Q10312" s="113"/>
      <c r="R10312" s="114"/>
      <c r="S10312" s="115"/>
    </row>
    <row r="10313" spans="1:19" x14ac:dyDescent="0.25">
      <c r="A10313" s="111"/>
      <c r="B10313" s="112"/>
      <c r="C10313" s="105"/>
      <c r="D10313" s="105"/>
      <c r="E10313" s="105"/>
      <c r="F10313" s="105"/>
      <c r="G10313" s="105"/>
      <c r="H10313" s="105"/>
      <c r="I10313" s="105"/>
      <c r="J10313" s="113"/>
      <c r="K10313" s="114"/>
      <c r="L10313" s="115"/>
      <c r="M10313" s="105"/>
      <c r="N10313" s="105"/>
      <c r="O10313" s="105"/>
      <c r="P10313" s="105"/>
      <c r="Q10313" s="113"/>
      <c r="R10313" s="114"/>
      <c r="S10313" s="115"/>
    </row>
    <row r="10314" spans="1:19" x14ac:dyDescent="0.25">
      <c r="A10314" s="111"/>
      <c r="B10314" s="112"/>
      <c r="C10314" s="105"/>
      <c r="D10314" s="105"/>
      <c r="E10314" s="105"/>
      <c r="F10314" s="105"/>
      <c r="G10314" s="105"/>
      <c r="H10314" s="105"/>
      <c r="I10314" s="105"/>
      <c r="J10314" s="113"/>
      <c r="K10314" s="114"/>
      <c r="L10314" s="115"/>
      <c r="M10314" s="105"/>
      <c r="N10314" s="105"/>
      <c r="O10314" s="105"/>
      <c r="P10314" s="105"/>
      <c r="Q10314" s="113"/>
      <c r="R10314" s="114"/>
      <c r="S10314" s="115"/>
    </row>
    <row r="10315" spans="1:19" x14ac:dyDescent="0.25">
      <c r="A10315" s="111"/>
      <c r="B10315" s="112"/>
      <c r="C10315" s="105"/>
      <c r="D10315" s="105"/>
      <c r="E10315" s="105"/>
      <c r="F10315" s="105"/>
      <c r="G10315" s="105"/>
      <c r="H10315" s="105"/>
      <c r="I10315" s="105"/>
      <c r="J10315" s="113"/>
      <c r="K10315" s="114"/>
      <c r="L10315" s="115"/>
      <c r="M10315" s="105"/>
      <c r="N10315" s="105"/>
      <c r="O10315" s="105"/>
      <c r="P10315" s="105"/>
      <c r="Q10315" s="113"/>
      <c r="R10315" s="114"/>
      <c r="S10315" s="115"/>
    </row>
    <row r="10316" spans="1:19" x14ac:dyDescent="0.25">
      <c r="A10316" s="111"/>
      <c r="B10316" s="112"/>
      <c r="C10316" s="105"/>
      <c r="D10316" s="105"/>
      <c r="E10316" s="105"/>
      <c r="F10316" s="105"/>
      <c r="G10316" s="105"/>
      <c r="H10316" s="105"/>
      <c r="I10316" s="105"/>
      <c r="J10316" s="113"/>
      <c r="K10316" s="114"/>
      <c r="L10316" s="115"/>
      <c r="M10316" s="105"/>
      <c r="N10316" s="105"/>
      <c r="O10316" s="105"/>
      <c r="P10316" s="105"/>
      <c r="Q10316" s="113"/>
      <c r="R10316" s="114"/>
      <c r="S10316" s="115"/>
    </row>
    <row r="10317" spans="1:19" x14ac:dyDescent="0.25">
      <c r="A10317" s="111"/>
      <c r="B10317" s="112"/>
      <c r="C10317" s="105"/>
      <c r="D10317" s="105"/>
      <c r="E10317" s="105"/>
      <c r="F10317" s="105"/>
      <c r="G10317" s="105"/>
      <c r="H10317" s="105"/>
      <c r="I10317" s="105"/>
      <c r="J10317" s="113"/>
      <c r="K10317" s="114"/>
      <c r="L10317" s="115"/>
      <c r="M10317" s="105"/>
      <c r="N10317" s="105"/>
      <c r="O10317" s="105"/>
      <c r="P10317" s="105"/>
      <c r="Q10317" s="113"/>
      <c r="R10317" s="114"/>
      <c r="S10317" s="115"/>
    </row>
    <row r="10318" spans="1:19" x14ac:dyDescent="0.25">
      <c r="A10318" s="111"/>
      <c r="B10318" s="112"/>
      <c r="C10318" s="105"/>
      <c r="D10318" s="105"/>
      <c r="E10318" s="105"/>
      <c r="F10318" s="105"/>
      <c r="G10318" s="105"/>
      <c r="H10318" s="105"/>
      <c r="I10318" s="105"/>
      <c r="J10318" s="113"/>
      <c r="K10318" s="114"/>
      <c r="L10318" s="115"/>
      <c r="M10318" s="105"/>
      <c r="N10318" s="105"/>
      <c r="O10318" s="105"/>
      <c r="P10318" s="105"/>
      <c r="Q10318" s="113"/>
      <c r="R10318" s="114"/>
      <c r="S10318" s="115"/>
    </row>
    <row r="10319" spans="1:19" x14ac:dyDescent="0.25">
      <c r="A10319" s="111"/>
      <c r="B10319" s="112"/>
      <c r="C10319" s="105"/>
      <c r="D10319" s="105"/>
      <c r="E10319" s="105"/>
      <c r="F10319" s="105"/>
      <c r="G10319" s="105"/>
      <c r="H10319" s="105"/>
      <c r="I10319" s="105"/>
      <c r="J10319" s="113"/>
      <c r="K10319" s="114"/>
      <c r="L10319" s="115"/>
      <c r="M10319" s="105"/>
      <c r="N10319" s="105"/>
      <c r="O10319" s="105"/>
      <c r="P10319" s="105"/>
      <c r="Q10319" s="113"/>
      <c r="R10319" s="114"/>
      <c r="S10319" s="115"/>
    </row>
    <row r="10320" spans="1:19" x14ac:dyDescent="0.25">
      <c r="A10320" s="111"/>
      <c r="B10320" s="112"/>
      <c r="C10320" s="105"/>
      <c r="D10320" s="105"/>
      <c r="E10320" s="105"/>
      <c r="F10320" s="105"/>
      <c r="G10320" s="105"/>
      <c r="H10320" s="105"/>
      <c r="I10320" s="105"/>
      <c r="J10320" s="113"/>
      <c r="K10320" s="114"/>
      <c r="L10320" s="115"/>
      <c r="M10320" s="105"/>
      <c r="N10320" s="105"/>
      <c r="O10320" s="105"/>
      <c r="P10320" s="105"/>
      <c r="Q10320" s="113"/>
      <c r="R10320" s="114"/>
      <c r="S10320" s="115"/>
    </row>
    <row r="10321" spans="1:19" x14ac:dyDescent="0.25">
      <c r="A10321" s="111"/>
      <c r="B10321" s="112"/>
      <c r="C10321" s="105"/>
      <c r="D10321" s="105"/>
      <c r="E10321" s="105"/>
      <c r="F10321" s="105"/>
      <c r="G10321" s="105"/>
      <c r="H10321" s="105"/>
      <c r="I10321" s="105"/>
      <c r="J10321" s="113"/>
      <c r="K10321" s="114"/>
      <c r="L10321" s="115"/>
      <c r="M10321" s="105"/>
      <c r="N10321" s="105"/>
      <c r="O10321" s="105"/>
      <c r="P10321" s="105"/>
      <c r="Q10321" s="113"/>
      <c r="R10321" s="114"/>
      <c r="S10321" s="115"/>
    </row>
    <row r="10322" spans="1:19" x14ac:dyDescent="0.25">
      <c r="A10322" s="111"/>
      <c r="B10322" s="112"/>
      <c r="C10322" s="105"/>
      <c r="D10322" s="105"/>
      <c r="E10322" s="105"/>
      <c r="F10322" s="105"/>
      <c r="G10322" s="105"/>
      <c r="H10322" s="105"/>
      <c r="I10322" s="105"/>
      <c r="J10322" s="113"/>
      <c r="K10322" s="114"/>
      <c r="L10322" s="115"/>
      <c r="M10322" s="105"/>
      <c r="N10322" s="105"/>
      <c r="O10322" s="105"/>
      <c r="P10322" s="105"/>
      <c r="Q10322" s="113"/>
      <c r="R10322" s="114"/>
      <c r="S10322" s="115"/>
    </row>
    <row r="10323" spans="1:19" x14ac:dyDescent="0.25">
      <c r="A10323" s="111"/>
      <c r="B10323" s="112"/>
      <c r="C10323" s="105"/>
      <c r="D10323" s="105"/>
      <c r="E10323" s="105"/>
      <c r="F10323" s="105"/>
      <c r="G10323" s="105"/>
      <c r="H10323" s="105"/>
      <c r="I10323" s="105"/>
      <c r="J10323" s="113"/>
      <c r="K10323" s="114"/>
      <c r="L10323" s="115"/>
      <c r="M10323" s="105"/>
      <c r="N10323" s="105"/>
      <c r="O10323" s="105"/>
      <c r="P10323" s="105"/>
      <c r="Q10323" s="113"/>
      <c r="R10323" s="114"/>
      <c r="S10323" s="115"/>
    </row>
    <row r="10324" spans="1:19" x14ac:dyDescent="0.25">
      <c r="A10324" s="111"/>
      <c r="B10324" s="112"/>
      <c r="C10324" s="105"/>
      <c r="D10324" s="105"/>
      <c r="E10324" s="105"/>
      <c r="F10324" s="105"/>
      <c r="G10324" s="105"/>
      <c r="H10324" s="105"/>
      <c r="I10324" s="105"/>
      <c r="J10324" s="113"/>
      <c r="K10324" s="114"/>
      <c r="L10324" s="115"/>
      <c r="M10324" s="105"/>
      <c r="N10324" s="105"/>
      <c r="O10324" s="105"/>
      <c r="P10324" s="105"/>
      <c r="Q10324" s="113"/>
      <c r="R10324" s="114"/>
      <c r="S10324" s="115"/>
    </row>
    <row r="10325" spans="1:19" x14ac:dyDescent="0.25">
      <c r="A10325" s="111"/>
      <c r="B10325" s="112"/>
      <c r="C10325" s="105"/>
      <c r="D10325" s="105"/>
      <c r="E10325" s="105"/>
      <c r="F10325" s="105"/>
      <c r="G10325" s="105"/>
      <c r="H10325" s="105"/>
      <c r="I10325" s="105"/>
      <c r="J10325" s="113"/>
      <c r="K10325" s="114"/>
      <c r="L10325" s="115"/>
      <c r="M10325" s="105"/>
      <c r="N10325" s="105"/>
      <c r="O10325" s="105"/>
      <c r="P10325" s="105"/>
      <c r="Q10325" s="113"/>
      <c r="R10325" s="114"/>
      <c r="S10325" s="115"/>
    </row>
    <row r="10326" spans="1:19" x14ac:dyDescent="0.25">
      <c r="A10326" s="111"/>
      <c r="B10326" s="112"/>
      <c r="C10326" s="105"/>
      <c r="D10326" s="105"/>
      <c r="E10326" s="105"/>
      <c r="F10326" s="105"/>
      <c r="G10326" s="105"/>
      <c r="H10326" s="105"/>
      <c r="I10326" s="105"/>
      <c r="J10326" s="113"/>
      <c r="K10326" s="114"/>
      <c r="L10326" s="115"/>
      <c r="M10326" s="105"/>
      <c r="N10326" s="105"/>
      <c r="O10326" s="105"/>
      <c r="P10326" s="105"/>
      <c r="Q10326" s="113"/>
      <c r="R10326" s="114"/>
      <c r="S10326" s="115"/>
    </row>
    <row r="10327" spans="1:19" x14ac:dyDescent="0.25">
      <c r="A10327" s="111"/>
      <c r="B10327" s="112"/>
      <c r="C10327" s="105"/>
      <c r="D10327" s="105"/>
      <c r="E10327" s="105"/>
      <c r="F10327" s="105"/>
      <c r="G10327" s="105"/>
      <c r="H10327" s="105"/>
      <c r="I10327" s="105"/>
      <c r="J10327" s="113"/>
      <c r="K10327" s="114"/>
      <c r="L10327" s="115"/>
      <c r="M10327" s="105"/>
      <c r="N10327" s="105"/>
      <c r="O10327" s="105"/>
      <c r="P10327" s="105"/>
      <c r="Q10327" s="113"/>
      <c r="R10327" s="114"/>
      <c r="S10327" s="115"/>
    </row>
    <row r="10328" spans="1:19" x14ac:dyDescent="0.25">
      <c r="A10328" s="111"/>
      <c r="B10328" s="112"/>
      <c r="C10328" s="105"/>
      <c r="D10328" s="105"/>
      <c r="E10328" s="105"/>
      <c r="F10328" s="105"/>
      <c r="G10328" s="105"/>
      <c r="H10328" s="105"/>
      <c r="I10328" s="105"/>
      <c r="J10328" s="113"/>
      <c r="K10328" s="114"/>
      <c r="L10328" s="115"/>
      <c r="M10328" s="105"/>
      <c r="N10328" s="105"/>
      <c r="O10328" s="105"/>
      <c r="P10328" s="105"/>
      <c r="Q10328" s="113"/>
      <c r="R10328" s="114"/>
      <c r="S10328" s="115"/>
    </row>
    <row r="10329" spans="1:19" x14ac:dyDescent="0.25">
      <c r="A10329" s="111"/>
      <c r="B10329" s="112"/>
      <c r="C10329" s="105"/>
      <c r="D10329" s="105"/>
      <c r="E10329" s="105"/>
      <c r="F10329" s="105"/>
      <c r="G10329" s="105"/>
      <c r="H10329" s="105"/>
      <c r="I10329" s="105"/>
      <c r="J10329" s="113"/>
      <c r="K10329" s="114"/>
      <c r="L10329" s="115"/>
      <c r="M10329" s="105"/>
      <c r="N10329" s="105"/>
      <c r="O10329" s="105"/>
      <c r="P10329" s="105"/>
      <c r="Q10329" s="113"/>
      <c r="R10329" s="114"/>
      <c r="S10329" s="115"/>
    </row>
    <row r="10330" spans="1:19" x14ac:dyDescent="0.25">
      <c r="A10330" s="111"/>
      <c r="B10330" s="112"/>
      <c r="C10330" s="105"/>
      <c r="D10330" s="105"/>
      <c r="E10330" s="105"/>
      <c r="F10330" s="105"/>
      <c r="G10330" s="105"/>
      <c r="H10330" s="105"/>
      <c r="I10330" s="105"/>
      <c r="J10330" s="113"/>
      <c r="K10330" s="114"/>
      <c r="L10330" s="115"/>
      <c r="M10330" s="105"/>
      <c r="N10330" s="105"/>
      <c r="O10330" s="105"/>
      <c r="P10330" s="105"/>
      <c r="Q10330" s="113"/>
      <c r="R10330" s="114"/>
      <c r="S10330" s="115"/>
    </row>
    <row r="10331" spans="1:19" x14ac:dyDescent="0.25">
      <c r="A10331" s="111"/>
      <c r="B10331" s="112"/>
      <c r="C10331" s="105"/>
      <c r="D10331" s="105"/>
      <c r="E10331" s="105"/>
      <c r="F10331" s="105"/>
      <c r="G10331" s="105"/>
      <c r="H10331" s="105"/>
      <c r="I10331" s="105"/>
      <c r="J10331" s="113"/>
      <c r="K10331" s="114"/>
      <c r="L10331" s="115"/>
      <c r="M10331" s="105"/>
      <c r="N10331" s="105"/>
      <c r="O10331" s="105"/>
      <c r="P10331" s="105"/>
      <c r="Q10331" s="113"/>
      <c r="R10331" s="114"/>
      <c r="S10331" s="115"/>
    </row>
    <row r="10332" spans="1:19" x14ac:dyDescent="0.25">
      <c r="A10332" s="111"/>
      <c r="B10332" s="112"/>
      <c r="C10332" s="105"/>
      <c r="D10332" s="105"/>
      <c r="E10332" s="105"/>
      <c r="F10332" s="105"/>
      <c r="G10332" s="105"/>
      <c r="H10332" s="105"/>
      <c r="I10332" s="105"/>
      <c r="J10332" s="113"/>
      <c r="K10332" s="114"/>
      <c r="L10332" s="115"/>
      <c r="M10332" s="105"/>
      <c r="N10332" s="105"/>
      <c r="O10332" s="105"/>
      <c r="P10332" s="105"/>
      <c r="Q10332" s="113"/>
      <c r="R10332" s="114"/>
      <c r="S10332" s="115"/>
    </row>
    <row r="10333" spans="1:19" x14ac:dyDescent="0.25">
      <c r="A10333" s="111"/>
      <c r="B10333" s="112"/>
      <c r="C10333" s="105"/>
      <c r="D10333" s="105"/>
      <c r="E10333" s="105"/>
      <c r="F10333" s="105"/>
      <c r="G10333" s="105"/>
      <c r="H10333" s="105"/>
      <c r="I10333" s="105"/>
      <c r="J10333" s="113"/>
      <c r="K10333" s="114"/>
      <c r="L10333" s="115"/>
      <c r="M10333" s="105"/>
      <c r="N10333" s="105"/>
      <c r="O10333" s="105"/>
      <c r="P10333" s="105"/>
      <c r="Q10333" s="113"/>
      <c r="R10333" s="114"/>
      <c r="S10333" s="115"/>
    </row>
    <row r="10334" spans="1:19" x14ac:dyDescent="0.25">
      <c r="A10334" s="111"/>
      <c r="B10334" s="112"/>
      <c r="C10334" s="105"/>
      <c r="D10334" s="105"/>
      <c r="E10334" s="105"/>
      <c r="F10334" s="105"/>
      <c r="G10334" s="105"/>
      <c r="H10334" s="105"/>
      <c r="I10334" s="105"/>
      <c r="J10334" s="113"/>
      <c r="K10334" s="114"/>
      <c r="L10334" s="115"/>
      <c r="M10334" s="105"/>
      <c r="N10334" s="105"/>
      <c r="O10334" s="105"/>
      <c r="P10334" s="105"/>
      <c r="Q10334" s="113"/>
      <c r="R10334" s="114"/>
      <c r="S10334" s="115"/>
    </row>
    <row r="10335" spans="1:19" x14ac:dyDescent="0.25">
      <c r="A10335" s="111"/>
      <c r="B10335" s="112"/>
      <c r="C10335" s="105"/>
      <c r="D10335" s="105"/>
      <c r="E10335" s="105"/>
      <c r="F10335" s="105"/>
      <c r="G10335" s="105"/>
      <c r="H10335" s="105"/>
      <c r="I10335" s="105"/>
      <c r="J10335" s="113"/>
      <c r="K10335" s="114"/>
      <c r="L10335" s="115"/>
      <c r="M10335" s="105"/>
      <c r="N10335" s="105"/>
      <c r="O10335" s="105"/>
      <c r="P10335" s="105"/>
      <c r="Q10335" s="113"/>
      <c r="R10335" s="114"/>
      <c r="S10335" s="115"/>
    </row>
    <row r="10336" spans="1:19" x14ac:dyDescent="0.25">
      <c r="A10336" s="111"/>
      <c r="B10336" s="112"/>
      <c r="C10336" s="105"/>
      <c r="D10336" s="105"/>
      <c r="E10336" s="105"/>
      <c r="F10336" s="105"/>
      <c r="G10336" s="105"/>
      <c r="H10336" s="105"/>
      <c r="I10336" s="105"/>
      <c r="J10336" s="113"/>
      <c r="K10336" s="114"/>
      <c r="L10336" s="115"/>
      <c r="M10336" s="105"/>
      <c r="N10336" s="105"/>
      <c r="O10336" s="105"/>
      <c r="P10336" s="105"/>
      <c r="Q10336" s="113"/>
      <c r="R10336" s="114"/>
      <c r="S10336" s="115"/>
    </row>
    <row r="10337" spans="1:19" x14ac:dyDescent="0.25">
      <c r="A10337" s="111"/>
      <c r="B10337" s="112"/>
      <c r="C10337" s="105"/>
      <c r="D10337" s="105"/>
      <c r="E10337" s="105"/>
      <c r="F10337" s="105"/>
      <c r="G10337" s="105"/>
      <c r="H10337" s="105"/>
      <c r="I10337" s="105"/>
      <c r="J10337" s="113"/>
      <c r="K10337" s="114"/>
      <c r="L10337" s="115"/>
      <c r="M10337" s="105"/>
      <c r="N10337" s="105"/>
      <c r="O10337" s="105"/>
      <c r="P10337" s="105"/>
      <c r="Q10337" s="113"/>
      <c r="R10337" s="114"/>
      <c r="S10337" s="115"/>
    </row>
    <row r="10338" spans="1:19" x14ac:dyDescent="0.25">
      <c r="A10338" s="111"/>
      <c r="B10338" s="112"/>
      <c r="C10338" s="105"/>
      <c r="D10338" s="105"/>
      <c r="E10338" s="105"/>
      <c r="F10338" s="105"/>
      <c r="G10338" s="105"/>
      <c r="H10338" s="105"/>
      <c r="I10338" s="105"/>
      <c r="J10338" s="113"/>
      <c r="K10338" s="114"/>
      <c r="L10338" s="115"/>
      <c r="M10338" s="105"/>
      <c r="N10338" s="105"/>
      <c r="O10338" s="105"/>
      <c r="P10338" s="105"/>
      <c r="Q10338" s="113"/>
      <c r="R10338" s="114"/>
      <c r="S10338" s="115"/>
    </row>
    <row r="10339" spans="1:19" x14ac:dyDescent="0.25">
      <c r="A10339" s="111"/>
      <c r="B10339" s="112"/>
      <c r="C10339" s="105"/>
      <c r="D10339" s="105"/>
      <c r="E10339" s="105"/>
      <c r="F10339" s="105"/>
      <c r="G10339" s="105"/>
      <c r="H10339" s="105"/>
      <c r="I10339" s="105"/>
      <c r="J10339" s="113"/>
      <c r="K10339" s="114"/>
      <c r="L10339" s="115"/>
      <c r="M10339" s="105"/>
      <c r="N10339" s="105"/>
      <c r="O10339" s="105"/>
      <c r="P10339" s="105"/>
      <c r="Q10339" s="113"/>
      <c r="R10339" s="114"/>
      <c r="S10339" s="115"/>
    </row>
    <row r="10340" spans="1:19" x14ac:dyDescent="0.25">
      <c r="A10340" s="111"/>
      <c r="B10340" s="112"/>
      <c r="C10340" s="105"/>
      <c r="D10340" s="105"/>
      <c r="E10340" s="105"/>
      <c r="F10340" s="105"/>
      <c r="G10340" s="105"/>
      <c r="H10340" s="105"/>
      <c r="I10340" s="105"/>
      <c r="J10340" s="113"/>
      <c r="K10340" s="114"/>
      <c r="L10340" s="115"/>
      <c r="M10340" s="105"/>
      <c r="N10340" s="105"/>
      <c r="O10340" s="105"/>
      <c r="P10340" s="105"/>
      <c r="Q10340" s="113"/>
      <c r="R10340" s="114"/>
      <c r="S10340" s="115"/>
    </row>
    <row r="10341" spans="1:19" x14ac:dyDescent="0.25">
      <c r="A10341" s="111"/>
      <c r="B10341" s="112"/>
      <c r="C10341" s="105"/>
      <c r="D10341" s="105"/>
      <c r="E10341" s="105"/>
      <c r="F10341" s="105"/>
      <c r="G10341" s="105"/>
      <c r="H10341" s="105"/>
      <c r="I10341" s="105"/>
      <c r="J10341" s="113"/>
      <c r="K10341" s="114"/>
      <c r="L10341" s="115"/>
      <c r="M10341" s="105"/>
      <c r="N10341" s="105"/>
      <c r="O10341" s="105"/>
      <c r="P10341" s="105"/>
      <c r="Q10341" s="113"/>
      <c r="R10341" s="114"/>
      <c r="S10341" s="115"/>
    </row>
    <row r="10342" spans="1:19" x14ac:dyDescent="0.25">
      <c r="A10342" s="111"/>
      <c r="B10342" s="112"/>
      <c r="C10342" s="105"/>
      <c r="D10342" s="105"/>
      <c r="E10342" s="105"/>
      <c r="F10342" s="105"/>
      <c r="G10342" s="105"/>
      <c r="H10342" s="105"/>
      <c r="I10342" s="105"/>
      <c r="J10342" s="113"/>
      <c r="K10342" s="114"/>
      <c r="L10342" s="115"/>
      <c r="M10342" s="105"/>
      <c r="N10342" s="105"/>
      <c r="O10342" s="105"/>
      <c r="P10342" s="105"/>
      <c r="Q10342" s="113"/>
      <c r="R10342" s="114"/>
      <c r="S10342" s="115"/>
    </row>
    <row r="10343" spans="1:19" x14ac:dyDescent="0.25">
      <c r="A10343" s="111"/>
      <c r="B10343" s="112"/>
      <c r="C10343" s="105"/>
      <c r="D10343" s="105"/>
      <c r="E10343" s="105"/>
      <c r="F10343" s="105"/>
      <c r="G10343" s="105"/>
      <c r="H10343" s="105"/>
      <c r="I10343" s="105"/>
      <c r="J10343" s="113"/>
      <c r="K10343" s="114"/>
      <c r="L10343" s="115"/>
      <c r="M10343" s="105"/>
      <c r="N10343" s="105"/>
      <c r="O10343" s="105"/>
      <c r="P10343" s="105"/>
      <c r="Q10343" s="113"/>
      <c r="R10343" s="114"/>
      <c r="S10343" s="115"/>
    </row>
    <row r="10344" spans="1:19" x14ac:dyDescent="0.25">
      <c r="A10344" s="111"/>
      <c r="B10344" s="112"/>
      <c r="C10344" s="105"/>
      <c r="D10344" s="105"/>
      <c r="E10344" s="105"/>
      <c r="F10344" s="105"/>
      <c r="G10344" s="105"/>
      <c r="H10344" s="105"/>
      <c r="I10344" s="105"/>
      <c r="J10344" s="113"/>
      <c r="K10344" s="114"/>
      <c r="L10344" s="115"/>
      <c r="M10344" s="105"/>
      <c r="N10344" s="105"/>
      <c r="O10344" s="105"/>
      <c r="P10344" s="105"/>
      <c r="Q10344" s="113"/>
      <c r="R10344" s="114"/>
      <c r="S10344" s="115"/>
    </row>
    <row r="10345" spans="1:19" x14ac:dyDescent="0.25">
      <c r="A10345" s="111"/>
      <c r="B10345" s="112"/>
      <c r="C10345" s="105"/>
      <c r="D10345" s="105"/>
      <c r="E10345" s="105"/>
      <c r="F10345" s="105"/>
      <c r="G10345" s="105"/>
      <c r="H10345" s="105"/>
      <c r="I10345" s="105"/>
      <c r="J10345" s="113"/>
      <c r="K10345" s="114"/>
      <c r="L10345" s="115"/>
      <c r="M10345" s="105"/>
      <c r="N10345" s="105"/>
      <c r="O10345" s="105"/>
      <c r="P10345" s="105"/>
      <c r="Q10345" s="113"/>
      <c r="R10345" s="114"/>
      <c r="S10345" s="115"/>
    </row>
    <row r="10346" spans="1:19" x14ac:dyDescent="0.25">
      <c r="A10346" s="111"/>
      <c r="B10346" s="112"/>
      <c r="C10346" s="105"/>
      <c r="D10346" s="105"/>
      <c r="E10346" s="105"/>
      <c r="F10346" s="105"/>
      <c r="G10346" s="105"/>
      <c r="H10346" s="105"/>
      <c r="I10346" s="105"/>
      <c r="J10346" s="113"/>
      <c r="K10346" s="114"/>
      <c r="L10346" s="115"/>
      <c r="M10346" s="105"/>
      <c r="N10346" s="105"/>
      <c r="O10346" s="105"/>
      <c r="P10346" s="105"/>
      <c r="Q10346" s="113"/>
      <c r="R10346" s="114"/>
      <c r="S10346" s="115"/>
    </row>
    <row r="10347" spans="1:19" x14ac:dyDescent="0.25">
      <c r="A10347" s="111"/>
      <c r="B10347" s="112"/>
      <c r="C10347" s="105"/>
      <c r="D10347" s="105"/>
      <c r="E10347" s="105"/>
      <c r="F10347" s="105"/>
      <c r="G10347" s="105"/>
      <c r="H10347" s="105"/>
      <c r="I10347" s="105"/>
      <c r="J10347" s="113"/>
      <c r="K10347" s="114"/>
      <c r="L10347" s="115"/>
      <c r="M10347" s="105"/>
      <c r="N10347" s="105"/>
      <c r="O10347" s="105"/>
      <c r="P10347" s="105"/>
      <c r="Q10347" s="113"/>
      <c r="R10347" s="114"/>
      <c r="S10347" s="115"/>
    </row>
    <row r="10348" spans="1:19" x14ac:dyDescent="0.25">
      <c r="A10348" s="111"/>
      <c r="B10348" s="112"/>
      <c r="C10348" s="105"/>
      <c r="D10348" s="105"/>
      <c r="E10348" s="105"/>
      <c r="F10348" s="105"/>
      <c r="G10348" s="105"/>
      <c r="H10348" s="105"/>
      <c r="I10348" s="105"/>
      <c r="J10348" s="113"/>
      <c r="K10348" s="114"/>
      <c r="L10348" s="115"/>
      <c r="M10348" s="105"/>
      <c r="N10348" s="105"/>
      <c r="O10348" s="105"/>
      <c r="P10348" s="105"/>
      <c r="Q10348" s="113"/>
      <c r="R10348" s="114"/>
      <c r="S10348" s="115"/>
    </row>
    <row r="10349" spans="1:19" x14ac:dyDescent="0.25">
      <c r="A10349" s="111"/>
      <c r="B10349" s="112"/>
      <c r="C10349" s="105"/>
      <c r="D10349" s="105"/>
      <c r="E10349" s="105"/>
      <c r="F10349" s="105"/>
      <c r="G10349" s="105"/>
      <c r="H10349" s="105"/>
      <c r="I10349" s="105"/>
      <c r="J10349" s="113"/>
      <c r="K10349" s="114"/>
      <c r="L10349" s="115"/>
      <c r="M10349" s="105"/>
      <c r="N10349" s="105"/>
      <c r="O10349" s="105"/>
      <c r="P10349" s="105"/>
      <c r="Q10349" s="113"/>
      <c r="R10349" s="114"/>
      <c r="S10349" s="115"/>
    </row>
    <row r="10350" spans="1:19" x14ac:dyDescent="0.25">
      <c r="A10350" s="111"/>
      <c r="B10350" s="112"/>
      <c r="C10350" s="105"/>
      <c r="D10350" s="105"/>
      <c r="E10350" s="105"/>
      <c r="F10350" s="105"/>
      <c r="G10350" s="105"/>
      <c r="H10350" s="105"/>
      <c r="I10350" s="105"/>
      <c r="J10350" s="113"/>
      <c r="K10350" s="114"/>
      <c r="L10350" s="115"/>
      <c r="M10350" s="105"/>
      <c r="N10350" s="105"/>
      <c r="O10350" s="105"/>
      <c r="P10350" s="105"/>
      <c r="Q10350" s="113"/>
      <c r="R10350" s="114"/>
      <c r="S10350" s="115"/>
    </row>
    <row r="10351" spans="1:19" x14ac:dyDescent="0.25">
      <c r="A10351" s="111"/>
      <c r="B10351" s="112"/>
      <c r="C10351" s="105"/>
      <c r="D10351" s="105"/>
      <c r="E10351" s="105"/>
      <c r="F10351" s="105"/>
      <c r="G10351" s="105"/>
      <c r="H10351" s="105"/>
      <c r="I10351" s="105"/>
      <c r="J10351" s="113"/>
      <c r="K10351" s="114"/>
      <c r="L10351" s="115"/>
      <c r="M10351" s="105"/>
      <c r="N10351" s="105"/>
      <c r="O10351" s="105"/>
      <c r="P10351" s="105"/>
      <c r="Q10351" s="113"/>
      <c r="R10351" s="114"/>
      <c r="S10351" s="115"/>
    </row>
    <row r="10352" spans="1:19" x14ac:dyDescent="0.25">
      <c r="A10352" s="111"/>
      <c r="B10352" s="112"/>
      <c r="C10352" s="105"/>
      <c r="D10352" s="105"/>
      <c r="E10352" s="105"/>
      <c r="F10352" s="105"/>
      <c r="G10352" s="105"/>
      <c r="H10352" s="105"/>
      <c r="I10352" s="105"/>
      <c r="J10352" s="113"/>
      <c r="K10352" s="114"/>
      <c r="L10352" s="115"/>
      <c r="M10352" s="105"/>
      <c r="N10352" s="105"/>
      <c r="O10352" s="105"/>
      <c r="P10352" s="105"/>
      <c r="Q10352" s="113"/>
      <c r="R10352" s="114"/>
      <c r="S10352" s="115"/>
    </row>
    <row r="10353" spans="1:19" x14ac:dyDescent="0.25">
      <c r="A10353" s="111"/>
      <c r="B10353" s="112"/>
      <c r="C10353" s="105"/>
      <c r="D10353" s="105"/>
      <c r="E10353" s="105"/>
      <c r="F10353" s="105"/>
      <c r="G10353" s="105"/>
      <c r="H10353" s="105"/>
      <c r="I10353" s="105"/>
      <c r="J10353" s="113"/>
      <c r="K10353" s="114"/>
      <c r="L10353" s="115"/>
      <c r="M10353" s="105"/>
      <c r="N10353" s="105"/>
      <c r="O10353" s="105"/>
      <c r="P10353" s="105"/>
      <c r="Q10353" s="113"/>
      <c r="R10353" s="114"/>
      <c r="S10353" s="115"/>
    </row>
    <row r="10354" spans="1:19" x14ac:dyDescent="0.25">
      <c r="A10354" s="111"/>
      <c r="B10354" s="112"/>
      <c r="C10354" s="105"/>
      <c r="D10354" s="105"/>
      <c r="E10354" s="105"/>
      <c r="F10354" s="105"/>
      <c r="G10354" s="105"/>
      <c r="H10354" s="105"/>
      <c r="I10354" s="105"/>
      <c r="J10354" s="113"/>
      <c r="K10354" s="114"/>
      <c r="L10354" s="115"/>
      <c r="M10354" s="105"/>
      <c r="N10354" s="105"/>
      <c r="O10354" s="105"/>
      <c r="P10354" s="105"/>
      <c r="Q10354" s="113"/>
      <c r="R10354" s="114"/>
      <c r="S10354" s="115"/>
    </row>
    <row r="10355" spans="1:19" x14ac:dyDescent="0.25">
      <c r="A10355" s="111"/>
      <c r="B10355" s="112"/>
      <c r="C10355" s="105"/>
      <c r="D10355" s="105"/>
      <c r="E10355" s="105"/>
      <c r="F10355" s="105"/>
      <c r="G10355" s="105"/>
      <c r="H10355" s="105"/>
      <c r="I10355" s="105"/>
      <c r="J10355" s="113"/>
      <c r="K10355" s="114"/>
      <c r="L10355" s="115"/>
      <c r="M10355" s="105"/>
      <c r="N10355" s="105"/>
      <c r="O10355" s="105"/>
      <c r="P10355" s="105"/>
      <c r="Q10355" s="113"/>
      <c r="R10355" s="114"/>
      <c r="S10355" s="115"/>
    </row>
    <row r="10356" spans="1:19" x14ac:dyDescent="0.25">
      <c r="A10356" s="111"/>
      <c r="B10356" s="112"/>
      <c r="C10356" s="105"/>
      <c r="D10356" s="105"/>
      <c r="E10356" s="105"/>
      <c r="F10356" s="105"/>
      <c r="G10356" s="105"/>
      <c r="H10356" s="105"/>
      <c r="I10356" s="105"/>
      <c r="J10356" s="113"/>
      <c r="K10356" s="114"/>
      <c r="L10356" s="115"/>
      <c r="M10356" s="105"/>
      <c r="N10356" s="105"/>
      <c r="O10356" s="105"/>
      <c r="P10356" s="105"/>
      <c r="Q10356" s="113"/>
      <c r="R10356" s="114"/>
      <c r="S10356" s="115"/>
    </row>
    <row r="10357" spans="1:19" x14ac:dyDescent="0.25">
      <c r="A10357" s="111"/>
      <c r="B10357" s="112"/>
      <c r="C10357" s="105"/>
      <c r="D10357" s="105"/>
      <c r="E10357" s="105"/>
      <c r="F10357" s="105"/>
      <c r="G10357" s="105"/>
      <c r="H10357" s="105"/>
      <c r="I10357" s="105"/>
      <c r="J10357" s="113"/>
      <c r="K10357" s="114"/>
      <c r="L10357" s="115"/>
      <c r="M10357" s="105"/>
      <c r="N10357" s="105"/>
      <c r="O10357" s="105"/>
      <c r="P10357" s="105"/>
      <c r="Q10357" s="113"/>
      <c r="R10357" s="114"/>
      <c r="S10357" s="115"/>
    </row>
    <row r="10358" spans="1:19" x14ac:dyDescent="0.25">
      <c r="A10358" s="111"/>
      <c r="B10358" s="112"/>
      <c r="C10358" s="105"/>
      <c r="D10358" s="105"/>
      <c r="E10358" s="105"/>
      <c r="F10358" s="105"/>
      <c r="G10358" s="105"/>
      <c r="H10358" s="105"/>
      <c r="I10358" s="105"/>
      <c r="J10358" s="113"/>
      <c r="K10358" s="114"/>
      <c r="L10358" s="115"/>
      <c r="M10358" s="105"/>
      <c r="N10358" s="105"/>
      <c r="O10358" s="105"/>
      <c r="P10358" s="105"/>
      <c r="Q10358" s="113"/>
      <c r="R10358" s="114"/>
      <c r="S10358" s="115"/>
    </row>
    <row r="10359" spans="1:19" x14ac:dyDescent="0.25">
      <c r="A10359" s="111"/>
      <c r="B10359" s="112"/>
      <c r="C10359" s="105"/>
      <c r="D10359" s="105"/>
      <c r="E10359" s="105"/>
      <c r="F10359" s="105"/>
      <c r="G10359" s="105"/>
      <c r="H10359" s="105"/>
      <c r="I10359" s="105"/>
      <c r="J10359" s="113"/>
      <c r="K10359" s="114"/>
      <c r="L10359" s="115"/>
      <c r="M10359" s="105"/>
      <c r="N10359" s="105"/>
      <c r="O10359" s="105"/>
      <c r="P10359" s="105"/>
      <c r="Q10359" s="113"/>
      <c r="R10359" s="114"/>
      <c r="S10359" s="115"/>
    </row>
    <row r="10360" spans="1:19" x14ac:dyDescent="0.25">
      <c r="A10360" s="111"/>
      <c r="B10360" s="112"/>
      <c r="C10360" s="105"/>
      <c r="D10360" s="105"/>
      <c r="E10360" s="105"/>
      <c r="F10360" s="105"/>
      <c r="G10360" s="105"/>
      <c r="H10360" s="105"/>
      <c r="I10360" s="105"/>
      <c r="J10360" s="113"/>
      <c r="K10360" s="114"/>
      <c r="L10360" s="115"/>
      <c r="M10360" s="105"/>
      <c r="N10360" s="105"/>
      <c r="O10360" s="105"/>
      <c r="P10360" s="105"/>
      <c r="Q10360" s="113"/>
      <c r="R10360" s="114"/>
      <c r="S10360" s="115"/>
    </row>
    <row r="10361" spans="1:19" x14ac:dyDescent="0.25">
      <c r="A10361" s="111"/>
      <c r="B10361" s="112"/>
      <c r="C10361" s="105"/>
      <c r="D10361" s="105"/>
      <c r="E10361" s="105"/>
      <c r="F10361" s="105"/>
      <c r="G10361" s="105"/>
      <c r="H10361" s="105"/>
      <c r="I10361" s="105"/>
      <c r="J10361" s="113"/>
      <c r="K10361" s="114"/>
      <c r="L10361" s="115"/>
      <c r="M10361" s="105"/>
      <c r="N10361" s="105"/>
      <c r="O10361" s="105"/>
      <c r="P10361" s="105"/>
      <c r="Q10361" s="113"/>
      <c r="R10361" s="114"/>
      <c r="S10361" s="115"/>
    </row>
    <row r="10362" spans="1:19" x14ac:dyDescent="0.25">
      <c r="A10362" s="111"/>
      <c r="B10362" s="112"/>
      <c r="C10362" s="105"/>
      <c r="D10362" s="105"/>
      <c r="E10362" s="105"/>
      <c r="F10362" s="105"/>
      <c r="G10362" s="105"/>
      <c r="H10362" s="105"/>
      <c r="I10362" s="105"/>
      <c r="J10362" s="113"/>
      <c r="K10362" s="114"/>
      <c r="L10362" s="115"/>
      <c r="M10362" s="105"/>
      <c r="N10362" s="105"/>
      <c r="O10362" s="105"/>
      <c r="P10362" s="105"/>
      <c r="Q10362" s="113"/>
      <c r="R10362" s="114"/>
      <c r="S10362" s="115"/>
    </row>
    <row r="10363" spans="1:19" x14ac:dyDescent="0.25">
      <c r="A10363" s="111"/>
      <c r="B10363" s="112"/>
      <c r="C10363" s="105"/>
      <c r="D10363" s="105"/>
      <c r="E10363" s="105"/>
      <c r="F10363" s="105"/>
      <c r="G10363" s="105"/>
      <c r="H10363" s="105"/>
      <c r="I10363" s="105"/>
      <c r="J10363" s="113"/>
      <c r="K10363" s="114"/>
      <c r="L10363" s="115"/>
      <c r="M10363" s="105"/>
      <c r="N10363" s="105"/>
      <c r="O10363" s="105"/>
      <c r="P10363" s="105"/>
      <c r="Q10363" s="113"/>
      <c r="R10363" s="114"/>
      <c r="S10363" s="115"/>
    </row>
    <row r="10364" spans="1:19" x14ac:dyDescent="0.25">
      <c r="A10364" s="111"/>
      <c r="B10364" s="112"/>
      <c r="C10364" s="105"/>
      <c r="D10364" s="105"/>
      <c r="E10364" s="105"/>
      <c r="F10364" s="105"/>
      <c r="G10364" s="105"/>
      <c r="H10364" s="105"/>
      <c r="I10364" s="105"/>
      <c r="J10364" s="113"/>
      <c r="K10364" s="114"/>
      <c r="L10364" s="115"/>
      <c r="M10364" s="105"/>
      <c r="N10364" s="105"/>
      <c r="O10364" s="105"/>
      <c r="P10364" s="105"/>
      <c r="Q10364" s="113"/>
      <c r="R10364" s="114"/>
      <c r="S10364" s="115"/>
    </row>
    <row r="10365" spans="1:19" x14ac:dyDescent="0.25">
      <c r="A10365" s="111"/>
      <c r="B10365" s="112"/>
      <c r="C10365" s="105"/>
      <c r="D10365" s="105"/>
      <c r="E10365" s="105"/>
      <c r="F10365" s="105"/>
      <c r="G10365" s="105"/>
      <c r="H10365" s="105"/>
      <c r="I10365" s="105"/>
      <c r="J10365" s="113"/>
      <c r="K10365" s="114"/>
      <c r="L10365" s="115"/>
      <c r="M10365" s="105"/>
      <c r="N10365" s="105"/>
      <c r="O10365" s="105"/>
      <c r="P10365" s="105"/>
      <c r="Q10365" s="113"/>
      <c r="R10365" s="114"/>
      <c r="S10365" s="115"/>
    </row>
    <row r="10366" spans="1:19" x14ac:dyDescent="0.25">
      <c r="A10366" s="111"/>
      <c r="B10366" s="112"/>
      <c r="C10366" s="105"/>
      <c r="D10366" s="105"/>
      <c r="E10366" s="105"/>
      <c r="F10366" s="105"/>
      <c r="G10366" s="105"/>
      <c r="H10366" s="105"/>
      <c r="I10366" s="105"/>
      <c r="J10366" s="113"/>
      <c r="K10366" s="114"/>
      <c r="L10366" s="115"/>
      <c r="M10366" s="105"/>
      <c r="N10366" s="105"/>
      <c r="O10366" s="105"/>
      <c r="P10366" s="105"/>
      <c r="Q10366" s="113"/>
      <c r="R10366" s="114"/>
      <c r="S10366" s="115"/>
    </row>
    <row r="10367" spans="1:19" x14ac:dyDescent="0.25">
      <c r="A10367" s="111"/>
      <c r="B10367" s="112"/>
      <c r="C10367" s="105"/>
      <c r="D10367" s="105"/>
      <c r="E10367" s="105"/>
      <c r="F10367" s="105"/>
      <c r="G10367" s="105"/>
      <c r="H10367" s="105"/>
      <c r="I10367" s="105"/>
      <c r="J10367" s="113"/>
      <c r="K10367" s="114"/>
      <c r="L10367" s="115"/>
      <c r="M10367" s="105"/>
      <c r="N10367" s="105"/>
      <c r="O10367" s="105"/>
      <c r="P10367" s="105"/>
      <c r="Q10367" s="113"/>
      <c r="R10367" s="114"/>
      <c r="S10367" s="115"/>
    </row>
    <row r="10368" spans="1:19" x14ac:dyDescent="0.25">
      <c r="A10368" s="111"/>
      <c r="B10368" s="112"/>
      <c r="C10368" s="105"/>
      <c r="D10368" s="105"/>
      <c r="E10368" s="105"/>
      <c r="F10368" s="105"/>
      <c r="G10368" s="105"/>
      <c r="H10368" s="105"/>
      <c r="I10368" s="105"/>
      <c r="J10368" s="113"/>
      <c r="K10368" s="114"/>
      <c r="L10368" s="115"/>
      <c r="M10368" s="105"/>
      <c r="N10368" s="105"/>
      <c r="O10368" s="105"/>
      <c r="P10368" s="105"/>
      <c r="Q10368" s="113"/>
      <c r="R10368" s="114"/>
      <c r="S10368" s="115"/>
    </row>
    <row r="10369" spans="1:19" x14ac:dyDescent="0.25">
      <c r="A10369" s="111"/>
      <c r="B10369" s="112"/>
      <c r="C10369" s="105"/>
      <c r="D10369" s="105"/>
      <c r="E10369" s="105"/>
      <c r="F10369" s="105"/>
      <c r="G10369" s="105"/>
      <c r="H10369" s="105"/>
      <c r="I10369" s="105"/>
      <c r="J10369" s="113"/>
      <c r="K10369" s="114"/>
      <c r="L10369" s="115"/>
      <c r="M10369" s="105"/>
      <c r="N10369" s="105"/>
      <c r="O10369" s="105"/>
      <c r="P10369" s="105"/>
      <c r="Q10369" s="113"/>
      <c r="R10369" s="114"/>
      <c r="S10369" s="115"/>
    </row>
    <row r="10370" spans="1:19" x14ac:dyDescent="0.25">
      <c r="A10370" s="111"/>
      <c r="B10370" s="112"/>
      <c r="C10370" s="105"/>
      <c r="D10370" s="105"/>
      <c r="E10370" s="105"/>
      <c r="F10370" s="105"/>
      <c r="G10370" s="105"/>
      <c r="H10370" s="105"/>
      <c r="I10370" s="105"/>
      <c r="J10370" s="113"/>
      <c r="K10370" s="114"/>
      <c r="L10370" s="115"/>
      <c r="M10370" s="105"/>
      <c r="N10370" s="105"/>
      <c r="O10370" s="105"/>
      <c r="P10370" s="105"/>
      <c r="Q10370" s="113"/>
      <c r="R10370" s="114"/>
      <c r="S10370" s="115"/>
    </row>
    <row r="10371" spans="1:19" x14ac:dyDescent="0.25">
      <c r="A10371" s="111"/>
      <c r="B10371" s="112"/>
      <c r="C10371" s="105"/>
      <c r="D10371" s="105"/>
      <c r="E10371" s="105"/>
      <c r="F10371" s="105"/>
      <c r="G10371" s="105"/>
      <c r="H10371" s="105"/>
      <c r="I10371" s="105"/>
      <c r="J10371" s="113"/>
      <c r="K10371" s="114"/>
      <c r="L10371" s="115"/>
      <c r="M10371" s="105"/>
      <c r="N10371" s="105"/>
      <c r="O10371" s="105"/>
      <c r="P10371" s="105"/>
      <c r="Q10371" s="113"/>
      <c r="R10371" s="114"/>
      <c r="S10371" s="115"/>
    </row>
    <row r="10372" spans="1:19" x14ac:dyDescent="0.25">
      <c r="A10372" s="111"/>
      <c r="B10372" s="112"/>
      <c r="C10372" s="105"/>
      <c r="D10372" s="105"/>
      <c r="E10372" s="105"/>
      <c r="F10372" s="105"/>
      <c r="G10372" s="105"/>
      <c r="H10372" s="105"/>
      <c r="I10372" s="105"/>
      <c r="J10372" s="113"/>
      <c r="K10372" s="114"/>
      <c r="L10372" s="115"/>
      <c r="M10372" s="105"/>
      <c r="N10372" s="105"/>
      <c r="O10372" s="105"/>
      <c r="P10372" s="105"/>
      <c r="Q10372" s="113"/>
      <c r="R10372" s="114"/>
      <c r="S10372" s="115"/>
    </row>
    <row r="10373" spans="1:19" x14ac:dyDescent="0.25">
      <c r="A10373" s="111"/>
      <c r="B10373" s="112"/>
      <c r="C10373" s="105"/>
      <c r="D10373" s="105"/>
      <c r="E10373" s="105"/>
      <c r="F10373" s="105"/>
      <c r="G10373" s="105"/>
      <c r="H10373" s="105"/>
      <c r="I10373" s="105"/>
      <c r="J10373" s="113"/>
      <c r="K10373" s="114"/>
      <c r="L10373" s="115"/>
      <c r="M10373" s="105"/>
      <c r="N10373" s="105"/>
      <c r="O10373" s="105"/>
      <c r="P10373" s="105"/>
      <c r="Q10373" s="113"/>
      <c r="R10373" s="114"/>
      <c r="S10373" s="115"/>
    </row>
    <row r="10374" spans="1:19" x14ac:dyDescent="0.25">
      <c r="A10374" s="111"/>
      <c r="B10374" s="112"/>
      <c r="C10374" s="105"/>
      <c r="D10374" s="105"/>
      <c r="E10374" s="105"/>
      <c r="F10374" s="105"/>
      <c r="G10374" s="105"/>
      <c r="H10374" s="105"/>
      <c r="I10374" s="105"/>
      <c r="J10374" s="113"/>
      <c r="K10374" s="114"/>
      <c r="L10374" s="115"/>
      <c r="M10374" s="105"/>
      <c r="N10374" s="105"/>
      <c r="O10374" s="105"/>
      <c r="P10374" s="105"/>
      <c r="Q10374" s="113"/>
      <c r="R10374" s="114"/>
      <c r="S10374" s="115"/>
    </row>
    <row r="10375" spans="1:19" x14ac:dyDescent="0.25">
      <c r="A10375" s="111"/>
      <c r="B10375" s="112"/>
      <c r="C10375" s="105"/>
      <c r="D10375" s="105"/>
      <c r="E10375" s="105"/>
      <c r="F10375" s="105"/>
      <c r="G10375" s="105"/>
      <c r="H10375" s="105"/>
      <c r="I10375" s="105"/>
      <c r="J10375" s="113"/>
      <c r="K10375" s="114"/>
      <c r="L10375" s="115"/>
      <c r="M10375" s="105"/>
      <c r="N10375" s="105"/>
      <c r="O10375" s="105"/>
      <c r="P10375" s="105"/>
      <c r="Q10375" s="113"/>
      <c r="R10375" s="114"/>
      <c r="S10375" s="115"/>
    </row>
    <row r="10376" spans="1:19" x14ac:dyDescent="0.25">
      <c r="A10376" s="111"/>
      <c r="B10376" s="112"/>
      <c r="C10376" s="105"/>
      <c r="D10376" s="105"/>
      <c r="E10376" s="105"/>
      <c r="F10376" s="105"/>
      <c r="G10376" s="105"/>
      <c r="H10376" s="105"/>
      <c r="I10376" s="105"/>
      <c r="J10376" s="113"/>
      <c r="K10376" s="114"/>
      <c r="L10376" s="115"/>
      <c r="M10376" s="105"/>
      <c r="N10376" s="105"/>
      <c r="O10376" s="105"/>
      <c r="P10376" s="105"/>
      <c r="Q10376" s="113"/>
      <c r="R10376" s="114"/>
      <c r="S10376" s="115"/>
    </row>
    <row r="10377" spans="1:19" x14ac:dyDescent="0.25">
      <c r="A10377" s="111"/>
      <c r="B10377" s="112"/>
      <c r="C10377" s="105"/>
      <c r="D10377" s="105"/>
      <c r="E10377" s="105"/>
      <c r="F10377" s="105"/>
      <c r="G10377" s="105"/>
      <c r="H10377" s="105"/>
      <c r="I10377" s="105"/>
      <c r="J10377" s="113"/>
      <c r="K10377" s="114"/>
      <c r="L10377" s="115"/>
      <c r="M10377" s="105"/>
      <c r="N10377" s="105"/>
      <c r="O10377" s="105"/>
      <c r="P10377" s="105"/>
      <c r="Q10377" s="113"/>
      <c r="R10377" s="114"/>
      <c r="S10377" s="115"/>
    </row>
    <row r="10378" spans="1:19" x14ac:dyDescent="0.25">
      <c r="A10378" s="111"/>
      <c r="B10378" s="112"/>
      <c r="C10378" s="105"/>
      <c r="D10378" s="105"/>
      <c r="E10378" s="105"/>
      <c r="F10378" s="105"/>
      <c r="G10378" s="105"/>
      <c r="H10378" s="105"/>
      <c r="I10378" s="105"/>
      <c r="J10378" s="113"/>
      <c r="K10378" s="114"/>
      <c r="L10378" s="115"/>
      <c r="M10378" s="105"/>
      <c r="N10378" s="105"/>
      <c r="O10378" s="105"/>
      <c r="P10378" s="105"/>
      <c r="Q10378" s="113"/>
      <c r="R10378" s="114"/>
      <c r="S10378" s="115"/>
    </row>
    <row r="10379" spans="1:19" x14ac:dyDescent="0.25">
      <c r="A10379" s="111"/>
      <c r="B10379" s="112"/>
      <c r="C10379" s="105"/>
      <c r="D10379" s="105"/>
      <c r="E10379" s="105"/>
      <c r="F10379" s="105"/>
      <c r="G10379" s="105"/>
      <c r="H10379" s="105"/>
      <c r="I10379" s="105"/>
      <c r="J10379" s="113"/>
      <c r="K10379" s="114"/>
      <c r="L10379" s="115"/>
      <c r="M10379" s="105"/>
      <c r="N10379" s="105"/>
      <c r="O10379" s="105"/>
      <c r="P10379" s="105"/>
      <c r="Q10379" s="113"/>
      <c r="R10379" s="114"/>
      <c r="S10379" s="115"/>
    </row>
    <row r="10380" spans="1:19" x14ac:dyDescent="0.25">
      <c r="A10380" s="111"/>
      <c r="B10380" s="112"/>
      <c r="C10380" s="105"/>
      <c r="D10380" s="105"/>
      <c r="E10380" s="105"/>
      <c r="F10380" s="105"/>
      <c r="G10380" s="105"/>
      <c r="H10380" s="105"/>
      <c r="I10380" s="105"/>
      <c r="J10380" s="113"/>
      <c r="K10380" s="114"/>
      <c r="L10380" s="115"/>
      <c r="M10380" s="105"/>
      <c r="N10380" s="105"/>
      <c r="O10380" s="105"/>
      <c r="P10380" s="105"/>
      <c r="Q10380" s="113"/>
      <c r="R10380" s="114"/>
      <c r="S10380" s="115"/>
    </row>
    <row r="10381" spans="1:19" x14ac:dyDescent="0.25">
      <c r="A10381" s="111"/>
      <c r="B10381" s="112"/>
      <c r="C10381" s="105"/>
      <c r="D10381" s="105"/>
      <c r="E10381" s="105"/>
      <c r="F10381" s="105"/>
      <c r="G10381" s="105"/>
      <c r="H10381" s="105"/>
      <c r="I10381" s="105"/>
      <c r="J10381" s="113"/>
      <c r="K10381" s="114"/>
      <c r="L10381" s="115"/>
      <c r="M10381" s="105"/>
      <c r="N10381" s="105"/>
      <c r="O10381" s="105"/>
      <c r="P10381" s="105"/>
      <c r="Q10381" s="113"/>
      <c r="R10381" s="114"/>
      <c r="S10381" s="115"/>
    </row>
    <row r="10382" spans="1:19" x14ac:dyDescent="0.25">
      <c r="A10382" s="111"/>
      <c r="B10382" s="112"/>
      <c r="C10382" s="105"/>
      <c r="D10382" s="105"/>
      <c r="E10382" s="105"/>
      <c r="F10382" s="105"/>
      <c r="G10382" s="105"/>
      <c r="H10382" s="105"/>
      <c r="I10382" s="105"/>
      <c r="J10382" s="113"/>
      <c r="K10382" s="114"/>
      <c r="L10382" s="115"/>
      <c r="M10382" s="105"/>
      <c r="N10382" s="105"/>
      <c r="O10382" s="105"/>
      <c r="P10382" s="105"/>
      <c r="Q10382" s="113"/>
      <c r="R10382" s="114"/>
      <c r="S10382" s="115"/>
    </row>
    <row r="10383" spans="1:19" x14ac:dyDescent="0.25">
      <c r="A10383" s="111"/>
      <c r="B10383" s="112"/>
      <c r="C10383" s="105"/>
      <c r="D10383" s="105"/>
      <c r="E10383" s="105"/>
      <c r="F10383" s="105"/>
      <c r="G10383" s="105"/>
      <c r="H10383" s="105"/>
      <c r="I10383" s="105"/>
      <c r="J10383" s="113"/>
      <c r="K10383" s="114"/>
      <c r="L10383" s="115"/>
      <c r="M10383" s="105"/>
      <c r="N10383" s="105"/>
      <c r="O10383" s="105"/>
      <c r="P10383" s="105"/>
      <c r="Q10383" s="113"/>
      <c r="R10383" s="114"/>
      <c r="S10383" s="115"/>
    </row>
    <row r="10384" spans="1:19" x14ac:dyDescent="0.25">
      <c r="A10384" s="111"/>
      <c r="B10384" s="112"/>
      <c r="C10384" s="105"/>
      <c r="D10384" s="105"/>
      <c r="E10384" s="105"/>
      <c r="F10384" s="105"/>
      <c r="G10384" s="105"/>
      <c r="H10384" s="105"/>
      <c r="I10384" s="105"/>
      <c r="J10384" s="113"/>
      <c r="K10384" s="114"/>
      <c r="L10384" s="115"/>
      <c r="M10384" s="105"/>
      <c r="N10384" s="105"/>
      <c r="O10384" s="105"/>
      <c r="P10384" s="105"/>
      <c r="Q10384" s="113"/>
      <c r="R10384" s="114"/>
      <c r="S10384" s="115"/>
    </row>
    <row r="10385" spans="1:19" x14ac:dyDescent="0.25">
      <c r="A10385" s="111"/>
      <c r="B10385" s="112"/>
      <c r="C10385" s="105"/>
      <c r="D10385" s="105"/>
      <c r="E10385" s="105"/>
      <c r="F10385" s="105"/>
      <c r="G10385" s="105"/>
      <c r="H10385" s="105"/>
      <c r="I10385" s="105"/>
      <c r="J10385" s="113"/>
      <c r="K10385" s="114"/>
      <c r="L10385" s="115"/>
      <c r="M10385" s="105"/>
      <c r="N10385" s="105"/>
      <c r="O10385" s="105"/>
      <c r="P10385" s="105"/>
      <c r="Q10385" s="113"/>
      <c r="R10385" s="114"/>
      <c r="S10385" s="115"/>
    </row>
    <row r="10386" spans="1:19" x14ac:dyDescent="0.25">
      <c r="A10386" s="111"/>
      <c r="B10386" s="112"/>
      <c r="C10386" s="105"/>
      <c r="D10386" s="105"/>
      <c r="E10386" s="105"/>
      <c r="F10386" s="105"/>
      <c r="G10386" s="105"/>
      <c r="H10386" s="105"/>
      <c r="I10386" s="105"/>
      <c r="J10386" s="113"/>
      <c r="K10386" s="114"/>
      <c r="L10386" s="115"/>
      <c r="M10386" s="105"/>
      <c r="N10386" s="105"/>
      <c r="O10386" s="105"/>
      <c r="P10386" s="105"/>
      <c r="Q10386" s="113"/>
      <c r="R10386" s="114"/>
      <c r="S10386" s="115"/>
    </row>
    <row r="10387" spans="1:19" x14ac:dyDescent="0.25">
      <c r="A10387" s="111"/>
      <c r="B10387" s="112"/>
      <c r="C10387" s="105"/>
      <c r="D10387" s="105"/>
      <c r="E10387" s="105"/>
      <c r="F10387" s="105"/>
      <c r="G10387" s="105"/>
      <c r="H10387" s="105"/>
      <c r="I10387" s="105"/>
      <c r="J10387" s="113"/>
      <c r="K10387" s="114"/>
      <c r="L10387" s="115"/>
      <c r="M10387" s="105"/>
      <c r="N10387" s="105"/>
      <c r="O10387" s="105"/>
      <c r="P10387" s="105"/>
      <c r="Q10387" s="113"/>
      <c r="R10387" s="114"/>
      <c r="S10387" s="115"/>
    </row>
    <row r="10388" spans="1:19" x14ac:dyDescent="0.25">
      <c r="A10388" s="111"/>
      <c r="B10388" s="112"/>
      <c r="C10388" s="105"/>
      <c r="D10388" s="105"/>
      <c r="E10388" s="105"/>
      <c r="F10388" s="105"/>
      <c r="G10388" s="105"/>
      <c r="H10388" s="105"/>
      <c r="I10388" s="105"/>
      <c r="J10388" s="113"/>
      <c r="K10388" s="114"/>
      <c r="L10388" s="115"/>
      <c r="M10388" s="105"/>
      <c r="N10388" s="105"/>
      <c r="O10388" s="105"/>
      <c r="P10388" s="105"/>
      <c r="Q10388" s="113"/>
      <c r="R10388" s="114"/>
      <c r="S10388" s="115"/>
    </row>
    <row r="10389" spans="1:19" x14ac:dyDescent="0.25">
      <c r="A10389" s="111"/>
      <c r="B10389" s="112"/>
      <c r="C10389" s="105"/>
      <c r="D10389" s="105"/>
      <c r="E10389" s="105"/>
      <c r="F10389" s="105"/>
      <c r="G10389" s="105"/>
      <c r="H10389" s="105"/>
      <c r="I10389" s="105"/>
      <c r="J10389" s="113"/>
      <c r="K10389" s="114"/>
      <c r="L10389" s="115"/>
      <c r="M10389" s="105"/>
      <c r="N10389" s="105"/>
      <c r="O10389" s="105"/>
      <c r="P10389" s="105"/>
      <c r="Q10389" s="113"/>
      <c r="R10389" s="114"/>
      <c r="S10389" s="115"/>
    </row>
    <row r="10390" spans="1:19" x14ac:dyDescent="0.25">
      <c r="A10390" s="111"/>
      <c r="B10390" s="112"/>
      <c r="C10390" s="105"/>
      <c r="D10390" s="105"/>
      <c r="E10390" s="105"/>
      <c r="F10390" s="105"/>
      <c r="G10390" s="105"/>
      <c r="H10390" s="105"/>
      <c r="I10390" s="105"/>
      <c r="J10390" s="113"/>
      <c r="K10390" s="114"/>
      <c r="L10390" s="115"/>
      <c r="M10390" s="105"/>
      <c r="N10390" s="105"/>
      <c r="O10390" s="105"/>
      <c r="P10390" s="105"/>
      <c r="Q10390" s="113"/>
      <c r="R10390" s="114"/>
      <c r="S10390" s="115"/>
    </row>
    <row r="10391" spans="1:19" x14ac:dyDescent="0.25">
      <c r="A10391" s="111"/>
      <c r="B10391" s="112"/>
      <c r="C10391" s="105"/>
      <c r="D10391" s="105"/>
      <c r="E10391" s="105"/>
      <c r="F10391" s="105"/>
      <c r="G10391" s="105"/>
      <c r="H10391" s="105"/>
      <c r="I10391" s="105"/>
      <c r="J10391" s="113"/>
      <c r="K10391" s="114"/>
      <c r="L10391" s="115"/>
      <c r="M10391" s="105"/>
      <c r="N10391" s="105"/>
      <c r="O10391" s="105"/>
      <c r="P10391" s="105"/>
      <c r="Q10391" s="113"/>
      <c r="R10391" s="114"/>
      <c r="S10391" s="115"/>
    </row>
    <row r="10392" spans="1:19" x14ac:dyDescent="0.25">
      <c r="A10392" s="111"/>
      <c r="B10392" s="112"/>
      <c r="C10392" s="105"/>
      <c r="D10392" s="105"/>
      <c r="E10392" s="105"/>
      <c r="F10392" s="105"/>
      <c r="G10392" s="105"/>
      <c r="H10392" s="105"/>
      <c r="I10392" s="105"/>
      <c r="J10392" s="113"/>
      <c r="K10392" s="114"/>
      <c r="L10392" s="115"/>
      <c r="M10392" s="105"/>
      <c r="N10392" s="105"/>
      <c r="O10392" s="105"/>
      <c r="P10392" s="105"/>
      <c r="Q10392" s="113"/>
      <c r="R10392" s="114"/>
      <c r="S10392" s="115"/>
    </row>
    <row r="10393" spans="1:19" x14ac:dyDescent="0.25">
      <c r="A10393" s="111"/>
      <c r="B10393" s="112"/>
      <c r="C10393" s="105"/>
      <c r="D10393" s="105"/>
      <c r="E10393" s="105"/>
      <c r="F10393" s="105"/>
      <c r="G10393" s="105"/>
      <c r="H10393" s="105"/>
      <c r="I10393" s="105"/>
      <c r="J10393" s="113"/>
      <c r="K10393" s="114"/>
      <c r="L10393" s="115"/>
      <c r="M10393" s="105"/>
      <c r="N10393" s="105"/>
      <c r="O10393" s="105"/>
      <c r="P10393" s="105"/>
      <c r="Q10393" s="113"/>
      <c r="R10393" s="114"/>
      <c r="S10393" s="115"/>
    </row>
    <row r="10394" spans="1:19" x14ac:dyDescent="0.25">
      <c r="A10394" s="111"/>
      <c r="B10394" s="112"/>
      <c r="C10394" s="105"/>
      <c r="D10394" s="105"/>
      <c r="E10394" s="105"/>
      <c r="F10394" s="105"/>
      <c r="G10394" s="105"/>
      <c r="H10394" s="105"/>
      <c r="I10394" s="105"/>
      <c r="J10394" s="113"/>
      <c r="K10394" s="114"/>
      <c r="L10394" s="115"/>
      <c r="M10394" s="105"/>
      <c r="N10394" s="105"/>
      <c r="O10394" s="105"/>
      <c r="P10394" s="105"/>
      <c r="Q10394" s="113"/>
      <c r="R10394" s="114"/>
      <c r="S10394" s="115"/>
    </row>
    <row r="10395" spans="1:19" x14ac:dyDescent="0.25">
      <c r="A10395" s="111"/>
      <c r="B10395" s="112"/>
      <c r="C10395" s="105"/>
      <c r="D10395" s="105"/>
      <c r="E10395" s="105"/>
      <c r="F10395" s="105"/>
      <c r="G10395" s="105"/>
      <c r="H10395" s="105"/>
      <c r="I10395" s="105"/>
      <c r="J10395" s="113"/>
      <c r="K10395" s="114"/>
      <c r="L10395" s="115"/>
      <c r="M10395" s="105"/>
      <c r="N10395" s="105"/>
      <c r="O10395" s="105"/>
      <c r="P10395" s="105"/>
      <c r="Q10395" s="113"/>
      <c r="R10395" s="114"/>
      <c r="S10395" s="115"/>
    </row>
    <row r="10396" spans="1:19" x14ac:dyDescent="0.25">
      <c r="A10396" s="111"/>
      <c r="B10396" s="112"/>
      <c r="C10396" s="105"/>
      <c r="D10396" s="105"/>
      <c r="E10396" s="105"/>
      <c r="F10396" s="105"/>
      <c r="G10396" s="105"/>
      <c r="H10396" s="105"/>
      <c r="I10396" s="105"/>
      <c r="J10396" s="113"/>
      <c r="K10396" s="114"/>
      <c r="L10396" s="115"/>
      <c r="M10396" s="105"/>
      <c r="N10396" s="105"/>
      <c r="O10396" s="105"/>
      <c r="P10396" s="105"/>
      <c r="Q10396" s="113"/>
      <c r="R10396" s="114"/>
      <c r="S10396" s="115"/>
    </row>
    <row r="10397" spans="1:19" x14ac:dyDescent="0.25">
      <c r="A10397" s="111"/>
      <c r="B10397" s="112"/>
      <c r="C10397" s="105"/>
      <c r="D10397" s="105"/>
      <c r="E10397" s="105"/>
      <c r="F10397" s="105"/>
      <c r="G10397" s="105"/>
      <c r="H10397" s="105"/>
      <c r="I10397" s="105"/>
      <c r="J10397" s="113"/>
      <c r="K10397" s="114"/>
      <c r="L10397" s="115"/>
      <c r="M10397" s="105"/>
      <c r="N10397" s="105"/>
      <c r="O10397" s="105"/>
      <c r="P10397" s="105"/>
      <c r="Q10397" s="113"/>
      <c r="R10397" s="114"/>
      <c r="S10397" s="115"/>
    </row>
    <row r="10398" spans="1:19" x14ac:dyDescent="0.25">
      <c r="A10398" s="111"/>
      <c r="B10398" s="112"/>
      <c r="C10398" s="105"/>
      <c r="D10398" s="105"/>
      <c r="E10398" s="105"/>
      <c r="F10398" s="105"/>
      <c r="G10398" s="105"/>
      <c r="H10398" s="105"/>
      <c r="I10398" s="105"/>
      <c r="J10398" s="113"/>
      <c r="K10398" s="114"/>
      <c r="L10398" s="115"/>
      <c r="M10398" s="105"/>
      <c r="N10398" s="105"/>
      <c r="O10398" s="105"/>
      <c r="P10398" s="105"/>
      <c r="Q10398" s="113"/>
      <c r="R10398" s="114"/>
      <c r="S10398" s="115"/>
    </row>
    <row r="10399" spans="1:19" x14ac:dyDescent="0.25">
      <c r="A10399" s="111"/>
      <c r="B10399" s="112"/>
      <c r="C10399" s="105"/>
      <c r="D10399" s="105"/>
      <c r="E10399" s="105"/>
      <c r="F10399" s="105"/>
      <c r="G10399" s="105"/>
      <c r="H10399" s="105"/>
      <c r="I10399" s="105"/>
      <c r="J10399" s="113"/>
      <c r="K10399" s="114"/>
      <c r="L10399" s="115"/>
      <c r="M10399" s="105"/>
      <c r="N10399" s="105"/>
      <c r="O10399" s="105"/>
      <c r="P10399" s="105"/>
      <c r="Q10399" s="113"/>
      <c r="R10399" s="114"/>
      <c r="S10399" s="115"/>
    </row>
    <row r="10400" spans="1:19" x14ac:dyDescent="0.25">
      <c r="A10400" s="111"/>
      <c r="B10400" s="112"/>
      <c r="C10400" s="105"/>
      <c r="D10400" s="105"/>
      <c r="E10400" s="105"/>
      <c r="F10400" s="105"/>
      <c r="G10400" s="105"/>
      <c r="H10400" s="105"/>
      <c r="I10400" s="105"/>
      <c r="J10400" s="113"/>
      <c r="K10400" s="114"/>
      <c r="L10400" s="115"/>
      <c r="M10400" s="105"/>
      <c r="N10400" s="105"/>
      <c r="O10400" s="105"/>
      <c r="P10400" s="105"/>
      <c r="Q10400" s="113"/>
      <c r="R10400" s="114"/>
      <c r="S10400" s="115"/>
    </row>
    <row r="10401" spans="1:19" x14ac:dyDescent="0.25">
      <c r="A10401" s="111"/>
      <c r="B10401" s="112"/>
      <c r="C10401" s="105"/>
      <c r="D10401" s="105"/>
      <c r="E10401" s="105"/>
      <c r="F10401" s="105"/>
      <c r="G10401" s="105"/>
      <c r="H10401" s="105"/>
      <c r="I10401" s="105"/>
      <c r="J10401" s="113"/>
      <c r="K10401" s="114"/>
      <c r="L10401" s="115"/>
      <c r="M10401" s="105"/>
      <c r="N10401" s="105"/>
      <c r="O10401" s="105"/>
      <c r="P10401" s="105"/>
      <c r="Q10401" s="113"/>
      <c r="R10401" s="114"/>
      <c r="S10401" s="115"/>
    </row>
    <row r="10402" spans="1:19" x14ac:dyDescent="0.25">
      <c r="A10402" s="111"/>
      <c r="B10402" s="112"/>
      <c r="C10402" s="105"/>
      <c r="D10402" s="105"/>
      <c r="E10402" s="105"/>
      <c r="F10402" s="105"/>
      <c r="G10402" s="105"/>
      <c r="H10402" s="105"/>
      <c r="I10402" s="105"/>
      <c r="J10402" s="113"/>
      <c r="K10402" s="114"/>
      <c r="L10402" s="115"/>
      <c r="M10402" s="105"/>
      <c r="N10402" s="105"/>
      <c r="O10402" s="105"/>
      <c r="P10402" s="105"/>
      <c r="Q10402" s="113"/>
      <c r="R10402" s="114"/>
      <c r="S10402" s="115"/>
    </row>
    <row r="10403" spans="1:19" x14ac:dyDescent="0.25">
      <c r="A10403" s="111"/>
      <c r="B10403" s="112"/>
      <c r="C10403" s="105"/>
      <c r="D10403" s="105"/>
      <c r="E10403" s="105"/>
      <c r="F10403" s="105"/>
      <c r="G10403" s="105"/>
      <c r="H10403" s="105"/>
      <c r="I10403" s="105"/>
      <c r="J10403" s="113"/>
      <c r="K10403" s="114"/>
      <c r="L10403" s="115"/>
      <c r="M10403" s="105"/>
      <c r="N10403" s="105"/>
      <c r="O10403" s="105"/>
      <c r="P10403" s="105"/>
      <c r="Q10403" s="113"/>
      <c r="R10403" s="114"/>
      <c r="S10403" s="115"/>
    </row>
    <row r="10404" spans="1:19" x14ac:dyDescent="0.25">
      <c r="A10404" s="111"/>
      <c r="B10404" s="112"/>
      <c r="C10404" s="105"/>
      <c r="D10404" s="105"/>
      <c r="E10404" s="105"/>
      <c r="F10404" s="105"/>
      <c r="G10404" s="105"/>
      <c r="H10404" s="105"/>
      <c r="I10404" s="105"/>
      <c r="J10404" s="113"/>
      <c r="K10404" s="114"/>
      <c r="L10404" s="115"/>
      <c r="M10404" s="105"/>
      <c r="N10404" s="105"/>
      <c r="O10404" s="105"/>
      <c r="P10404" s="105"/>
      <c r="Q10404" s="113"/>
      <c r="R10404" s="114"/>
      <c r="S10404" s="115"/>
    </row>
    <row r="10405" spans="1:19" x14ac:dyDescent="0.25">
      <c r="A10405" s="111"/>
      <c r="B10405" s="112"/>
      <c r="C10405" s="105"/>
      <c r="D10405" s="105"/>
      <c r="E10405" s="105"/>
      <c r="F10405" s="105"/>
      <c r="G10405" s="105"/>
      <c r="H10405" s="105"/>
      <c r="I10405" s="105"/>
      <c r="J10405" s="113"/>
      <c r="K10405" s="114"/>
      <c r="L10405" s="115"/>
      <c r="M10405" s="105"/>
      <c r="N10405" s="105"/>
      <c r="O10405" s="105"/>
      <c r="P10405" s="105"/>
      <c r="Q10405" s="113"/>
      <c r="R10405" s="114"/>
      <c r="S10405" s="115"/>
    </row>
    <row r="10406" spans="1:19" x14ac:dyDescent="0.25">
      <c r="A10406" s="111"/>
      <c r="B10406" s="112"/>
      <c r="C10406" s="105"/>
      <c r="D10406" s="105"/>
      <c r="E10406" s="105"/>
      <c r="F10406" s="105"/>
      <c r="G10406" s="105"/>
      <c r="H10406" s="105"/>
      <c r="I10406" s="105"/>
      <c r="J10406" s="113"/>
      <c r="K10406" s="114"/>
      <c r="L10406" s="115"/>
      <c r="M10406" s="105"/>
      <c r="N10406" s="105"/>
      <c r="O10406" s="105"/>
      <c r="P10406" s="105"/>
      <c r="Q10406" s="113"/>
      <c r="R10406" s="114"/>
      <c r="S10406" s="115"/>
    </row>
    <row r="10407" spans="1:19" x14ac:dyDescent="0.25">
      <c r="A10407" s="111"/>
      <c r="B10407" s="112"/>
      <c r="C10407" s="105"/>
      <c r="D10407" s="105"/>
      <c r="E10407" s="105"/>
      <c r="F10407" s="105"/>
      <c r="G10407" s="105"/>
      <c r="H10407" s="105"/>
      <c r="I10407" s="105"/>
      <c r="J10407" s="113"/>
      <c r="K10407" s="114"/>
      <c r="L10407" s="115"/>
      <c r="M10407" s="105"/>
      <c r="N10407" s="105"/>
      <c r="O10407" s="105"/>
      <c r="P10407" s="105"/>
      <c r="Q10407" s="113"/>
      <c r="R10407" s="114"/>
      <c r="S10407" s="115"/>
    </row>
    <row r="10408" spans="1:19" x14ac:dyDescent="0.25">
      <c r="A10408" s="111"/>
      <c r="B10408" s="112"/>
      <c r="C10408" s="105"/>
      <c r="D10408" s="105"/>
      <c r="E10408" s="105"/>
      <c r="F10408" s="105"/>
      <c r="G10408" s="105"/>
      <c r="H10408" s="105"/>
      <c r="I10408" s="105"/>
      <c r="J10408" s="113"/>
      <c r="K10408" s="114"/>
      <c r="L10408" s="115"/>
      <c r="M10408" s="105"/>
      <c r="N10408" s="105"/>
      <c r="O10408" s="105"/>
      <c r="P10408" s="105"/>
      <c r="Q10408" s="113"/>
      <c r="R10408" s="114"/>
      <c r="S10408" s="115"/>
    </row>
    <row r="10409" spans="1:19" x14ac:dyDescent="0.25">
      <c r="A10409" s="111"/>
      <c r="B10409" s="112"/>
      <c r="C10409" s="105"/>
      <c r="D10409" s="105"/>
      <c r="E10409" s="105"/>
      <c r="F10409" s="105"/>
      <c r="G10409" s="105"/>
      <c r="H10409" s="105"/>
      <c r="I10409" s="105"/>
      <c r="J10409" s="113"/>
      <c r="K10409" s="114"/>
      <c r="L10409" s="115"/>
      <c r="M10409" s="105"/>
      <c r="N10409" s="105"/>
      <c r="O10409" s="105"/>
      <c r="P10409" s="105"/>
      <c r="Q10409" s="113"/>
      <c r="R10409" s="114"/>
      <c r="S10409" s="115"/>
    </row>
    <row r="10410" spans="1:19" x14ac:dyDescent="0.25">
      <c r="A10410" s="111"/>
      <c r="B10410" s="112"/>
      <c r="C10410" s="105"/>
      <c r="D10410" s="105"/>
      <c r="E10410" s="105"/>
      <c r="F10410" s="105"/>
      <c r="G10410" s="105"/>
      <c r="H10410" s="105"/>
      <c r="I10410" s="105"/>
      <c r="J10410" s="113"/>
      <c r="K10410" s="114"/>
      <c r="L10410" s="115"/>
      <c r="M10410" s="105"/>
      <c r="N10410" s="105"/>
      <c r="O10410" s="105"/>
      <c r="P10410" s="105"/>
      <c r="Q10410" s="113"/>
      <c r="R10410" s="114"/>
      <c r="S10410" s="115"/>
    </row>
    <row r="10411" spans="1:19" x14ac:dyDescent="0.25">
      <c r="A10411" s="111"/>
      <c r="B10411" s="112"/>
      <c r="C10411" s="105"/>
      <c r="D10411" s="105"/>
      <c r="E10411" s="105"/>
      <c r="F10411" s="105"/>
      <c r="G10411" s="105"/>
      <c r="H10411" s="105"/>
      <c r="I10411" s="105"/>
      <c r="J10411" s="113"/>
      <c r="K10411" s="114"/>
      <c r="L10411" s="115"/>
      <c r="M10411" s="105"/>
      <c r="N10411" s="105"/>
      <c r="O10411" s="105"/>
      <c r="P10411" s="105"/>
      <c r="Q10411" s="113"/>
      <c r="R10411" s="114"/>
      <c r="S10411" s="115"/>
    </row>
    <row r="10412" spans="1:19" x14ac:dyDescent="0.25">
      <c r="A10412" s="111"/>
      <c r="B10412" s="112"/>
      <c r="C10412" s="105"/>
      <c r="D10412" s="105"/>
      <c r="E10412" s="105"/>
      <c r="F10412" s="105"/>
      <c r="G10412" s="105"/>
      <c r="H10412" s="105"/>
      <c r="I10412" s="105"/>
      <c r="J10412" s="113"/>
      <c r="K10412" s="114"/>
      <c r="L10412" s="115"/>
      <c r="M10412" s="105"/>
      <c r="N10412" s="105"/>
      <c r="O10412" s="105"/>
      <c r="P10412" s="105"/>
      <c r="Q10412" s="113"/>
      <c r="R10412" s="114"/>
      <c r="S10412" s="115"/>
    </row>
    <row r="10413" spans="1:19" x14ac:dyDescent="0.25">
      <c r="A10413" s="111"/>
      <c r="B10413" s="112"/>
      <c r="C10413" s="105"/>
      <c r="D10413" s="105"/>
      <c r="E10413" s="105"/>
      <c r="F10413" s="105"/>
      <c r="G10413" s="105"/>
      <c r="H10413" s="105"/>
      <c r="I10413" s="105"/>
      <c r="J10413" s="113"/>
      <c r="K10413" s="114"/>
      <c r="L10413" s="115"/>
      <c r="M10413" s="105"/>
      <c r="N10413" s="105"/>
      <c r="O10413" s="105"/>
      <c r="P10413" s="105"/>
      <c r="Q10413" s="113"/>
      <c r="R10413" s="114"/>
      <c r="S10413" s="115"/>
    </row>
    <row r="10414" spans="1:19" x14ac:dyDescent="0.25">
      <c r="A10414" s="111"/>
      <c r="B10414" s="112"/>
      <c r="C10414" s="105"/>
      <c r="D10414" s="105"/>
      <c r="E10414" s="105"/>
      <c r="F10414" s="105"/>
      <c r="G10414" s="105"/>
      <c r="H10414" s="105"/>
      <c r="I10414" s="105"/>
      <c r="J10414" s="113"/>
      <c r="K10414" s="114"/>
      <c r="L10414" s="115"/>
      <c r="M10414" s="105"/>
      <c r="N10414" s="105"/>
      <c r="O10414" s="105"/>
      <c r="P10414" s="105"/>
      <c r="Q10414" s="113"/>
      <c r="R10414" s="114"/>
      <c r="S10414" s="115"/>
    </row>
    <row r="10415" spans="1:19" x14ac:dyDescent="0.25">
      <c r="A10415" s="111"/>
      <c r="B10415" s="112"/>
      <c r="C10415" s="105"/>
      <c r="D10415" s="105"/>
      <c r="E10415" s="105"/>
      <c r="F10415" s="105"/>
      <c r="G10415" s="105"/>
      <c r="H10415" s="105"/>
      <c r="I10415" s="105"/>
      <c r="J10415" s="113"/>
      <c r="K10415" s="114"/>
      <c r="L10415" s="115"/>
      <c r="M10415" s="105"/>
      <c r="N10415" s="105"/>
      <c r="O10415" s="105"/>
      <c r="P10415" s="105"/>
      <c r="Q10415" s="113"/>
      <c r="R10415" s="114"/>
      <c r="S10415" s="115"/>
    </row>
    <row r="10416" spans="1:19" x14ac:dyDescent="0.25">
      <c r="A10416" s="111"/>
      <c r="B10416" s="112"/>
      <c r="C10416" s="105"/>
      <c r="D10416" s="105"/>
      <c r="E10416" s="105"/>
      <c r="F10416" s="105"/>
      <c r="G10416" s="105"/>
      <c r="H10416" s="105"/>
      <c r="I10416" s="105"/>
      <c r="J10416" s="113"/>
      <c r="K10416" s="114"/>
      <c r="L10416" s="115"/>
      <c r="M10416" s="105"/>
      <c r="N10416" s="105"/>
      <c r="O10416" s="105"/>
      <c r="P10416" s="105"/>
      <c r="Q10416" s="113"/>
      <c r="R10416" s="114"/>
      <c r="S10416" s="115"/>
    </row>
    <row r="10417" spans="1:19" x14ac:dyDescent="0.25">
      <c r="A10417" s="111"/>
      <c r="B10417" s="112"/>
      <c r="C10417" s="105"/>
      <c r="D10417" s="105"/>
      <c r="E10417" s="105"/>
      <c r="F10417" s="105"/>
      <c r="G10417" s="105"/>
      <c r="H10417" s="105"/>
      <c r="I10417" s="105"/>
      <c r="J10417" s="113"/>
      <c r="K10417" s="114"/>
      <c r="L10417" s="115"/>
      <c r="M10417" s="105"/>
      <c r="N10417" s="105"/>
      <c r="O10417" s="105"/>
      <c r="P10417" s="105"/>
      <c r="Q10417" s="113"/>
      <c r="R10417" s="114"/>
      <c r="S10417" s="115"/>
    </row>
    <row r="10418" spans="1:19" x14ac:dyDescent="0.25">
      <c r="A10418" s="111"/>
      <c r="B10418" s="112"/>
      <c r="C10418" s="105"/>
      <c r="D10418" s="105"/>
      <c r="E10418" s="105"/>
      <c r="F10418" s="105"/>
      <c r="G10418" s="105"/>
      <c r="H10418" s="105"/>
      <c r="I10418" s="105"/>
      <c r="J10418" s="113"/>
      <c r="K10418" s="114"/>
      <c r="L10418" s="115"/>
      <c r="M10418" s="105"/>
      <c r="N10418" s="105"/>
      <c r="O10418" s="105"/>
      <c r="P10418" s="105"/>
      <c r="Q10418" s="113"/>
      <c r="R10418" s="114"/>
      <c r="S10418" s="115"/>
    </row>
    <row r="10419" spans="1:19" x14ac:dyDescent="0.25">
      <c r="A10419" s="111"/>
      <c r="B10419" s="112"/>
      <c r="C10419" s="105"/>
      <c r="D10419" s="105"/>
      <c r="E10419" s="105"/>
      <c r="F10419" s="105"/>
      <c r="G10419" s="105"/>
      <c r="H10419" s="105"/>
      <c r="I10419" s="105"/>
      <c r="J10419" s="113"/>
      <c r="K10419" s="114"/>
      <c r="L10419" s="115"/>
      <c r="M10419" s="105"/>
      <c r="N10419" s="105"/>
      <c r="O10419" s="105"/>
      <c r="P10419" s="105"/>
      <c r="Q10419" s="113"/>
      <c r="R10419" s="114"/>
      <c r="S10419" s="115"/>
    </row>
    <row r="10420" spans="1:19" x14ac:dyDescent="0.25">
      <c r="A10420" s="111"/>
      <c r="B10420" s="112"/>
      <c r="C10420" s="105"/>
      <c r="D10420" s="105"/>
      <c r="E10420" s="105"/>
      <c r="F10420" s="105"/>
      <c r="G10420" s="105"/>
      <c r="H10420" s="105"/>
      <c r="I10420" s="105"/>
      <c r="J10420" s="113"/>
      <c r="K10420" s="114"/>
      <c r="L10420" s="115"/>
      <c r="M10420" s="105"/>
      <c r="N10420" s="105"/>
      <c r="O10420" s="105"/>
      <c r="P10420" s="105"/>
      <c r="Q10420" s="113"/>
      <c r="R10420" s="114"/>
      <c r="S10420" s="115"/>
    </row>
    <row r="10421" spans="1:19" x14ac:dyDescent="0.25">
      <c r="A10421" s="111"/>
      <c r="B10421" s="112"/>
      <c r="C10421" s="105"/>
      <c r="D10421" s="105"/>
      <c r="E10421" s="105"/>
      <c r="F10421" s="105"/>
      <c r="G10421" s="105"/>
      <c r="H10421" s="105"/>
      <c r="I10421" s="105"/>
      <c r="J10421" s="113"/>
      <c r="K10421" s="114"/>
      <c r="L10421" s="115"/>
      <c r="M10421" s="105"/>
      <c r="N10421" s="105"/>
      <c r="O10421" s="105"/>
      <c r="P10421" s="105"/>
      <c r="Q10421" s="113"/>
      <c r="R10421" s="114"/>
      <c r="S10421" s="115"/>
    </row>
    <row r="10422" spans="1:19" x14ac:dyDescent="0.25">
      <c r="A10422" s="111"/>
      <c r="B10422" s="112"/>
      <c r="C10422" s="105"/>
      <c r="D10422" s="105"/>
      <c r="E10422" s="105"/>
      <c r="F10422" s="105"/>
      <c r="G10422" s="105"/>
      <c r="H10422" s="105"/>
      <c r="I10422" s="105"/>
      <c r="J10422" s="113"/>
      <c r="K10422" s="114"/>
      <c r="L10422" s="115"/>
      <c r="M10422" s="105"/>
      <c r="N10422" s="105"/>
      <c r="O10422" s="105"/>
      <c r="P10422" s="105"/>
      <c r="Q10422" s="113"/>
      <c r="R10422" s="114"/>
      <c r="S10422" s="115"/>
    </row>
    <row r="10423" spans="1:19" x14ac:dyDescent="0.25">
      <c r="A10423" s="111"/>
      <c r="B10423" s="112"/>
      <c r="C10423" s="105"/>
      <c r="D10423" s="105"/>
      <c r="E10423" s="105"/>
      <c r="F10423" s="105"/>
      <c r="G10423" s="105"/>
      <c r="H10423" s="105"/>
      <c r="I10423" s="105"/>
      <c r="J10423" s="113"/>
      <c r="K10423" s="114"/>
      <c r="L10423" s="115"/>
      <c r="M10423" s="105"/>
      <c r="N10423" s="105"/>
      <c r="O10423" s="105"/>
      <c r="P10423" s="105"/>
      <c r="Q10423" s="113"/>
      <c r="R10423" s="114"/>
      <c r="S10423" s="115"/>
    </row>
    <row r="10424" spans="1:19" x14ac:dyDescent="0.25">
      <c r="A10424" s="111"/>
      <c r="B10424" s="112"/>
      <c r="C10424" s="105"/>
      <c r="D10424" s="105"/>
      <c r="E10424" s="105"/>
      <c r="F10424" s="105"/>
      <c r="G10424" s="105"/>
      <c r="H10424" s="105"/>
      <c r="I10424" s="105"/>
      <c r="J10424" s="113"/>
      <c r="K10424" s="114"/>
      <c r="L10424" s="115"/>
      <c r="M10424" s="105"/>
      <c r="N10424" s="105"/>
      <c r="O10424" s="105"/>
      <c r="P10424" s="105"/>
      <c r="Q10424" s="113"/>
      <c r="R10424" s="114"/>
      <c r="S10424" s="115"/>
    </row>
    <row r="10425" spans="1:19" x14ac:dyDescent="0.25">
      <c r="A10425" s="111"/>
      <c r="B10425" s="112"/>
      <c r="C10425" s="105"/>
      <c r="D10425" s="105"/>
      <c r="E10425" s="105"/>
      <c r="F10425" s="105"/>
      <c r="G10425" s="105"/>
      <c r="H10425" s="105"/>
      <c r="I10425" s="105"/>
      <c r="J10425" s="113"/>
      <c r="K10425" s="114"/>
      <c r="L10425" s="115"/>
      <c r="M10425" s="105"/>
      <c r="N10425" s="105"/>
      <c r="O10425" s="105"/>
      <c r="P10425" s="105"/>
      <c r="Q10425" s="113"/>
      <c r="R10425" s="114"/>
      <c r="S10425" s="115"/>
    </row>
    <row r="10426" spans="1:19" x14ac:dyDescent="0.25">
      <c r="A10426" s="111"/>
      <c r="B10426" s="112"/>
      <c r="C10426" s="105"/>
      <c r="D10426" s="105"/>
      <c r="E10426" s="105"/>
      <c r="F10426" s="105"/>
      <c r="G10426" s="105"/>
      <c r="H10426" s="105"/>
      <c r="I10426" s="105"/>
      <c r="J10426" s="113"/>
      <c r="K10426" s="114"/>
      <c r="L10426" s="115"/>
      <c r="M10426" s="105"/>
      <c r="N10426" s="105"/>
      <c r="O10426" s="105"/>
      <c r="P10426" s="105"/>
      <c r="Q10426" s="113"/>
      <c r="R10426" s="114"/>
      <c r="S10426" s="115"/>
    </row>
    <row r="10427" spans="1:19" x14ac:dyDescent="0.25">
      <c r="A10427" s="111"/>
      <c r="B10427" s="112"/>
      <c r="C10427" s="105"/>
      <c r="D10427" s="105"/>
      <c r="E10427" s="105"/>
      <c r="F10427" s="105"/>
      <c r="G10427" s="105"/>
      <c r="H10427" s="105"/>
      <c r="I10427" s="105"/>
      <c r="J10427" s="113"/>
      <c r="K10427" s="114"/>
      <c r="L10427" s="115"/>
      <c r="M10427" s="105"/>
      <c r="N10427" s="105"/>
      <c r="O10427" s="105"/>
      <c r="P10427" s="105"/>
      <c r="Q10427" s="113"/>
      <c r="R10427" s="114"/>
      <c r="S10427" s="115"/>
    </row>
    <row r="10428" spans="1:19" x14ac:dyDescent="0.25">
      <c r="A10428" s="111"/>
      <c r="B10428" s="112"/>
      <c r="C10428" s="105"/>
      <c r="D10428" s="105"/>
      <c r="E10428" s="105"/>
      <c r="F10428" s="105"/>
      <c r="G10428" s="105"/>
      <c r="H10428" s="105"/>
      <c r="I10428" s="105"/>
      <c r="J10428" s="113"/>
      <c r="K10428" s="114"/>
      <c r="L10428" s="115"/>
      <c r="M10428" s="105"/>
      <c r="N10428" s="105"/>
      <c r="O10428" s="105"/>
      <c r="P10428" s="105"/>
      <c r="Q10428" s="113"/>
      <c r="R10428" s="114"/>
      <c r="S10428" s="115"/>
    </row>
    <row r="10429" spans="1:19" x14ac:dyDescent="0.25">
      <c r="A10429" s="111"/>
      <c r="B10429" s="112"/>
      <c r="C10429" s="105"/>
      <c r="D10429" s="105"/>
      <c r="E10429" s="105"/>
      <c r="F10429" s="105"/>
      <c r="G10429" s="105"/>
      <c r="H10429" s="105"/>
      <c r="I10429" s="105"/>
      <c r="J10429" s="113"/>
      <c r="K10429" s="114"/>
      <c r="L10429" s="115"/>
      <c r="M10429" s="105"/>
      <c r="N10429" s="105"/>
      <c r="O10429" s="105"/>
      <c r="P10429" s="105"/>
      <c r="Q10429" s="113"/>
      <c r="R10429" s="114"/>
      <c r="S10429" s="115"/>
    </row>
    <row r="10430" spans="1:19" x14ac:dyDescent="0.25">
      <c r="A10430" s="111"/>
      <c r="B10430" s="112"/>
      <c r="C10430" s="105"/>
      <c r="D10430" s="105"/>
      <c r="E10430" s="105"/>
      <c r="F10430" s="105"/>
      <c r="G10430" s="105"/>
      <c r="H10430" s="105"/>
      <c r="I10430" s="105"/>
      <c r="J10430" s="113"/>
      <c r="K10430" s="114"/>
      <c r="L10430" s="115"/>
      <c r="M10430" s="105"/>
      <c r="N10430" s="105"/>
      <c r="O10430" s="105"/>
      <c r="P10430" s="105"/>
      <c r="Q10430" s="113"/>
      <c r="R10430" s="114"/>
      <c r="S10430" s="115"/>
    </row>
    <row r="10431" spans="1:19" x14ac:dyDescent="0.25">
      <c r="A10431" s="111"/>
      <c r="B10431" s="112"/>
      <c r="C10431" s="105"/>
      <c r="D10431" s="105"/>
      <c r="E10431" s="105"/>
      <c r="F10431" s="105"/>
      <c r="G10431" s="105"/>
      <c r="H10431" s="105"/>
      <c r="I10431" s="105"/>
      <c r="J10431" s="113"/>
      <c r="K10431" s="114"/>
      <c r="L10431" s="115"/>
      <c r="M10431" s="105"/>
      <c r="N10431" s="105"/>
      <c r="O10431" s="105"/>
      <c r="P10431" s="105"/>
      <c r="Q10431" s="113"/>
      <c r="R10431" s="114"/>
      <c r="S10431" s="115"/>
    </row>
    <row r="10432" spans="1:19" x14ac:dyDescent="0.25">
      <c r="A10432" s="111"/>
      <c r="B10432" s="112"/>
      <c r="C10432" s="105"/>
      <c r="D10432" s="105"/>
      <c r="E10432" s="105"/>
      <c r="F10432" s="105"/>
      <c r="G10432" s="105"/>
      <c r="H10432" s="105"/>
      <c r="I10432" s="105"/>
      <c r="J10432" s="113"/>
      <c r="K10432" s="114"/>
      <c r="L10432" s="115"/>
      <c r="M10432" s="105"/>
      <c r="N10432" s="105"/>
      <c r="O10432" s="105"/>
      <c r="P10432" s="105"/>
      <c r="Q10432" s="113"/>
      <c r="R10432" s="114"/>
      <c r="S10432" s="115"/>
    </row>
    <row r="10433" spans="1:19" x14ac:dyDescent="0.25">
      <c r="A10433" s="111"/>
      <c r="B10433" s="112"/>
      <c r="C10433" s="105"/>
      <c r="D10433" s="105"/>
      <c r="E10433" s="105"/>
      <c r="F10433" s="105"/>
      <c r="G10433" s="105"/>
      <c r="H10433" s="105"/>
      <c r="I10433" s="105"/>
      <c r="J10433" s="113"/>
      <c r="K10433" s="114"/>
      <c r="L10433" s="115"/>
      <c r="M10433" s="105"/>
      <c r="N10433" s="105"/>
      <c r="O10433" s="105"/>
      <c r="P10433" s="105"/>
      <c r="Q10433" s="113"/>
      <c r="R10433" s="114"/>
      <c r="S10433" s="115"/>
    </row>
    <row r="10434" spans="1:19" x14ac:dyDescent="0.25">
      <c r="A10434" s="111"/>
      <c r="B10434" s="112"/>
      <c r="C10434" s="105"/>
      <c r="D10434" s="105"/>
      <c r="E10434" s="105"/>
      <c r="F10434" s="105"/>
      <c r="G10434" s="105"/>
      <c r="H10434" s="105"/>
      <c r="I10434" s="105"/>
      <c r="J10434" s="113"/>
      <c r="K10434" s="114"/>
      <c r="L10434" s="115"/>
      <c r="M10434" s="105"/>
      <c r="N10434" s="105"/>
      <c r="O10434" s="105"/>
      <c r="P10434" s="105"/>
      <c r="Q10434" s="113"/>
      <c r="R10434" s="114"/>
      <c r="S10434" s="115"/>
    </row>
    <row r="10435" spans="1:19" x14ac:dyDescent="0.25">
      <c r="A10435" s="111"/>
      <c r="B10435" s="112"/>
      <c r="C10435" s="105"/>
      <c r="D10435" s="105"/>
      <c r="E10435" s="105"/>
      <c r="F10435" s="105"/>
      <c r="G10435" s="105"/>
      <c r="H10435" s="105"/>
      <c r="I10435" s="105"/>
      <c r="J10435" s="113"/>
      <c r="K10435" s="114"/>
      <c r="L10435" s="115"/>
      <c r="M10435" s="105"/>
      <c r="N10435" s="105"/>
      <c r="O10435" s="105"/>
      <c r="P10435" s="105"/>
      <c r="Q10435" s="113"/>
      <c r="R10435" s="114"/>
      <c r="S10435" s="115"/>
    </row>
    <row r="10436" spans="1:19" x14ac:dyDescent="0.25">
      <c r="A10436" s="111"/>
      <c r="B10436" s="112"/>
      <c r="C10436" s="105"/>
      <c r="D10436" s="105"/>
      <c r="E10436" s="105"/>
      <c r="F10436" s="105"/>
      <c r="G10436" s="105"/>
      <c r="H10436" s="105"/>
      <c r="I10436" s="105"/>
      <c r="J10436" s="113"/>
      <c r="K10436" s="114"/>
      <c r="L10436" s="115"/>
      <c r="M10436" s="105"/>
      <c r="N10436" s="105"/>
      <c r="O10436" s="105"/>
      <c r="P10436" s="105"/>
      <c r="Q10436" s="113"/>
      <c r="R10436" s="114"/>
      <c r="S10436" s="115"/>
    </row>
    <row r="10437" spans="1:19" x14ac:dyDescent="0.25">
      <c r="A10437" s="111"/>
      <c r="B10437" s="112"/>
      <c r="C10437" s="105"/>
      <c r="D10437" s="105"/>
      <c r="E10437" s="105"/>
      <c r="F10437" s="105"/>
      <c r="G10437" s="105"/>
      <c r="H10437" s="105"/>
      <c r="I10437" s="105"/>
      <c r="J10437" s="113"/>
      <c r="K10437" s="114"/>
      <c r="L10437" s="115"/>
      <c r="M10437" s="105"/>
      <c r="N10437" s="105"/>
      <c r="O10437" s="105"/>
      <c r="P10437" s="105"/>
      <c r="Q10437" s="113"/>
      <c r="R10437" s="114"/>
      <c r="S10437" s="115"/>
    </row>
    <row r="10438" spans="1:19" x14ac:dyDescent="0.25">
      <c r="A10438" s="111"/>
      <c r="B10438" s="112"/>
      <c r="C10438" s="105"/>
      <c r="D10438" s="105"/>
      <c r="E10438" s="105"/>
      <c r="F10438" s="105"/>
      <c r="G10438" s="105"/>
      <c r="H10438" s="105"/>
      <c r="I10438" s="105"/>
      <c r="J10438" s="113"/>
      <c r="K10438" s="114"/>
      <c r="L10438" s="115"/>
      <c r="M10438" s="105"/>
      <c r="N10438" s="105"/>
      <c r="O10438" s="105"/>
      <c r="P10438" s="105"/>
      <c r="Q10438" s="113"/>
      <c r="R10438" s="114"/>
      <c r="S10438" s="115"/>
    </row>
    <row r="10439" spans="1:19" x14ac:dyDescent="0.25">
      <c r="A10439" s="111"/>
      <c r="B10439" s="112"/>
      <c r="C10439" s="105"/>
      <c r="D10439" s="105"/>
      <c r="E10439" s="105"/>
      <c r="F10439" s="105"/>
      <c r="G10439" s="105"/>
      <c r="H10439" s="105"/>
      <c r="I10439" s="105"/>
      <c r="J10439" s="113"/>
      <c r="K10439" s="114"/>
      <c r="L10439" s="115"/>
      <c r="M10439" s="105"/>
      <c r="N10439" s="105"/>
      <c r="O10439" s="105"/>
      <c r="P10439" s="105"/>
      <c r="Q10439" s="113"/>
      <c r="R10439" s="114"/>
      <c r="S10439" s="115"/>
    </row>
    <row r="10440" spans="1:19" x14ac:dyDescent="0.25">
      <c r="A10440" s="111"/>
      <c r="B10440" s="112"/>
      <c r="C10440" s="105"/>
      <c r="D10440" s="105"/>
      <c r="E10440" s="105"/>
      <c r="F10440" s="105"/>
      <c r="G10440" s="105"/>
      <c r="H10440" s="105"/>
      <c r="I10440" s="105"/>
      <c r="J10440" s="113"/>
      <c r="K10440" s="114"/>
      <c r="L10440" s="115"/>
      <c r="M10440" s="105"/>
      <c r="N10440" s="105"/>
      <c r="O10440" s="105"/>
      <c r="P10440" s="105"/>
      <c r="Q10440" s="113"/>
      <c r="R10440" s="114"/>
      <c r="S10440" s="115"/>
    </row>
    <row r="10441" spans="1:19" x14ac:dyDescent="0.25">
      <c r="A10441" s="111"/>
      <c r="B10441" s="112"/>
      <c r="C10441" s="105"/>
      <c r="D10441" s="105"/>
      <c r="E10441" s="105"/>
      <c r="F10441" s="105"/>
      <c r="G10441" s="105"/>
      <c r="H10441" s="105"/>
      <c r="I10441" s="105"/>
      <c r="J10441" s="113"/>
      <c r="K10441" s="114"/>
      <c r="L10441" s="115"/>
      <c r="M10441" s="105"/>
      <c r="N10441" s="105"/>
      <c r="O10441" s="105"/>
      <c r="P10441" s="105"/>
      <c r="Q10441" s="113"/>
      <c r="R10441" s="114"/>
      <c r="S10441" s="115"/>
    </row>
    <row r="10442" spans="1:19" x14ac:dyDescent="0.25">
      <c r="A10442" s="111"/>
      <c r="B10442" s="112"/>
      <c r="C10442" s="105"/>
      <c r="D10442" s="105"/>
      <c r="E10442" s="105"/>
      <c r="F10442" s="105"/>
      <c r="G10442" s="105"/>
      <c r="H10442" s="105"/>
      <c r="I10442" s="105"/>
      <c r="J10442" s="113"/>
      <c r="K10442" s="114"/>
      <c r="L10442" s="115"/>
      <c r="M10442" s="105"/>
      <c r="N10442" s="105"/>
      <c r="O10442" s="105"/>
      <c r="P10442" s="105"/>
      <c r="Q10442" s="113"/>
      <c r="R10442" s="114"/>
      <c r="S10442" s="115"/>
    </row>
    <row r="10443" spans="1:19" x14ac:dyDescent="0.25">
      <c r="A10443" s="111"/>
      <c r="B10443" s="112"/>
      <c r="C10443" s="105"/>
      <c r="D10443" s="105"/>
      <c r="E10443" s="105"/>
      <c r="F10443" s="105"/>
      <c r="G10443" s="105"/>
      <c r="H10443" s="105"/>
      <c r="I10443" s="105"/>
      <c r="J10443" s="113"/>
      <c r="K10443" s="114"/>
      <c r="L10443" s="115"/>
      <c r="M10443" s="105"/>
      <c r="N10443" s="105"/>
      <c r="O10443" s="105"/>
      <c r="P10443" s="105"/>
      <c r="Q10443" s="113"/>
      <c r="R10443" s="114"/>
      <c r="S10443" s="115"/>
    </row>
    <row r="10444" spans="1:19" x14ac:dyDescent="0.25">
      <c r="A10444" s="111"/>
      <c r="B10444" s="112"/>
      <c r="C10444" s="105"/>
      <c r="D10444" s="105"/>
      <c r="E10444" s="105"/>
      <c r="F10444" s="105"/>
      <c r="G10444" s="105"/>
      <c r="H10444" s="105"/>
      <c r="I10444" s="105"/>
      <c r="J10444" s="113"/>
      <c r="K10444" s="114"/>
      <c r="L10444" s="115"/>
      <c r="M10444" s="105"/>
      <c r="N10444" s="105"/>
      <c r="O10444" s="105"/>
      <c r="P10444" s="105"/>
      <c r="Q10444" s="113"/>
      <c r="R10444" s="114"/>
      <c r="S10444" s="115"/>
    </row>
    <row r="10445" spans="1:19" x14ac:dyDescent="0.25">
      <c r="A10445" s="111"/>
      <c r="B10445" s="112"/>
      <c r="C10445" s="105"/>
      <c r="D10445" s="105"/>
      <c r="E10445" s="105"/>
      <c r="F10445" s="105"/>
      <c r="G10445" s="105"/>
      <c r="H10445" s="105"/>
      <c r="I10445" s="105"/>
      <c r="J10445" s="113"/>
      <c r="K10445" s="114"/>
      <c r="L10445" s="115"/>
      <c r="M10445" s="105"/>
      <c r="N10445" s="105"/>
      <c r="O10445" s="105"/>
      <c r="P10445" s="105"/>
      <c r="Q10445" s="113"/>
      <c r="R10445" s="114"/>
      <c r="S10445" s="115"/>
    </row>
    <row r="10446" spans="1:19" x14ac:dyDescent="0.25">
      <c r="A10446" s="111"/>
      <c r="B10446" s="112"/>
      <c r="C10446" s="105"/>
      <c r="D10446" s="105"/>
      <c r="E10446" s="105"/>
      <c r="F10446" s="105"/>
      <c r="G10446" s="105"/>
      <c r="H10446" s="105"/>
      <c r="I10446" s="105"/>
      <c r="J10446" s="113"/>
      <c r="K10446" s="114"/>
      <c r="L10446" s="115"/>
      <c r="M10446" s="105"/>
      <c r="N10446" s="105"/>
      <c r="O10446" s="105"/>
      <c r="P10446" s="105"/>
      <c r="Q10446" s="113"/>
      <c r="R10446" s="114"/>
      <c r="S10446" s="115"/>
    </row>
    <row r="10447" spans="1:19" x14ac:dyDescent="0.25">
      <c r="A10447" s="111"/>
      <c r="B10447" s="112"/>
      <c r="C10447" s="105"/>
      <c r="D10447" s="105"/>
      <c r="E10447" s="105"/>
      <c r="F10447" s="105"/>
      <c r="G10447" s="105"/>
      <c r="H10447" s="105"/>
      <c r="I10447" s="105"/>
      <c r="J10447" s="113"/>
      <c r="K10447" s="114"/>
      <c r="L10447" s="115"/>
      <c r="M10447" s="105"/>
      <c r="N10447" s="105"/>
      <c r="O10447" s="105"/>
      <c r="P10447" s="105"/>
      <c r="Q10447" s="113"/>
      <c r="R10447" s="114"/>
      <c r="S10447" s="115"/>
    </row>
    <row r="10448" spans="1:19" x14ac:dyDescent="0.25">
      <c r="A10448" s="111"/>
      <c r="B10448" s="112"/>
      <c r="C10448" s="105"/>
      <c r="D10448" s="105"/>
      <c r="E10448" s="105"/>
      <c r="F10448" s="105"/>
      <c r="G10448" s="105"/>
      <c r="H10448" s="105"/>
      <c r="I10448" s="105"/>
      <c r="J10448" s="113"/>
      <c r="K10448" s="114"/>
      <c r="L10448" s="115"/>
      <c r="M10448" s="105"/>
      <c r="N10448" s="105"/>
      <c r="O10448" s="105"/>
      <c r="P10448" s="105"/>
      <c r="Q10448" s="113"/>
      <c r="R10448" s="114"/>
      <c r="S10448" s="115"/>
    </row>
    <row r="10449" spans="1:19" x14ac:dyDescent="0.25">
      <c r="A10449" s="111"/>
      <c r="B10449" s="112"/>
      <c r="C10449" s="105"/>
      <c r="D10449" s="105"/>
      <c r="E10449" s="105"/>
      <c r="F10449" s="105"/>
      <c r="G10449" s="105"/>
      <c r="H10449" s="105"/>
      <c r="I10449" s="105"/>
      <c r="J10449" s="113"/>
      <c r="K10449" s="114"/>
      <c r="L10449" s="115"/>
      <c r="M10449" s="105"/>
      <c r="N10449" s="105"/>
      <c r="O10449" s="105"/>
      <c r="P10449" s="105"/>
      <c r="Q10449" s="113"/>
      <c r="R10449" s="114"/>
      <c r="S10449" s="115"/>
    </row>
    <row r="10450" spans="1:19" x14ac:dyDescent="0.25">
      <c r="A10450" s="111"/>
      <c r="B10450" s="112"/>
      <c r="C10450" s="105"/>
      <c r="D10450" s="105"/>
      <c r="E10450" s="105"/>
      <c r="F10450" s="105"/>
      <c r="G10450" s="105"/>
      <c r="H10450" s="105"/>
      <c r="I10450" s="105"/>
      <c r="J10450" s="113"/>
      <c r="K10450" s="114"/>
      <c r="L10450" s="115"/>
      <c r="M10450" s="105"/>
      <c r="N10450" s="105"/>
      <c r="O10450" s="105"/>
      <c r="P10450" s="105"/>
      <c r="Q10450" s="113"/>
      <c r="R10450" s="114"/>
      <c r="S10450" s="115"/>
    </row>
    <row r="10451" spans="1:19" x14ac:dyDescent="0.25">
      <c r="A10451" s="111"/>
      <c r="B10451" s="112"/>
      <c r="C10451" s="105"/>
      <c r="D10451" s="105"/>
      <c r="E10451" s="105"/>
      <c r="F10451" s="105"/>
      <c r="G10451" s="105"/>
      <c r="H10451" s="105"/>
      <c r="I10451" s="105"/>
      <c r="J10451" s="113"/>
      <c r="K10451" s="114"/>
      <c r="L10451" s="115"/>
      <c r="M10451" s="105"/>
      <c r="N10451" s="105"/>
      <c r="O10451" s="105"/>
      <c r="P10451" s="105"/>
      <c r="Q10451" s="113"/>
      <c r="R10451" s="114"/>
      <c r="S10451" s="115"/>
    </row>
    <row r="10452" spans="1:19" x14ac:dyDescent="0.25">
      <c r="A10452" s="111"/>
      <c r="B10452" s="112"/>
      <c r="C10452" s="105"/>
      <c r="D10452" s="105"/>
      <c r="E10452" s="105"/>
      <c r="F10452" s="105"/>
      <c r="G10452" s="105"/>
      <c r="H10452" s="105"/>
      <c r="I10452" s="105"/>
      <c r="J10452" s="113"/>
      <c r="K10452" s="114"/>
      <c r="L10452" s="115"/>
      <c r="M10452" s="105"/>
      <c r="N10452" s="105"/>
      <c r="O10452" s="105"/>
      <c r="P10452" s="105"/>
      <c r="Q10452" s="113"/>
      <c r="R10452" s="114"/>
      <c r="S10452" s="115"/>
    </row>
    <row r="10453" spans="1:19" x14ac:dyDescent="0.25">
      <c r="A10453" s="111"/>
      <c r="B10453" s="112"/>
      <c r="C10453" s="105"/>
      <c r="D10453" s="105"/>
      <c r="E10453" s="105"/>
      <c r="F10453" s="105"/>
      <c r="G10453" s="105"/>
      <c r="H10453" s="105"/>
      <c r="I10453" s="105"/>
      <c r="J10453" s="113"/>
      <c r="K10453" s="114"/>
      <c r="L10453" s="115"/>
      <c r="M10453" s="105"/>
      <c r="N10453" s="105"/>
      <c r="O10453" s="105"/>
      <c r="P10453" s="105"/>
      <c r="Q10453" s="113"/>
      <c r="R10453" s="114"/>
      <c r="S10453" s="115"/>
    </row>
    <row r="10454" spans="1:19" x14ac:dyDescent="0.25">
      <c r="A10454" s="111"/>
      <c r="B10454" s="112"/>
      <c r="C10454" s="105"/>
      <c r="D10454" s="105"/>
      <c r="E10454" s="105"/>
      <c r="F10454" s="105"/>
      <c r="G10454" s="105"/>
      <c r="H10454" s="105"/>
      <c r="I10454" s="105"/>
      <c r="J10454" s="113"/>
      <c r="K10454" s="114"/>
      <c r="L10454" s="115"/>
      <c r="M10454" s="105"/>
      <c r="N10454" s="105"/>
      <c r="O10454" s="105"/>
      <c r="P10454" s="105"/>
      <c r="Q10454" s="113"/>
      <c r="R10454" s="114"/>
      <c r="S10454" s="115"/>
    </row>
    <row r="10455" spans="1:19" x14ac:dyDescent="0.25">
      <c r="A10455" s="111"/>
      <c r="B10455" s="112"/>
      <c r="C10455" s="105"/>
      <c r="D10455" s="105"/>
      <c r="E10455" s="105"/>
      <c r="F10455" s="105"/>
      <c r="G10455" s="105"/>
      <c r="H10455" s="105"/>
      <c r="I10455" s="105"/>
      <c r="J10455" s="113"/>
      <c r="K10455" s="114"/>
      <c r="L10455" s="115"/>
      <c r="M10455" s="105"/>
      <c r="N10455" s="105"/>
      <c r="O10455" s="105"/>
      <c r="P10455" s="105"/>
      <c r="Q10455" s="113"/>
      <c r="R10455" s="114"/>
      <c r="S10455" s="115"/>
    </row>
    <row r="10456" spans="1:19" x14ac:dyDescent="0.25">
      <c r="A10456" s="111"/>
      <c r="B10456" s="112"/>
      <c r="C10456" s="105"/>
      <c r="D10456" s="105"/>
      <c r="E10456" s="105"/>
      <c r="F10456" s="105"/>
      <c r="G10456" s="105"/>
      <c r="H10456" s="105"/>
      <c r="I10456" s="105"/>
      <c r="J10456" s="113"/>
      <c r="K10456" s="114"/>
      <c r="L10456" s="115"/>
      <c r="M10456" s="105"/>
      <c r="N10456" s="105"/>
      <c r="O10456" s="105"/>
      <c r="P10456" s="105"/>
      <c r="Q10456" s="113"/>
      <c r="R10456" s="114"/>
      <c r="S10456" s="115"/>
    </row>
    <row r="10457" spans="1:19" x14ac:dyDescent="0.25">
      <c r="A10457" s="111"/>
      <c r="B10457" s="112"/>
      <c r="C10457" s="105"/>
      <c r="D10457" s="105"/>
      <c r="E10457" s="105"/>
      <c r="F10457" s="105"/>
      <c r="G10457" s="105"/>
      <c r="H10457" s="105"/>
      <c r="I10457" s="105"/>
      <c r="J10457" s="113"/>
      <c r="K10457" s="114"/>
      <c r="L10457" s="115"/>
      <c r="M10457" s="105"/>
      <c r="N10457" s="105"/>
      <c r="O10457" s="105"/>
      <c r="P10457" s="105"/>
      <c r="Q10457" s="113"/>
      <c r="R10457" s="114"/>
      <c r="S10457" s="115"/>
    </row>
    <row r="10458" spans="1:19" x14ac:dyDescent="0.25">
      <c r="A10458" s="111"/>
      <c r="B10458" s="112"/>
      <c r="C10458" s="105"/>
      <c r="D10458" s="105"/>
      <c r="E10458" s="105"/>
      <c r="F10458" s="105"/>
      <c r="G10458" s="105"/>
      <c r="H10458" s="105"/>
      <c r="I10458" s="105"/>
      <c r="J10458" s="113"/>
      <c r="K10458" s="114"/>
      <c r="L10458" s="115"/>
      <c r="M10458" s="105"/>
      <c r="N10458" s="105"/>
      <c r="O10458" s="105"/>
      <c r="P10458" s="105"/>
      <c r="Q10458" s="113"/>
      <c r="R10458" s="114"/>
      <c r="S10458" s="115"/>
    </row>
    <row r="10459" spans="1:19" x14ac:dyDescent="0.25">
      <c r="A10459" s="111"/>
      <c r="B10459" s="112"/>
      <c r="C10459" s="105"/>
      <c r="D10459" s="105"/>
      <c r="E10459" s="105"/>
      <c r="F10459" s="105"/>
      <c r="G10459" s="105"/>
      <c r="H10459" s="105"/>
      <c r="I10459" s="105"/>
      <c r="J10459" s="113"/>
      <c r="K10459" s="114"/>
      <c r="L10459" s="115"/>
      <c r="M10459" s="105"/>
      <c r="N10459" s="105"/>
      <c r="O10459" s="105"/>
      <c r="P10459" s="105"/>
      <c r="Q10459" s="113"/>
      <c r="R10459" s="114"/>
      <c r="S10459" s="115"/>
    </row>
    <row r="10460" spans="1:19" x14ac:dyDescent="0.25">
      <c r="A10460" s="111"/>
      <c r="B10460" s="112"/>
      <c r="C10460" s="105"/>
      <c r="D10460" s="105"/>
      <c r="E10460" s="105"/>
      <c r="F10460" s="105"/>
      <c r="G10460" s="105"/>
      <c r="H10460" s="105"/>
      <c r="I10460" s="105"/>
      <c r="J10460" s="113"/>
      <c r="K10460" s="114"/>
      <c r="L10460" s="115"/>
      <c r="M10460" s="105"/>
      <c r="N10460" s="105"/>
      <c r="O10460" s="105"/>
      <c r="P10460" s="105"/>
      <c r="Q10460" s="113"/>
      <c r="R10460" s="114"/>
      <c r="S10460" s="115"/>
    </row>
    <row r="10461" spans="1:19" x14ac:dyDescent="0.25">
      <c r="A10461" s="111"/>
      <c r="B10461" s="112"/>
      <c r="C10461" s="105"/>
      <c r="D10461" s="105"/>
      <c r="E10461" s="105"/>
      <c r="F10461" s="105"/>
      <c r="G10461" s="105"/>
      <c r="H10461" s="105"/>
      <c r="I10461" s="105"/>
      <c r="J10461" s="113"/>
      <c r="K10461" s="114"/>
      <c r="L10461" s="115"/>
      <c r="M10461" s="105"/>
      <c r="N10461" s="105"/>
      <c r="O10461" s="105"/>
      <c r="P10461" s="105"/>
      <c r="Q10461" s="113"/>
      <c r="R10461" s="114"/>
      <c r="S10461" s="115"/>
    </row>
    <row r="10462" spans="1:19" x14ac:dyDescent="0.25">
      <c r="A10462" s="111"/>
      <c r="B10462" s="112"/>
      <c r="C10462" s="105"/>
      <c r="D10462" s="105"/>
      <c r="E10462" s="105"/>
      <c r="F10462" s="105"/>
      <c r="G10462" s="105"/>
      <c r="H10462" s="105"/>
      <c r="I10462" s="105"/>
      <c r="J10462" s="113"/>
      <c r="K10462" s="114"/>
      <c r="L10462" s="115"/>
      <c r="M10462" s="105"/>
      <c r="N10462" s="105"/>
      <c r="O10462" s="105"/>
      <c r="P10462" s="105"/>
      <c r="Q10462" s="113"/>
      <c r="R10462" s="114"/>
      <c r="S10462" s="115"/>
    </row>
    <row r="10463" spans="1:19" x14ac:dyDescent="0.25">
      <c r="A10463" s="111"/>
      <c r="B10463" s="112"/>
      <c r="C10463" s="105"/>
      <c r="D10463" s="105"/>
      <c r="E10463" s="105"/>
      <c r="F10463" s="105"/>
      <c r="G10463" s="105"/>
      <c r="H10463" s="105"/>
      <c r="I10463" s="105"/>
      <c r="J10463" s="113"/>
      <c r="K10463" s="114"/>
      <c r="L10463" s="115"/>
      <c r="M10463" s="105"/>
      <c r="N10463" s="105"/>
      <c r="O10463" s="105"/>
      <c r="P10463" s="105"/>
      <c r="Q10463" s="113"/>
      <c r="R10463" s="114"/>
      <c r="S10463" s="115"/>
    </row>
    <row r="10464" spans="1:19" x14ac:dyDescent="0.25">
      <c r="A10464" s="111"/>
      <c r="B10464" s="112"/>
      <c r="C10464" s="105"/>
      <c r="D10464" s="105"/>
      <c r="E10464" s="105"/>
      <c r="F10464" s="105"/>
      <c r="G10464" s="105"/>
      <c r="H10464" s="105"/>
      <c r="I10464" s="105"/>
      <c r="J10464" s="113"/>
      <c r="K10464" s="114"/>
      <c r="L10464" s="115"/>
      <c r="M10464" s="105"/>
      <c r="N10464" s="105"/>
      <c r="O10464" s="105"/>
      <c r="P10464" s="105"/>
      <c r="Q10464" s="113"/>
      <c r="R10464" s="114"/>
      <c r="S10464" s="115"/>
    </row>
    <row r="10465" spans="1:19" x14ac:dyDescent="0.25">
      <c r="A10465" s="111"/>
      <c r="B10465" s="112"/>
      <c r="C10465" s="105"/>
      <c r="D10465" s="105"/>
      <c r="E10465" s="105"/>
      <c r="F10465" s="105"/>
      <c r="G10465" s="105"/>
      <c r="H10465" s="105"/>
      <c r="I10465" s="105"/>
      <c r="J10465" s="113"/>
      <c r="K10465" s="114"/>
      <c r="L10465" s="115"/>
      <c r="M10465" s="105"/>
      <c r="N10465" s="105"/>
      <c r="O10465" s="105"/>
      <c r="P10465" s="105"/>
      <c r="Q10465" s="113"/>
      <c r="R10465" s="114"/>
      <c r="S10465" s="115"/>
    </row>
    <row r="10466" spans="1:19" x14ac:dyDescent="0.25">
      <c r="A10466" s="111"/>
      <c r="B10466" s="112"/>
      <c r="C10466" s="105"/>
      <c r="D10466" s="105"/>
      <c r="E10466" s="105"/>
      <c r="F10466" s="105"/>
      <c r="G10466" s="105"/>
      <c r="H10466" s="105"/>
      <c r="I10466" s="105"/>
      <c r="J10466" s="113"/>
      <c r="K10466" s="114"/>
      <c r="L10466" s="115"/>
      <c r="M10466" s="105"/>
      <c r="N10466" s="105"/>
      <c r="O10466" s="105"/>
      <c r="P10466" s="105"/>
      <c r="Q10466" s="113"/>
      <c r="R10466" s="114"/>
      <c r="S10466" s="115"/>
    </row>
    <row r="10467" spans="1:19" x14ac:dyDescent="0.25">
      <c r="A10467" s="111"/>
      <c r="B10467" s="112"/>
      <c r="C10467" s="105"/>
      <c r="D10467" s="105"/>
      <c r="E10467" s="105"/>
      <c r="F10467" s="105"/>
      <c r="G10467" s="105"/>
      <c r="H10467" s="105"/>
      <c r="I10467" s="105"/>
      <c r="J10467" s="113"/>
      <c r="K10467" s="114"/>
      <c r="L10467" s="115"/>
      <c r="M10467" s="105"/>
      <c r="N10467" s="105"/>
      <c r="O10467" s="105"/>
      <c r="P10467" s="105"/>
      <c r="Q10467" s="113"/>
      <c r="R10467" s="114"/>
      <c r="S10467" s="115"/>
    </row>
    <row r="10468" spans="1:19" x14ac:dyDescent="0.25">
      <c r="A10468" s="111"/>
      <c r="B10468" s="112"/>
      <c r="C10468" s="105"/>
      <c r="D10468" s="105"/>
      <c r="E10468" s="105"/>
      <c r="F10468" s="105"/>
      <c r="G10468" s="105"/>
      <c r="H10468" s="105"/>
      <c r="I10468" s="105"/>
      <c r="J10468" s="113"/>
      <c r="K10468" s="114"/>
      <c r="L10468" s="115"/>
      <c r="M10468" s="105"/>
      <c r="N10468" s="105"/>
      <c r="O10468" s="105"/>
      <c r="P10468" s="105"/>
      <c r="Q10468" s="113"/>
      <c r="R10468" s="114"/>
      <c r="S10468" s="115"/>
    </row>
    <row r="10469" spans="1:19" x14ac:dyDescent="0.25">
      <c r="A10469" s="111"/>
      <c r="B10469" s="112"/>
      <c r="C10469" s="105"/>
      <c r="D10469" s="105"/>
      <c r="E10469" s="105"/>
      <c r="F10469" s="105"/>
      <c r="G10469" s="105"/>
      <c r="H10469" s="105"/>
      <c r="I10469" s="105"/>
      <c r="J10469" s="113"/>
      <c r="K10469" s="114"/>
      <c r="L10469" s="115"/>
      <c r="M10469" s="105"/>
      <c r="N10469" s="105"/>
      <c r="O10469" s="105"/>
      <c r="P10469" s="105"/>
      <c r="Q10469" s="113"/>
      <c r="R10469" s="114"/>
      <c r="S10469" s="115"/>
    </row>
    <row r="10470" spans="1:19" x14ac:dyDescent="0.25">
      <c r="A10470" s="111"/>
      <c r="B10470" s="112"/>
      <c r="C10470" s="105"/>
      <c r="D10470" s="105"/>
      <c r="E10470" s="105"/>
      <c r="F10470" s="105"/>
      <c r="G10470" s="105"/>
      <c r="H10470" s="105"/>
      <c r="I10470" s="105"/>
      <c r="J10470" s="113"/>
      <c r="K10470" s="114"/>
      <c r="L10470" s="115"/>
      <c r="M10470" s="105"/>
      <c r="N10470" s="105"/>
      <c r="O10470" s="105"/>
      <c r="P10470" s="105"/>
      <c r="Q10470" s="113"/>
      <c r="R10470" s="114"/>
      <c r="S10470" s="115"/>
    </row>
    <row r="10471" spans="1:19" x14ac:dyDescent="0.25">
      <c r="A10471" s="111"/>
      <c r="B10471" s="112"/>
      <c r="C10471" s="105"/>
      <c r="D10471" s="105"/>
      <c r="E10471" s="105"/>
      <c r="F10471" s="105"/>
      <c r="G10471" s="105"/>
      <c r="H10471" s="105"/>
      <c r="I10471" s="105"/>
      <c r="J10471" s="113"/>
      <c r="K10471" s="114"/>
      <c r="L10471" s="115"/>
      <c r="M10471" s="105"/>
      <c r="N10471" s="105"/>
      <c r="O10471" s="105"/>
      <c r="P10471" s="105"/>
      <c r="Q10471" s="113"/>
      <c r="R10471" s="114"/>
      <c r="S10471" s="115"/>
    </row>
    <row r="10472" spans="1:19" x14ac:dyDescent="0.25">
      <c r="A10472" s="111"/>
      <c r="B10472" s="112"/>
      <c r="C10472" s="105"/>
      <c r="D10472" s="105"/>
      <c r="E10472" s="105"/>
      <c r="F10472" s="105"/>
      <c r="G10472" s="105"/>
      <c r="H10472" s="105"/>
      <c r="I10472" s="105"/>
      <c r="J10472" s="113"/>
      <c r="K10472" s="114"/>
      <c r="L10472" s="115"/>
      <c r="M10472" s="105"/>
      <c r="N10472" s="105"/>
      <c r="O10472" s="105"/>
      <c r="P10472" s="105"/>
      <c r="Q10472" s="113"/>
      <c r="R10472" s="114"/>
      <c r="S10472" s="115"/>
    </row>
    <row r="10473" spans="1:19" x14ac:dyDescent="0.25">
      <c r="A10473" s="111"/>
      <c r="B10473" s="112"/>
      <c r="C10473" s="105"/>
      <c r="D10473" s="105"/>
      <c r="E10473" s="105"/>
      <c r="F10473" s="105"/>
      <c r="G10473" s="105"/>
      <c r="H10473" s="105"/>
      <c r="I10473" s="105"/>
      <c r="J10473" s="113"/>
      <c r="K10473" s="114"/>
      <c r="L10473" s="115"/>
      <c r="M10473" s="105"/>
      <c r="N10473" s="105"/>
      <c r="O10473" s="105"/>
      <c r="P10473" s="105"/>
      <c r="Q10473" s="113"/>
      <c r="R10473" s="114"/>
      <c r="S10473" s="115"/>
    </row>
    <row r="10474" spans="1:19" x14ac:dyDescent="0.25">
      <c r="A10474" s="111"/>
      <c r="B10474" s="112"/>
      <c r="C10474" s="105"/>
      <c r="D10474" s="105"/>
      <c r="E10474" s="105"/>
      <c r="F10474" s="105"/>
      <c r="G10474" s="105"/>
      <c r="H10474" s="105"/>
      <c r="I10474" s="105"/>
      <c r="J10474" s="113"/>
      <c r="K10474" s="114"/>
      <c r="L10474" s="115"/>
      <c r="M10474" s="105"/>
      <c r="N10474" s="105"/>
      <c r="O10474" s="105"/>
      <c r="P10474" s="105"/>
      <c r="Q10474" s="113"/>
      <c r="R10474" s="114"/>
      <c r="S10474" s="115"/>
    </row>
    <row r="10475" spans="1:19" x14ac:dyDescent="0.25">
      <c r="A10475" s="111"/>
      <c r="B10475" s="112"/>
      <c r="C10475" s="105"/>
      <c r="D10475" s="105"/>
      <c r="E10475" s="105"/>
      <c r="F10475" s="105"/>
      <c r="G10475" s="105"/>
      <c r="H10475" s="105"/>
      <c r="I10475" s="105"/>
      <c r="J10475" s="113"/>
      <c r="K10475" s="114"/>
      <c r="L10475" s="115"/>
      <c r="M10475" s="105"/>
      <c r="N10475" s="105"/>
      <c r="O10475" s="105"/>
      <c r="P10475" s="105"/>
      <c r="Q10475" s="113"/>
      <c r="R10475" s="114"/>
      <c r="S10475" s="115"/>
    </row>
    <row r="10476" spans="1:19" x14ac:dyDescent="0.25">
      <c r="A10476" s="111"/>
      <c r="B10476" s="112"/>
      <c r="C10476" s="105"/>
      <c r="D10476" s="105"/>
      <c r="E10476" s="105"/>
      <c r="F10476" s="105"/>
      <c r="G10476" s="105"/>
      <c r="H10476" s="105"/>
      <c r="I10476" s="105"/>
      <c r="J10476" s="113"/>
      <c r="K10476" s="114"/>
      <c r="L10476" s="115"/>
      <c r="M10476" s="105"/>
      <c r="N10476" s="105"/>
      <c r="O10476" s="105"/>
      <c r="P10476" s="105"/>
      <c r="Q10476" s="113"/>
      <c r="R10476" s="114"/>
      <c r="S10476" s="115"/>
    </row>
    <row r="10477" spans="1:19" x14ac:dyDescent="0.25">
      <c r="A10477" s="111"/>
      <c r="B10477" s="112"/>
      <c r="C10477" s="105"/>
      <c r="D10477" s="105"/>
      <c r="E10477" s="105"/>
      <c r="F10477" s="105"/>
      <c r="G10477" s="105"/>
      <c r="H10477" s="105"/>
      <c r="I10477" s="105"/>
      <c r="J10477" s="113"/>
      <c r="K10477" s="114"/>
      <c r="L10477" s="115"/>
      <c r="M10477" s="105"/>
      <c r="N10477" s="105"/>
      <c r="O10477" s="105"/>
      <c r="P10477" s="105"/>
      <c r="Q10477" s="113"/>
      <c r="R10477" s="114"/>
      <c r="S10477" s="115"/>
    </row>
    <row r="10478" spans="1:19" x14ac:dyDescent="0.25">
      <c r="A10478" s="111"/>
      <c r="B10478" s="112"/>
      <c r="C10478" s="105"/>
      <c r="D10478" s="105"/>
      <c r="E10478" s="105"/>
      <c r="F10478" s="105"/>
      <c r="G10478" s="105"/>
      <c r="H10478" s="105"/>
      <c r="I10478" s="105"/>
      <c r="J10478" s="113"/>
      <c r="K10478" s="114"/>
      <c r="L10478" s="115"/>
      <c r="M10478" s="105"/>
      <c r="N10478" s="105"/>
      <c r="O10478" s="105"/>
      <c r="P10478" s="105"/>
      <c r="Q10478" s="113"/>
      <c r="R10478" s="114"/>
      <c r="S10478" s="115"/>
    </row>
    <row r="10479" spans="1:19" x14ac:dyDescent="0.25">
      <c r="A10479" s="111"/>
      <c r="B10479" s="112"/>
      <c r="C10479" s="105"/>
      <c r="D10479" s="105"/>
      <c r="E10479" s="105"/>
      <c r="F10479" s="105"/>
      <c r="G10479" s="105"/>
      <c r="H10479" s="105"/>
      <c r="I10479" s="105"/>
      <c r="J10479" s="113"/>
      <c r="K10479" s="114"/>
      <c r="L10479" s="115"/>
      <c r="M10479" s="105"/>
      <c r="N10479" s="105"/>
      <c r="O10479" s="105"/>
      <c r="P10479" s="105"/>
      <c r="Q10479" s="113"/>
      <c r="R10479" s="114"/>
      <c r="S10479" s="115"/>
    </row>
    <row r="10480" spans="1:19" x14ac:dyDescent="0.25">
      <c r="A10480" s="111"/>
      <c r="B10480" s="112"/>
      <c r="C10480" s="105"/>
      <c r="D10480" s="105"/>
      <c r="E10480" s="105"/>
      <c r="F10480" s="105"/>
      <c r="G10480" s="105"/>
      <c r="H10480" s="105"/>
      <c r="I10480" s="105"/>
      <c r="J10480" s="113"/>
      <c r="K10480" s="114"/>
      <c r="L10480" s="115"/>
      <c r="M10480" s="105"/>
      <c r="N10480" s="105"/>
      <c r="O10480" s="105"/>
      <c r="P10480" s="105"/>
      <c r="Q10480" s="113"/>
      <c r="R10480" s="114"/>
      <c r="S10480" s="115"/>
    </row>
    <row r="10481" spans="1:19" x14ac:dyDescent="0.25">
      <c r="A10481" s="111"/>
      <c r="B10481" s="112"/>
      <c r="C10481" s="105"/>
      <c r="D10481" s="105"/>
      <c r="E10481" s="105"/>
      <c r="F10481" s="105"/>
      <c r="G10481" s="105"/>
      <c r="H10481" s="105"/>
      <c r="I10481" s="105"/>
      <c r="J10481" s="113"/>
      <c r="K10481" s="114"/>
      <c r="L10481" s="115"/>
      <c r="M10481" s="105"/>
      <c r="N10481" s="105"/>
      <c r="O10481" s="105"/>
      <c r="P10481" s="105"/>
      <c r="Q10481" s="113"/>
      <c r="R10481" s="114"/>
      <c r="S10481" s="115"/>
    </row>
    <row r="10482" spans="1:19" x14ac:dyDescent="0.25">
      <c r="A10482" s="111"/>
      <c r="B10482" s="112"/>
      <c r="C10482" s="105"/>
      <c r="D10482" s="105"/>
      <c r="E10482" s="105"/>
      <c r="F10482" s="105"/>
      <c r="G10482" s="105"/>
      <c r="H10482" s="105"/>
      <c r="I10482" s="105"/>
      <c r="J10482" s="113"/>
      <c r="K10482" s="114"/>
      <c r="L10482" s="115"/>
      <c r="M10482" s="105"/>
      <c r="N10482" s="105"/>
      <c r="O10482" s="105"/>
      <c r="P10482" s="105"/>
      <c r="Q10482" s="113"/>
      <c r="R10482" s="114"/>
      <c r="S10482" s="115"/>
    </row>
    <row r="10483" spans="1:19" x14ac:dyDescent="0.25">
      <c r="A10483" s="111"/>
      <c r="B10483" s="112"/>
      <c r="C10483" s="105"/>
      <c r="D10483" s="105"/>
      <c r="E10483" s="105"/>
      <c r="F10483" s="105"/>
      <c r="G10483" s="105"/>
      <c r="H10483" s="105"/>
      <c r="I10483" s="105"/>
      <c r="J10483" s="113"/>
      <c r="K10483" s="114"/>
      <c r="L10483" s="115"/>
      <c r="M10483" s="105"/>
      <c r="N10483" s="105"/>
      <c r="O10483" s="105"/>
      <c r="P10483" s="105"/>
      <c r="Q10483" s="113"/>
      <c r="R10483" s="114"/>
      <c r="S10483" s="115"/>
    </row>
    <row r="10484" spans="1:19" x14ac:dyDescent="0.25">
      <c r="A10484" s="111"/>
      <c r="B10484" s="112"/>
      <c r="C10484" s="105"/>
      <c r="D10484" s="105"/>
      <c r="E10484" s="105"/>
      <c r="F10484" s="105"/>
      <c r="G10484" s="105"/>
      <c r="H10484" s="105"/>
      <c r="I10484" s="105"/>
      <c r="J10484" s="113"/>
      <c r="K10484" s="114"/>
      <c r="L10484" s="115"/>
      <c r="M10484" s="105"/>
      <c r="N10484" s="105"/>
      <c r="O10484" s="105"/>
      <c r="P10484" s="105"/>
      <c r="Q10484" s="113"/>
      <c r="R10484" s="114"/>
      <c r="S10484" s="115"/>
    </row>
    <row r="10485" spans="1:19" x14ac:dyDescent="0.25">
      <c r="A10485" s="111"/>
      <c r="B10485" s="112"/>
      <c r="C10485" s="105"/>
      <c r="D10485" s="105"/>
      <c r="E10485" s="105"/>
      <c r="F10485" s="105"/>
      <c r="G10485" s="105"/>
      <c r="H10485" s="105"/>
      <c r="I10485" s="105"/>
      <c r="J10485" s="113"/>
      <c r="K10485" s="114"/>
      <c r="L10485" s="115"/>
      <c r="M10485" s="105"/>
      <c r="N10485" s="105"/>
      <c r="O10485" s="105"/>
      <c r="P10485" s="105"/>
      <c r="Q10485" s="113"/>
      <c r="R10485" s="114"/>
      <c r="S10485" s="115"/>
    </row>
    <row r="10486" spans="1:19" x14ac:dyDescent="0.25">
      <c r="A10486" s="111"/>
      <c r="B10486" s="112"/>
      <c r="C10486" s="105"/>
      <c r="D10486" s="105"/>
      <c r="E10486" s="105"/>
      <c r="F10486" s="105"/>
      <c r="G10486" s="105"/>
      <c r="H10486" s="105"/>
      <c r="I10486" s="105"/>
      <c r="J10486" s="113"/>
      <c r="K10486" s="114"/>
      <c r="L10486" s="115"/>
      <c r="M10486" s="105"/>
      <c r="N10486" s="105"/>
      <c r="O10486" s="105"/>
      <c r="P10486" s="105"/>
      <c r="Q10486" s="113"/>
      <c r="R10486" s="114"/>
      <c r="S10486" s="115"/>
    </row>
    <row r="10487" spans="1:19" x14ac:dyDescent="0.25">
      <c r="A10487" s="111"/>
      <c r="B10487" s="112"/>
      <c r="C10487" s="105"/>
      <c r="D10487" s="105"/>
      <c r="E10487" s="105"/>
      <c r="F10487" s="105"/>
      <c r="G10487" s="105"/>
      <c r="H10487" s="105"/>
      <c r="I10487" s="105"/>
      <c r="J10487" s="113"/>
      <c r="K10487" s="114"/>
      <c r="L10487" s="115"/>
      <c r="M10487" s="105"/>
      <c r="N10487" s="105"/>
      <c r="O10487" s="105"/>
      <c r="P10487" s="105"/>
      <c r="Q10487" s="113"/>
      <c r="R10487" s="114"/>
      <c r="S10487" s="115"/>
    </row>
    <row r="10488" spans="1:19" x14ac:dyDescent="0.25">
      <c r="A10488" s="111"/>
      <c r="B10488" s="112"/>
      <c r="C10488" s="105"/>
      <c r="D10488" s="105"/>
      <c r="E10488" s="105"/>
      <c r="F10488" s="105"/>
      <c r="G10488" s="105"/>
      <c r="H10488" s="105"/>
      <c r="I10488" s="105"/>
      <c r="J10488" s="113"/>
      <c r="K10488" s="114"/>
      <c r="L10488" s="115"/>
      <c r="M10488" s="105"/>
      <c r="N10488" s="105"/>
      <c r="O10488" s="105"/>
      <c r="P10488" s="105"/>
      <c r="Q10488" s="113"/>
      <c r="R10488" s="114"/>
      <c r="S10488" s="115"/>
    </row>
    <row r="10489" spans="1:19" x14ac:dyDescent="0.25">
      <c r="A10489" s="111"/>
      <c r="B10489" s="112"/>
      <c r="C10489" s="105"/>
      <c r="D10489" s="105"/>
      <c r="E10489" s="105"/>
      <c r="F10489" s="105"/>
      <c r="G10489" s="105"/>
      <c r="H10489" s="105"/>
      <c r="I10489" s="105"/>
      <c r="J10489" s="113"/>
      <c r="K10489" s="114"/>
      <c r="L10489" s="115"/>
      <c r="M10489" s="105"/>
      <c r="N10489" s="105"/>
      <c r="O10489" s="105"/>
      <c r="P10489" s="105"/>
      <c r="Q10489" s="113"/>
      <c r="R10489" s="114"/>
      <c r="S10489" s="115"/>
    </row>
    <row r="10490" spans="1:19" x14ac:dyDescent="0.25">
      <c r="A10490" s="111"/>
      <c r="B10490" s="112"/>
      <c r="C10490" s="105"/>
      <c r="D10490" s="105"/>
      <c r="E10490" s="105"/>
      <c r="F10490" s="105"/>
      <c r="G10490" s="105"/>
      <c r="H10490" s="105"/>
      <c r="I10490" s="105"/>
      <c r="J10490" s="113"/>
      <c r="K10490" s="114"/>
      <c r="L10490" s="115"/>
      <c r="M10490" s="105"/>
      <c r="N10490" s="105"/>
      <c r="O10490" s="105"/>
      <c r="P10490" s="105"/>
      <c r="Q10490" s="113"/>
      <c r="R10490" s="114"/>
      <c r="S10490" s="115"/>
    </row>
    <row r="10491" spans="1:19" x14ac:dyDescent="0.25">
      <c r="A10491" s="111"/>
      <c r="B10491" s="112"/>
      <c r="C10491" s="105"/>
      <c r="D10491" s="105"/>
      <c r="E10491" s="105"/>
      <c r="F10491" s="105"/>
      <c r="G10491" s="105"/>
      <c r="H10491" s="105"/>
      <c r="I10491" s="105"/>
      <c r="J10491" s="113"/>
      <c r="K10491" s="114"/>
      <c r="L10491" s="115"/>
      <c r="M10491" s="105"/>
      <c r="N10491" s="105"/>
      <c r="O10491" s="105"/>
      <c r="P10491" s="105"/>
      <c r="Q10491" s="113"/>
      <c r="R10491" s="114"/>
      <c r="S10491" s="115"/>
    </row>
    <row r="10492" spans="1:19" x14ac:dyDescent="0.25">
      <c r="A10492" s="111"/>
      <c r="B10492" s="112"/>
      <c r="C10492" s="105"/>
      <c r="D10492" s="105"/>
      <c r="E10492" s="105"/>
      <c r="F10492" s="105"/>
      <c r="G10492" s="105"/>
      <c r="H10492" s="105"/>
      <c r="I10492" s="105"/>
      <c r="J10492" s="113"/>
      <c r="K10492" s="114"/>
      <c r="L10492" s="115"/>
      <c r="M10492" s="105"/>
      <c r="N10492" s="105"/>
      <c r="O10492" s="105"/>
      <c r="P10492" s="105"/>
      <c r="Q10492" s="113"/>
      <c r="R10492" s="114"/>
      <c r="S10492" s="115"/>
    </row>
    <row r="10493" spans="1:19" x14ac:dyDescent="0.25">
      <c r="A10493" s="111"/>
      <c r="B10493" s="112"/>
      <c r="C10493" s="105"/>
      <c r="D10493" s="105"/>
      <c r="E10493" s="105"/>
      <c r="F10493" s="105"/>
      <c r="G10493" s="105"/>
      <c r="H10493" s="105"/>
      <c r="I10493" s="105"/>
      <c r="J10493" s="113"/>
      <c r="K10493" s="114"/>
      <c r="L10493" s="115"/>
      <c r="M10493" s="105"/>
      <c r="N10493" s="105"/>
      <c r="O10493" s="105"/>
      <c r="P10493" s="105"/>
      <c r="Q10493" s="113"/>
      <c r="R10493" s="114"/>
      <c r="S10493" s="115"/>
    </row>
    <row r="10494" spans="1:19" x14ac:dyDescent="0.25">
      <c r="A10494" s="111"/>
      <c r="B10494" s="112"/>
      <c r="C10494" s="105"/>
      <c r="D10494" s="105"/>
      <c r="E10494" s="105"/>
      <c r="F10494" s="105"/>
      <c r="G10494" s="105"/>
      <c r="H10494" s="105"/>
      <c r="I10494" s="105"/>
      <c r="J10494" s="113"/>
      <c r="K10494" s="114"/>
      <c r="L10494" s="115"/>
      <c r="M10494" s="105"/>
      <c r="N10494" s="105"/>
      <c r="O10494" s="105"/>
      <c r="P10494" s="105"/>
      <c r="Q10494" s="113"/>
      <c r="R10494" s="114"/>
      <c r="S10494" s="115"/>
    </row>
    <row r="10495" spans="1:19" x14ac:dyDescent="0.25">
      <c r="A10495" s="111"/>
      <c r="B10495" s="112"/>
      <c r="C10495" s="105"/>
      <c r="D10495" s="105"/>
      <c r="E10495" s="105"/>
      <c r="F10495" s="105"/>
      <c r="G10495" s="105"/>
      <c r="H10495" s="105"/>
      <c r="I10495" s="105"/>
      <c r="J10495" s="113"/>
      <c r="K10495" s="114"/>
      <c r="L10495" s="115"/>
      <c r="M10495" s="105"/>
      <c r="N10495" s="105"/>
      <c r="O10495" s="105"/>
      <c r="P10495" s="105"/>
      <c r="Q10495" s="113"/>
      <c r="R10495" s="114"/>
      <c r="S10495" s="115"/>
    </row>
    <row r="10496" spans="1:19" x14ac:dyDescent="0.25">
      <c r="A10496" s="111"/>
      <c r="B10496" s="112"/>
      <c r="C10496" s="105"/>
      <c r="D10496" s="105"/>
      <c r="E10496" s="105"/>
      <c r="F10496" s="105"/>
      <c r="G10496" s="105"/>
      <c r="H10496" s="105"/>
      <c r="I10496" s="105"/>
      <c r="J10496" s="113"/>
      <c r="K10496" s="114"/>
      <c r="L10496" s="115"/>
      <c r="M10496" s="105"/>
      <c r="N10496" s="105"/>
      <c r="O10496" s="105"/>
      <c r="P10496" s="105"/>
      <c r="Q10496" s="113"/>
      <c r="R10496" s="114"/>
      <c r="S10496" s="115"/>
    </row>
    <row r="10497" spans="1:19" x14ac:dyDescent="0.25">
      <c r="A10497" s="111"/>
      <c r="B10497" s="112"/>
      <c r="C10497" s="105"/>
      <c r="D10497" s="105"/>
      <c r="E10497" s="105"/>
      <c r="F10497" s="105"/>
      <c r="G10497" s="105"/>
      <c r="H10497" s="105"/>
      <c r="I10497" s="105"/>
      <c r="J10497" s="113"/>
      <c r="K10497" s="114"/>
      <c r="L10497" s="115"/>
      <c r="M10497" s="105"/>
      <c r="N10497" s="105"/>
      <c r="O10497" s="105"/>
      <c r="P10497" s="105"/>
      <c r="Q10497" s="113"/>
      <c r="R10497" s="114"/>
      <c r="S10497" s="115"/>
    </row>
    <row r="10498" spans="1:19" x14ac:dyDescent="0.25">
      <c r="A10498" s="111"/>
      <c r="B10498" s="112"/>
      <c r="C10498" s="105"/>
      <c r="D10498" s="105"/>
      <c r="E10498" s="105"/>
      <c r="F10498" s="105"/>
      <c r="G10498" s="105"/>
      <c r="H10498" s="105"/>
      <c r="I10498" s="105"/>
      <c r="J10498" s="113"/>
      <c r="K10498" s="114"/>
      <c r="L10498" s="115"/>
      <c r="M10498" s="105"/>
      <c r="N10498" s="105"/>
      <c r="O10498" s="105"/>
      <c r="P10498" s="105"/>
      <c r="Q10498" s="113"/>
      <c r="R10498" s="114"/>
      <c r="S10498" s="115"/>
    </row>
    <row r="10499" spans="1:19" x14ac:dyDescent="0.25">
      <c r="A10499" s="111"/>
      <c r="B10499" s="112"/>
      <c r="C10499" s="105"/>
      <c r="D10499" s="105"/>
      <c r="E10499" s="105"/>
      <c r="F10499" s="105"/>
      <c r="G10499" s="105"/>
      <c r="H10499" s="105"/>
      <c r="I10499" s="105"/>
      <c r="J10499" s="113"/>
      <c r="K10499" s="114"/>
      <c r="L10499" s="115"/>
      <c r="M10499" s="105"/>
      <c r="N10499" s="105"/>
      <c r="O10499" s="105"/>
      <c r="P10499" s="105"/>
      <c r="Q10499" s="113"/>
      <c r="R10499" s="114"/>
      <c r="S10499" s="115"/>
    </row>
    <row r="10500" spans="1:19" x14ac:dyDescent="0.25">
      <c r="A10500" s="111"/>
      <c r="B10500" s="112"/>
      <c r="C10500" s="105"/>
      <c r="D10500" s="105"/>
      <c r="E10500" s="105"/>
      <c r="F10500" s="105"/>
      <c r="G10500" s="105"/>
      <c r="H10500" s="105"/>
      <c r="I10500" s="105"/>
      <c r="J10500" s="113"/>
      <c r="K10500" s="114"/>
      <c r="L10500" s="115"/>
      <c r="M10500" s="105"/>
      <c r="N10500" s="105"/>
      <c r="O10500" s="105"/>
      <c r="P10500" s="105"/>
      <c r="Q10500" s="113"/>
      <c r="R10500" s="114"/>
      <c r="S10500" s="115"/>
    </row>
    <row r="10501" spans="1:19" x14ac:dyDescent="0.25">
      <c r="A10501" s="111"/>
      <c r="B10501" s="112"/>
      <c r="C10501" s="105"/>
      <c r="D10501" s="105"/>
      <c r="E10501" s="105"/>
      <c r="F10501" s="105"/>
      <c r="G10501" s="105"/>
      <c r="H10501" s="105"/>
      <c r="I10501" s="105"/>
      <c r="J10501" s="113"/>
      <c r="K10501" s="114"/>
      <c r="L10501" s="115"/>
      <c r="M10501" s="105"/>
      <c r="N10501" s="105"/>
      <c r="O10501" s="105"/>
      <c r="P10501" s="105"/>
      <c r="Q10501" s="113"/>
      <c r="R10501" s="114"/>
      <c r="S10501" s="115"/>
    </row>
    <row r="10502" spans="1:19" x14ac:dyDescent="0.25">
      <c r="A10502" s="111"/>
      <c r="B10502" s="112"/>
      <c r="C10502" s="105"/>
      <c r="D10502" s="105"/>
      <c r="E10502" s="105"/>
      <c r="F10502" s="105"/>
      <c r="G10502" s="105"/>
      <c r="H10502" s="105"/>
      <c r="I10502" s="105"/>
      <c r="J10502" s="113"/>
      <c r="K10502" s="114"/>
      <c r="L10502" s="115"/>
      <c r="M10502" s="105"/>
      <c r="N10502" s="105"/>
      <c r="O10502" s="105"/>
      <c r="P10502" s="105"/>
      <c r="Q10502" s="113"/>
      <c r="R10502" s="114"/>
      <c r="S10502" s="115"/>
    </row>
    <row r="10503" spans="1:19" x14ac:dyDescent="0.25">
      <c r="A10503" s="111"/>
      <c r="B10503" s="112"/>
      <c r="C10503" s="105"/>
      <c r="D10503" s="105"/>
      <c r="E10503" s="105"/>
      <c r="F10503" s="105"/>
      <c r="G10503" s="105"/>
      <c r="H10503" s="105"/>
      <c r="I10503" s="105"/>
      <c r="J10503" s="113"/>
      <c r="K10503" s="114"/>
      <c r="L10503" s="115"/>
      <c r="M10503" s="105"/>
      <c r="N10503" s="105"/>
      <c r="O10503" s="105"/>
      <c r="P10503" s="105"/>
      <c r="Q10503" s="113"/>
      <c r="R10503" s="114"/>
      <c r="S10503" s="115"/>
    </row>
    <row r="10504" spans="1:19" x14ac:dyDescent="0.25">
      <c r="A10504" s="111"/>
      <c r="B10504" s="112"/>
      <c r="C10504" s="105"/>
      <c r="D10504" s="105"/>
      <c r="E10504" s="105"/>
      <c r="F10504" s="105"/>
      <c r="G10504" s="105"/>
      <c r="H10504" s="105"/>
      <c r="I10504" s="105"/>
      <c r="J10504" s="113"/>
      <c r="K10504" s="114"/>
      <c r="L10504" s="115"/>
      <c r="M10504" s="105"/>
      <c r="N10504" s="105"/>
      <c r="O10504" s="105"/>
      <c r="P10504" s="105"/>
      <c r="Q10504" s="113"/>
      <c r="R10504" s="114"/>
      <c r="S10504" s="115"/>
    </row>
    <row r="10505" spans="1:19" x14ac:dyDescent="0.25">
      <c r="A10505" s="111"/>
      <c r="B10505" s="112"/>
      <c r="C10505" s="105"/>
      <c r="D10505" s="105"/>
      <c r="E10505" s="105"/>
      <c r="F10505" s="105"/>
      <c r="G10505" s="105"/>
      <c r="H10505" s="105"/>
      <c r="I10505" s="105"/>
      <c r="J10505" s="113"/>
      <c r="K10505" s="114"/>
      <c r="L10505" s="115"/>
      <c r="M10505" s="105"/>
      <c r="N10505" s="105"/>
      <c r="O10505" s="105"/>
      <c r="P10505" s="105"/>
      <c r="Q10505" s="113"/>
      <c r="R10505" s="114"/>
      <c r="S10505" s="115"/>
    </row>
    <row r="10506" spans="1:19" x14ac:dyDescent="0.25">
      <c r="A10506" s="111"/>
      <c r="B10506" s="112"/>
      <c r="C10506" s="105"/>
      <c r="D10506" s="105"/>
      <c r="E10506" s="105"/>
      <c r="F10506" s="105"/>
      <c r="G10506" s="105"/>
      <c r="H10506" s="105"/>
      <c r="I10506" s="105"/>
      <c r="J10506" s="113"/>
      <c r="K10506" s="114"/>
      <c r="L10506" s="115"/>
      <c r="M10506" s="105"/>
      <c r="N10506" s="105"/>
      <c r="O10506" s="105"/>
      <c r="P10506" s="105"/>
      <c r="Q10506" s="113"/>
      <c r="R10506" s="114"/>
      <c r="S10506" s="115"/>
    </row>
    <row r="10507" spans="1:19" x14ac:dyDescent="0.25">
      <c r="A10507" s="111"/>
      <c r="B10507" s="112"/>
      <c r="C10507" s="105"/>
      <c r="D10507" s="105"/>
      <c r="E10507" s="105"/>
      <c r="F10507" s="105"/>
      <c r="G10507" s="105"/>
      <c r="H10507" s="105"/>
      <c r="I10507" s="105"/>
      <c r="J10507" s="113"/>
      <c r="K10507" s="114"/>
      <c r="L10507" s="115"/>
      <c r="M10507" s="105"/>
      <c r="N10507" s="105"/>
      <c r="O10507" s="105"/>
      <c r="P10507" s="105"/>
      <c r="Q10507" s="113"/>
      <c r="R10507" s="114"/>
      <c r="S10507" s="115"/>
    </row>
    <row r="10508" spans="1:19" x14ac:dyDescent="0.25">
      <c r="A10508" s="111"/>
      <c r="B10508" s="112"/>
      <c r="C10508" s="105"/>
      <c r="D10508" s="105"/>
      <c r="E10508" s="105"/>
      <c r="F10508" s="105"/>
      <c r="G10508" s="105"/>
      <c r="H10508" s="105"/>
      <c r="I10508" s="105"/>
      <c r="J10508" s="113"/>
      <c r="K10508" s="114"/>
      <c r="L10508" s="115"/>
      <c r="M10508" s="105"/>
      <c r="N10508" s="105"/>
      <c r="O10508" s="105"/>
      <c r="P10508" s="105"/>
      <c r="Q10508" s="113"/>
      <c r="R10508" s="114"/>
      <c r="S10508" s="115"/>
    </row>
    <row r="10509" spans="1:19" x14ac:dyDescent="0.25">
      <c r="A10509" s="111"/>
      <c r="B10509" s="112"/>
      <c r="C10509" s="105"/>
      <c r="D10509" s="105"/>
      <c r="E10509" s="105"/>
      <c r="F10509" s="105"/>
      <c r="G10509" s="105"/>
      <c r="H10509" s="105"/>
      <c r="I10509" s="105"/>
      <c r="J10509" s="113"/>
      <c r="K10509" s="114"/>
      <c r="L10509" s="115"/>
      <c r="M10509" s="105"/>
      <c r="N10509" s="105"/>
      <c r="O10509" s="105"/>
      <c r="P10509" s="105"/>
      <c r="Q10509" s="113"/>
      <c r="R10509" s="114"/>
      <c r="S10509" s="115"/>
    </row>
    <row r="10510" spans="1:19" x14ac:dyDescent="0.25">
      <c r="A10510" s="111"/>
      <c r="B10510" s="112"/>
      <c r="C10510" s="105"/>
      <c r="D10510" s="105"/>
      <c r="E10510" s="105"/>
      <c r="F10510" s="105"/>
      <c r="G10510" s="105"/>
      <c r="H10510" s="105"/>
      <c r="I10510" s="105"/>
      <c r="J10510" s="113"/>
      <c r="K10510" s="114"/>
      <c r="L10510" s="115"/>
      <c r="M10510" s="105"/>
      <c r="N10510" s="105"/>
      <c r="O10510" s="105"/>
      <c r="P10510" s="105"/>
      <c r="Q10510" s="113"/>
      <c r="R10510" s="114"/>
      <c r="S10510" s="115"/>
    </row>
    <row r="10511" spans="1:19" x14ac:dyDescent="0.25">
      <c r="A10511" s="111"/>
      <c r="B10511" s="112"/>
      <c r="C10511" s="105"/>
      <c r="D10511" s="105"/>
      <c r="E10511" s="105"/>
      <c r="F10511" s="105"/>
      <c r="G10511" s="105"/>
      <c r="H10511" s="105"/>
      <c r="I10511" s="105"/>
      <c r="J10511" s="113"/>
      <c r="K10511" s="114"/>
      <c r="L10511" s="115"/>
      <c r="M10511" s="105"/>
      <c r="N10511" s="105"/>
      <c r="O10511" s="105"/>
      <c r="P10511" s="105"/>
      <c r="Q10511" s="113"/>
      <c r="R10511" s="114"/>
      <c r="S10511" s="115"/>
    </row>
    <row r="10512" spans="1:19" x14ac:dyDescent="0.25">
      <c r="A10512" s="111"/>
      <c r="B10512" s="112"/>
      <c r="C10512" s="105"/>
      <c r="D10512" s="105"/>
      <c r="E10512" s="105"/>
      <c r="F10512" s="105"/>
      <c r="G10512" s="105"/>
      <c r="H10512" s="105"/>
      <c r="I10512" s="105"/>
      <c r="J10512" s="113"/>
      <c r="K10512" s="114"/>
      <c r="L10512" s="115"/>
      <c r="M10512" s="105"/>
      <c r="N10512" s="105"/>
      <c r="O10512" s="105"/>
      <c r="P10512" s="105"/>
      <c r="Q10512" s="113"/>
      <c r="R10512" s="114"/>
      <c r="S10512" s="115"/>
    </row>
    <row r="10513" spans="1:19" x14ac:dyDescent="0.25">
      <c r="A10513" s="111"/>
      <c r="B10513" s="112"/>
      <c r="C10513" s="105"/>
      <c r="D10513" s="105"/>
      <c r="E10513" s="105"/>
      <c r="F10513" s="105"/>
      <c r="G10513" s="105"/>
      <c r="H10513" s="105"/>
      <c r="I10513" s="105"/>
      <c r="J10513" s="113"/>
      <c r="K10513" s="114"/>
      <c r="L10513" s="115"/>
      <c r="M10513" s="105"/>
      <c r="N10513" s="105"/>
      <c r="O10513" s="105"/>
      <c r="P10513" s="105"/>
      <c r="Q10513" s="113"/>
      <c r="R10513" s="114"/>
      <c r="S10513" s="115"/>
    </row>
    <row r="10514" spans="1:19" x14ac:dyDescent="0.25">
      <c r="A10514" s="111"/>
      <c r="B10514" s="112"/>
      <c r="C10514" s="105"/>
      <c r="D10514" s="105"/>
      <c r="E10514" s="105"/>
      <c r="F10514" s="105"/>
      <c r="G10514" s="105"/>
      <c r="H10514" s="105"/>
      <c r="I10514" s="105"/>
      <c r="J10514" s="113"/>
      <c r="K10514" s="114"/>
      <c r="L10514" s="115"/>
      <c r="M10514" s="105"/>
      <c r="N10514" s="105"/>
      <c r="O10514" s="105"/>
      <c r="P10514" s="105"/>
      <c r="Q10514" s="113"/>
      <c r="R10514" s="114"/>
      <c r="S10514" s="115"/>
    </row>
    <row r="10515" spans="1:19" x14ac:dyDescent="0.25">
      <c r="A10515" s="111"/>
      <c r="B10515" s="112"/>
      <c r="C10515" s="105"/>
      <c r="D10515" s="105"/>
      <c r="E10515" s="105"/>
      <c r="F10515" s="105"/>
      <c r="G10515" s="105"/>
      <c r="H10515" s="105"/>
      <c r="I10515" s="105"/>
      <c r="J10515" s="113"/>
      <c r="K10515" s="114"/>
      <c r="L10515" s="115"/>
      <c r="M10515" s="105"/>
      <c r="N10515" s="105"/>
      <c r="O10515" s="105"/>
      <c r="P10515" s="105"/>
      <c r="Q10515" s="113"/>
      <c r="R10515" s="114"/>
      <c r="S10515" s="115"/>
    </row>
    <row r="10516" spans="1:19" x14ac:dyDescent="0.25">
      <c r="A10516" s="111"/>
      <c r="B10516" s="112"/>
      <c r="C10516" s="105"/>
      <c r="D10516" s="105"/>
      <c r="E10516" s="105"/>
      <c r="F10516" s="105"/>
      <c r="G10516" s="105"/>
      <c r="H10516" s="105"/>
      <c r="I10516" s="105"/>
      <c r="J10516" s="113"/>
      <c r="K10516" s="114"/>
      <c r="L10516" s="115"/>
      <c r="M10516" s="105"/>
      <c r="N10516" s="105"/>
      <c r="O10516" s="105"/>
      <c r="P10516" s="105"/>
      <c r="Q10516" s="113"/>
      <c r="R10516" s="114"/>
      <c r="S10516" s="115"/>
    </row>
    <row r="10517" spans="1:19" x14ac:dyDescent="0.25">
      <c r="A10517" s="111"/>
      <c r="B10517" s="112"/>
      <c r="C10517" s="105"/>
      <c r="D10517" s="105"/>
      <c r="E10517" s="105"/>
      <c r="F10517" s="105"/>
      <c r="G10517" s="105"/>
      <c r="H10517" s="105"/>
      <c r="I10517" s="105"/>
      <c r="J10517" s="113"/>
      <c r="K10517" s="114"/>
      <c r="L10517" s="115"/>
      <c r="M10517" s="105"/>
      <c r="N10517" s="105"/>
      <c r="O10517" s="105"/>
      <c r="P10517" s="105"/>
      <c r="Q10517" s="113"/>
      <c r="R10517" s="114"/>
      <c r="S10517" s="115"/>
    </row>
    <row r="10518" spans="1:19" x14ac:dyDescent="0.25">
      <c r="A10518" s="111"/>
      <c r="B10518" s="112"/>
      <c r="C10518" s="105"/>
      <c r="D10518" s="105"/>
      <c r="E10518" s="105"/>
      <c r="F10518" s="105"/>
      <c r="G10518" s="105"/>
      <c r="H10518" s="105"/>
      <c r="I10518" s="105"/>
      <c r="J10518" s="113"/>
      <c r="K10518" s="114"/>
      <c r="L10518" s="115"/>
      <c r="M10518" s="105"/>
      <c r="N10518" s="105"/>
      <c r="O10518" s="105"/>
      <c r="P10518" s="105"/>
      <c r="Q10518" s="113"/>
      <c r="R10518" s="114"/>
      <c r="S10518" s="115"/>
    </row>
    <row r="10519" spans="1:19" x14ac:dyDescent="0.25">
      <c r="A10519" s="111"/>
      <c r="B10519" s="112"/>
      <c r="C10519" s="105"/>
      <c r="D10519" s="105"/>
      <c r="E10519" s="105"/>
      <c r="F10519" s="105"/>
      <c r="G10519" s="105"/>
      <c r="H10519" s="105"/>
      <c r="I10519" s="105"/>
      <c r="J10519" s="113"/>
      <c r="K10519" s="114"/>
      <c r="L10519" s="115"/>
      <c r="M10519" s="105"/>
      <c r="N10519" s="105"/>
      <c r="O10519" s="105"/>
      <c r="P10519" s="105"/>
      <c r="Q10519" s="113"/>
      <c r="R10519" s="114"/>
      <c r="S10519" s="115"/>
    </row>
    <row r="10520" spans="1:19" x14ac:dyDescent="0.25">
      <c r="A10520" s="111"/>
      <c r="B10520" s="112"/>
      <c r="C10520" s="105"/>
      <c r="D10520" s="105"/>
      <c r="E10520" s="105"/>
      <c r="F10520" s="105"/>
      <c r="G10520" s="105"/>
      <c r="H10520" s="105"/>
      <c r="I10520" s="105"/>
      <c r="J10520" s="113"/>
      <c r="K10520" s="114"/>
      <c r="L10520" s="115"/>
      <c r="M10520" s="105"/>
      <c r="N10520" s="105"/>
      <c r="O10520" s="105"/>
      <c r="P10520" s="105"/>
      <c r="Q10520" s="113"/>
      <c r="R10520" s="114"/>
      <c r="S10520" s="115"/>
    </row>
    <row r="10521" spans="1:19" x14ac:dyDescent="0.25">
      <c r="A10521" s="111"/>
      <c r="B10521" s="112"/>
      <c r="C10521" s="105"/>
      <c r="D10521" s="105"/>
      <c r="E10521" s="105"/>
      <c r="F10521" s="105"/>
      <c r="G10521" s="105"/>
      <c r="H10521" s="105"/>
      <c r="I10521" s="105"/>
      <c r="J10521" s="113"/>
      <c r="K10521" s="114"/>
      <c r="L10521" s="115"/>
      <c r="M10521" s="105"/>
      <c r="N10521" s="105"/>
      <c r="O10521" s="105"/>
      <c r="P10521" s="105"/>
      <c r="Q10521" s="113"/>
      <c r="R10521" s="114"/>
      <c r="S10521" s="115"/>
    </row>
    <row r="10522" spans="1:19" x14ac:dyDescent="0.25">
      <c r="A10522" s="111"/>
      <c r="B10522" s="112"/>
      <c r="C10522" s="105"/>
      <c r="D10522" s="105"/>
      <c r="E10522" s="105"/>
      <c r="F10522" s="105"/>
      <c r="G10522" s="105"/>
      <c r="H10522" s="105"/>
      <c r="I10522" s="105"/>
      <c r="J10522" s="113"/>
      <c r="K10522" s="114"/>
      <c r="L10522" s="115"/>
      <c r="M10522" s="105"/>
      <c r="N10522" s="105"/>
      <c r="O10522" s="105"/>
      <c r="P10522" s="105"/>
      <c r="Q10522" s="113"/>
      <c r="R10522" s="114"/>
      <c r="S10522" s="115"/>
    </row>
    <row r="10523" spans="1:19" x14ac:dyDescent="0.25">
      <c r="A10523" s="111"/>
      <c r="B10523" s="112"/>
      <c r="C10523" s="105"/>
      <c r="D10523" s="105"/>
      <c r="E10523" s="105"/>
      <c r="F10523" s="105"/>
      <c r="G10523" s="105"/>
      <c r="H10523" s="105"/>
      <c r="I10523" s="105"/>
      <c r="J10523" s="113"/>
      <c r="K10523" s="114"/>
      <c r="L10523" s="115"/>
      <c r="M10523" s="105"/>
      <c r="N10523" s="105"/>
      <c r="O10523" s="105"/>
      <c r="P10523" s="105"/>
      <c r="Q10523" s="113"/>
      <c r="R10523" s="114"/>
      <c r="S10523" s="115"/>
    </row>
    <row r="10524" spans="1:19" x14ac:dyDescent="0.25">
      <c r="A10524" s="111"/>
      <c r="B10524" s="112"/>
      <c r="C10524" s="105"/>
      <c r="D10524" s="105"/>
      <c r="E10524" s="105"/>
      <c r="F10524" s="105"/>
      <c r="G10524" s="105"/>
      <c r="H10524" s="105"/>
      <c r="I10524" s="105"/>
      <c r="J10524" s="113"/>
      <c r="K10524" s="114"/>
      <c r="L10524" s="115"/>
      <c r="M10524" s="105"/>
      <c r="N10524" s="105"/>
      <c r="O10524" s="105"/>
      <c r="P10524" s="105"/>
      <c r="Q10524" s="113"/>
      <c r="R10524" s="114"/>
      <c r="S10524" s="115"/>
    </row>
    <row r="10525" spans="1:19" x14ac:dyDescent="0.25">
      <c r="A10525" s="111"/>
      <c r="B10525" s="112"/>
      <c r="C10525" s="105"/>
      <c r="D10525" s="105"/>
      <c r="E10525" s="105"/>
      <c r="F10525" s="105"/>
      <c r="G10525" s="105"/>
      <c r="H10525" s="105"/>
      <c r="I10525" s="105"/>
      <c r="J10525" s="113"/>
      <c r="K10525" s="114"/>
      <c r="L10525" s="115"/>
      <c r="M10525" s="105"/>
      <c r="N10525" s="105"/>
      <c r="O10525" s="105"/>
      <c r="P10525" s="105"/>
      <c r="Q10525" s="113"/>
      <c r="R10525" s="114"/>
      <c r="S10525" s="115"/>
    </row>
    <row r="10526" spans="1:19" x14ac:dyDescent="0.25">
      <c r="A10526" s="111"/>
      <c r="B10526" s="112"/>
      <c r="C10526" s="105"/>
      <c r="D10526" s="105"/>
      <c r="E10526" s="105"/>
      <c r="F10526" s="105"/>
      <c r="G10526" s="105"/>
      <c r="H10526" s="105"/>
      <c r="I10526" s="105"/>
      <c r="J10526" s="113"/>
      <c r="K10526" s="114"/>
      <c r="L10526" s="115"/>
      <c r="M10526" s="105"/>
      <c r="N10526" s="105"/>
      <c r="O10526" s="105"/>
      <c r="P10526" s="105"/>
      <c r="Q10526" s="113"/>
      <c r="R10526" s="114"/>
      <c r="S10526" s="115"/>
    </row>
    <row r="10527" spans="1:19" x14ac:dyDescent="0.25">
      <c r="A10527" s="111"/>
      <c r="B10527" s="112"/>
      <c r="C10527" s="105"/>
      <c r="D10527" s="105"/>
      <c r="E10527" s="105"/>
      <c r="F10527" s="105"/>
      <c r="G10527" s="105"/>
      <c r="H10527" s="105"/>
      <c r="I10527" s="105"/>
      <c r="J10527" s="113"/>
      <c r="K10527" s="114"/>
      <c r="L10527" s="115"/>
      <c r="M10527" s="105"/>
      <c r="N10527" s="105"/>
      <c r="O10527" s="105"/>
      <c r="P10527" s="105"/>
      <c r="Q10527" s="113"/>
      <c r="R10527" s="114"/>
      <c r="S10527" s="115"/>
    </row>
    <row r="10528" spans="1:19" x14ac:dyDescent="0.25">
      <c r="A10528" s="111"/>
      <c r="B10528" s="112"/>
      <c r="C10528" s="105"/>
      <c r="D10528" s="105"/>
      <c r="E10528" s="105"/>
      <c r="F10528" s="105"/>
      <c r="G10528" s="105"/>
      <c r="H10528" s="105"/>
      <c r="I10528" s="105"/>
      <c r="J10528" s="113"/>
      <c r="K10528" s="114"/>
      <c r="L10528" s="115"/>
      <c r="M10528" s="105"/>
      <c r="N10528" s="105"/>
      <c r="O10528" s="105"/>
      <c r="P10528" s="105"/>
      <c r="Q10528" s="113"/>
      <c r="R10528" s="114"/>
      <c r="S10528" s="115"/>
    </row>
    <row r="10529" spans="1:19" x14ac:dyDescent="0.25">
      <c r="A10529" s="111"/>
      <c r="B10529" s="112"/>
      <c r="C10529" s="105"/>
      <c r="D10529" s="105"/>
      <c r="E10529" s="105"/>
      <c r="F10529" s="105"/>
      <c r="G10529" s="105"/>
      <c r="H10529" s="105"/>
      <c r="I10529" s="105"/>
      <c r="J10529" s="113"/>
      <c r="K10529" s="114"/>
      <c r="L10529" s="115"/>
      <c r="M10529" s="105"/>
      <c r="N10529" s="105"/>
      <c r="O10529" s="105"/>
      <c r="P10529" s="105"/>
      <c r="Q10529" s="113"/>
      <c r="R10529" s="114"/>
      <c r="S10529" s="115"/>
    </row>
    <row r="10530" spans="1:19" x14ac:dyDescent="0.25">
      <c r="A10530" s="111"/>
      <c r="B10530" s="112"/>
      <c r="C10530" s="105"/>
      <c r="D10530" s="105"/>
      <c r="E10530" s="105"/>
      <c r="F10530" s="105"/>
      <c r="G10530" s="105"/>
      <c r="H10530" s="105"/>
      <c r="I10530" s="105"/>
      <c r="J10530" s="113"/>
      <c r="K10530" s="114"/>
      <c r="L10530" s="115"/>
      <c r="M10530" s="105"/>
      <c r="N10530" s="105"/>
      <c r="O10530" s="105"/>
      <c r="P10530" s="105"/>
      <c r="Q10530" s="113"/>
      <c r="R10530" s="114"/>
      <c r="S10530" s="115"/>
    </row>
    <row r="10531" spans="1:19" x14ac:dyDescent="0.25">
      <c r="A10531" s="111"/>
      <c r="B10531" s="112"/>
      <c r="C10531" s="105"/>
      <c r="D10531" s="105"/>
      <c r="E10531" s="105"/>
      <c r="F10531" s="105"/>
      <c r="G10531" s="105"/>
      <c r="H10531" s="105"/>
      <c r="I10531" s="105"/>
      <c r="J10531" s="113"/>
      <c r="K10531" s="114"/>
      <c r="L10531" s="115"/>
      <c r="M10531" s="105"/>
      <c r="N10531" s="105"/>
      <c r="O10531" s="105"/>
      <c r="P10531" s="105"/>
      <c r="Q10531" s="113"/>
      <c r="R10531" s="114"/>
      <c r="S10531" s="115"/>
    </row>
    <row r="10532" spans="1:19" x14ac:dyDescent="0.25">
      <c r="A10532" s="111"/>
      <c r="B10532" s="112"/>
      <c r="C10532" s="105"/>
      <c r="D10532" s="105"/>
      <c r="E10532" s="105"/>
      <c r="F10532" s="105"/>
      <c r="G10532" s="105"/>
      <c r="H10532" s="105"/>
      <c r="I10532" s="105"/>
      <c r="J10532" s="113"/>
      <c r="K10532" s="114"/>
      <c r="L10532" s="115"/>
      <c r="M10532" s="105"/>
      <c r="N10532" s="105"/>
      <c r="O10532" s="105"/>
      <c r="P10532" s="105"/>
      <c r="Q10532" s="113"/>
      <c r="R10532" s="114"/>
      <c r="S10532" s="115"/>
    </row>
    <row r="10533" spans="1:19" x14ac:dyDescent="0.25">
      <c r="A10533" s="111"/>
      <c r="B10533" s="112"/>
      <c r="C10533" s="105"/>
      <c r="D10533" s="105"/>
      <c r="E10533" s="105"/>
      <c r="F10533" s="105"/>
      <c r="G10533" s="105"/>
      <c r="H10533" s="105"/>
      <c r="I10533" s="105"/>
      <c r="J10533" s="113"/>
      <c r="K10533" s="114"/>
      <c r="L10533" s="115"/>
      <c r="M10533" s="105"/>
      <c r="N10533" s="105"/>
      <c r="O10533" s="105"/>
      <c r="P10533" s="105"/>
      <c r="Q10533" s="113"/>
      <c r="R10533" s="114"/>
      <c r="S10533" s="115"/>
    </row>
    <row r="10534" spans="1:19" x14ac:dyDescent="0.25">
      <c r="A10534" s="111"/>
      <c r="B10534" s="112"/>
      <c r="C10534" s="105"/>
      <c r="D10534" s="105"/>
      <c r="E10534" s="105"/>
      <c r="F10534" s="105"/>
      <c r="G10534" s="105"/>
      <c r="H10534" s="105"/>
      <c r="I10534" s="105"/>
      <c r="J10534" s="113"/>
      <c r="K10534" s="114"/>
      <c r="L10534" s="115"/>
      <c r="M10534" s="105"/>
      <c r="N10534" s="105"/>
      <c r="O10534" s="105"/>
      <c r="P10534" s="105"/>
      <c r="Q10534" s="113"/>
      <c r="R10534" s="114"/>
      <c r="S10534" s="115"/>
    </row>
    <row r="10535" spans="1:19" x14ac:dyDescent="0.25">
      <c r="A10535" s="111"/>
      <c r="B10535" s="112"/>
      <c r="C10535" s="105"/>
      <c r="D10535" s="105"/>
      <c r="E10535" s="105"/>
      <c r="F10535" s="105"/>
      <c r="G10535" s="105"/>
      <c r="H10535" s="105"/>
      <c r="I10535" s="105"/>
      <c r="J10535" s="113"/>
      <c r="K10535" s="114"/>
      <c r="L10535" s="115"/>
      <c r="M10535" s="105"/>
      <c r="N10535" s="105"/>
      <c r="O10535" s="105"/>
      <c r="P10535" s="105"/>
      <c r="Q10535" s="113"/>
      <c r="R10535" s="114"/>
      <c r="S10535" s="115"/>
    </row>
    <row r="10536" spans="1:19" x14ac:dyDescent="0.25">
      <c r="A10536" s="111"/>
      <c r="B10536" s="112"/>
      <c r="C10536" s="105"/>
      <c r="D10536" s="105"/>
      <c r="E10536" s="105"/>
      <c r="F10536" s="105"/>
      <c r="G10536" s="105"/>
      <c r="H10536" s="105"/>
      <c r="I10536" s="105"/>
      <c r="J10536" s="113"/>
      <c r="K10536" s="114"/>
      <c r="L10536" s="115"/>
      <c r="M10536" s="105"/>
      <c r="N10536" s="105"/>
      <c r="O10536" s="105"/>
      <c r="P10536" s="105"/>
      <c r="Q10536" s="113"/>
      <c r="R10536" s="114"/>
      <c r="S10536" s="115"/>
    </row>
    <row r="10537" spans="1:19" x14ac:dyDescent="0.25">
      <c r="A10537" s="111"/>
      <c r="B10537" s="112"/>
      <c r="C10537" s="105"/>
      <c r="D10537" s="105"/>
      <c r="E10537" s="105"/>
      <c r="F10537" s="105"/>
      <c r="G10537" s="105"/>
      <c r="H10537" s="105"/>
      <c r="I10537" s="105"/>
      <c r="J10537" s="113"/>
      <c r="K10537" s="114"/>
      <c r="L10537" s="115"/>
      <c r="M10537" s="105"/>
      <c r="N10537" s="105"/>
      <c r="O10537" s="105"/>
      <c r="P10537" s="105"/>
      <c r="Q10537" s="113"/>
      <c r="R10537" s="114"/>
      <c r="S10537" s="115"/>
    </row>
    <row r="10538" spans="1:19" x14ac:dyDescent="0.25">
      <c r="A10538" s="111"/>
      <c r="B10538" s="112"/>
      <c r="C10538" s="105"/>
      <c r="D10538" s="105"/>
      <c r="E10538" s="105"/>
      <c r="F10538" s="105"/>
      <c r="G10538" s="105"/>
      <c r="H10538" s="105"/>
      <c r="I10538" s="105"/>
      <c r="J10538" s="113"/>
      <c r="K10538" s="114"/>
      <c r="L10538" s="115"/>
      <c r="M10538" s="105"/>
      <c r="N10538" s="105"/>
      <c r="O10538" s="105"/>
      <c r="P10538" s="105"/>
      <c r="Q10538" s="113"/>
      <c r="R10538" s="114"/>
      <c r="S10538" s="115"/>
    </row>
    <row r="10539" spans="1:19" x14ac:dyDescent="0.25">
      <c r="A10539" s="111"/>
      <c r="B10539" s="112"/>
      <c r="C10539" s="105"/>
      <c r="D10539" s="105"/>
      <c r="E10539" s="105"/>
      <c r="F10539" s="105"/>
      <c r="G10539" s="105"/>
      <c r="H10539" s="105"/>
      <c r="I10539" s="105"/>
      <c r="J10539" s="113"/>
      <c r="K10539" s="114"/>
      <c r="L10539" s="115"/>
      <c r="M10539" s="105"/>
      <c r="N10539" s="105"/>
      <c r="O10539" s="105"/>
      <c r="P10539" s="105"/>
      <c r="Q10539" s="113"/>
      <c r="R10539" s="114"/>
      <c r="S10539" s="115"/>
    </row>
    <row r="10540" spans="1:19" x14ac:dyDescent="0.25">
      <c r="A10540" s="111"/>
      <c r="B10540" s="112"/>
      <c r="C10540" s="105"/>
      <c r="D10540" s="105"/>
      <c r="E10540" s="105"/>
      <c r="F10540" s="105"/>
      <c r="G10540" s="105"/>
      <c r="H10540" s="105"/>
      <c r="I10540" s="105"/>
      <c r="J10540" s="113"/>
      <c r="K10540" s="114"/>
      <c r="L10540" s="115"/>
      <c r="M10540" s="105"/>
      <c r="N10540" s="105"/>
      <c r="O10540" s="105"/>
      <c r="P10540" s="105"/>
      <c r="Q10540" s="113"/>
      <c r="R10540" s="114"/>
      <c r="S10540" s="115"/>
    </row>
    <row r="10541" spans="1:19" x14ac:dyDescent="0.25">
      <c r="A10541" s="111"/>
      <c r="B10541" s="112"/>
      <c r="C10541" s="105"/>
      <c r="D10541" s="105"/>
      <c r="E10541" s="105"/>
      <c r="F10541" s="105"/>
      <c r="G10541" s="105"/>
      <c r="H10541" s="105"/>
      <c r="I10541" s="105"/>
      <c r="J10541" s="113"/>
      <c r="K10541" s="114"/>
      <c r="L10541" s="115"/>
      <c r="M10541" s="105"/>
      <c r="N10541" s="105"/>
      <c r="O10541" s="105"/>
      <c r="P10541" s="105"/>
      <c r="Q10541" s="113"/>
      <c r="R10541" s="114"/>
      <c r="S10541" s="115"/>
    </row>
    <row r="10542" spans="1:19" x14ac:dyDescent="0.25">
      <c r="A10542" s="111"/>
      <c r="B10542" s="112"/>
      <c r="C10542" s="105"/>
      <c r="D10542" s="105"/>
      <c r="E10542" s="105"/>
      <c r="F10542" s="105"/>
      <c r="G10542" s="105"/>
      <c r="H10542" s="105"/>
      <c r="I10542" s="105"/>
      <c r="J10542" s="113"/>
      <c r="K10542" s="114"/>
      <c r="L10542" s="115"/>
      <c r="M10542" s="105"/>
      <c r="N10542" s="105"/>
      <c r="O10542" s="105"/>
      <c r="P10542" s="105"/>
      <c r="Q10542" s="113"/>
      <c r="R10542" s="114"/>
      <c r="S10542" s="115"/>
    </row>
    <row r="10543" spans="1:19" x14ac:dyDescent="0.25">
      <c r="A10543" s="111"/>
      <c r="B10543" s="112"/>
      <c r="C10543" s="105"/>
      <c r="D10543" s="105"/>
      <c r="E10543" s="105"/>
      <c r="F10543" s="105"/>
      <c r="G10543" s="105"/>
      <c r="H10543" s="105"/>
      <c r="I10543" s="105"/>
      <c r="J10543" s="113"/>
      <c r="K10543" s="114"/>
      <c r="L10543" s="115"/>
      <c r="M10543" s="105"/>
      <c r="N10543" s="105"/>
      <c r="O10543" s="105"/>
      <c r="P10543" s="105"/>
      <c r="Q10543" s="113"/>
      <c r="R10543" s="114"/>
      <c r="S10543" s="115"/>
    </row>
    <row r="10544" spans="1:19" x14ac:dyDescent="0.25">
      <c r="A10544" s="111"/>
      <c r="B10544" s="112"/>
      <c r="C10544" s="105"/>
      <c r="D10544" s="105"/>
      <c r="E10544" s="105"/>
      <c r="F10544" s="105"/>
      <c r="G10544" s="105"/>
      <c r="H10544" s="105"/>
      <c r="I10544" s="105"/>
      <c r="J10544" s="113"/>
      <c r="K10544" s="114"/>
      <c r="L10544" s="115"/>
      <c r="M10544" s="105"/>
      <c r="N10544" s="105"/>
      <c r="O10544" s="105"/>
      <c r="P10544" s="105"/>
      <c r="Q10544" s="113"/>
      <c r="R10544" s="114"/>
      <c r="S10544" s="115"/>
    </row>
    <row r="10545" spans="1:19" x14ac:dyDescent="0.25">
      <c r="A10545" s="111"/>
      <c r="B10545" s="112"/>
      <c r="C10545" s="105"/>
      <c r="D10545" s="105"/>
      <c r="E10545" s="105"/>
      <c r="F10545" s="105"/>
      <c r="G10545" s="105"/>
      <c r="H10545" s="105"/>
      <c r="I10545" s="105"/>
      <c r="J10545" s="113"/>
      <c r="K10545" s="114"/>
      <c r="L10545" s="115"/>
      <c r="M10545" s="105"/>
      <c r="N10545" s="105"/>
      <c r="O10545" s="105"/>
      <c r="P10545" s="105"/>
      <c r="Q10545" s="113"/>
      <c r="R10545" s="114"/>
      <c r="S10545" s="115"/>
    </row>
    <row r="10546" spans="1:19" x14ac:dyDescent="0.25">
      <c r="A10546" s="111"/>
      <c r="B10546" s="112"/>
      <c r="C10546" s="105"/>
      <c r="D10546" s="105"/>
      <c r="E10546" s="105"/>
      <c r="F10546" s="105"/>
      <c r="G10546" s="105"/>
      <c r="H10546" s="105"/>
      <c r="I10546" s="105"/>
      <c r="J10546" s="113"/>
      <c r="K10546" s="114"/>
      <c r="L10546" s="115"/>
      <c r="M10546" s="105"/>
      <c r="N10546" s="105"/>
      <c r="O10546" s="105"/>
      <c r="P10546" s="105"/>
      <c r="Q10546" s="113"/>
      <c r="R10546" s="114"/>
      <c r="S10546" s="115"/>
    </row>
    <row r="10547" spans="1:19" x14ac:dyDescent="0.25">
      <c r="A10547" s="111"/>
      <c r="B10547" s="112"/>
      <c r="C10547" s="105"/>
      <c r="D10547" s="105"/>
      <c r="E10547" s="105"/>
      <c r="F10547" s="105"/>
      <c r="G10547" s="105"/>
      <c r="H10547" s="105"/>
      <c r="I10547" s="105"/>
      <c r="J10547" s="113"/>
      <c r="K10547" s="114"/>
      <c r="L10547" s="115"/>
      <c r="M10547" s="105"/>
      <c r="N10547" s="105"/>
      <c r="O10547" s="105"/>
      <c r="P10547" s="105"/>
      <c r="Q10547" s="113"/>
      <c r="R10547" s="114"/>
      <c r="S10547" s="115"/>
    </row>
    <row r="10548" spans="1:19" x14ac:dyDescent="0.25">
      <c r="A10548" s="111"/>
      <c r="B10548" s="112"/>
      <c r="C10548" s="105"/>
      <c r="D10548" s="105"/>
      <c r="E10548" s="105"/>
      <c r="F10548" s="105"/>
      <c r="G10548" s="105"/>
      <c r="H10548" s="105"/>
      <c r="I10548" s="105"/>
      <c r="J10548" s="113"/>
      <c r="K10548" s="114"/>
      <c r="L10548" s="115"/>
      <c r="M10548" s="105"/>
      <c r="N10548" s="105"/>
      <c r="O10548" s="105"/>
      <c r="P10548" s="105"/>
      <c r="Q10548" s="113"/>
      <c r="R10548" s="114"/>
      <c r="S10548" s="115"/>
    </row>
    <row r="10549" spans="1:19" x14ac:dyDescent="0.25">
      <c r="A10549" s="111"/>
      <c r="B10549" s="112"/>
      <c r="C10549" s="105"/>
      <c r="D10549" s="105"/>
      <c r="E10549" s="105"/>
      <c r="F10549" s="105"/>
      <c r="G10549" s="105"/>
      <c r="H10549" s="105"/>
      <c r="I10549" s="105"/>
      <c r="J10549" s="113"/>
      <c r="K10549" s="114"/>
      <c r="L10549" s="115"/>
      <c r="M10549" s="105"/>
      <c r="N10549" s="105"/>
      <c r="O10549" s="105"/>
      <c r="P10549" s="105"/>
      <c r="Q10549" s="113"/>
      <c r="R10549" s="114"/>
      <c r="S10549" s="115"/>
    </row>
    <row r="10550" spans="1:19" x14ac:dyDescent="0.25">
      <c r="A10550" s="111"/>
      <c r="B10550" s="112"/>
      <c r="C10550" s="105"/>
      <c r="D10550" s="105"/>
      <c r="E10550" s="105"/>
      <c r="F10550" s="105"/>
      <c r="G10550" s="105"/>
      <c r="H10550" s="105"/>
      <c r="I10550" s="105"/>
      <c r="J10550" s="113"/>
      <c r="K10550" s="114"/>
      <c r="L10550" s="115"/>
      <c r="M10550" s="105"/>
      <c r="N10550" s="105"/>
      <c r="O10550" s="105"/>
      <c r="P10550" s="105"/>
      <c r="Q10550" s="113"/>
      <c r="R10550" s="114"/>
      <c r="S10550" s="115"/>
    </row>
    <row r="10551" spans="1:19" x14ac:dyDescent="0.25">
      <c r="A10551" s="111"/>
      <c r="B10551" s="112"/>
      <c r="C10551" s="105"/>
      <c r="D10551" s="105"/>
      <c r="E10551" s="105"/>
      <c r="F10551" s="105"/>
      <c r="G10551" s="105"/>
      <c r="H10551" s="105"/>
      <c r="I10551" s="105"/>
      <c r="J10551" s="113"/>
      <c r="K10551" s="114"/>
      <c r="L10551" s="115"/>
      <c r="M10551" s="105"/>
      <c r="N10551" s="105"/>
      <c r="O10551" s="105"/>
      <c r="P10551" s="105"/>
      <c r="Q10551" s="113"/>
      <c r="R10551" s="114"/>
      <c r="S10551" s="115"/>
    </row>
    <row r="10552" spans="1:19" x14ac:dyDescent="0.25">
      <c r="A10552" s="111"/>
      <c r="B10552" s="112"/>
      <c r="C10552" s="105"/>
      <c r="D10552" s="105"/>
      <c r="E10552" s="105"/>
      <c r="F10552" s="105"/>
      <c r="G10552" s="105"/>
      <c r="H10552" s="105"/>
      <c r="I10552" s="105"/>
      <c r="J10552" s="113"/>
      <c r="K10552" s="114"/>
      <c r="L10552" s="115"/>
      <c r="M10552" s="105"/>
      <c r="N10552" s="105"/>
      <c r="O10552" s="105"/>
      <c r="P10552" s="105"/>
      <c r="Q10552" s="113"/>
      <c r="R10552" s="114"/>
      <c r="S10552" s="115"/>
    </row>
    <row r="10553" spans="1:19" x14ac:dyDescent="0.25">
      <c r="A10553" s="111"/>
      <c r="B10553" s="112"/>
      <c r="C10553" s="105"/>
      <c r="D10553" s="105"/>
      <c r="E10553" s="105"/>
      <c r="F10553" s="105"/>
      <c r="G10553" s="105"/>
      <c r="H10553" s="105"/>
      <c r="I10553" s="105"/>
      <c r="J10553" s="113"/>
      <c r="K10553" s="114"/>
      <c r="L10553" s="115"/>
      <c r="M10553" s="105"/>
      <c r="N10553" s="105"/>
      <c r="O10553" s="105"/>
      <c r="P10553" s="105"/>
      <c r="Q10553" s="113"/>
      <c r="R10553" s="114"/>
      <c r="S10553" s="115"/>
    </row>
    <row r="10554" spans="1:19" x14ac:dyDescent="0.25">
      <c r="A10554" s="111"/>
      <c r="B10554" s="112"/>
      <c r="C10554" s="105"/>
      <c r="D10554" s="105"/>
      <c r="E10554" s="105"/>
      <c r="F10554" s="105"/>
      <c r="G10554" s="105"/>
      <c r="H10554" s="105"/>
      <c r="I10554" s="105"/>
      <c r="J10554" s="113"/>
      <c r="K10554" s="114"/>
      <c r="L10554" s="115"/>
      <c r="M10554" s="105"/>
      <c r="N10554" s="105"/>
      <c r="O10554" s="105"/>
      <c r="P10554" s="105"/>
      <c r="Q10554" s="113"/>
      <c r="R10554" s="114"/>
      <c r="S10554" s="115"/>
    </row>
    <row r="10555" spans="1:19" x14ac:dyDescent="0.25">
      <c r="A10555" s="111"/>
      <c r="B10555" s="112"/>
      <c r="C10555" s="105"/>
      <c r="D10555" s="105"/>
      <c r="E10555" s="105"/>
      <c r="F10555" s="105"/>
      <c r="G10555" s="105"/>
      <c r="H10555" s="105"/>
      <c r="I10555" s="105"/>
      <c r="J10555" s="113"/>
      <c r="K10555" s="114"/>
      <c r="L10555" s="115"/>
      <c r="M10555" s="105"/>
      <c r="N10555" s="105"/>
      <c r="O10555" s="105"/>
      <c r="P10555" s="105"/>
      <c r="Q10555" s="113"/>
      <c r="R10555" s="114"/>
      <c r="S10555" s="115"/>
    </row>
    <row r="10556" spans="1:19" x14ac:dyDescent="0.25">
      <c r="A10556" s="111"/>
      <c r="B10556" s="112"/>
      <c r="C10556" s="105"/>
      <c r="D10556" s="105"/>
      <c r="E10556" s="105"/>
      <c r="F10556" s="105"/>
      <c r="G10556" s="105"/>
      <c r="H10556" s="105"/>
      <c r="I10556" s="105"/>
      <c r="J10556" s="113"/>
      <c r="K10556" s="114"/>
      <c r="L10556" s="115"/>
      <c r="M10556" s="105"/>
      <c r="N10556" s="105"/>
      <c r="O10556" s="105"/>
      <c r="P10556" s="105"/>
      <c r="Q10556" s="113"/>
      <c r="R10556" s="114"/>
      <c r="S10556" s="115"/>
    </row>
    <row r="10557" spans="1:19" x14ac:dyDescent="0.25">
      <c r="A10557" s="111"/>
      <c r="B10557" s="112"/>
      <c r="C10557" s="105"/>
      <c r="D10557" s="105"/>
      <c r="E10557" s="105"/>
      <c r="F10557" s="105"/>
      <c r="G10557" s="105"/>
      <c r="H10557" s="105"/>
      <c r="I10557" s="105"/>
      <c r="J10557" s="113"/>
      <c r="K10557" s="114"/>
      <c r="L10557" s="115"/>
      <c r="M10557" s="105"/>
      <c r="N10557" s="105"/>
      <c r="O10557" s="105"/>
      <c r="P10557" s="105"/>
      <c r="Q10557" s="113"/>
      <c r="R10557" s="114"/>
      <c r="S10557" s="115"/>
    </row>
    <row r="10558" spans="1:19" x14ac:dyDescent="0.25">
      <c r="A10558" s="111"/>
      <c r="B10558" s="112"/>
      <c r="C10558" s="105"/>
      <c r="D10558" s="105"/>
      <c r="E10558" s="105"/>
      <c r="F10558" s="105"/>
      <c r="G10558" s="105"/>
      <c r="H10558" s="105"/>
      <c r="I10558" s="105"/>
      <c r="J10558" s="113"/>
      <c r="K10558" s="114"/>
      <c r="L10558" s="115"/>
      <c r="M10558" s="105"/>
      <c r="N10558" s="105"/>
      <c r="O10558" s="105"/>
      <c r="P10558" s="105"/>
      <c r="Q10558" s="113"/>
      <c r="R10558" s="114"/>
      <c r="S10558" s="115"/>
    </row>
    <row r="10559" spans="1:19" x14ac:dyDescent="0.25">
      <c r="A10559" s="111"/>
      <c r="B10559" s="112"/>
      <c r="C10559" s="105"/>
      <c r="D10559" s="105"/>
      <c r="E10559" s="105"/>
      <c r="F10559" s="105"/>
      <c r="G10559" s="105"/>
      <c r="H10559" s="105"/>
      <c r="I10559" s="105"/>
      <c r="J10559" s="113"/>
      <c r="K10559" s="114"/>
      <c r="L10559" s="115"/>
      <c r="M10559" s="105"/>
      <c r="N10559" s="105"/>
      <c r="O10559" s="105"/>
      <c r="P10559" s="105"/>
      <c r="Q10559" s="113"/>
      <c r="R10559" s="114"/>
      <c r="S10559" s="115"/>
    </row>
    <row r="10560" spans="1:19" x14ac:dyDescent="0.25">
      <c r="A10560" s="111"/>
      <c r="B10560" s="112"/>
      <c r="C10560" s="105"/>
      <c r="D10560" s="105"/>
      <c r="E10560" s="105"/>
      <c r="F10560" s="105"/>
      <c r="G10560" s="105"/>
      <c r="H10560" s="105"/>
      <c r="I10560" s="105"/>
      <c r="J10560" s="113"/>
      <c r="K10560" s="114"/>
      <c r="L10560" s="115"/>
      <c r="M10560" s="105"/>
      <c r="N10560" s="105"/>
      <c r="O10560" s="105"/>
      <c r="P10560" s="105"/>
      <c r="Q10560" s="113"/>
      <c r="R10560" s="114"/>
      <c r="S10560" s="115"/>
    </row>
    <row r="10561" spans="1:19" x14ac:dyDescent="0.25">
      <c r="A10561" s="111"/>
      <c r="B10561" s="112"/>
      <c r="C10561" s="105"/>
      <c r="D10561" s="105"/>
      <c r="E10561" s="105"/>
      <c r="F10561" s="105"/>
      <c r="G10561" s="105"/>
      <c r="H10561" s="105"/>
      <c r="I10561" s="105"/>
      <c r="J10561" s="113"/>
      <c r="K10561" s="114"/>
      <c r="L10561" s="115"/>
      <c r="M10561" s="105"/>
      <c r="N10561" s="105"/>
      <c r="O10561" s="105"/>
      <c r="P10561" s="105"/>
      <c r="Q10561" s="113"/>
      <c r="R10561" s="114"/>
      <c r="S10561" s="115"/>
    </row>
    <row r="10562" spans="1:19" x14ac:dyDescent="0.25">
      <c r="A10562" s="111"/>
      <c r="B10562" s="112"/>
      <c r="C10562" s="105"/>
      <c r="D10562" s="105"/>
      <c r="E10562" s="105"/>
      <c r="F10562" s="105"/>
      <c r="G10562" s="105"/>
      <c r="H10562" s="105"/>
      <c r="I10562" s="105"/>
      <c r="J10562" s="113"/>
      <c r="K10562" s="114"/>
      <c r="L10562" s="115"/>
      <c r="M10562" s="105"/>
      <c r="N10562" s="105"/>
      <c r="O10562" s="105"/>
      <c r="P10562" s="105"/>
      <c r="Q10562" s="113"/>
      <c r="R10562" s="114"/>
      <c r="S10562" s="115"/>
    </row>
    <row r="10563" spans="1:19" x14ac:dyDescent="0.25">
      <c r="A10563" s="111"/>
      <c r="B10563" s="112"/>
      <c r="C10563" s="105"/>
      <c r="D10563" s="105"/>
      <c r="E10563" s="105"/>
      <c r="F10563" s="105"/>
      <c r="G10563" s="105"/>
      <c r="H10563" s="105"/>
      <c r="I10563" s="105"/>
      <c r="J10563" s="113"/>
      <c r="K10563" s="114"/>
      <c r="L10563" s="115"/>
      <c r="M10563" s="105"/>
      <c r="N10563" s="105"/>
      <c r="O10563" s="105"/>
      <c r="P10563" s="105"/>
      <c r="Q10563" s="113"/>
      <c r="R10563" s="114"/>
      <c r="S10563" s="115"/>
    </row>
    <row r="10564" spans="1:19" x14ac:dyDescent="0.25">
      <c r="A10564" s="111"/>
      <c r="B10564" s="112"/>
      <c r="C10564" s="105"/>
      <c r="D10564" s="105"/>
      <c r="E10564" s="105"/>
      <c r="F10564" s="105"/>
      <c r="G10564" s="105"/>
      <c r="H10564" s="105"/>
      <c r="I10564" s="105"/>
      <c r="J10564" s="113"/>
      <c r="K10564" s="114"/>
      <c r="L10564" s="115"/>
      <c r="M10564" s="105"/>
      <c r="N10564" s="105"/>
      <c r="O10564" s="105"/>
      <c r="P10564" s="105"/>
      <c r="Q10564" s="113"/>
      <c r="R10564" s="114"/>
      <c r="S10564" s="115"/>
    </row>
    <row r="10565" spans="1:19" x14ac:dyDescent="0.25">
      <c r="A10565" s="111"/>
      <c r="B10565" s="112"/>
      <c r="C10565" s="105"/>
      <c r="D10565" s="105"/>
      <c r="E10565" s="105"/>
      <c r="F10565" s="105"/>
      <c r="G10565" s="105"/>
      <c r="H10565" s="105"/>
      <c r="I10565" s="105"/>
      <c r="J10565" s="113"/>
      <c r="K10565" s="114"/>
      <c r="L10565" s="115"/>
      <c r="M10565" s="105"/>
      <c r="N10565" s="105"/>
      <c r="O10565" s="105"/>
      <c r="P10565" s="105"/>
      <c r="Q10565" s="113"/>
      <c r="R10565" s="114"/>
      <c r="S10565" s="115"/>
    </row>
    <row r="10566" spans="1:19" x14ac:dyDescent="0.25">
      <c r="A10566" s="111"/>
      <c r="B10566" s="112"/>
      <c r="C10566" s="105"/>
      <c r="D10566" s="105"/>
      <c r="E10566" s="105"/>
      <c r="F10566" s="105"/>
      <c r="G10566" s="105"/>
      <c r="H10566" s="105"/>
      <c r="I10566" s="105"/>
      <c r="J10566" s="113"/>
      <c r="K10566" s="114"/>
      <c r="L10566" s="115"/>
      <c r="M10566" s="105"/>
      <c r="N10566" s="105"/>
      <c r="O10566" s="105"/>
      <c r="P10566" s="105"/>
      <c r="Q10566" s="113"/>
      <c r="R10566" s="114"/>
      <c r="S10566" s="115"/>
    </row>
    <row r="10567" spans="1:19" x14ac:dyDescent="0.25">
      <c r="A10567" s="111"/>
      <c r="B10567" s="112"/>
      <c r="C10567" s="105"/>
      <c r="D10567" s="105"/>
      <c r="E10567" s="105"/>
      <c r="F10567" s="105"/>
      <c r="G10567" s="105"/>
      <c r="H10567" s="105"/>
      <c r="I10567" s="105"/>
      <c r="J10567" s="113"/>
      <c r="K10567" s="114"/>
      <c r="L10567" s="115"/>
      <c r="M10567" s="105"/>
      <c r="N10567" s="105"/>
      <c r="O10567" s="105"/>
      <c r="P10567" s="105"/>
      <c r="Q10567" s="113"/>
      <c r="R10567" s="114"/>
      <c r="S10567" s="115"/>
    </row>
    <row r="10568" spans="1:19" x14ac:dyDescent="0.25">
      <c r="A10568" s="111"/>
      <c r="B10568" s="112"/>
      <c r="C10568" s="105"/>
      <c r="D10568" s="105"/>
      <c r="E10568" s="105"/>
      <c r="F10568" s="105"/>
      <c r="G10568" s="105"/>
      <c r="H10568" s="105"/>
      <c r="I10568" s="105"/>
      <c r="J10568" s="113"/>
      <c r="K10568" s="114"/>
      <c r="L10568" s="115"/>
      <c r="M10568" s="105"/>
      <c r="N10568" s="105"/>
      <c r="O10568" s="105"/>
      <c r="P10568" s="105"/>
      <c r="Q10568" s="113"/>
      <c r="R10568" s="114"/>
      <c r="S10568" s="115"/>
    </row>
    <row r="10569" spans="1:19" x14ac:dyDescent="0.25">
      <c r="A10569" s="111"/>
      <c r="B10569" s="112"/>
      <c r="C10569" s="105"/>
      <c r="D10569" s="105"/>
      <c r="E10569" s="105"/>
      <c r="F10569" s="105"/>
      <c r="G10569" s="105"/>
      <c r="H10569" s="105"/>
      <c r="I10569" s="105"/>
      <c r="J10569" s="113"/>
      <c r="K10569" s="114"/>
      <c r="L10569" s="115"/>
      <c r="M10569" s="105"/>
      <c r="N10569" s="105"/>
      <c r="O10569" s="105"/>
      <c r="P10569" s="105"/>
      <c r="Q10569" s="113"/>
      <c r="R10569" s="114"/>
      <c r="S10569" s="115"/>
    </row>
    <row r="10570" spans="1:19" x14ac:dyDescent="0.25">
      <c r="A10570" s="111"/>
      <c r="B10570" s="112"/>
      <c r="C10570" s="105"/>
      <c r="D10570" s="105"/>
      <c r="E10570" s="105"/>
      <c r="F10570" s="105"/>
      <c r="G10570" s="105"/>
      <c r="H10570" s="105"/>
      <c r="I10570" s="105"/>
      <c r="J10570" s="113"/>
      <c r="K10570" s="114"/>
      <c r="L10570" s="115"/>
      <c r="M10570" s="105"/>
      <c r="N10570" s="105"/>
      <c r="O10570" s="105"/>
      <c r="P10570" s="105"/>
      <c r="Q10570" s="113"/>
      <c r="R10570" s="114"/>
      <c r="S10570" s="115"/>
    </row>
    <row r="10571" spans="1:19" x14ac:dyDescent="0.25">
      <c r="A10571" s="111"/>
      <c r="B10571" s="112"/>
      <c r="C10571" s="105"/>
      <c r="D10571" s="105"/>
      <c r="E10571" s="105"/>
      <c r="F10571" s="105"/>
      <c r="G10571" s="105"/>
      <c r="H10571" s="105"/>
      <c r="I10571" s="105"/>
      <c r="J10571" s="113"/>
      <c r="K10571" s="114"/>
      <c r="L10571" s="115"/>
      <c r="M10571" s="105"/>
      <c r="N10571" s="105"/>
      <c r="O10571" s="105"/>
      <c r="P10571" s="105"/>
      <c r="Q10571" s="113"/>
      <c r="R10571" s="114"/>
      <c r="S10571" s="115"/>
    </row>
    <row r="10572" spans="1:19" x14ac:dyDescent="0.25">
      <c r="A10572" s="111"/>
      <c r="B10572" s="112"/>
      <c r="C10572" s="105"/>
      <c r="D10572" s="105"/>
      <c r="E10572" s="105"/>
      <c r="F10572" s="105"/>
      <c r="G10572" s="105"/>
      <c r="H10572" s="105"/>
      <c r="I10572" s="105"/>
      <c r="J10572" s="113"/>
      <c r="K10572" s="114"/>
      <c r="L10572" s="115"/>
      <c r="M10572" s="105"/>
      <c r="N10572" s="105"/>
      <c r="O10572" s="105"/>
      <c r="P10572" s="105"/>
      <c r="Q10572" s="113"/>
      <c r="R10572" s="114"/>
      <c r="S10572" s="115"/>
    </row>
    <row r="10573" spans="1:19" x14ac:dyDescent="0.25">
      <c r="A10573" s="111"/>
      <c r="B10573" s="112"/>
      <c r="C10573" s="105"/>
      <c r="D10573" s="105"/>
      <c r="E10573" s="105"/>
      <c r="F10573" s="105"/>
      <c r="G10573" s="105"/>
      <c r="H10573" s="105"/>
      <c r="I10573" s="105"/>
      <c r="J10573" s="113"/>
      <c r="K10573" s="114"/>
      <c r="L10573" s="115"/>
      <c r="M10573" s="105"/>
      <c r="N10573" s="105"/>
      <c r="O10573" s="105"/>
      <c r="P10573" s="105"/>
      <c r="Q10573" s="113"/>
      <c r="R10573" s="114"/>
      <c r="S10573" s="115"/>
    </row>
    <row r="10574" spans="1:19" x14ac:dyDescent="0.25">
      <c r="A10574" s="111"/>
      <c r="B10574" s="112"/>
      <c r="C10574" s="105"/>
      <c r="D10574" s="105"/>
      <c r="E10574" s="105"/>
      <c r="F10574" s="105"/>
      <c r="G10574" s="105"/>
      <c r="H10574" s="105"/>
      <c r="I10574" s="105"/>
      <c r="J10574" s="113"/>
      <c r="K10574" s="114"/>
      <c r="L10574" s="115"/>
      <c r="M10574" s="105"/>
      <c r="N10574" s="105"/>
      <c r="O10574" s="105"/>
      <c r="P10574" s="105"/>
      <c r="Q10574" s="113"/>
      <c r="R10574" s="114"/>
      <c r="S10574" s="115"/>
    </row>
    <row r="10575" spans="1:19" x14ac:dyDescent="0.25">
      <c r="A10575" s="111"/>
      <c r="B10575" s="112"/>
      <c r="C10575" s="105"/>
      <c r="D10575" s="105"/>
      <c r="E10575" s="105"/>
      <c r="F10575" s="105"/>
      <c r="G10575" s="105"/>
      <c r="H10575" s="105"/>
      <c r="I10575" s="105"/>
      <c r="J10575" s="113"/>
      <c r="K10575" s="114"/>
      <c r="L10575" s="115"/>
      <c r="M10575" s="105"/>
      <c r="N10575" s="105"/>
      <c r="O10575" s="105"/>
      <c r="P10575" s="105"/>
      <c r="Q10575" s="113"/>
      <c r="R10575" s="114"/>
      <c r="S10575" s="115"/>
    </row>
    <row r="10576" spans="1:19" x14ac:dyDescent="0.25">
      <c r="A10576" s="111"/>
      <c r="B10576" s="112"/>
      <c r="C10576" s="105"/>
      <c r="D10576" s="105"/>
      <c r="E10576" s="105"/>
      <c r="F10576" s="105"/>
      <c r="G10576" s="105"/>
      <c r="H10576" s="105"/>
      <c r="I10576" s="105"/>
      <c r="J10576" s="113"/>
      <c r="K10576" s="114"/>
      <c r="L10576" s="115"/>
      <c r="M10576" s="105"/>
      <c r="N10576" s="105"/>
      <c r="O10576" s="105"/>
      <c r="P10576" s="105"/>
      <c r="Q10576" s="113"/>
      <c r="R10576" s="114"/>
      <c r="S10576" s="115"/>
    </row>
    <row r="10577" spans="1:19" x14ac:dyDescent="0.25">
      <c r="A10577" s="111"/>
      <c r="B10577" s="112"/>
      <c r="C10577" s="105"/>
      <c r="D10577" s="105"/>
      <c r="E10577" s="105"/>
      <c r="F10577" s="105"/>
      <c r="G10577" s="105"/>
      <c r="H10577" s="105"/>
      <c r="I10577" s="105"/>
      <c r="J10577" s="113"/>
      <c r="K10577" s="114"/>
      <c r="L10577" s="115"/>
      <c r="M10577" s="105"/>
      <c r="N10577" s="105"/>
      <c r="O10577" s="105"/>
      <c r="P10577" s="105"/>
      <c r="Q10577" s="113"/>
      <c r="R10577" s="114"/>
      <c r="S10577" s="115"/>
    </row>
    <row r="10578" spans="1:19" x14ac:dyDescent="0.25">
      <c r="A10578" s="111"/>
      <c r="B10578" s="112"/>
      <c r="C10578" s="105"/>
      <c r="D10578" s="105"/>
      <c r="E10578" s="105"/>
      <c r="F10578" s="105"/>
      <c r="G10578" s="105"/>
      <c r="H10578" s="105"/>
      <c r="I10578" s="105"/>
      <c r="J10578" s="113"/>
      <c r="K10578" s="114"/>
      <c r="L10578" s="115"/>
      <c r="M10578" s="105"/>
      <c r="N10578" s="105"/>
      <c r="O10578" s="105"/>
      <c r="P10578" s="105"/>
      <c r="Q10578" s="113"/>
      <c r="R10578" s="114"/>
      <c r="S10578" s="115"/>
    </row>
    <row r="10579" spans="1:19" x14ac:dyDescent="0.25">
      <c r="A10579" s="111"/>
      <c r="B10579" s="112"/>
      <c r="C10579" s="105"/>
      <c r="D10579" s="105"/>
      <c r="E10579" s="105"/>
      <c r="F10579" s="105"/>
      <c r="G10579" s="105"/>
      <c r="H10579" s="105"/>
      <c r="I10579" s="105"/>
      <c r="J10579" s="113"/>
      <c r="K10579" s="114"/>
      <c r="L10579" s="115"/>
      <c r="M10579" s="105"/>
      <c r="N10579" s="105"/>
      <c r="O10579" s="105"/>
      <c r="P10579" s="105"/>
      <c r="Q10579" s="113"/>
      <c r="R10579" s="114"/>
      <c r="S10579" s="115"/>
    </row>
    <row r="10580" spans="1:19" x14ac:dyDescent="0.25">
      <c r="A10580" s="111"/>
      <c r="B10580" s="112"/>
      <c r="C10580" s="105"/>
      <c r="D10580" s="105"/>
      <c r="E10580" s="105"/>
      <c r="F10580" s="105"/>
      <c r="G10580" s="105"/>
      <c r="H10580" s="105"/>
      <c r="I10580" s="105"/>
      <c r="J10580" s="113"/>
      <c r="K10580" s="114"/>
      <c r="L10580" s="115"/>
      <c r="M10580" s="105"/>
      <c r="N10580" s="105"/>
      <c r="O10580" s="105"/>
      <c r="P10580" s="105"/>
      <c r="Q10580" s="113"/>
      <c r="R10580" s="114"/>
      <c r="S10580" s="115"/>
    </row>
    <row r="10581" spans="1:19" x14ac:dyDescent="0.25">
      <c r="A10581" s="111"/>
      <c r="B10581" s="112"/>
      <c r="C10581" s="105"/>
      <c r="D10581" s="105"/>
      <c r="E10581" s="105"/>
      <c r="F10581" s="105"/>
      <c r="G10581" s="105"/>
      <c r="H10581" s="105"/>
      <c r="I10581" s="105"/>
      <c r="J10581" s="113"/>
      <c r="K10581" s="114"/>
      <c r="L10581" s="115"/>
      <c r="M10581" s="105"/>
      <c r="N10581" s="105"/>
      <c r="O10581" s="105"/>
      <c r="P10581" s="105"/>
      <c r="Q10581" s="113"/>
      <c r="R10581" s="114"/>
      <c r="S10581" s="115"/>
    </row>
    <row r="10582" spans="1:19" x14ac:dyDescent="0.25">
      <c r="A10582" s="111"/>
      <c r="B10582" s="112"/>
      <c r="C10582" s="105"/>
      <c r="D10582" s="105"/>
      <c r="E10582" s="105"/>
      <c r="F10582" s="105"/>
      <c r="G10582" s="105"/>
      <c r="H10582" s="105"/>
      <c r="I10582" s="105"/>
      <c r="J10582" s="113"/>
      <c r="K10582" s="114"/>
      <c r="L10582" s="115"/>
      <c r="M10582" s="105"/>
      <c r="N10582" s="105"/>
      <c r="O10582" s="105"/>
      <c r="P10582" s="105"/>
      <c r="Q10582" s="113"/>
      <c r="R10582" s="114"/>
      <c r="S10582" s="115"/>
    </row>
    <row r="10583" spans="1:19" x14ac:dyDescent="0.25">
      <c r="A10583" s="111"/>
      <c r="B10583" s="112"/>
      <c r="C10583" s="105"/>
      <c r="D10583" s="105"/>
      <c r="E10583" s="105"/>
      <c r="F10583" s="105"/>
      <c r="G10583" s="105"/>
      <c r="H10583" s="105"/>
      <c r="I10583" s="105"/>
      <c r="J10583" s="113"/>
      <c r="K10583" s="114"/>
      <c r="L10583" s="115"/>
      <c r="M10583" s="105"/>
      <c r="N10583" s="105"/>
      <c r="O10583" s="105"/>
      <c r="P10583" s="105"/>
      <c r="Q10583" s="113"/>
      <c r="R10583" s="114"/>
      <c r="S10583" s="115"/>
    </row>
    <row r="10584" spans="1:19" x14ac:dyDescent="0.25">
      <c r="A10584" s="111"/>
      <c r="B10584" s="112"/>
      <c r="C10584" s="105"/>
      <c r="D10584" s="105"/>
      <c r="E10584" s="105"/>
      <c r="F10584" s="105"/>
      <c r="G10584" s="105"/>
      <c r="H10584" s="105"/>
      <c r="I10584" s="105"/>
      <c r="J10584" s="113"/>
      <c r="K10584" s="114"/>
      <c r="L10584" s="115"/>
      <c r="M10584" s="105"/>
      <c r="N10584" s="105"/>
      <c r="O10584" s="105"/>
      <c r="P10584" s="105"/>
      <c r="Q10584" s="113"/>
      <c r="R10584" s="114"/>
      <c r="S10584" s="115"/>
    </row>
    <row r="10585" spans="1:19" x14ac:dyDescent="0.25">
      <c r="A10585" s="111"/>
      <c r="B10585" s="112"/>
      <c r="C10585" s="105"/>
      <c r="D10585" s="105"/>
      <c r="E10585" s="105"/>
      <c r="F10585" s="105"/>
      <c r="G10585" s="105"/>
      <c r="H10585" s="105"/>
      <c r="I10585" s="105"/>
      <c r="J10585" s="113"/>
      <c r="K10585" s="114"/>
      <c r="L10585" s="115"/>
      <c r="M10585" s="105"/>
      <c r="N10585" s="105"/>
      <c r="O10585" s="105"/>
      <c r="P10585" s="105"/>
      <c r="Q10585" s="113"/>
      <c r="R10585" s="114"/>
      <c r="S10585" s="115"/>
    </row>
    <row r="10586" spans="1:19" x14ac:dyDescent="0.25">
      <c r="A10586" s="111"/>
      <c r="B10586" s="112"/>
      <c r="C10586" s="105"/>
      <c r="D10586" s="105"/>
      <c r="E10586" s="105"/>
      <c r="F10586" s="105"/>
      <c r="G10586" s="105"/>
      <c r="H10586" s="105"/>
      <c r="I10586" s="105"/>
      <c r="J10586" s="113"/>
      <c r="K10586" s="114"/>
      <c r="L10586" s="115"/>
      <c r="M10586" s="105"/>
      <c r="N10586" s="105"/>
      <c r="O10586" s="105"/>
      <c r="P10586" s="105"/>
      <c r="Q10586" s="113"/>
      <c r="R10586" s="114"/>
      <c r="S10586" s="115"/>
    </row>
    <row r="10587" spans="1:19" x14ac:dyDescent="0.25">
      <c r="A10587" s="111"/>
      <c r="B10587" s="112"/>
      <c r="C10587" s="105"/>
      <c r="D10587" s="105"/>
      <c r="E10587" s="105"/>
      <c r="F10587" s="105"/>
      <c r="G10587" s="105"/>
      <c r="H10587" s="105"/>
      <c r="I10587" s="105"/>
      <c r="J10587" s="113"/>
      <c r="K10587" s="114"/>
      <c r="L10587" s="115"/>
      <c r="M10587" s="105"/>
      <c r="N10587" s="105"/>
      <c r="O10587" s="105"/>
      <c r="P10587" s="105"/>
      <c r="Q10587" s="113"/>
      <c r="R10587" s="114"/>
      <c r="S10587" s="115"/>
    </row>
    <row r="10588" spans="1:19" x14ac:dyDescent="0.25">
      <c r="A10588" s="111"/>
      <c r="B10588" s="112"/>
      <c r="C10588" s="105"/>
      <c r="D10588" s="105"/>
      <c r="E10588" s="105"/>
      <c r="F10588" s="105"/>
      <c r="G10588" s="105"/>
      <c r="H10588" s="105"/>
      <c r="I10588" s="105"/>
      <c r="J10588" s="113"/>
      <c r="K10588" s="114"/>
      <c r="L10588" s="115"/>
      <c r="M10588" s="105"/>
      <c r="N10588" s="105"/>
      <c r="O10588" s="105"/>
      <c r="P10588" s="105"/>
      <c r="Q10588" s="113"/>
      <c r="R10588" s="114"/>
      <c r="S10588" s="115"/>
    </row>
    <row r="10589" spans="1:19" x14ac:dyDescent="0.25">
      <c r="A10589" s="111"/>
      <c r="B10589" s="112"/>
      <c r="C10589" s="105"/>
      <c r="D10589" s="105"/>
      <c r="E10589" s="105"/>
      <c r="F10589" s="105"/>
      <c r="G10589" s="105"/>
      <c r="H10589" s="105"/>
      <c r="I10589" s="105"/>
      <c r="J10589" s="113"/>
      <c r="K10589" s="114"/>
      <c r="L10589" s="115"/>
      <c r="M10589" s="105"/>
      <c r="N10589" s="105"/>
      <c r="O10589" s="105"/>
      <c r="P10589" s="105"/>
      <c r="Q10589" s="113"/>
      <c r="R10589" s="114"/>
      <c r="S10589" s="115"/>
    </row>
    <row r="10590" spans="1:19" x14ac:dyDescent="0.25">
      <c r="A10590" s="111"/>
      <c r="B10590" s="112"/>
      <c r="C10590" s="105"/>
      <c r="D10590" s="105"/>
      <c r="E10590" s="105"/>
      <c r="F10590" s="105"/>
      <c r="G10590" s="105"/>
      <c r="H10590" s="105"/>
      <c r="I10590" s="105"/>
      <c r="J10590" s="113"/>
      <c r="K10590" s="114"/>
      <c r="L10590" s="115"/>
      <c r="M10590" s="105"/>
      <c r="N10590" s="105"/>
      <c r="O10590" s="105"/>
      <c r="P10590" s="105"/>
      <c r="Q10590" s="113"/>
      <c r="R10590" s="114"/>
      <c r="S10590" s="115"/>
    </row>
    <row r="10591" spans="1:19" x14ac:dyDescent="0.25">
      <c r="A10591" s="111"/>
      <c r="B10591" s="112"/>
      <c r="C10591" s="105"/>
      <c r="D10591" s="105"/>
      <c r="E10591" s="105"/>
      <c r="F10591" s="105"/>
      <c r="G10591" s="105"/>
      <c r="H10591" s="105"/>
      <c r="I10591" s="105"/>
      <c r="J10591" s="113"/>
      <c r="K10591" s="114"/>
      <c r="L10591" s="115"/>
      <c r="M10591" s="105"/>
      <c r="N10591" s="105"/>
      <c r="O10591" s="105"/>
      <c r="P10591" s="105"/>
      <c r="Q10591" s="113"/>
      <c r="R10591" s="114"/>
      <c r="S10591" s="115"/>
    </row>
    <row r="10592" spans="1:19" x14ac:dyDescent="0.25">
      <c r="A10592" s="111"/>
      <c r="B10592" s="112"/>
      <c r="C10592" s="105"/>
      <c r="D10592" s="105"/>
      <c r="E10592" s="105"/>
      <c r="F10592" s="105"/>
      <c r="G10592" s="105"/>
      <c r="H10592" s="105"/>
      <c r="I10592" s="105"/>
      <c r="J10592" s="113"/>
      <c r="K10592" s="114"/>
      <c r="L10592" s="115"/>
      <c r="M10592" s="105"/>
      <c r="N10592" s="105"/>
      <c r="O10592" s="105"/>
      <c r="P10592" s="105"/>
      <c r="Q10592" s="113"/>
      <c r="R10592" s="114"/>
      <c r="S10592" s="115"/>
    </row>
    <row r="10593" spans="1:19" x14ac:dyDescent="0.25">
      <c r="A10593" s="111"/>
      <c r="B10593" s="112"/>
      <c r="C10593" s="105"/>
      <c r="D10593" s="105"/>
      <c r="E10593" s="105"/>
      <c r="F10593" s="105"/>
      <c r="G10593" s="105"/>
      <c r="H10593" s="105"/>
      <c r="I10593" s="105"/>
      <c r="J10593" s="113"/>
      <c r="K10593" s="114"/>
      <c r="L10593" s="115"/>
      <c r="M10593" s="105"/>
      <c r="N10593" s="105"/>
      <c r="O10593" s="105"/>
      <c r="P10593" s="105"/>
      <c r="Q10593" s="113"/>
      <c r="R10593" s="114"/>
      <c r="S10593" s="115"/>
    </row>
    <row r="10594" spans="1:19" x14ac:dyDescent="0.25">
      <c r="A10594" s="111"/>
      <c r="B10594" s="112"/>
      <c r="C10594" s="105"/>
      <c r="D10594" s="105"/>
      <c r="E10594" s="105"/>
      <c r="F10594" s="105"/>
      <c r="G10594" s="105"/>
      <c r="H10594" s="105"/>
      <c r="I10594" s="105"/>
      <c r="J10594" s="113"/>
      <c r="K10594" s="114"/>
      <c r="L10594" s="115"/>
      <c r="M10594" s="105"/>
      <c r="N10594" s="105"/>
      <c r="O10594" s="105"/>
      <c r="P10594" s="105"/>
      <c r="Q10594" s="113"/>
      <c r="R10594" s="114"/>
      <c r="S10594" s="115"/>
    </row>
    <row r="10595" spans="1:19" x14ac:dyDescent="0.25">
      <c r="A10595" s="111"/>
      <c r="B10595" s="112"/>
      <c r="C10595" s="105"/>
      <c r="D10595" s="105"/>
      <c r="E10595" s="105"/>
      <c r="F10595" s="105"/>
      <c r="G10595" s="105"/>
      <c r="H10595" s="105"/>
      <c r="I10595" s="105"/>
      <c r="J10595" s="113"/>
      <c r="K10595" s="114"/>
      <c r="L10595" s="115"/>
      <c r="M10595" s="105"/>
      <c r="N10595" s="105"/>
      <c r="O10595" s="105"/>
      <c r="P10595" s="105"/>
      <c r="Q10595" s="113"/>
      <c r="R10595" s="114"/>
      <c r="S10595" s="115"/>
    </row>
    <row r="10596" spans="1:19" x14ac:dyDescent="0.25">
      <c r="A10596" s="111"/>
      <c r="B10596" s="112"/>
      <c r="C10596" s="105"/>
      <c r="D10596" s="105"/>
      <c r="E10596" s="105"/>
      <c r="F10596" s="105"/>
      <c r="G10596" s="105"/>
      <c r="H10596" s="105"/>
      <c r="I10596" s="105"/>
      <c r="J10596" s="113"/>
      <c r="K10596" s="114"/>
      <c r="L10596" s="115"/>
      <c r="M10596" s="105"/>
      <c r="N10596" s="105"/>
      <c r="O10596" s="105"/>
      <c r="P10596" s="105"/>
      <c r="Q10596" s="113"/>
      <c r="R10596" s="114"/>
      <c r="S10596" s="115"/>
    </row>
    <row r="10597" spans="1:19" x14ac:dyDescent="0.25">
      <c r="A10597" s="111"/>
      <c r="B10597" s="112"/>
      <c r="C10597" s="105"/>
      <c r="D10597" s="105"/>
      <c r="E10597" s="105"/>
      <c r="F10597" s="105"/>
      <c r="G10597" s="105"/>
      <c r="H10597" s="105"/>
      <c r="I10597" s="105"/>
      <c r="J10597" s="113"/>
      <c r="K10597" s="114"/>
      <c r="L10597" s="115"/>
      <c r="M10597" s="105"/>
      <c r="N10597" s="105"/>
      <c r="O10597" s="105"/>
      <c r="P10597" s="105"/>
      <c r="Q10597" s="113"/>
      <c r="R10597" s="114"/>
      <c r="S10597" s="115"/>
    </row>
    <row r="10598" spans="1:19" x14ac:dyDescent="0.25">
      <c r="A10598" s="111"/>
      <c r="B10598" s="112"/>
      <c r="C10598" s="105"/>
      <c r="D10598" s="105"/>
      <c r="E10598" s="105"/>
      <c r="F10598" s="105"/>
      <c r="G10598" s="105"/>
      <c r="H10598" s="105"/>
      <c r="I10598" s="105"/>
      <c r="J10598" s="113"/>
      <c r="K10598" s="114"/>
      <c r="L10598" s="115"/>
      <c r="M10598" s="105"/>
      <c r="N10598" s="105"/>
      <c r="O10598" s="105"/>
      <c r="P10598" s="105"/>
      <c r="Q10598" s="113"/>
      <c r="R10598" s="114"/>
      <c r="S10598" s="115"/>
    </row>
    <row r="10599" spans="1:19" x14ac:dyDescent="0.25">
      <c r="A10599" s="111"/>
      <c r="B10599" s="112"/>
      <c r="C10599" s="105"/>
      <c r="D10599" s="105"/>
      <c r="E10599" s="105"/>
      <c r="F10599" s="105"/>
      <c r="G10599" s="105"/>
      <c r="H10599" s="105"/>
      <c r="I10599" s="105"/>
      <c r="J10599" s="113"/>
      <c r="K10599" s="114"/>
      <c r="L10599" s="115"/>
      <c r="M10599" s="105"/>
      <c r="N10599" s="105"/>
      <c r="O10599" s="105"/>
      <c r="P10599" s="105"/>
      <c r="Q10599" s="113"/>
      <c r="R10599" s="114"/>
      <c r="S10599" s="115"/>
    </row>
    <row r="10600" spans="1:19" x14ac:dyDescent="0.25">
      <c r="A10600" s="111"/>
      <c r="B10600" s="112"/>
      <c r="C10600" s="105"/>
      <c r="D10600" s="105"/>
      <c r="E10600" s="105"/>
      <c r="F10600" s="105"/>
      <c r="G10600" s="105"/>
      <c r="H10600" s="105"/>
      <c r="I10600" s="105"/>
      <c r="J10600" s="113"/>
      <c r="K10600" s="114"/>
      <c r="L10600" s="115"/>
      <c r="M10600" s="105"/>
      <c r="N10600" s="105"/>
      <c r="O10600" s="105"/>
      <c r="P10600" s="105"/>
      <c r="Q10600" s="113"/>
      <c r="R10600" s="114"/>
      <c r="S10600" s="115"/>
    </row>
    <row r="10601" spans="1:19" x14ac:dyDescent="0.25">
      <c r="A10601" s="111"/>
      <c r="B10601" s="112"/>
      <c r="C10601" s="105"/>
      <c r="D10601" s="105"/>
      <c r="E10601" s="105"/>
      <c r="F10601" s="105"/>
      <c r="G10601" s="105"/>
      <c r="H10601" s="105"/>
      <c r="I10601" s="105"/>
      <c r="J10601" s="113"/>
      <c r="K10601" s="114"/>
      <c r="L10601" s="115"/>
      <c r="M10601" s="105"/>
      <c r="N10601" s="105"/>
      <c r="O10601" s="105"/>
      <c r="P10601" s="105"/>
      <c r="Q10601" s="113"/>
      <c r="R10601" s="114"/>
      <c r="S10601" s="115"/>
    </row>
    <row r="10602" spans="1:19" x14ac:dyDescent="0.25">
      <c r="A10602" s="111"/>
      <c r="B10602" s="112"/>
      <c r="C10602" s="105"/>
      <c r="D10602" s="105"/>
      <c r="E10602" s="105"/>
      <c r="F10602" s="105"/>
      <c r="G10602" s="105"/>
      <c r="H10602" s="105"/>
      <c r="I10602" s="105"/>
      <c r="J10602" s="113"/>
      <c r="K10602" s="114"/>
      <c r="L10602" s="115"/>
      <c r="M10602" s="105"/>
      <c r="N10602" s="105"/>
      <c r="O10602" s="105"/>
      <c r="P10602" s="105"/>
      <c r="Q10602" s="113"/>
      <c r="R10602" s="114"/>
      <c r="S10602" s="115"/>
    </row>
    <row r="10603" spans="1:19" x14ac:dyDescent="0.25">
      <c r="A10603" s="111"/>
      <c r="B10603" s="112"/>
      <c r="C10603" s="105"/>
      <c r="D10603" s="105"/>
      <c r="E10603" s="105"/>
      <c r="F10603" s="105"/>
      <c r="G10603" s="105"/>
      <c r="H10603" s="105"/>
      <c r="I10603" s="105"/>
      <c r="J10603" s="113"/>
      <c r="K10603" s="114"/>
      <c r="L10603" s="115"/>
      <c r="M10603" s="105"/>
      <c r="N10603" s="105"/>
      <c r="O10603" s="105"/>
      <c r="P10603" s="105"/>
      <c r="Q10603" s="113"/>
      <c r="R10603" s="114"/>
      <c r="S10603" s="115"/>
    </row>
    <row r="10604" spans="1:19" x14ac:dyDescent="0.25">
      <c r="A10604" s="111"/>
      <c r="B10604" s="112"/>
      <c r="C10604" s="105"/>
      <c r="D10604" s="105"/>
      <c r="E10604" s="105"/>
      <c r="F10604" s="105"/>
      <c r="G10604" s="105"/>
      <c r="H10604" s="105"/>
      <c r="I10604" s="105"/>
      <c r="J10604" s="113"/>
      <c r="K10604" s="114"/>
      <c r="L10604" s="115"/>
      <c r="M10604" s="105"/>
      <c r="N10604" s="105"/>
      <c r="O10604" s="105"/>
      <c r="P10604" s="105"/>
      <c r="Q10604" s="113"/>
      <c r="R10604" s="114"/>
      <c r="S10604" s="115"/>
    </row>
    <row r="10605" spans="1:19" x14ac:dyDescent="0.25">
      <c r="A10605" s="111"/>
      <c r="B10605" s="112"/>
      <c r="C10605" s="105"/>
      <c r="D10605" s="105"/>
      <c r="E10605" s="105"/>
      <c r="F10605" s="105"/>
      <c r="G10605" s="105"/>
      <c r="H10605" s="105"/>
      <c r="I10605" s="105"/>
      <c r="J10605" s="113"/>
      <c r="K10605" s="114"/>
      <c r="L10605" s="115"/>
      <c r="M10605" s="105"/>
      <c r="N10605" s="105"/>
      <c r="O10605" s="105"/>
      <c r="P10605" s="105"/>
      <c r="Q10605" s="113"/>
      <c r="R10605" s="114"/>
      <c r="S10605" s="115"/>
    </row>
    <row r="10606" spans="1:19" x14ac:dyDescent="0.25">
      <c r="A10606" s="111"/>
      <c r="B10606" s="112"/>
      <c r="C10606" s="105"/>
      <c r="D10606" s="105"/>
      <c r="E10606" s="105"/>
      <c r="F10606" s="105"/>
      <c r="G10606" s="105"/>
      <c r="H10606" s="105"/>
      <c r="I10606" s="105"/>
      <c r="J10606" s="113"/>
      <c r="K10606" s="114"/>
      <c r="L10606" s="115"/>
      <c r="M10606" s="105"/>
      <c r="N10606" s="105"/>
      <c r="O10606" s="105"/>
      <c r="P10606" s="105"/>
      <c r="Q10606" s="113"/>
      <c r="R10606" s="114"/>
      <c r="S10606" s="115"/>
    </row>
    <row r="10607" spans="1:19" x14ac:dyDescent="0.25">
      <c r="A10607" s="111"/>
      <c r="B10607" s="112"/>
      <c r="C10607" s="105"/>
      <c r="D10607" s="105"/>
      <c r="E10607" s="105"/>
      <c r="F10607" s="105"/>
      <c r="G10607" s="105"/>
      <c r="H10607" s="105"/>
      <c r="I10607" s="105"/>
      <c r="J10607" s="113"/>
      <c r="K10607" s="114"/>
      <c r="L10607" s="115"/>
      <c r="M10607" s="105"/>
      <c r="N10607" s="105"/>
      <c r="O10607" s="105"/>
      <c r="P10607" s="105"/>
      <c r="Q10607" s="113"/>
      <c r="R10607" s="114"/>
      <c r="S10607" s="115"/>
    </row>
    <row r="10608" spans="1:19" x14ac:dyDescent="0.25">
      <c r="A10608" s="111"/>
      <c r="B10608" s="112"/>
      <c r="C10608" s="105"/>
      <c r="D10608" s="105"/>
      <c r="E10608" s="105"/>
      <c r="F10608" s="105"/>
      <c r="G10608" s="105"/>
      <c r="H10608" s="105"/>
      <c r="I10608" s="105"/>
      <c r="J10608" s="113"/>
      <c r="K10608" s="114"/>
      <c r="L10608" s="115"/>
      <c r="M10608" s="105"/>
      <c r="N10608" s="105"/>
      <c r="O10608" s="105"/>
      <c r="P10608" s="105"/>
      <c r="Q10608" s="113"/>
      <c r="R10608" s="114"/>
      <c r="S10608" s="115"/>
    </row>
    <row r="10609" spans="1:19" x14ac:dyDescent="0.25">
      <c r="A10609" s="111"/>
      <c r="B10609" s="112"/>
      <c r="C10609" s="105"/>
      <c r="D10609" s="105"/>
      <c r="E10609" s="105"/>
      <c r="F10609" s="105"/>
      <c r="G10609" s="105"/>
      <c r="H10609" s="105"/>
      <c r="I10609" s="105"/>
      <c r="J10609" s="113"/>
      <c r="K10609" s="114"/>
      <c r="L10609" s="115"/>
      <c r="M10609" s="105"/>
      <c r="N10609" s="105"/>
      <c r="O10609" s="105"/>
      <c r="P10609" s="105"/>
      <c r="Q10609" s="113"/>
      <c r="R10609" s="114"/>
      <c r="S10609" s="115"/>
    </row>
    <row r="10610" spans="1:19" x14ac:dyDescent="0.25">
      <c r="A10610" s="111"/>
      <c r="B10610" s="112"/>
      <c r="C10610" s="105"/>
      <c r="D10610" s="105"/>
      <c r="E10610" s="105"/>
      <c r="F10610" s="105"/>
      <c r="G10610" s="105"/>
      <c r="H10610" s="105"/>
      <c r="I10610" s="105"/>
      <c r="J10610" s="113"/>
      <c r="K10610" s="114"/>
      <c r="L10610" s="115"/>
      <c r="M10610" s="105"/>
      <c r="N10610" s="105"/>
      <c r="O10610" s="105"/>
      <c r="P10610" s="105"/>
      <c r="Q10610" s="113"/>
      <c r="R10610" s="114"/>
      <c r="S10610" s="115"/>
    </row>
    <row r="10611" spans="1:19" x14ac:dyDescent="0.25">
      <c r="A10611" s="111"/>
      <c r="B10611" s="112"/>
      <c r="C10611" s="105"/>
      <c r="D10611" s="105"/>
      <c r="E10611" s="105"/>
      <c r="F10611" s="105"/>
      <c r="G10611" s="105"/>
      <c r="H10611" s="105"/>
      <c r="I10611" s="105"/>
      <c r="J10611" s="113"/>
      <c r="K10611" s="114"/>
      <c r="L10611" s="115"/>
      <c r="M10611" s="105"/>
      <c r="N10611" s="105"/>
      <c r="O10611" s="105"/>
      <c r="P10611" s="105"/>
      <c r="Q10611" s="113"/>
      <c r="R10611" s="114"/>
      <c r="S10611" s="115"/>
    </row>
    <row r="10612" spans="1:19" x14ac:dyDescent="0.25">
      <c r="A10612" s="111"/>
      <c r="B10612" s="112"/>
      <c r="C10612" s="105"/>
      <c r="D10612" s="105"/>
      <c r="E10612" s="105"/>
      <c r="F10612" s="105"/>
      <c r="G10612" s="105"/>
      <c r="H10612" s="105"/>
      <c r="I10612" s="105"/>
      <c r="J10612" s="113"/>
      <c r="K10612" s="114"/>
      <c r="L10612" s="115"/>
      <c r="M10612" s="105"/>
      <c r="N10612" s="105"/>
      <c r="O10612" s="105"/>
      <c r="P10612" s="105"/>
      <c r="Q10612" s="113"/>
      <c r="R10612" s="114"/>
      <c r="S10612" s="115"/>
    </row>
    <row r="10613" spans="1:19" x14ac:dyDescent="0.25">
      <c r="A10613" s="111"/>
      <c r="B10613" s="112"/>
      <c r="C10613" s="105"/>
      <c r="D10613" s="105"/>
      <c r="E10613" s="105"/>
      <c r="F10613" s="105"/>
      <c r="G10613" s="105"/>
      <c r="H10613" s="105"/>
      <c r="I10613" s="105"/>
      <c r="J10613" s="113"/>
      <c r="K10613" s="114"/>
      <c r="L10613" s="115"/>
      <c r="M10613" s="105"/>
      <c r="N10613" s="105"/>
      <c r="O10613" s="105"/>
      <c r="P10613" s="105"/>
      <c r="Q10613" s="113"/>
      <c r="R10613" s="114"/>
      <c r="S10613" s="115"/>
    </row>
    <row r="10614" spans="1:19" x14ac:dyDescent="0.25">
      <c r="A10614" s="111"/>
      <c r="B10614" s="112"/>
      <c r="C10614" s="105"/>
      <c r="D10614" s="105"/>
      <c r="E10614" s="105"/>
      <c r="F10614" s="105"/>
      <c r="G10614" s="105"/>
      <c r="H10614" s="105"/>
      <c r="I10614" s="105"/>
      <c r="J10614" s="113"/>
      <c r="K10614" s="114"/>
      <c r="L10614" s="115"/>
      <c r="M10614" s="105"/>
      <c r="N10614" s="105"/>
      <c r="O10614" s="105"/>
      <c r="P10614" s="105"/>
      <c r="Q10614" s="113"/>
      <c r="R10614" s="114"/>
      <c r="S10614" s="115"/>
    </row>
    <row r="10615" spans="1:19" x14ac:dyDescent="0.25">
      <c r="A10615" s="111"/>
      <c r="B10615" s="112"/>
      <c r="C10615" s="105"/>
      <c r="D10615" s="105"/>
      <c r="E10615" s="105"/>
      <c r="F10615" s="105"/>
      <c r="G10615" s="105"/>
      <c r="H10615" s="105"/>
      <c r="I10615" s="105"/>
      <c r="J10615" s="113"/>
      <c r="K10615" s="114"/>
      <c r="L10615" s="115"/>
      <c r="M10615" s="105"/>
      <c r="N10615" s="105"/>
      <c r="O10615" s="105"/>
      <c r="P10615" s="105"/>
      <c r="Q10615" s="113"/>
      <c r="R10615" s="114"/>
      <c r="S10615" s="115"/>
    </row>
    <row r="10616" spans="1:19" x14ac:dyDescent="0.25">
      <c r="A10616" s="111"/>
      <c r="B10616" s="112"/>
      <c r="C10616" s="105"/>
      <c r="D10616" s="105"/>
      <c r="E10616" s="105"/>
      <c r="F10616" s="105"/>
      <c r="G10616" s="105"/>
      <c r="H10616" s="105"/>
      <c r="I10616" s="105"/>
      <c r="J10616" s="113"/>
      <c r="K10616" s="114"/>
      <c r="L10616" s="115"/>
      <c r="M10616" s="105"/>
      <c r="N10616" s="105"/>
      <c r="O10616" s="105"/>
      <c r="P10616" s="105"/>
      <c r="Q10616" s="113"/>
      <c r="R10616" s="114"/>
      <c r="S10616" s="115"/>
    </row>
    <row r="10617" spans="1:19" x14ac:dyDescent="0.25">
      <c r="A10617" s="111"/>
      <c r="B10617" s="112"/>
      <c r="C10617" s="105"/>
      <c r="D10617" s="105"/>
      <c r="E10617" s="105"/>
      <c r="F10617" s="105"/>
      <c r="G10617" s="105"/>
      <c r="H10617" s="105"/>
      <c r="I10617" s="105"/>
      <c r="J10617" s="113"/>
      <c r="K10617" s="114"/>
      <c r="L10617" s="115"/>
      <c r="M10617" s="105"/>
      <c r="N10617" s="105"/>
      <c r="O10617" s="105"/>
      <c r="P10617" s="105"/>
      <c r="Q10617" s="113"/>
      <c r="R10617" s="114"/>
      <c r="S10617" s="115"/>
    </row>
    <row r="10618" spans="1:19" x14ac:dyDescent="0.25">
      <c r="A10618" s="111"/>
      <c r="B10618" s="112"/>
      <c r="C10618" s="105"/>
      <c r="D10618" s="105"/>
      <c r="E10618" s="105"/>
      <c r="F10618" s="105"/>
      <c r="G10618" s="105"/>
      <c r="H10618" s="105"/>
      <c r="I10618" s="105"/>
      <c r="J10618" s="113"/>
      <c r="K10618" s="114"/>
      <c r="L10618" s="115"/>
      <c r="M10618" s="105"/>
      <c r="N10618" s="105"/>
      <c r="O10618" s="105"/>
      <c r="P10618" s="105"/>
      <c r="Q10618" s="113"/>
      <c r="R10618" s="114"/>
      <c r="S10618" s="115"/>
    </row>
    <row r="10619" spans="1:19" x14ac:dyDescent="0.25">
      <c r="A10619" s="111"/>
      <c r="B10619" s="112"/>
      <c r="C10619" s="105"/>
      <c r="D10619" s="105"/>
      <c r="E10619" s="105"/>
      <c r="F10619" s="105"/>
      <c r="G10619" s="105"/>
      <c r="H10619" s="105"/>
      <c r="I10619" s="105"/>
      <c r="J10619" s="113"/>
      <c r="K10619" s="114"/>
      <c r="L10619" s="115"/>
      <c r="M10619" s="105"/>
      <c r="N10619" s="105"/>
      <c r="O10619" s="105"/>
      <c r="P10619" s="105"/>
      <c r="Q10619" s="113"/>
      <c r="R10619" s="114"/>
      <c r="S10619" s="115"/>
    </row>
    <row r="10620" spans="1:19" x14ac:dyDescent="0.25">
      <c r="A10620" s="111"/>
      <c r="B10620" s="112"/>
      <c r="C10620" s="105"/>
      <c r="D10620" s="105"/>
      <c r="E10620" s="105"/>
      <c r="F10620" s="105"/>
      <c r="G10620" s="105"/>
      <c r="H10620" s="105"/>
      <c r="I10620" s="105"/>
      <c r="J10620" s="113"/>
      <c r="K10620" s="114"/>
      <c r="L10620" s="115"/>
      <c r="M10620" s="105"/>
      <c r="N10620" s="105"/>
      <c r="O10620" s="105"/>
      <c r="P10620" s="105"/>
      <c r="Q10620" s="113"/>
      <c r="R10620" s="114"/>
      <c r="S10620" s="115"/>
    </row>
    <row r="10621" spans="1:19" x14ac:dyDescent="0.25">
      <c r="A10621" s="111"/>
      <c r="B10621" s="112"/>
      <c r="C10621" s="105"/>
      <c r="D10621" s="105"/>
      <c r="E10621" s="105"/>
      <c r="F10621" s="105"/>
      <c r="G10621" s="105"/>
      <c r="H10621" s="105"/>
      <c r="I10621" s="105"/>
      <c r="J10621" s="113"/>
      <c r="K10621" s="114"/>
      <c r="L10621" s="115"/>
      <c r="M10621" s="105"/>
      <c r="N10621" s="105"/>
      <c r="O10621" s="105"/>
      <c r="P10621" s="105"/>
      <c r="Q10621" s="113"/>
      <c r="R10621" s="114"/>
      <c r="S10621" s="115"/>
    </row>
    <row r="10622" spans="1:19" x14ac:dyDescent="0.25">
      <c r="A10622" s="111"/>
      <c r="B10622" s="112"/>
      <c r="C10622" s="105"/>
      <c r="D10622" s="105"/>
      <c r="E10622" s="105"/>
      <c r="F10622" s="105"/>
      <c r="G10622" s="105"/>
      <c r="H10622" s="105"/>
      <c r="I10622" s="105"/>
      <c r="J10622" s="113"/>
      <c r="K10622" s="114"/>
      <c r="L10622" s="115"/>
      <c r="M10622" s="105"/>
      <c r="N10622" s="105"/>
      <c r="O10622" s="105"/>
      <c r="P10622" s="105"/>
      <c r="Q10622" s="113"/>
      <c r="R10622" s="114"/>
      <c r="S10622" s="115"/>
    </row>
    <row r="10623" spans="1:19" x14ac:dyDescent="0.25">
      <c r="A10623" s="111"/>
      <c r="B10623" s="112"/>
      <c r="C10623" s="105"/>
      <c r="D10623" s="105"/>
      <c r="E10623" s="105"/>
      <c r="F10623" s="105"/>
      <c r="G10623" s="105"/>
      <c r="H10623" s="105"/>
      <c r="I10623" s="105"/>
      <c r="J10623" s="113"/>
      <c r="K10623" s="114"/>
      <c r="L10623" s="115"/>
      <c r="M10623" s="105"/>
      <c r="N10623" s="105"/>
      <c r="O10623" s="105"/>
      <c r="P10623" s="105"/>
      <c r="Q10623" s="113"/>
      <c r="R10623" s="114"/>
      <c r="S10623" s="115"/>
    </row>
    <row r="10624" spans="1:19" x14ac:dyDescent="0.25">
      <c r="A10624" s="111"/>
      <c r="B10624" s="112"/>
      <c r="C10624" s="105"/>
      <c r="D10624" s="105"/>
      <c r="E10624" s="105"/>
      <c r="F10624" s="105"/>
      <c r="G10624" s="105"/>
      <c r="H10624" s="105"/>
      <c r="I10624" s="105"/>
      <c r="J10624" s="113"/>
      <c r="K10624" s="114"/>
      <c r="L10624" s="115"/>
      <c r="M10624" s="105"/>
      <c r="N10624" s="105"/>
      <c r="O10624" s="105"/>
      <c r="P10624" s="105"/>
      <c r="Q10624" s="113"/>
      <c r="R10624" s="114"/>
      <c r="S10624" s="115"/>
    </row>
    <row r="10625" spans="1:19" x14ac:dyDescent="0.25">
      <c r="A10625" s="111"/>
      <c r="B10625" s="112"/>
      <c r="C10625" s="105"/>
      <c r="D10625" s="105"/>
      <c r="E10625" s="105"/>
      <c r="F10625" s="105"/>
      <c r="G10625" s="105"/>
      <c r="H10625" s="105"/>
      <c r="I10625" s="105"/>
      <c r="J10625" s="113"/>
      <c r="K10625" s="114"/>
      <c r="L10625" s="115"/>
      <c r="M10625" s="105"/>
      <c r="N10625" s="105"/>
      <c r="O10625" s="105"/>
      <c r="P10625" s="105"/>
      <c r="Q10625" s="113"/>
      <c r="R10625" s="114"/>
      <c r="S10625" s="115"/>
    </row>
    <row r="10626" spans="1:19" x14ac:dyDescent="0.25">
      <c r="A10626" s="111"/>
      <c r="B10626" s="112"/>
      <c r="C10626" s="105"/>
      <c r="D10626" s="105"/>
      <c r="E10626" s="105"/>
      <c r="F10626" s="105"/>
      <c r="G10626" s="105"/>
      <c r="H10626" s="105"/>
      <c r="I10626" s="105"/>
      <c r="J10626" s="113"/>
      <c r="K10626" s="114"/>
      <c r="L10626" s="115"/>
      <c r="M10626" s="105"/>
      <c r="N10626" s="105"/>
      <c r="O10626" s="105"/>
      <c r="P10626" s="105"/>
      <c r="Q10626" s="113"/>
      <c r="R10626" s="114"/>
      <c r="S10626" s="115"/>
    </row>
    <row r="10627" spans="1:19" x14ac:dyDescent="0.25">
      <c r="A10627" s="111"/>
      <c r="B10627" s="112"/>
      <c r="C10627" s="105"/>
      <c r="D10627" s="105"/>
      <c r="E10627" s="105"/>
      <c r="F10627" s="105"/>
      <c r="G10627" s="105"/>
      <c r="H10627" s="105"/>
      <c r="I10627" s="105"/>
      <c r="J10627" s="113"/>
      <c r="K10627" s="114"/>
      <c r="L10627" s="115"/>
      <c r="M10627" s="105"/>
      <c r="N10627" s="105"/>
      <c r="O10627" s="105"/>
      <c r="P10627" s="105"/>
      <c r="Q10627" s="113"/>
      <c r="R10627" s="114"/>
      <c r="S10627" s="115"/>
    </row>
    <row r="10628" spans="1:19" x14ac:dyDescent="0.25">
      <c r="A10628" s="111"/>
      <c r="B10628" s="112"/>
      <c r="C10628" s="105"/>
      <c r="D10628" s="105"/>
      <c r="E10628" s="105"/>
      <c r="F10628" s="105"/>
      <c r="G10628" s="105"/>
      <c r="H10628" s="105"/>
      <c r="I10628" s="105"/>
      <c r="J10628" s="113"/>
      <c r="K10628" s="114"/>
      <c r="L10628" s="115"/>
      <c r="M10628" s="105"/>
      <c r="N10628" s="105"/>
      <c r="O10628" s="105"/>
      <c r="P10628" s="105"/>
      <c r="Q10628" s="113"/>
      <c r="R10628" s="114"/>
      <c r="S10628" s="115"/>
    </row>
    <row r="10629" spans="1:19" x14ac:dyDescent="0.25">
      <c r="A10629" s="111"/>
      <c r="B10629" s="112"/>
      <c r="C10629" s="105"/>
      <c r="D10629" s="105"/>
      <c r="E10629" s="105"/>
      <c r="F10629" s="105"/>
      <c r="G10629" s="105"/>
      <c r="H10629" s="105"/>
      <c r="I10629" s="105"/>
      <c r="J10629" s="113"/>
      <c r="K10629" s="114"/>
      <c r="L10629" s="115"/>
      <c r="M10629" s="105"/>
      <c r="N10629" s="105"/>
      <c r="O10629" s="105"/>
      <c r="P10629" s="105"/>
      <c r="Q10629" s="113"/>
      <c r="R10629" s="114"/>
      <c r="S10629" s="115"/>
    </row>
    <row r="10630" spans="1:19" x14ac:dyDescent="0.25">
      <c r="A10630" s="111"/>
      <c r="B10630" s="112"/>
      <c r="C10630" s="105"/>
      <c r="D10630" s="105"/>
      <c r="E10630" s="105"/>
      <c r="F10630" s="105"/>
      <c r="G10630" s="105"/>
      <c r="H10630" s="105"/>
      <c r="I10630" s="105"/>
      <c r="J10630" s="113"/>
      <c r="K10630" s="114"/>
      <c r="L10630" s="115"/>
      <c r="M10630" s="105"/>
      <c r="N10630" s="105"/>
      <c r="O10630" s="105"/>
      <c r="P10630" s="105"/>
      <c r="Q10630" s="113"/>
      <c r="R10630" s="114"/>
      <c r="S10630" s="115"/>
    </row>
    <row r="10631" spans="1:19" x14ac:dyDescent="0.25">
      <c r="A10631" s="111"/>
      <c r="B10631" s="112"/>
      <c r="C10631" s="105"/>
      <c r="D10631" s="105"/>
      <c r="E10631" s="105"/>
      <c r="F10631" s="105"/>
      <c r="G10631" s="105"/>
      <c r="H10631" s="105"/>
      <c r="I10631" s="105"/>
      <c r="J10631" s="113"/>
      <c r="K10631" s="114"/>
      <c r="L10631" s="115"/>
      <c r="M10631" s="105"/>
      <c r="N10631" s="105"/>
      <c r="O10631" s="105"/>
      <c r="P10631" s="105"/>
      <c r="Q10631" s="113"/>
      <c r="R10631" s="114"/>
      <c r="S10631" s="115"/>
    </row>
    <row r="10632" spans="1:19" x14ac:dyDescent="0.25">
      <c r="A10632" s="111"/>
      <c r="B10632" s="112"/>
      <c r="C10632" s="105"/>
      <c r="D10632" s="105"/>
      <c r="E10632" s="105"/>
      <c r="F10632" s="105"/>
      <c r="G10632" s="105"/>
      <c r="H10632" s="105"/>
      <c r="I10632" s="105"/>
      <c r="J10632" s="113"/>
      <c r="K10632" s="114"/>
      <c r="L10632" s="115"/>
      <c r="M10632" s="105"/>
      <c r="N10632" s="105"/>
      <c r="O10632" s="105"/>
      <c r="P10632" s="105"/>
      <c r="Q10632" s="113"/>
      <c r="R10632" s="114"/>
      <c r="S10632" s="115"/>
    </row>
    <row r="10633" spans="1:19" x14ac:dyDescent="0.25">
      <c r="A10633" s="111"/>
      <c r="B10633" s="112"/>
      <c r="C10633" s="105"/>
      <c r="D10633" s="105"/>
      <c r="E10633" s="105"/>
      <c r="F10633" s="105"/>
      <c r="G10633" s="105"/>
      <c r="H10633" s="105"/>
      <c r="I10633" s="105"/>
      <c r="J10633" s="113"/>
      <c r="K10633" s="114"/>
      <c r="L10633" s="115"/>
      <c r="M10633" s="105"/>
      <c r="N10633" s="105"/>
      <c r="O10633" s="105"/>
      <c r="P10633" s="105"/>
      <c r="Q10633" s="113"/>
      <c r="R10633" s="114"/>
      <c r="S10633" s="115"/>
    </row>
    <row r="10634" spans="1:19" x14ac:dyDescent="0.25">
      <c r="A10634" s="111"/>
      <c r="B10634" s="112"/>
      <c r="C10634" s="105"/>
      <c r="D10634" s="105"/>
      <c r="E10634" s="105"/>
      <c r="F10634" s="105"/>
      <c r="G10634" s="105"/>
      <c r="H10634" s="105"/>
      <c r="I10634" s="105"/>
      <c r="J10634" s="113"/>
      <c r="K10634" s="114"/>
      <c r="L10634" s="115"/>
      <c r="M10634" s="105"/>
      <c r="N10634" s="105"/>
      <c r="O10634" s="105"/>
      <c r="P10634" s="105"/>
      <c r="Q10634" s="113"/>
      <c r="R10634" s="114"/>
      <c r="S10634" s="115"/>
    </row>
    <row r="10635" spans="1:19" x14ac:dyDescent="0.25">
      <c r="A10635" s="111"/>
      <c r="B10635" s="112"/>
      <c r="C10635" s="105"/>
      <c r="D10635" s="105"/>
      <c r="E10635" s="105"/>
      <c r="F10635" s="105"/>
      <c r="G10635" s="105"/>
      <c r="H10635" s="105"/>
      <c r="I10635" s="105"/>
      <c r="J10635" s="113"/>
      <c r="K10635" s="114"/>
      <c r="L10635" s="115"/>
      <c r="M10635" s="105"/>
      <c r="N10635" s="105"/>
      <c r="O10635" s="105"/>
      <c r="P10635" s="105"/>
      <c r="Q10635" s="113"/>
      <c r="R10635" s="114"/>
      <c r="S10635" s="115"/>
    </row>
    <row r="10636" spans="1:19" x14ac:dyDescent="0.25">
      <c r="A10636" s="111"/>
      <c r="B10636" s="112"/>
      <c r="C10636" s="105"/>
      <c r="D10636" s="105"/>
      <c r="E10636" s="105"/>
      <c r="F10636" s="105"/>
      <c r="G10636" s="105"/>
      <c r="H10636" s="105"/>
      <c r="I10636" s="105"/>
      <c r="J10636" s="113"/>
      <c r="K10636" s="114"/>
      <c r="L10636" s="115"/>
      <c r="M10636" s="105"/>
      <c r="N10636" s="105"/>
      <c r="O10636" s="105"/>
      <c r="P10636" s="105"/>
      <c r="Q10636" s="113"/>
      <c r="R10636" s="114"/>
      <c r="S10636" s="115"/>
    </row>
    <row r="10637" spans="1:19" x14ac:dyDescent="0.25">
      <c r="A10637" s="111"/>
      <c r="B10637" s="112"/>
      <c r="C10637" s="105"/>
      <c r="D10637" s="105"/>
      <c r="E10637" s="105"/>
      <c r="F10637" s="105"/>
      <c r="G10637" s="105"/>
      <c r="H10637" s="105"/>
      <c r="I10637" s="105"/>
      <c r="J10637" s="113"/>
      <c r="K10637" s="114"/>
      <c r="L10637" s="115"/>
      <c r="M10637" s="105"/>
      <c r="N10637" s="105"/>
      <c r="O10637" s="105"/>
      <c r="P10637" s="105"/>
      <c r="Q10637" s="113"/>
      <c r="R10637" s="114"/>
      <c r="S10637" s="115"/>
    </row>
    <row r="10638" spans="1:19" x14ac:dyDescent="0.25">
      <c r="A10638" s="111"/>
      <c r="B10638" s="112"/>
      <c r="C10638" s="105"/>
      <c r="D10638" s="105"/>
      <c r="E10638" s="105"/>
      <c r="F10638" s="105"/>
      <c r="G10638" s="105"/>
      <c r="H10638" s="105"/>
      <c r="I10638" s="105"/>
      <c r="J10638" s="113"/>
      <c r="K10638" s="114"/>
      <c r="L10638" s="115"/>
      <c r="M10638" s="105"/>
      <c r="N10638" s="105"/>
      <c r="O10638" s="105"/>
      <c r="P10638" s="105"/>
      <c r="Q10638" s="113"/>
      <c r="R10638" s="114"/>
      <c r="S10638" s="115"/>
    </row>
    <row r="10639" spans="1:19" x14ac:dyDescent="0.25">
      <c r="A10639" s="111"/>
      <c r="B10639" s="112"/>
      <c r="C10639" s="105"/>
      <c r="D10639" s="105"/>
      <c r="E10639" s="105"/>
      <c r="F10639" s="105"/>
      <c r="G10639" s="105"/>
      <c r="H10639" s="105"/>
      <c r="I10639" s="105"/>
      <c r="J10639" s="113"/>
      <c r="K10639" s="114"/>
      <c r="L10639" s="115"/>
      <c r="M10639" s="105"/>
      <c r="N10639" s="105"/>
      <c r="O10639" s="105"/>
      <c r="P10639" s="105"/>
      <c r="Q10639" s="113"/>
      <c r="R10639" s="114"/>
      <c r="S10639" s="115"/>
    </row>
    <row r="10640" spans="1:19" x14ac:dyDescent="0.25">
      <c r="A10640" s="111"/>
      <c r="B10640" s="112"/>
      <c r="C10640" s="105"/>
      <c r="D10640" s="105"/>
      <c r="E10640" s="105"/>
      <c r="F10640" s="105"/>
      <c r="G10640" s="105"/>
      <c r="H10640" s="105"/>
      <c r="I10640" s="105"/>
      <c r="J10640" s="113"/>
      <c r="K10640" s="114"/>
      <c r="L10640" s="115"/>
      <c r="M10640" s="105"/>
      <c r="N10640" s="105"/>
      <c r="O10640" s="105"/>
      <c r="P10640" s="105"/>
      <c r="Q10640" s="113"/>
      <c r="R10640" s="114"/>
      <c r="S10640" s="115"/>
    </row>
    <row r="10641" spans="1:19" x14ac:dyDescent="0.25">
      <c r="A10641" s="111"/>
      <c r="B10641" s="112"/>
      <c r="C10641" s="105"/>
      <c r="D10641" s="105"/>
      <c r="E10641" s="105"/>
      <c r="F10641" s="105"/>
      <c r="G10641" s="105"/>
      <c r="H10641" s="105"/>
      <c r="I10641" s="105"/>
      <c r="J10641" s="113"/>
      <c r="K10641" s="114"/>
      <c r="L10641" s="115"/>
      <c r="M10641" s="105"/>
      <c r="N10641" s="105"/>
      <c r="O10641" s="105"/>
      <c r="P10641" s="105"/>
      <c r="Q10641" s="113"/>
      <c r="R10641" s="114"/>
      <c r="S10641" s="115"/>
    </row>
    <row r="10642" spans="1:19" x14ac:dyDescent="0.25">
      <c r="A10642" s="111"/>
      <c r="B10642" s="112"/>
      <c r="C10642" s="105"/>
      <c r="D10642" s="105"/>
      <c r="E10642" s="105"/>
      <c r="F10642" s="105"/>
      <c r="G10642" s="105"/>
      <c r="H10642" s="105"/>
      <c r="I10642" s="105"/>
      <c r="J10642" s="113"/>
      <c r="K10642" s="114"/>
      <c r="L10642" s="115"/>
      <c r="M10642" s="105"/>
      <c r="N10642" s="105"/>
      <c r="O10642" s="105"/>
      <c r="P10642" s="105"/>
      <c r="Q10642" s="113"/>
      <c r="R10642" s="114"/>
      <c r="S10642" s="115"/>
    </row>
    <row r="10643" spans="1:19" x14ac:dyDescent="0.25">
      <c r="A10643" s="111"/>
      <c r="B10643" s="112"/>
      <c r="C10643" s="105"/>
      <c r="D10643" s="105"/>
      <c r="E10643" s="105"/>
      <c r="F10643" s="105"/>
      <c r="G10643" s="105"/>
      <c r="H10643" s="105"/>
      <c r="I10643" s="105"/>
      <c r="J10643" s="113"/>
      <c r="K10643" s="114"/>
      <c r="L10643" s="115"/>
      <c r="M10643" s="105"/>
      <c r="N10643" s="105"/>
      <c r="O10643" s="105"/>
      <c r="P10643" s="105"/>
      <c r="Q10643" s="113"/>
      <c r="R10643" s="114"/>
      <c r="S10643" s="115"/>
    </row>
    <row r="10644" spans="1:19" x14ac:dyDescent="0.25">
      <c r="A10644" s="111"/>
      <c r="B10644" s="112"/>
      <c r="C10644" s="105"/>
      <c r="D10644" s="105"/>
      <c r="E10644" s="105"/>
      <c r="F10644" s="105"/>
      <c r="G10644" s="105"/>
      <c r="H10644" s="105"/>
      <c r="I10644" s="105"/>
      <c r="J10644" s="113"/>
      <c r="K10644" s="114"/>
      <c r="L10644" s="115"/>
      <c r="M10644" s="105"/>
      <c r="N10644" s="105"/>
      <c r="O10644" s="105"/>
      <c r="P10644" s="105"/>
      <c r="Q10644" s="113"/>
      <c r="R10644" s="114"/>
      <c r="S10644" s="115"/>
    </row>
    <row r="10645" spans="1:19" x14ac:dyDescent="0.25">
      <c r="A10645" s="111"/>
      <c r="B10645" s="112"/>
      <c r="C10645" s="105"/>
      <c r="D10645" s="105"/>
      <c r="E10645" s="105"/>
      <c r="F10645" s="105"/>
      <c r="G10645" s="105"/>
      <c r="H10645" s="105"/>
      <c r="I10645" s="105"/>
      <c r="J10645" s="113"/>
      <c r="K10645" s="114"/>
      <c r="L10645" s="115"/>
      <c r="M10645" s="105"/>
      <c r="N10645" s="105"/>
      <c r="O10645" s="105"/>
      <c r="P10645" s="105"/>
      <c r="Q10645" s="113"/>
      <c r="R10645" s="114"/>
      <c r="S10645" s="115"/>
    </row>
    <row r="10646" spans="1:19" x14ac:dyDescent="0.25">
      <c r="A10646" s="111"/>
      <c r="B10646" s="112"/>
      <c r="C10646" s="105"/>
      <c r="D10646" s="105"/>
      <c r="E10646" s="105"/>
      <c r="F10646" s="105"/>
      <c r="G10646" s="105"/>
      <c r="H10646" s="105"/>
      <c r="I10646" s="105"/>
      <c r="J10646" s="113"/>
      <c r="K10646" s="114"/>
      <c r="L10646" s="115"/>
      <c r="M10646" s="105"/>
      <c r="N10646" s="105"/>
      <c r="O10646" s="105"/>
      <c r="P10646" s="105"/>
      <c r="Q10646" s="113"/>
      <c r="R10646" s="114"/>
      <c r="S10646" s="115"/>
    </row>
    <row r="10647" spans="1:19" x14ac:dyDescent="0.25">
      <c r="A10647" s="111"/>
      <c r="B10647" s="112"/>
      <c r="C10647" s="105"/>
      <c r="D10647" s="105"/>
      <c r="E10647" s="105"/>
      <c r="F10647" s="105"/>
      <c r="G10647" s="105"/>
      <c r="H10647" s="105"/>
      <c r="I10647" s="105"/>
      <c r="J10647" s="113"/>
      <c r="K10647" s="114"/>
      <c r="L10647" s="115"/>
      <c r="M10647" s="105"/>
      <c r="N10647" s="105"/>
      <c r="O10647" s="105"/>
      <c r="P10647" s="105"/>
      <c r="Q10647" s="113"/>
      <c r="R10647" s="114"/>
      <c r="S10647" s="115"/>
    </row>
    <row r="10648" spans="1:19" x14ac:dyDescent="0.25">
      <c r="A10648" s="111"/>
      <c r="B10648" s="112"/>
      <c r="C10648" s="105"/>
      <c r="D10648" s="105"/>
      <c r="E10648" s="105"/>
      <c r="F10648" s="105"/>
      <c r="G10648" s="105"/>
      <c r="H10648" s="105"/>
      <c r="I10648" s="105"/>
      <c r="J10648" s="113"/>
      <c r="K10648" s="114"/>
      <c r="L10648" s="115"/>
      <c r="M10648" s="105"/>
      <c r="N10648" s="105"/>
      <c r="O10648" s="105"/>
      <c r="P10648" s="105"/>
      <c r="Q10648" s="113"/>
      <c r="R10648" s="114"/>
      <c r="S10648" s="115"/>
    </row>
    <row r="10649" spans="1:19" x14ac:dyDescent="0.25">
      <c r="A10649" s="111"/>
      <c r="B10649" s="112"/>
      <c r="C10649" s="105"/>
      <c r="D10649" s="105"/>
      <c r="E10649" s="105"/>
      <c r="F10649" s="105"/>
      <c r="G10649" s="105"/>
      <c r="H10649" s="105"/>
      <c r="I10649" s="105"/>
      <c r="J10649" s="113"/>
      <c r="K10649" s="114"/>
      <c r="L10649" s="115"/>
      <c r="M10649" s="105"/>
      <c r="N10649" s="105"/>
      <c r="O10649" s="105"/>
      <c r="P10649" s="105"/>
      <c r="Q10649" s="113"/>
      <c r="R10649" s="114"/>
      <c r="S10649" s="115"/>
    </row>
    <row r="10650" spans="1:19" x14ac:dyDescent="0.25">
      <c r="A10650" s="111"/>
      <c r="B10650" s="112"/>
      <c r="C10650" s="105"/>
      <c r="D10650" s="105"/>
      <c r="E10650" s="105"/>
      <c r="F10650" s="105"/>
      <c r="G10650" s="105"/>
      <c r="H10650" s="105"/>
      <c r="I10650" s="105"/>
      <c r="J10650" s="113"/>
      <c r="K10650" s="114"/>
      <c r="L10650" s="115"/>
      <c r="M10650" s="105"/>
      <c r="N10650" s="105"/>
      <c r="O10650" s="105"/>
      <c r="P10650" s="105"/>
      <c r="Q10650" s="113"/>
      <c r="R10650" s="114"/>
      <c r="S10650" s="115"/>
    </row>
    <row r="10651" spans="1:19" x14ac:dyDescent="0.25">
      <c r="A10651" s="111"/>
      <c r="B10651" s="112"/>
      <c r="C10651" s="105"/>
      <c r="D10651" s="105"/>
      <c r="E10651" s="105"/>
      <c r="F10651" s="105"/>
      <c r="G10651" s="105"/>
      <c r="H10651" s="105"/>
      <c r="I10651" s="105"/>
      <c r="J10651" s="113"/>
      <c r="K10651" s="114"/>
      <c r="L10651" s="115"/>
      <c r="M10651" s="105"/>
      <c r="N10651" s="105"/>
      <c r="O10651" s="105"/>
      <c r="P10651" s="105"/>
      <c r="Q10651" s="113"/>
      <c r="R10651" s="114"/>
      <c r="S10651" s="115"/>
    </row>
    <row r="10652" spans="1:19" x14ac:dyDescent="0.25">
      <c r="A10652" s="111"/>
      <c r="B10652" s="112"/>
      <c r="C10652" s="105"/>
      <c r="D10652" s="105"/>
      <c r="E10652" s="105"/>
      <c r="F10652" s="105"/>
      <c r="G10652" s="105"/>
      <c r="H10652" s="105"/>
      <c r="I10652" s="105"/>
      <c r="J10652" s="113"/>
      <c r="K10652" s="114"/>
      <c r="L10652" s="115"/>
      <c r="M10652" s="105"/>
      <c r="N10652" s="105"/>
      <c r="O10652" s="105"/>
      <c r="P10652" s="105"/>
      <c r="Q10652" s="113"/>
      <c r="R10652" s="114"/>
      <c r="S10652" s="115"/>
    </row>
    <row r="10653" spans="1:19" x14ac:dyDescent="0.25">
      <c r="A10653" s="111"/>
      <c r="B10653" s="112"/>
      <c r="C10653" s="105"/>
      <c r="D10653" s="105"/>
      <c r="E10653" s="105"/>
      <c r="F10653" s="105"/>
      <c r="G10653" s="105"/>
      <c r="H10653" s="105"/>
      <c r="I10653" s="105"/>
      <c r="J10653" s="113"/>
      <c r="K10653" s="114"/>
      <c r="L10653" s="115"/>
      <c r="M10653" s="105"/>
      <c r="N10653" s="105"/>
      <c r="O10653" s="105"/>
      <c r="P10653" s="105"/>
      <c r="Q10653" s="113"/>
      <c r="R10653" s="114"/>
      <c r="S10653" s="115"/>
    </row>
    <row r="10654" spans="1:19" x14ac:dyDescent="0.25">
      <c r="A10654" s="111"/>
      <c r="B10654" s="112"/>
      <c r="C10654" s="105"/>
      <c r="D10654" s="105"/>
      <c r="E10654" s="105"/>
      <c r="F10654" s="105"/>
      <c r="G10654" s="105"/>
      <c r="H10654" s="105"/>
      <c r="I10654" s="105"/>
      <c r="J10654" s="113"/>
      <c r="K10654" s="114"/>
      <c r="L10654" s="115"/>
      <c r="M10654" s="105"/>
      <c r="N10654" s="105"/>
      <c r="O10654" s="105"/>
      <c r="P10654" s="105"/>
      <c r="Q10654" s="113"/>
      <c r="R10654" s="114"/>
      <c r="S10654" s="115"/>
    </row>
    <row r="10655" spans="1:19" x14ac:dyDescent="0.25">
      <c r="A10655" s="111"/>
      <c r="B10655" s="112"/>
      <c r="C10655" s="105"/>
      <c r="D10655" s="105"/>
      <c r="E10655" s="105"/>
      <c r="F10655" s="105"/>
      <c r="G10655" s="105"/>
      <c r="H10655" s="105"/>
      <c r="I10655" s="105"/>
      <c r="J10655" s="113"/>
      <c r="K10655" s="114"/>
      <c r="L10655" s="115"/>
      <c r="M10655" s="105"/>
      <c r="N10655" s="105"/>
      <c r="O10655" s="105"/>
      <c r="P10655" s="105"/>
      <c r="Q10655" s="113"/>
      <c r="R10655" s="114"/>
      <c r="S10655" s="115"/>
    </row>
    <row r="10656" spans="1:19" x14ac:dyDescent="0.25">
      <c r="A10656" s="111"/>
      <c r="B10656" s="112"/>
      <c r="C10656" s="105"/>
      <c r="D10656" s="105"/>
      <c r="E10656" s="105"/>
      <c r="F10656" s="105"/>
      <c r="G10656" s="105"/>
      <c r="H10656" s="105"/>
      <c r="I10656" s="105"/>
      <c r="J10656" s="113"/>
      <c r="K10656" s="114"/>
      <c r="L10656" s="115"/>
      <c r="M10656" s="105"/>
      <c r="N10656" s="105"/>
      <c r="O10656" s="105"/>
      <c r="P10656" s="105"/>
      <c r="Q10656" s="113"/>
      <c r="R10656" s="114"/>
      <c r="S10656" s="115"/>
    </row>
    <row r="10657" spans="1:19" x14ac:dyDescent="0.25">
      <c r="A10657" s="111"/>
      <c r="B10657" s="112"/>
      <c r="C10657" s="105"/>
      <c r="D10657" s="105"/>
      <c r="E10657" s="105"/>
      <c r="F10657" s="105"/>
      <c r="G10657" s="105"/>
      <c r="H10657" s="105"/>
      <c r="I10657" s="105"/>
      <c r="J10657" s="113"/>
      <c r="K10657" s="114"/>
      <c r="L10657" s="115"/>
      <c r="M10657" s="105"/>
      <c r="N10657" s="105"/>
      <c r="O10657" s="105"/>
      <c r="P10657" s="105"/>
      <c r="Q10657" s="113"/>
      <c r="R10657" s="114"/>
      <c r="S10657" s="115"/>
    </row>
    <row r="10658" spans="1:19" x14ac:dyDescent="0.25">
      <c r="A10658" s="111"/>
      <c r="B10658" s="112"/>
      <c r="C10658" s="105"/>
      <c r="D10658" s="105"/>
      <c r="E10658" s="105"/>
      <c r="F10658" s="105"/>
      <c r="G10658" s="105"/>
      <c r="H10658" s="105"/>
      <c r="I10658" s="105"/>
      <c r="J10658" s="113"/>
      <c r="K10658" s="114"/>
      <c r="L10658" s="115"/>
      <c r="M10658" s="105"/>
      <c r="N10658" s="105"/>
      <c r="O10658" s="105"/>
      <c r="P10658" s="105"/>
      <c r="Q10658" s="113"/>
      <c r="R10658" s="114"/>
      <c r="S10658" s="115"/>
    </row>
    <row r="10659" spans="1:19" x14ac:dyDescent="0.25">
      <c r="A10659" s="111"/>
      <c r="B10659" s="112"/>
      <c r="C10659" s="105"/>
      <c r="D10659" s="105"/>
      <c r="E10659" s="105"/>
      <c r="F10659" s="105"/>
      <c r="G10659" s="105"/>
      <c r="H10659" s="105"/>
      <c r="I10659" s="105"/>
      <c r="J10659" s="113"/>
      <c r="K10659" s="114"/>
      <c r="L10659" s="115"/>
      <c r="M10659" s="105"/>
      <c r="N10659" s="105"/>
      <c r="O10659" s="105"/>
      <c r="P10659" s="105"/>
      <c r="Q10659" s="113"/>
      <c r="R10659" s="114"/>
      <c r="S10659" s="115"/>
    </row>
    <row r="10660" spans="1:19" x14ac:dyDescent="0.25">
      <c r="A10660" s="111"/>
      <c r="B10660" s="112"/>
      <c r="C10660" s="105"/>
      <c r="D10660" s="105"/>
      <c r="E10660" s="105"/>
      <c r="F10660" s="105"/>
      <c r="G10660" s="105"/>
      <c r="H10660" s="105"/>
      <c r="I10660" s="105"/>
      <c r="J10660" s="113"/>
      <c r="K10660" s="114"/>
      <c r="L10660" s="115"/>
      <c r="M10660" s="105"/>
      <c r="N10660" s="105"/>
      <c r="O10660" s="105"/>
      <c r="P10660" s="105"/>
      <c r="Q10660" s="113"/>
      <c r="R10660" s="114"/>
      <c r="S10660" s="115"/>
    </row>
    <row r="10661" spans="1:19" x14ac:dyDescent="0.25">
      <c r="A10661" s="111"/>
      <c r="B10661" s="112"/>
      <c r="C10661" s="105"/>
      <c r="D10661" s="105"/>
      <c r="E10661" s="105"/>
      <c r="F10661" s="105"/>
      <c r="G10661" s="105"/>
      <c r="H10661" s="105"/>
      <c r="I10661" s="105"/>
      <c r="J10661" s="113"/>
      <c r="K10661" s="114"/>
      <c r="L10661" s="115"/>
      <c r="M10661" s="105"/>
      <c r="N10661" s="105"/>
      <c r="O10661" s="105"/>
      <c r="P10661" s="105"/>
      <c r="Q10661" s="113"/>
      <c r="R10661" s="114"/>
      <c r="S10661" s="115"/>
    </row>
    <row r="10662" spans="1:19" x14ac:dyDescent="0.25">
      <c r="A10662" s="111"/>
      <c r="B10662" s="112"/>
      <c r="C10662" s="105"/>
      <c r="D10662" s="105"/>
      <c r="E10662" s="105"/>
      <c r="F10662" s="105"/>
      <c r="G10662" s="105"/>
      <c r="H10662" s="105"/>
      <c r="I10662" s="105"/>
      <c r="J10662" s="113"/>
      <c r="K10662" s="114"/>
      <c r="L10662" s="115"/>
      <c r="M10662" s="105"/>
      <c r="N10662" s="105"/>
      <c r="O10662" s="105"/>
      <c r="P10662" s="105"/>
      <c r="Q10662" s="113"/>
      <c r="R10662" s="114"/>
      <c r="S10662" s="115"/>
    </row>
    <row r="10663" spans="1:19" x14ac:dyDescent="0.25">
      <c r="A10663" s="111"/>
      <c r="B10663" s="112"/>
      <c r="C10663" s="105"/>
      <c r="D10663" s="105"/>
      <c r="E10663" s="105"/>
      <c r="F10663" s="105"/>
      <c r="G10663" s="105"/>
      <c r="H10663" s="105"/>
      <c r="I10663" s="105"/>
      <c r="J10663" s="113"/>
      <c r="K10663" s="114"/>
      <c r="L10663" s="115"/>
      <c r="M10663" s="105"/>
      <c r="N10663" s="105"/>
      <c r="O10663" s="105"/>
      <c r="P10663" s="105"/>
      <c r="Q10663" s="113"/>
      <c r="R10663" s="114"/>
      <c r="S10663" s="115"/>
    </row>
    <row r="10664" spans="1:19" x14ac:dyDescent="0.25">
      <c r="A10664" s="111"/>
      <c r="B10664" s="112"/>
      <c r="C10664" s="105"/>
      <c r="D10664" s="105"/>
      <c r="E10664" s="105"/>
      <c r="F10664" s="105"/>
      <c r="G10664" s="105"/>
      <c r="H10664" s="105"/>
      <c r="I10664" s="105"/>
      <c r="J10664" s="113"/>
      <c r="K10664" s="114"/>
      <c r="L10664" s="115"/>
      <c r="M10664" s="105"/>
      <c r="N10664" s="105"/>
      <c r="O10664" s="105"/>
      <c r="P10664" s="105"/>
      <c r="Q10664" s="113"/>
      <c r="R10664" s="114"/>
      <c r="S10664" s="115"/>
    </row>
    <row r="10665" spans="1:19" x14ac:dyDescent="0.25">
      <c r="A10665" s="111"/>
      <c r="B10665" s="112"/>
      <c r="C10665" s="105"/>
      <c r="D10665" s="105"/>
      <c r="E10665" s="105"/>
      <c r="F10665" s="105"/>
      <c r="G10665" s="105"/>
      <c r="H10665" s="105"/>
      <c r="I10665" s="105"/>
      <c r="J10665" s="113"/>
      <c r="K10665" s="114"/>
      <c r="L10665" s="115"/>
      <c r="M10665" s="105"/>
      <c r="N10665" s="105"/>
      <c r="O10665" s="105"/>
      <c r="P10665" s="105"/>
      <c r="Q10665" s="113"/>
      <c r="R10665" s="114"/>
      <c r="S10665" s="115"/>
    </row>
    <row r="10666" spans="1:19" x14ac:dyDescent="0.25">
      <c r="A10666" s="111"/>
      <c r="B10666" s="112"/>
      <c r="C10666" s="105"/>
      <c r="D10666" s="105"/>
      <c r="E10666" s="105"/>
      <c r="F10666" s="105"/>
      <c r="G10666" s="105"/>
      <c r="H10666" s="105"/>
      <c r="I10666" s="105"/>
      <c r="J10666" s="113"/>
      <c r="K10666" s="114"/>
      <c r="L10666" s="115"/>
      <c r="M10666" s="105"/>
      <c r="N10666" s="105"/>
      <c r="O10666" s="105"/>
      <c r="P10666" s="105"/>
      <c r="Q10666" s="113"/>
      <c r="R10666" s="114"/>
      <c r="S10666" s="115"/>
    </row>
    <row r="10667" spans="1:19" x14ac:dyDescent="0.25">
      <c r="A10667" s="111"/>
      <c r="B10667" s="112"/>
      <c r="C10667" s="105"/>
      <c r="D10667" s="105"/>
      <c r="E10667" s="105"/>
      <c r="F10667" s="105"/>
      <c r="G10667" s="105"/>
      <c r="H10667" s="105"/>
      <c r="I10667" s="105"/>
      <c r="J10667" s="113"/>
      <c r="K10667" s="114"/>
      <c r="L10667" s="115"/>
      <c r="M10667" s="105"/>
      <c r="N10667" s="105"/>
      <c r="O10667" s="105"/>
      <c r="P10667" s="105"/>
      <c r="Q10667" s="113"/>
      <c r="R10667" s="114"/>
      <c r="S10667" s="115"/>
    </row>
    <row r="10668" spans="1:19" x14ac:dyDescent="0.25">
      <c r="A10668" s="111"/>
      <c r="B10668" s="112"/>
      <c r="C10668" s="105"/>
      <c r="D10668" s="105"/>
      <c r="E10668" s="105"/>
      <c r="F10668" s="105"/>
      <c r="G10668" s="105"/>
      <c r="H10668" s="105"/>
      <c r="I10668" s="105"/>
      <c r="J10668" s="113"/>
      <c r="K10668" s="114"/>
      <c r="L10668" s="115"/>
      <c r="M10668" s="105"/>
      <c r="N10668" s="105"/>
      <c r="O10668" s="105"/>
      <c r="P10668" s="105"/>
      <c r="Q10668" s="113"/>
      <c r="R10668" s="114"/>
      <c r="S10668" s="115"/>
    </row>
    <row r="10669" spans="1:19" x14ac:dyDescent="0.25">
      <c r="A10669" s="111"/>
      <c r="B10669" s="112"/>
      <c r="C10669" s="105"/>
      <c r="D10669" s="105"/>
      <c r="E10669" s="105"/>
      <c r="F10669" s="105"/>
      <c r="G10669" s="105"/>
      <c r="H10669" s="105"/>
      <c r="I10669" s="105"/>
      <c r="J10669" s="113"/>
      <c r="K10669" s="114"/>
      <c r="L10669" s="115"/>
      <c r="M10669" s="105"/>
      <c r="N10669" s="105"/>
      <c r="O10669" s="105"/>
      <c r="P10669" s="105"/>
      <c r="Q10669" s="113"/>
      <c r="R10669" s="114"/>
      <c r="S10669" s="115"/>
    </row>
    <row r="10670" spans="1:19" x14ac:dyDescent="0.25">
      <c r="A10670" s="111"/>
      <c r="B10670" s="112"/>
      <c r="C10670" s="105"/>
      <c r="D10670" s="105"/>
      <c r="E10670" s="105"/>
      <c r="F10670" s="105"/>
      <c r="G10670" s="105"/>
      <c r="H10670" s="105"/>
      <c r="I10670" s="105"/>
      <c r="J10670" s="113"/>
      <c r="K10670" s="114"/>
      <c r="L10670" s="115"/>
      <c r="M10670" s="105"/>
      <c r="N10670" s="105"/>
      <c r="O10670" s="105"/>
      <c r="P10670" s="105"/>
      <c r="Q10670" s="113"/>
      <c r="R10670" s="114"/>
      <c r="S10670" s="115"/>
    </row>
    <row r="10671" spans="1:19" x14ac:dyDescent="0.25">
      <c r="A10671" s="111"/>
      <c r="B10671" s="112"/>
      <c r="C10671" s="105"/>
      <c r="D10671" s="105"/>
      <c r="E10671" s="105"/>
      <c r="F10671" s="105"/>
      <c r="G10671" s="105"/>
      <c r="H10671" s="105"/>
      <c r="I10671" s="105"/>
      <c r="J10671" s="113"/>
      <c r="K10671" s="114"/>
      <c r="L10671" s="115"/>
      <c r="M10671" s="105"/>
      <c r="N10671" s="105"/>
      <c r="O10671" s="105"/>
      <c r="P10671" s="105"/>
      <c r="Q10671" s="113"/>
      <c r="R10671" s="114"/>
      <c r="S10671" s="115"/>
    </row>
    <row r="10672" spans="1:19" x14ac:dyDescent="0.25">
      <c r="A10672" s="111"/>
      <c r="B10672" s="112"/>
      <c r="C10672" s="105"/>
      <c r="D10672" s="105"/>
      <c r="E10672" s="105"/>
      <c r="F10672" s="105"/>
      <c r="G10672" s="105"/>
      <c r="H10672" s="105"/>
      <c r="I10672" s="105"/>
      <c r="J10672" s="113"/>
      <c r="K10672" s="114"/>
      <c r="L10672" s="115"/>
      <c r="M10672" s="105"/>
      <c r="N10672" s="105"/>
      <c r="O10672" s="105"/>
      <c r="P10672" s="105"/>
      <c r="Q10672" s="113"/>
      <c r="R10672" s="114"/>
      <c r="S10672" s="115"/>
    </row>
    <row r="10673" spans="1:19" x14ac:dyDescent="0.25">
      <c r="A10673" s="111"/>
      <c r="B10673" s="112"/>
      <c r="C10673" s="105"/>
      <c r="D10673" s="105"/>
      <c r="E10673" s="105"/>
      <c r="F10673" s="105"/>
      <c r="G10673" s="105"/>
      <c r="H10673" s="105"/>
      <c r="I10673" s="105"/>
      <c r="J10673" s="113"/>
      <c r="K10673" s="114"/>
      <c r="L10673" s="115"/>
      <c r="M10673" s="105"/>
      <c r="N10673" s="105"/>
      <c r="O10673" s="105"/>
      <c r="P10673" s="105"/>
      <c r="Q10673" s="113"/>
      <c r="R10673" s="114"/>
      <c r="S10673" s="115"/>
    </row>
    <row r="10674" spans="1:19" x14ac:dyDescent="0.25">
      <c r="A10674" s="111"/>
      <c r="B10674" s="112"/>
      <c r="C10674" s="105"/>
      <c r="D10674" s="105"/>
      <c r="E10674" s="105"/>
      <c r="F10674" s="105"/>
      <c r="G10674" s="105"/>
      <c r="H10674" s="105"/>
      <c r="I10674" s="105"/>
      <c r="J10674" s="113"/>
      <c r="K10674" s="114"/>
      <c r="L10674" s="115"/>
      <c r="M10674" s="105"/>
      <c r="N10674" s="105"/>
      <c r="O10674" s="105"/>
      <c r="P10674" s="105"/>
      <c r="Q10674" s="113"/>
      <c r="R10674" s="114"/>
      <c r="S10674" s="115"/>
    </row>
    <row r="10675" spans="1:19" x14ac:dyDescent="0.25">
      <c r="A10675" s="111"/>
      <c r="B10675" s="112"/>
      <c r="C10675" s="105"/>
      <c r="D10675" s="105"/>
      <c r="E10675" s="105"/>
      <c r="F10675" s="105"/>
      <c r="G10675" s="105"/>
      <c r="H10675" s="105"/>
      <c r="I10675" s="105"/>
      <c r="J10675" s="113"/>
      <c r="K10675" s="114"/>
      <c r="L10675" s="115"/>
      <c r="M10675" s="105"/>
      <c r="N10675" s="105"/>
      <c r="O10675" s="105"/>
      <c r="P10675" s="105"/>
      <c r="Q10675" s="113"/>
      <c r="R10675" s="114"/>
      <c r="S10675" s="115"/>
    </row>
    <row r="10676" spans="1:19" x14ac:dyDescent="0.25">
      <c r="A10676" s="111"/>
      <c r="B10676" s="112"/>
      <c r="C10676" s="105"/>
      <c r="D10676" s="105"/>
      <c r="E10676" s="105"/>
      <c r="F10676" s="105"/>
      <c r="G10676" s="105"/>
      <c r="H10676" s="105"/>
      <c r="I10676" s="105"/>
      <c r="J10676" s="113"/>
      <c r="K10676" s="114"/>
      <c r="L10676" s="115"/>
      <c r="M10676" s="105"/>
      <c r="N10676" s="105"/>
      <c r="O10676" s="105"/>
      <c r="P10676" s="105"/>
      <c r="Q10676" s="113"/>
      <c r="R10676" s="114"/>
      <c r="S10676" s="115"/>
    </row>
    <row r="10677" spans="1:19" x14ac:dyDescent="0.25">
      <c r="A10677" s="111"/>
      <c r="B10677" s="112"/>
      <c r="C10677" s="105"/>
      <c r="D10677" s="105"/>
      <c r="E10677" s="105"/>
      <c r="F10677" s="105"/>
      <c r="G10677" s="105"/>
      <c r="H10677" s="105"/>
      <c r="I10677" s="105"/>
      <c r="J10677" s="113"/>
      <c r="K10677" s="114"/>
      <c r="L10677" s="115"/>
      <c r="M10677" s="105"/>
      <c r="N10677" s="105"/>
      <c r="O10677" s="105"/>
      <c r="P10677" s="105"/>
      <c r="Q10677" s="113"/>
      <c r="R10677" s="114"/>
      <c r="S10677" s="115"/>
    </row>
    <row r="10678" spans="1:19" x14ac:dyDescent="0.25">
      <c r="A10678" s="111"/>
      <c r="B10678" s="112"/>
      <c r="C10678" s="105"/>
      <c r="D10678" s="105"/>
      <c r="E10678" s="105"/>
      <c r="F10678" s="105"/>
      <c r="G10678" s="105"/>
      <c r="H10678" s="105"/>
      <c r="I10678" s="105"/>
      <c r="J10678" s="113"/>
      <c r="K10678" s="114"/>
      <c r="L10678" s="115"/>
      <c r="M10678" s="105"/>
      <c r="N10678" s="105"/>
      <c r="O10678" s="105"/>
      <c r="P10678" s="105"/>
      <c r="Q10678" s="113"/>
      <c r="R10678" s="114"/>
      <c r="S10678" s="115"/>
    </row>
    <row r="10679" spans="1:19" x14ac:dyDescent="0.25">
      <c r="A10679" s="111"/>
      <c r="B10679" s="112"/>
      <c r="C10679" s="105"/>
      <c r="D10679" s="105"/>
      <c r="E10679" s="105"/>
      <c r="F10679" s="105"/>
      <c r="G10679" s="105"/>
      <c r="H10679" s="105"/>
      <c r="I10679" s="105"/>
      <c r="J10679" s="113"/>
      <c r="K10679" s="114"/>
      <c r="L10679" s="115"/>
      <c r="M10679" s="105"/>
      <c r="N10679" s="105"/>
      <c r="O10679" s="105"/>
      <c r="P10679" s="105"/>
      <c r="Q10679" s="113"/>
      <c r="R10679" s="114"/>
      <c r="S10679" s="115"/>
    </row>
    <row r="10680" spans="1:19" x14ac:dyDescent="0.25">
      <c r="A10680" s="111"/>
      <c r="B10680" s="112"/>
      <c r="C10680" s="105"/>
      <c r="D10680" s="105"/>
      <c r="E10680" s="105"/>
      <c r="F10680" s="105"/>
      <c r="G10680" s="105"/>
      <c r="H10680" s="105"/>
      <c r="I10680" s="105"/>
      <c r="J10680" s="113"/>
      <c r="K10680" s="114"/>
      <c r="L10680" s="115"/>
      <c r="M10680" s="105"/>
      <c r="N10680" s="105"/>
      <c r="O10680" s="105"/>
      <c r="P10680" s="105"/>
      <c r="Q10680" s="113"/>
      <c r="R10680" s="114"/>
      <c r="S10680" s="115"/>
    </row>
    <row r="10681" spans="1:19" x14ac:dyDescent="0.25">
      <c r="A10681" s="111"/>
      <c r="B10681" s="112"/>
      <c r="C10681" s="105"/>
      <c r="D10681" s="105"/>
      <c r="E10681" s="105"/>
      <c r="F10681" s="105"/>
      <c r="G10681" s="105"/>
      <c r="H10681" s="105"/>
      <c r="I10681" s="105"/>
      <c r="J10681" s="113"/>
      <c r="K10681" s="114"/>
      <c r="L10681" s="115"/>
      <c r="M10681" s="105"/>
      <c r="N10681" s="105"/>
      <c r="O10681" s="105"/>
      <c r="P10681" s="105"/>
      <c r="Q10681" s="113"/>
      <c r="R10681" s="114"/>
      <c r="S10681" s="115"/>
    </row>
    <row r="10682" spans="1:19" x14ac:dyDescent="0.25">
      <c r="A10682" s="111"/>
      <c r="B10682" s="112"/>
      <c r="C10682" s="105"/>
      <c r="D10682" s="105"/>
      <c r="E10682" s="105"/>
      <c r="F10682" s="105"/>
      <c r="G10682" s="105"/>
      <c r="H10682" s="105"/>
      <c r="I10682" s="105"/>
      <c r="J10682" s="113"/>
      <c r="K10682" s="114"/>
      <c r="L10682" s="115"/>
      <c r="M10682" s="105"/>
      <c r="N10682" s="105"/>
      <c r="O10682" s="105"/>
      <c r="P10682" s="105"/>
      <c r="Q10682" s="113"/>
      <c r="R10682" s="114"/>
      <c r="S10682" s="115"/>
    </row>
    <row r="10683" spans="1:19" x14ac:dyDescent="0.25">
      <c r="A10683" s="111"/>
      <c r="B10683" s="112"/>
      <c r="C10683" s="105"/>
      <c r="D10683" s="105"/>
      <c r="E10683" s="105"/>
      <c r="F10683" s="105"/>
      <c r="G10683" s="105"/>
      <c r="H10683" s="105"/>
      <c r="I10683" s="105"/>
      <c r="J10683" s="113"/>
      <c r="K10683" s="114"/>
      <c r="L10683" s="115"/>
      <c r="M10683" s="105"/>
      <c r="N10683" s="105"/>
      <c r="O10683" s="105"/>
      <c r="P10683" s="105"/>
      <c r="Q10683" s="113"/>
      <c r="R10683" s="114"/>
      <c r="S10683" s="115"/>
    </row>
    <row r="10684" spans="1:19" x14ac:dyDescent="0.25">
      <c r="A10684" s="111"/>
      <c r="B10684" s="112"/>
      <c r="C10684" s="105"/>
      <c r="D10684" s="105"/>
      <c r="E10684" s="105"/>
      <c r="F10684" s="105"/>
      <c r="G10684" s="105"/>
      <c r="H10684" s="105"/>
      <c r="I10684" s="105"/>
      <c r="J10684" s="113"/>
      <c r="K10684" s="114"/>
      <c r="L10684" s="115"/>
      <c r="M10684" s="105"/>
      <c r="N10684" s="105"/>
      <c r="O10684" s="105"/>
      <c r="P10684" s="105"/>
      <c r="Q10684" s="113"/>
      <c r="R10684" s="114"/>
      <c r="S10684" s="115"/>
    </row>
    <row r="10685" spans="1:19" x14ac:dyDescent="0.25">
      <c r="A10685" s="111"/>
      <c r="B10685" s="112"/>
      <c r="C10685" s="105"/>
      <c r="D10685" s="105"/>
      <c r="E10685" s="105"/>
      <c r="F10685" s="105"/>
      <c r="G10685" s="105"/>
      <c r="H10685" s="105"/>
      <c r="I10685" s="105"/>
      <c r="J10685" s="113"/>
      <c r="K10685" s="114"/>
      <c r="L10685" s="115"/>
      <c r="M10685" s="105"/>
      <c r="N10685" s="105"/>
      <c r="O10685" s="105"/>
      <c r="P10685" s="105"/>
      <c r="Q10685" s="113"/>
      <c r="R10685" s="114"/>
      <c r="S10685" s="115"/>
    </row>
    <row r="10686" spans="1:19" x14ac:dyDescent="0.25">
      <c r="A10686" s="111"/>
      <c r="B10686" s="112"/>
      <c r="C10686" s="105"/>
      <c r="D10686" s="105"/>
      <c r="E10686" s="105"/>
      <c r="F10686" s="105"/>
      <c r="G10686" s="105"/>
      <c r="H10686" s="105"/>
      <c r="I10686" s="105"/>
      <c r="J10686" s="113"/>
      <c r="K10686" s="114"/>
      <c r="L10686" s="115"/>
      <c r="M10686" s="105"/>
      <c r="N10686" s="105"/>
      <c r="O10686" s="105"/>
      <c r="P10686" s="105"/>
      <c r="Q10686" s="113"/>
      <c r="R10686" s="114"/>
      <c r="S10686" s="115"/>
    </row>
    <row r="10687" spans="1:19" x14ac:dyDescent="0.25">
      <c r="A10687" s="111"/>
      <c r="B10687" s="112"/>
      <c r="C10687" s="105"/>
      <c r="D10687" s="105"/>
      <c r="E10687" s="105"/>
      <c r="F10687" s="105"/>
      <c r="G10687" s="105"/>
      <c r="H10687" s="105"/>
      <c r="I10687" s="105"/>
      <c r="J10687" s="113"/>
      <c r="K10687" s="114"/>
      <c r="L10687" s="115"/>
      <c r="M10687" s="105"/>
      <c r="N10687" s="105"/>
      <c r="O10687" s="105"/>
      <c r="P10687" s="105"/>
      <c r="Q10687" s="113"/>
      <c r="R10687" s="114"/>
      <c r="S10687" s="115"/>
    </row>
    <row r="10688" spans="1:19" x14ac:dyDescent="0.25">
      <c r="A10688" s="111"/>
      <c r="B10688" s="112"/>
      <c r="C10688" s="105"/>
      <c r="D10688" s="105"/>
      <c r="E10688" s="105"/>
      <c r="F10688" s="105"/>
      <c r="G10688" s="105"/>
      <c r="H10688" s="105"/>
      <c r="I10688" s="105"/>
      <c r="J10688" s="113"/>
      <c r="K10688" s="114"/>
      <c r="L10688" s="115"/>
      <c r="M10688" s="105"/>
      <c r="N10688" s="105"/>
      <c r="O10688" s="105"/>
      <c r="P10688" s="105"/>
      <c r="Q10688" s="113"/>
      <c r="R10688" s="114"/>
      <c r="S10688" s="115"/>
    </row>
    <row r="10689" spans="1:19" x14ac:dyDescent="0.25">
      <c r="A10689" s="111"/>
      <c r="B10689" s="112"/>
      <c r="C10689" s="105"/>
      <c r="D10689" s="105"/>
      <c r="E10689" s="105"/>
      <c r="F10689" s="105"/>
      <c r="G10689" s="105"/>
      <c r="H10689" s="105"/>
      <c r="I10689" s="105"/>
      <c r="J10689" s="113"/>
      <c r="K10689" s="114"/>
      <c r="L10689" s="115"/>
      <c r="M10689" s="105"/>
      <c r="N10689" s="105"/>
      <c r="O10689" s="105"/>
      <c r="P10689" s="105"/>
      <c r="Q10689" s="113"/>
      <c r="R10689" s="114"/>
      <c r="S10689" s="115"/>
    </row>
    <row r="10690" spans="1:19" x14ac:dyDescent="0.25">
      <c r="A10690" s="111"/>
      <c r="B10690" s="112"/>
      <c r="C10690" s="105"/>
      <c r="D10690" s="105"/>
      <c r="E10690" s="105"/>
      <c r="F10690" s="105"/>
      <c r="G10690" s="105"/>
      <c r="H10690" s="105"/>
      <c r="I10690" s="105"/>
      <c r="J10690" s="113"/>
      <c r="K10690" s="114"/>
      <c r="L10690" s="115"/>
      <c r="M10690" s="105"/>
      <c r="N10690" s="105"/>
      <c r="O10690" s="105"/>
      <c r="P10690" s="105"/>
      <c r="Q10690" s="113"/>
      <c r="R10690" s="114"/>
      <c r="S10690" s="115"/>
    </row>
    <row r="10691" spans="1:19" x14ac:dyDescent="0.25">
      <c r="A10691" s="111"/>
      <c r="B10691" s="112"/>
      <c r="C10691" s="105"/>
      <c r="D10691" s="105"/>
      <c r="E10691" s="105"/>
      <c r="F10691" s="105"/>
      <c r="G10691" s="105"/>
      <c r="H10691" s="105"/>
      <c r="I10691" s="105"/>
      <c r="J10691" s="113"/>
      <c r="K10691" s="114"/>
      <c r="L10691" s="115"/>
      <c r="M10691" s="105"/>
      <c r="N10691" s="105"/>
      <c r="O10691" s="105"/>
      <c r="P10691" s="105"/>
      <c r="Q10691" s="113"/>
      <c r="R10691" s="114"/>
      <c r="S10691" s="115"/>
    </row>
    <row r="10692" spans="1:19" x14ac:dyDescent="0.25">
      <c r="A10692" s="111"/>
      <c r="B10692" s="112"/>
      <c r="C10692" s="105"/>
      <c r="D10692" s="105"/>
      <c r="E10692" s="105"/>
      <c r="F10692" s="105"/>
      <c r="G10692" s="105"/>
      <c r="H10692" s="105"/>
      <c r="I10692" s="105"/>
      <c r="J10692" s="113"/>
      <c r="K10692" s="114"/>
      <c r="L10692" s="115"/>
      <c r="M10692" s="105"/>
      <c r="N10692" s="105"/>
      <c r="O10692" s="105"/>
      <c r="P10692" s="105"/>
      <c r="Q10692" s="113"/>
      <c r="R10692" s="114"/>
      <c r="S10692" s="115"/>
    </row>
    <row r="10693" spans="1:19" x14ac:dyDescent="0.25">
      <c r="A10693" s="111"/>
      <c r="B10693" s="112"/>
      <c r="C10693" s="105"/>
      <c r="D10693" s="105"/>
      <c r="E10693" s="105"/>
      <c r="F10693" s="105"/>
      <c r="G10693" s="105"/>
      <c r="H10693" s="105"/>
      <c r="I10693" s="105"/>
      <c r="J10693" s="113"/>
      <c r="K10693" s="114"/>
      <c r="L10693" s="115"/>
      <c r="M10693" s="105"/>
      <c r="N10693" s="105"/>
      <c r="O10693" s="105"/>
      <c r="P10693" s="105"/>
      <c r="Q10693" s="113"/>
      <c r="R10693" s="114"/>
      <c r="S10693" s="115"/>
    </row>
    <row r="10694" spans="1:19" x14ac:dyDescent="0.25">
      <c r="A10694" s="111"/>
      <c r="B10694" s="112"/>
      <c r="C10694" s="105"/>
      <c r="D10694" s="105"/>
      <c r="E10694" s="105"/>
      <c r="F10694" s="105"/>
      <c r="G10694" s="105"/>
      <c r="H10694" s="105"/>
      <c r="I10694" s="105"/>
      <c r="J10694" s="113"/>
      <c r="K10694" s="114"/>
      <c r="L10694" s="115"/>
      <c r="M10694" s="105"/>
      <c r="N10694" s="105"/>
      <c r="O10694" s="105"/>
      <c r="P10694" s="105"/>
      <c r="Q10694" s="113"/>
      <c r="R10694" s="114"/>
      <c r="S10694" s="115"/>
    </row>
    <row r="10695" spans="1:19" x14ac:dyDescent="0.25">
      <c r="A10695" s="111"/>
      <c r="B10695" s="112"/>
      <c r="C10695" s="105"/>
      <c r="D10695" s="105"/>
      <c r="E10695" s="105"/>
      <c r="F10695" s="105"/>
      <c r="G10695" s="105"/>
      <c r="H10695" s="105"/>
      <c r="I10695" s="105"/>
      <c r="J10695" s="113"/>
      <c r="K10695" s="114"/>
      <c r="L10695" s="115"/>
      <c r="M10695" s="105"/>
      <c r="N10695" s="105"/>
      <c r="O10695" s="105"/>
      <c r="P10695" s="105"/>
      <c r="Q10695" s="113"/>
      <c r="R10695" s="114"/>
      <c r="S10695" s="115"/>
    </row>
  </sheetData>
  <sortState xmlns:xlrd2="http://schemas.microsoft.com/office/spreadsheetml/2017/richdata2" ref="A9:AJ265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3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387" t="s">
        <v>89</v>
      </c>
      <c r="R1" s="387"/>
      <c r="S1" s="387"/>
      <c r="T1" s="161">
        <v>29</v>
      </c>
      <c r="U1" s="391" t="s">
        <v>99</v>
      </c>
      <c r="V1" s="391"/>
      <c r="W1" s="162" t="s">
        <v>100</v>
      </c>
      <c r="Y1" s="162"/>
      <c r="Z1" s="162" t="s">
        <v>104</v>
      </c>
      <c r="AA1" s="391" t="s">
        <v>103</v>
      </c>
      <c r="AB1" s="391"/>
      <c r="AC1" s="391"/>
      <c r="AD1" s="163" t="s">
        <v>122</v>
      </c>
      <c r="AE1" s="163"/>
      <c r="AF1" s="163"/>
      <c r="AG1" s="391" t="s">
        <v>97</v>
      </c>
      <c r="AH1" s="391"/>
      <c r="AI1" s="391"/>
      <c r="AJ1" s="162"/>
      <c r="AK1" s="388" t="s">
        <v>98</v>
      </c>
      <c r="AL1" s="389"/>
      <c r="AM1" s="390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387"/>
      <c r="BB1" s="387"/>
      <c r="BC1" s="387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384" t="s">
        <v>114</v>
      </c>
      <c r="AR2" s="385"/>
      <c r="AS2" s="386"/>
      <c r="AT2" s="392" t="s">
        <v>109</v>
      </c>
      <c r="AU2" s="392"/>
      <c r="AV2" s="392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0.2571</v>
      </c>
      <c r="E3" s="161">
        <v>0.13700000000000001</v>
      </c>
      <c r="F3" s="161">
        <f t="shared" ref="F3:F34" si="3">ROUND(PI()*2*D3*E3,4)</f>
        <v>0.2213</v>
      </c>
      <c r="G3" s="161" t="s">
        <v>452</v>
      </c>
      <c r="H3" s="161">
        <f t="shared" ref="H3:H34" si="4">F3/SUM($F$3:$F$116)</f>
        <v>3.9440455249430146E-3</v>
      </c>
      <c r="I3" s="161" t="str">
        <f>A3&amp;"-"&amp;TEXT(MCP!$D$1,"00")</f>
        <v>1.1001.1-03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4.2345468446744697E-3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-0.25140000000000001</v>
      </c>
      <c r="Y3" s="162">
        <v>1.4305000000000001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-2790.3922626895587</v>
      </c>
      <c r="AY3" s="161">
        <v>-1727.3618116391374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2" t="str">
        <f t="shared" si="0"/>
        <v>3.1002.1</v>
      </c>
      <c r="B4" s="282" t="str">
        <f t="shared" si="1"/>
        <v>03</v>
      </c>
      <c r="C4" s="282" t="str">
        <f t="shared" si="2"/>
        <v>3.1002.1.03</v>
      </c>
      <c r="D4" s="161">
        <v>0.52170000000000005</v>
      </c>
      <c r="E4" s="161">
        <v>0.10639999999999999</v>
      </c>
      <c r="F4" s="282">
        <f t="shared" si="3"/>
        <v>0.3488</v>
      </c>
      <c r="G4" s="161" t="s">
        <v>830</v>
      </c>
      <c r="H4" s="282">
        <f t="shared" si="4"/>
        <v>6.2163717989160575E-3</v>
      </c>
      <c r="I4" s="282" t="str">
        <f>A4&amp;"-"&amp;TEXT(MCP!$D$1,"00")</f>
        <v>3.1002.1-03</v>
      </c>
      <c r="J4" s="282">
        <f>IFERROR(VLOOKUP(I4,MCP!#REF!,10,FALSE),0)</f>
        <v>0</v>
      </c>
      <c r="K4" s="282">
        <f>IFERROR(VLOOKUP(I4,MCP!#REF!,19,FALSE),0)</f>
        <v>0</v>
      </c>
      <c r="L4" s="161">
        <v>2</v>
      </c>
      <c r="M4" s="161">
        <v>6.6547971035414433E-3</v>
      </c>
      <c r="N4" s="282" t="e">
        <f>IF($A4="","",VLOOKUP(LEFT($A4,7)&amp;"1-00",MCP!#REF!,N$1,FALSE))</f>
        <v>#REF!</v>
      </c>
      <c r="O4" s="282" t="e">
        <f>IF($A4="","",VLOOKUP(LEFT($A4,7)&amp;"1-00",MCP!#REF!,O$1,FALSE))</f>
        <v>#REF!</v>
      </c>
      <c r="P4" s="282" t="e">
        <f>IF($A4="","",VLOOKUP(LEFT($A4,7)&amp;"1-00",MCP!#REF!,P$1,FALSE))</f>
        <v>#REF!</v>
      </c>
      <c r="Q4" s="282" t="e">
        <f t="shared" si="5"/>
        <v>#REF!</v>
      </c>
      <c r="R4" s="282" t="e">
        <f t="shared" si="6"/>
        <v>#REF!</v>
      </c>
      <c r="S4" s="282" t="e">
        <f t="shared" si="7"/>
        <v>#REF!</v>
      </c>
      <c r="T4" s="282" t="e">
        <f>VLOOKUP(LEFT($A4,7)&amp;"1-00",MCP!#REF!,T$1,FALSE)</f>
        <v>#REF!</v>
      </c>
      <c r="U4" s="282" t="str">
        <f t="shared" si="8"/>
        <v/>
      </c>
      <c r="V4" s="282" t="str">
        <f t="shared" si="9"/>
        <v/>
      </c>
      <c r="W4" s="284" t="str">
        <f t="shared" si="10"/>
        <v/>
      </c>
      <c r="X4" s="161">
        <v>-0.53029999999999999</v>
      </c>
      <c r="Y4" s="279">
        <v>1.3572</v>
      </c>
      <c r="Z4" s="284" t="str">
        <f t="shared" si="11"/>
        <v/>
      </c>
      <c r="AA4" s="282" t="str">
        <f t="shared" si="12"/>
        <v/>
      </c>
      <c r="AB4" s="282" t="str">
        <f t="shared" si="13"/>
        <v/>
      </c>
      <c r="AC4" s="282" t="str">
        <f t="shared" si="14"/>
        <v/>
      </c>
      <c r="AD4" s="282" t="str">
        <f t="shared" si="15"/>
        <v/>
      </c>
      <c r="AE4" s="282" t="str">
        <f t="shared" si="16"/>
        <v/>
      </c>
      <c r="AF4" s="282" t="str">
        <f t="shared" si="17"/>
        <v/>
      </c>
      <c r="AG4" s="282" t="str">
        <f t="shared" si="18"/>
        <v/>
      </c>
      <c r="AH4" s="282" t="str">
        <f t="shared" si="19"/>
        <v/>
      </c>
      <c r="AI4" s="282" t="str">
        <f t="shared" si="20"/>
        <v/>
      </c>
      <c r="AJ4" s="282" t="str">
        <f>IF(U4="","",VLOOKUP(LEFT(I4,6)&amp;".1-00",MCP!$AK$9:$AL$464,21,FALSE))</f>
        <v/>
      </c>
      <c r="AK4" s="283" t="str">
        <f t="shared" si="21"/>
        <v/>
      </c>
      <c r="AL4" s="284" t="str">
        <f t="shared" si="22"/>
        <v/>
      </c>
      <c r="AM4" s="285" t="str">
        <f t="shared" si="23"/>
        <v/>
      </c>
      <c r="AN4" s="282">
        <f t="shared" si="24"/>
        <v>0</v>
      </c>
      <c r="AO4" s="282">
        <f t="shared" si="25"/>
        <v>0</v>
      </c>
      <c r="AP4" s="282">
        <f t="shared" si="26"/>
        <v>0</v>
      </c>
      <c r="AQ4" s="282" t="e">
        <f>VLOOKUP(LEFT($A4,7)&amp;"1-00",MCP!#REF!,30,FALSE)</f>
        <v>#REF!</v>
      </c>
      <c r="AR4" s="282" t="e">
        <f>VLOOKUP(LEFT($A4,7)&amp;"1-00",MCP!#REF!,31,FALSE)</f>
        <v>#REF!</v>
      </c>
      <c r="AS4" s="282" t="e">
        <f>VLOOKUP($A4&amp;"-"&amp;$B4,MCP!#REF!,12,FALSE)</f>
        <v>#REF!</v>
      </c>
      <c r="AT4" s="282" t="str">
        <f t="shared" si="27"/>
        <v/>
      </c>
      <c r="AU4" s="282" t="str">
        <f t="shared" si="28"/>
        <v/>
      </c>
      <c r="AV4" s="282" t="str">
        <f t="shared" si="29"/>
        <v/>
      </c>
      <c r="AW4" s="282" t="str">
        <f>IF($U4="","",VLOOKUP(LEFT($A4,7)&amp;"1-00",MCP!#REF!,24,FALSE))</f>
        <v/>
      </c>
      <c r="AX4" s="282">
        <v>-7065.2256964177323</v>
      </c>
      <c r="AY4" s="282">
        <v>-2155.3873752056006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2" t="str">
        <f t="shared" si="0"/>
        <v>5.1003.1</v>
      </c>
      <c r="B5" s="282" t="str">
        <f t="shared" si="1"/>
        <v>03</v>
      </c>
      <c r="C5" s="282" t="str">
        <f t="shared" si="2"/>
        <v>5.1003.1.03</v>
      </c>
      <c r="D5" s="161">
        <v>0.75660000000000005</v>
      </c>
      <c r="E5" s="161">
        <v>0.10290000000000001</v>
      </c>
      <c r="F5" s="282">
        <f t="shared" si="3"/>
        <v>0.48920000000000002</v>
      </c>
      <c r="G5" s="161" t="s">
        <v>862</v>
      </c>
      <c r="H5" s="282">
        <f t="shared" si="4"/>
        <v>8.7186040253146094E-3</v>
      </c>
      <c r="I5" s="282" t="str">
        <f>A5&amp;"-"&amp;TEXT(MCP!$D$1,"00")</f>
        <v>5.1003.1-03</v>
      </c>
      <c r="J5" s="282">
        <f>IFERROR(VLOOKUP(I5,MCP!#REF!,10,FALSE),0)</f>
        <v>0</v>
      </c>
      <c r="K5" s="282">
        <f>IFERROR(VLOOKUP(I5,MCP!#REF!,19,FALSE),0)</f>
        <v>0</v>
      </c>
      <c r="L5" s="161">
        <v>3</v>
      </c>
      <c r="M5" s="161">
        <v>9.3958463657928485E-3</v>
      </c>
      <c r="N5" s="282" t="e">
        <f>IF($A5="","",VLOOKUP(LEFT($A5,7)&amp;"1-00",MCP!#REF!,N$1,FALSE))</f>
        <v>#REF!</v>
      </c>
      <c r="O5" s="282" t="e">
        <f>IF($A5="","",VLOOKUP(LEFT($A5,7)&amp;"1-00",MCP!#REF!,O$1,FALSE))</f>
        <v>#REF!</v>
      </c>
      <c r="P5" s="282" t="e">
        <f>IF($A5="","",VLOOKUP(LEFT($A5,7)&amp;"1-00",MCP!#REF!,P$1,FALSE))</f>
        <v>#REF!</v>
      </c>
      <c r="Q5" s="282" t="e">
        <f t="shared" si="5"/>
        <v>#REF!</v>
      </c>
      <c r="R5" s="282" t="e">
        <f t="shared" si="6"/>
        <v>#REF!</v>
      </c>
      <c r="S5" s="282" t="e">
        <f t="shared" si="7"/>
        <v>#REF!</v>
      </c>
      <c r="T5" s="282" t="e">
        <f>VLOOKUP(LEFT($A5,7)&amp;"1-00",MCP!#REF!,T$1,FALSE)</f>
        <v>#REF!</v>
      </c>
      <c r="U5" s="282" t="str">
        <f t="shared" si="8"/>
        <v/>
      </c>
      <c r="V5" s="282" t="str">
        <f t="shared" si="9"/>
        <v/>
      </c>
      <c r="W5" s="284" t="str">
        <f t="shared" si="10"/>
        <v/>
      </c>
      <c r="X5" s="161">
        <v>-0.75390000000000001</v>
      </c>
      <c r="Y5" s="268">
        <v>1.3337000000000001</v>
      </c>
      <c r="Z5" s="284" t="str">
        <f t="shared" si="11"/>
        <v/>
      </c>
      <c r="AA5" s="282" t="str">
        <f t="shared" si="12"/>
        <v/>
      </c>
      <c r="AB5" s="282" t="str">
        <f t="shared" si="13"/>
        <v/>
      </c>
      <c r="AC5" s="282" t="str">
        <f t="shared" si="14"/>
        <v/>
      </c>
      <c r="AD5" s="282" t="str">
        <f t="shared" si="15"/>
        <v/>
      </c>
      <c r="AE5" s="282" t="str">
        <f t="shared" si="16"/>
        <v/>
      </c>
      <c r="AF5" s="282" t="str">
        <f t="shared" si="17"/>
        <v/>
      </c>
      <c r="AG5" s="282" t="str">
        <f t="shared" si="18"/>
        <v/>
      </c>
      <c r="AH5" s="282" t="str">
        <f t="shared" si="19"/>
        <v/>
      </c>
      <c r="AI5" s="282" t="str">
        <f t="shared" si="20"/>
        <v/>
      </c>
      <c r="AJ5" s="282" t="str">
        <f>IF(U5="","",VLOOKUP(LEFT(I5,6)&amp;".1-00",MCP!$AK$9:$AL$464,21,FALSE))</f>
        <v/>
      </c>
      <c r="AK5" s="283" t="str">
        <f t="shared" si="21"/>
        <v/>
      </c>
      <c r="AL5" s="284" t="str">
        <f t="shared" si="22"/>
        <v/>
      </c>
      <c r="AM5" s="285" t="str">
        <f t="shared" si="23"/>
        <v/>
      </c>
      <c r="AN5" s="282">
        <f t="shared" si="24"/>
        <v>0</v>
      </c>
      <c r="AO5" s="282">
        <f t="shared" si="25"/>
        <v>0</v>
      </c>
      <c r="AP5" s="282">
        <f t="shared" si="26"/>
        <v>0</v>
      </c>
      <c r="AQ5" s="282" t="e">
        <f>VLOOKUP(LEFT($A5,7)&amp;"1-00",MCP!#REF!,30,FALSE)</f>
        <v>#REF!</v>
      </c>
      <c r="AR5" s="282" t="e">
        <f>VLOOKUP(LEFT($A5,7)&amp;"1-00",MCP!#REF!,31,FALSE)</f>
        <v>#REF!</v>
      </c>
      <c r="AS5" s="282" t="e">
        <f>VLOOKUP($A5&amp;"-"&amp;$B5,MCP!#REF!,12,FALSE)</f>
        <v>#REF!</v>
      </c>
      <c r="AT5" s="282" t="str">
        <f t="shared" si="27"/>
        <v/>
      </c>
      <c r="AU5" s="282" t="str">
        <f t="shared" si="28"/>
        <v/>
      </c>
      <c r="AV5" s="282" t="str">
        <f t="shared" si="29"/>
        <v/>
      </c>
      <c r="AW5" s="282" t="str">
        <f>IF($U5="","",VLOOKUP(LEFT($A5,7)&amp;"1-00",MCP!#REF!,24,FALSE))</f>
        <v/>
      </c>
      <c r="AX5" s="282">
        <v>-12519.371614012991</v>
      </c>
      <c r="AY5" s="282">
        <v>-2633.5182087953071</v>
      </c>
      <c r="BF5" s="174" t="str">
        <f t="shared" si="30"/>
        <v/>
      </c>
    </row>
    <row r="6" spans="1:58" x14ac:dyDescent="0.2">
      <c r="A6" s="282" t="str">
        <f t="shared" si="0"/>
        <v>1.1004.1</v>
      </c>
      <c r="B6" s="282" t="str">
        <f t="shared" si="1"/>
        <v>03</v>
      </c>
      <c r="C6" s="282" t="str">
        <f t="shared" si="2"/>
        <v>1.1004.1.03</v>
      </c>
      <c r="D6" s="161">
        <v>0.9879</v>
      </c>
      <c r="E6" s="161">
        <v>0.10050000000000001</v>
      </c>
      <c r="F6" s="282">
        <f t="shared" si="3"/>
        <v>0.62380000000000002</v>
      </c>
      <c r="G6" s="161" t="s">
        <v>656</v>
      </c>
      <c r="H6" s="282">
        <f t="shared" si="4"/>
        <v>1.1117467683955955E-2</v>
      </c>
      <c r="I6" s="282" t="str">
        <f>A6&amp;"-"&amp;TEXT(MCP!$D$1,"00")</f>
        <v>1.1004.1-03</v>
      </c>
      <c r="J6" s="282">
        <f>IFERROR(VLOOKUP(I6,MCP!#REF!,10,FALSE),0)</f>
        <v>0</v>
      </c>
      <c r="K6" s="282">
        <f>IFERROR(VLOOKUP(I6,MCP!#REF!,19,FALSE),0)</f>
        <v>0</v>
      </c>
      <c r="L6" s="161">
        <v>4</v>
      </c>
      <c r="M6" s="161">
        <v>1.2005011593319541E-2</v>
      </c>
      <c r="N6" s="282" t="e">
        <f>IF($A6="","",VLOOKUP(LEFT($A6,7)&amp;"1-00",MCP!#REF!,N$1,FALSE))</f>
        <v>#REF!</v>
      </c>
      <c r="O6" s="282" t="e">
        <f>IF($A6="","",VLOOKUP(LEFT($A6,7)&amp;"1-00",MCP!#REF!,O$1,FALSE))</f>
        <v>#REF!</v>
      </c>
      <c r="P6" s="282" t="e">
        <f>IF($A6="","",VLOOKUP(LEFT($A6,7)&amp;"1-00",MCP!#REF!,P$1,FALSE))</f>
        <v>#REF!</v>
      </c>
      <c r="Q6" s="282" t="e">
        <f t="shared" si="5"/>
        <v>#REF!</v>
      </c>
      <c r="R6" s="282" t="e">
        <f t="shared" si="6"/>
        <v>#REF!</v>
      </c>
      <c r="S6" s="282" t="e">
        <f t="shared" si="7"/>
        <v>#REF!</v>
      </c>
      <c r="T6" s="282" t="e">
        <f>VLOOKUP(LEFT($A6,7)&amp;"1-00",MCP!#REF!,T$1,FALSE)</f>
        <v>#REF!</v>
      </c>
      <c r="U6" s="282" t="str">
        <f t="shared" si="8"/>
        <v/>
      </c>
      <c r="V6" s="282" t="str">
        <f t="shared" si="9"/>
        <v/>
      </c>
      <c r="W6" s="284" t="str">
        <f t="shared" si="10"/>
        <v/>
      </c>
      <c r="X6" s="161">
        <v>-0.49399999999999999</v>
      </c>
      <c r="Y6" s="280">
        <v>1.3237000000000001</v>
      </c>
      <c r="Z6" s="284" t="str">
        <f t="shared" si="11"/>
        <v/>
      </c>
      <c r="AA6" s="282" t="str">
        <f t="shared" si="12"/>
        <v/>
      </c>
      <c r="AB6" s="282" t="str">
        <f t="shared" si="13"/>
        <v/>
      </c>
      <c r="AC6" s="282" t="str">
        <f t="shared" si="14"/>
        <v/>
      </c>
      <c r="AD6" s="282" t="str">
        <f t="shared" si="15"/>
        <v/>
      </c>
      <c r="AE6" s="282" t="str">
        <f t="shared" si="16"/>
        <v/>
      </c>
      <c r="AF6" s="282" t="str">
        <f t="shared" si="17"/>
        <v/>
      </c>
      <c r="AG6" s="282" t="str">
        <f t="shared" si="18"/>
        <v/>
      </c>
      <c r="AH6" s="282" t="str">
        <f t="shared" si="19"/>
        <v/>
      </c>
      <c r="AI6" s="282" t="str">
        <f t="shared" si="20"/>
        <v/>
      </c>
      <c r="AJ6" s="282" t="str">
        <f>IF(U6="","",VLOOKUP(LEFT(I6,6)&amp;".1-00",MCP!$AK$9:$AL$464,21,FALSE))</f>
        <v/>
      </c>
      <c r="AK6" s="283" t="str">
        <f t="shared" si="21"/>
        <v/>
      </c>
      <c r="AL6" s="284" t="str">
        <f t="shared" si="22"/>
        <v/>
      </c>
      <c r="AM6" s="285" t="str">
        <f t="shared" si="23"/>
        <v/>
      </c>
      <c r="AN6" s="282">
        <f t="shared" si="24"/>
        <v>0</v>
      </c>
      <c r="AO6" s="282">
        <f t="shared" si="25"/>
        <v>0</v>
      </c>
      <c r="AP6" s="282">
        <f t="shared" si="26"/>
        <v>0</v>
      </c>
      <c r="AQ6" s="282" t="e">
        <f>VLOOKUP(LEFT($A6,7)&amp;"1-00",MCP!#REF!,30,FALSE)</f>
        <v>#REF!</v>
      </c>
      <c r="AR6" s="282" t="e">
        <f>VLOOKUP(LEFT($A6,7)&amp;"1-00",MCP!#REF!,31,FALSE)</f>
        <v>#REF!</v>
      </c>
      <c r="AS6" s="282" t="e">
        <f>VLOOKUP($A6&amp;"-"&amp;$B6,MCP!#REF!,12,FALSE)</f>
        <v>#REF!</v>
      </c>
      <c r="AT6" s="282" t="str">
        <f t="shared" si="27"/>
        <v/>
      </c>
      <c r="AU6" s="282" t="str">
        <f t="shared" si="28"/>
        <v/>
      </c>
      <c r="AV6" s="282" t="str">
        <f t="shared" si="29"/>
        <v/>
      </c>
      <c r="AW6" s="282" t="str">
        <f>IF($U6="","",VLOOKUP(LEFT($A6,7)&amp;"1-00",MCP!#REF!,24,FALSE))</f>
        <v/>
      </c>
      <c r="AX6" s="282">
        <v>-18562.311671366439</v>
      </c>
      <c r="AY6" s="282">
        <v>-2990.468324436029</v>
      </c>
      <c r="BF6" s="174" t="str">
        <f t="shared" si="30"/>
        <v/>
      </c>
    </row>
    <row r="7" spans="1:58" x14ac:dyDescent="0.2">
      <c r="A7" s="282" t="str">
        <f t="shared" si="0"/>
        <v>3.1005.1</v>
      </c>
      <c r="B7" s="282" t="str">
        <f t="shared" si="1"/>
        <v>03</v>
      </c>
      <c r="C7" s="282" t="str">
        <f t="shared" si="2"/>
        <v>3.1005.1.03</v>
      </c>
      <c r="D7" s="161">
        <v>1.2259</v>
      </c>
      <c r="E7" s="161">
        <v>0.10929999999999999</v>
      </c>
      <c r="F7" s="282">
        <f t="shared" si="3"/>
        <v>0.84189999999999998</v>
      </c>
      <c r="G7" s="161" t="s">
        <v>832</v>
      </c>
      <c r="H7" s="282">
        <f t="shared" si="4"/>
        <v>1.5004482274963959E-2</v>
      </c>
      <c r="I7" s="282" t="str">
        <f>A7&amp;"-"&amp;TEXT(MCP!$D$1,"00")</f>
        <v>3.1005.1-03</v>
      </c>
      <c r="J7" s="282">
        <f>IFERROR(VLOOKUP(I7,MCP!#REF!,10,FALSE),0)</f>
        <v>0</v>
      </c>
      <c r="K7" s="282">
        <f>IFERROR(VLOOKUP(I7,MCP!#REF!,19,FALSE),0)</f>
        <v>0</v>
      </c>
      <c r="L7" s="161">
        <v>5</v>
      </c>
      <c r="M7" s="161">
        <v>1.6168269770575248E-2</v>
      </c>
      <c r="N7" s="282" t="e">
        <f>IF($A7="","",VLOOKUP(LEFT($A7,7)&amp;"1-00",MCP!#REF!,N$1,FALSE))</f>
        <v>#REF!</v>
      </c>
      <c r="O7" s="282" t="e">
        <f>IF($A7="","",VLOOKUP(LEFT($A7,7)&amp;"1-00",MCP!#REF!,O$1,FALSE))</f>
        <v>#REF!</v>
      </c>
      <c r="P7" s="282" t="e">
        <f>IF($A7="","",VLOOKUP(LEFT($A7,7)&amp;"1-00",MCP!#REF!,P$1,FALSE))</f>
        <v>#REF!</v>
      </c>
      <c r="Q7" s="282" t="e">
        <f t="shared" si="5"/>
        <v>#REF!</v>
      </c>
      <c r="R7" s="282" t="e">
        <f t="shared" si="6"/>
        <v>#REF!</v>
      </c>
      <c r="S7" s="282" t="e">
        <f t="shared" si="7"/>
        <v>#REF!</v>
      </c>
      <c r="T7" s="282" t="e">
        <f>VLOOKUP(LEFT($A7,7)&amp;"1-00",MCP!#REF!,T$1,FALSE)</f>
        <v>#REF!</v>
      </c>
      <c r="U7" s="282" t="str">
        <f t="shared" si="8"/>
        <v/>
      </c>
      <c r="V7" s="282" t="str">
        <f t="shared" si="9"/>
        <v/>
      </c>
      <c r="W7" s="284" t="str">
        <f t="shared" si="10"/>
        <v/>
      </c>
      <c r="X7" s="161">
        <v>-0.71579999999999999</v>
      </c>
      <c r="Y7" s="284">
        <v>1.3614999999999999</v>
      </c>
      <c r="Z7" s="284" t="str">
        <f t="shared" si="11"/>
        <v/>
      </c>
      <c r="AA7" s="282" t="str">
        <f t="shared" si="12"/>
        <v/>
      </c>
      <c r="AB7" s="282" t="str">
        <f t="shared" si="13"/>
        <v/>
      </c>
      <c r="AC7" s="282" t="str">
        <f t="shared" si="14"/>
        <v/>
      </c>
      <c r="AD7" s="282" t="str">
        <f t="shared" si="15"/>
        <v/>
      </c>
      <c r="AE7" s="282" t="str">
        <f t="shared" si="16"/>
        <v/>
      </c>
      <c r="AF7" s="282" t="str">
        <f t="shared" si="17"/>
        <v/>
      </c>
      <c r="AG7" s="282" t="str">
        <f t="shared" si="18"/>
        <v/>
      </c>
      <c r="AH7" s="282" t="str">
        <f t="shared" si="19"/>
        <v/>
      </c>
      <c r="AI7" s="282" t="str">
        <f t="shared" si="20"/>
        <v/>
      </c>
      <c r="AJ7" s="282" t="str">
        <f>IF(U7="","",VLOOKUP(LEFT(I7,6)&amp;".1-00",MCP!$AK$9:$AL$464,21,FALSE))</f>
        <v/>
      </c>
      <c r="AK7" s="283" t="str">
        <f t="shared" si="21"/>
        <v/>
      </c>
      <c r="AL7" s="284" t="str">
        <f t="shared" si="22"/>
        <v/>
      </c>
      <c r="AM7" s="285" t="str">
        <f t="shared" si="23"/>
        <v/>
      </c>
      <c r="AN7" s="282">
        <f t="shared" si="24"/>
        <v>0</v>
      </c>
      <c r="AO7" s="282">
        <f t="shared" si="25"/>
        <v>0</v>
      </c>
      <c r="AP7" s="282">
        <f t="shared" si="26"/>
        <v>0</v>
      </c>
      <c r="AQ7" s="282" t="e">
        <f>VLOOKUP(LEFT($A7,7)&amp;"1-00",MCP!#REF!,30,FALSE)</f>
        <v>#REF!</v>
      </c>
      <c r="AR7" s="282" t="e">
        <f>VLOOKUP(LEFT($A7,7)&amp;"1-00",MCP!#REF!,31,FALSE)</f>
        <v>#REF!</v>
      </c>
      <c r="AS7" s="282" t="e">
        <f>VLOOKUP($A7&amp;"-"&amp;$B7,MCP!#REF!,12,FALSE)</f>
        <v>#REF!</v>
      </c>
      <c r="AT7" s="282" t="str">
        <f t="shared" si="27"/>
        <v/>
      </c>
      <c r="AU7" s="282" t="str">
        <f t="shared" si="28"/>
        <v/>
      </c>
      <c r="AV7" s="282" t="str">
        <f t="shared" si="29"/>
        <v/>
      </c>
      <c r="AW7" s="282" t="str">
        <f>IF($U7="","",VLOOKUP(LEFT($A7,7)&amp;"1-00",MCP!#REF!,24,FALSE))</f>
        <v/>
      </c>
      <c r="AX7" s="282">
        <v>-27887.70497351847</v>
      </c>
      <c r="AY7" s="282">
        <v>-3620.5776148331047</v>
      </c>
      <c r="BF7" s="174" t="str">
        <f t="shared" si="30"/>
        <v/>
      </c>
    </row>
    <row r="8" spans="1:58" x14ac:dyDescent="0.2">
      <c r="A8" s="282" t="str">
        <f t="shared" si="0"/>
        <v>5.1006.1</v>
      </c>
      <c r="B8" s="282" t="str">
        <f t="shared" si="1"/>
        <v>03</v>
      </c>
      <c r="C8" s="282" t="str">
        <f t="shared" si="2"/>
        <v>5.1006.1.03</v>
      </c>
      <c r="D8" s="161">
        <v>1.4710000000000001</v>
      </c>
      <c r="E8" s="161">
        <v>0.1081</v>
      </c>
      <c r="F8" s="282">
        <f t="shared" si="3"/>
        <v>0.99909999999999999</v>
      </c>
      <c r="G8" s="161" t="s">
        <v>864</v>
      </c>
      <c r="H8" s="282">
        <f t="shared" si="4"/>
        <v>1.7806126904521311E-2</v>
      </c>
      <c r="I8" s="282" t="str">
        <f>A8&amp;"-"&amp;TEXT(MCP!$D$1,"00")</f>
        <v>5.1006.1-03</v>
      </c>
      <c r="J8" s="282">
        <f>IFERROR(VLOOKUP(I8,MCP!#REF!,10,FALSE),0)</f>
        <v>0</v>
      </c>
      <c r="K8" s="282">
        <f>IFERROR(VLOOKUP(I8,MCP!#REF!,19,FALSE),0)</f>
        <v>0</v>
      </c>
      <c r="L8" s="161">
        <v>6</v>
      </c>
      <c r="M8" s="161">
        <v>1.9174869318961538E-2</v>
      </c>
      <c r="N8" s="282" t="e">
        <f>IF($A8="","",VLOOKUP(LEFT($A8,7)&amp;"1-00",MCP!#REF!,N$1,FALSE))</f>
        <v>#REF!</v>
      </c>
      <c r="O8" s="282" t="e">
        <f>IF($A8="","",VLOOKUP(LEFT($A8,7)&amp;"1-00",MCP!#REF!,O$1,FALSE))</f>
        <v>#REF!</v>
      </c>
      <c r="P8" s="282" t="e">
        <f>IF($A8="","",VLOOKUP(LEFT($A8,7)&amp;"1-00",MCP!#REF!,P$1,FALSE))</f>
        <v>#REF!</v>
      </c>
      <c r="Q8" s="282" t="e">
        <f t="shared" si="5"/>
        <v>#REF!</v>
      </c>
      <c r="R8" s="282" t="e">
        <f t="shared" si="6"/>
        <v>#REF!</v>
      </c>
      <c r="S8" s="282" t="e">
        <f t="shared" si="7"/>
        <v>#REF!</v>
      </c>
      <c r="T8" s="282" t="e">
        <f>VLOOKUP(LEFT($A8,7)&amp;"1-00",MCP!#REF!,T$1,FALSE)</f>
        <v>#REF!</v>
      </c>
      <c r="U8" s="282" t="str">
        <f t="shared" si="8"/>
        <v/>
      </c>
      <c r="V8" s="282" t="str">
        <f t="shared" si="9"/>
        <v/>
      </c>
      <c r="W8" s="284" t="str">
        <f t="shared" si="10"/>
        <v/>
      </c>
      <c r="X8" s="161">
        <v>-0.94</v>
      </c>
      <c r="Y8" s="282">
        <v>1.3567</v>
      </c>
      <c r="Z8" s="284" t="str">
        <f t="shared" si="11"/>
        <v/>
      </c>
      <c r="AA8" s="282" t="str">
        <f t="shared" si="12"/>
        <v/>
      </c>
      <c r="AB8" s="282" t="str">
        <f t="shared" si="13"/>
        <v/>
      </c>
      <c r="AC8" s="282" t="str">
        <f t="shared" si="14"/>
        <v/>
      </c>
      <c r="AD8" s="282" t="str">
        <f t="shared" si="15"/>
        <v/>
      </c>
      <c r="AE8" s="282" t="str">
        <f t="shared" si="16"/>
        <v/>
      </c>
      <c r="AF8" s="282" t="str">
        <f t="shared" si="17"/>
        <v/>
      </c>
      <c r="AG8" s="282" t="str">
        <f t="shared" si="18"/>
        <v/>
      </c>
      <c r="AH8" s="282" t="str">
        <f t="shared" si="19"/>
        <v/>
      </c>
      <c r="AI8" s="282" t="str">
        <f t="shared" si="20"/>
        <v/>
      </c>
      <c r="AJ8" s="282" t="str">
        <f>IF(U8="","",VLOOKUP(LEFT(I8,6)&amp;".1-00",MCP!$AK$9:$AL$464,21,FALSE))</f>
        <v/>
      </c>
      <c r="AK8" s="283" t="str">
        <f t="shared" si="21"/>
        <v/>
      </c>
      <c r="AL8" s="284" t="str">
        <f t="shared" si="22"/>
        <v/>
      </c>
      <c r="AM8" s="285" t="str">
        <f t="shared" si="23"/>
        <v/>
      </c>
      <c r="AN8" s="282">
        <f t="shared" si="24"/>
        <v>0</v>
      </c>
      <c r="AO8" s="282">
        <f t="shared" si="25"/>
        <v>0</v>
      </c>
      <c r="AP8" s="282">
        <f t="shared" si="26"/>
        <v>0</v>
      </c>
      <c r="AQ8" s="282" t="e">
        <f>VLOOKUP(LEFT($A8,7)&amp;"1-00",MCP!#REF!,30,FALSE)</f>
        <v>#REF!</v>
      </c>
      <c r="AR8" s="282" t="e">
        <f>VLOOKUP(LEFT($A8,7)&amp;"1-00",MCP!#REF!,31,FALSE)</f>
        <v>#REF!</v>
      </c>
      <c r="AS8" s="282" t="e">
        <f>VLOOKUP($A8&amp;"-"&amp;$B8,MCP!#REF!,12,FALSE)</f>
        <v>#REF!</v>
      </c>
      <c r="AT8" s="282" t="str">
        <f t="shared" si="27"/>
        <v/>
      </c>
      <c r="AU8" s="282" t="str">
        <f t="shared" si="28"/>
        <v/>
      </c>
      <c r="AV8" s="282" t="str">
        <f t="shared" si="29"/>
        <v/>
      </c>
      <c r="AW8" s="282" t="str">
        <f>IF($U8="","",VLOOKUP(LEFT($A8,7)&amp;"1-00",MCP!#REF!,24,FALSE))</f>
        <v/>
      </c>
      <c r="AX8" s="282">
        <v>-36196.568668286222</v>
      </c>
      <c r="AY8" s="282">
        <v>-3916.2901607906056</v>
      </c>
      <c r="BF8" s="174" t="str">
        <f t="shared" si="30"/>
        <v/>
      </c>
    </row>
    <row r="9" spans="1:58" x14ac:dyDescent="0.2">
      <c r="A9" s="282" t="str">
        <f t="shared" si="0"/>
        <v>1.1007.1</v>
      </c>
      <c r="B9" s="282" t="str">
        <f t="shared" si="1"/>
        <v>03</v>
      </c>
      <c r="C9" s="282" t="str">
        <f t="shared" si="2"/>
        <v>1.1007.1.03</v>
      </c>
      <c r="D9" s="161">
        <v>1.7130000000000001</v>
      </c>
      <c r="E9" s="161">
        <v>0.10340000000000001</v>
      </c>
      <c r="F9" s="282">
        <f t="shared" si="3"/>
        <v>1.1129</v>
      </c>
      <c r="G9" s="161" t="s">
        <v>454</v>
      </c>
      <c r="H9" s="282">
        <f t="shared" si="4"/>
        <v>1.9834289492585092E-2</v>
      </c>
      <c r="I9" s="282" t="str">
        <f>A9&amp;"-"&amp;TEXT(MCP!$D$1,"00")</f>
        <v>1.1007.1-03</v>
      </c>
      <c r="J9" s="282">
        <f>IFERROR(VLOOKUP(I9,MCP!#REF!,10,FALSE),0)</f>
        <v>0</v>
      </c>
      <c r="K9" s="282">
        <f>IFERROR(VLOOKUP(I9,MCP!#REF!,19,FALSE),0)</f>
        <v>0</v>
      </c>
      <c r="L9" s="161">
        <v>7</v>
      </c>
      <c r="M9" s="161">
        <v>2.1415115692596139E-2</v>
      </c>
      <c r="N9" s="282" t="e">
        <f>IF($A9="","",VLOOKUP(LEFT($A9,7)&amp;"1-00",MCP!#REF!,N$1,FALSE))</f>
        <v>#REF!</v>
      </c>
      <c r="O9" s="282" t="e">
        <f>IF($A9="","",VLOOKUP(LEFT($A9,7)&amp;"1-00",MCP!#REF!,O$1,FALSE))</f>
        <v>#REF!</v>
      </c>
      <c r="P9" s="282" t="e">
        <f>IF($A9="","",VLOOKUP(LEFT($A9,7)&amp;"1-00",MCP!#REF!,P$1,FALSE))</f>
        <v>#REF!</v>
      </c>
      <c r="Q9" s="282" t="e">
        <f t="shared" si="5"/>
        <v>#REF!</v>
      </c>
      <c r="R9" s="282" t="e">
        <f t="shared" si="6"/>
        <v>#REF!</v>
      </c>
      <c r="S9" s="282" t="e">
        <f t="shared" si="7"/>
        <v>#REF!</v>
      </c>
      <c r="T9" s="282" t="e">
        <f>VLOOKUP(LEFT($A9,7)&amp;"1-00",MCP!#REF!,T$1,FALSE)</f>
        <v>#REF!</v>
      </c>
      <c r="U9" s="282" t="str">
        <f t="shared" si="8"/>
        <v/>
      </c>
      <c r="V9" s="282" t="str">
        <f t="shared" si="9"/>
        <v/>
      </c>
      <c r="W9" s="284" t="str">
        <f t="shared" si="10"/>
        <v/>
      </c>
      <c r="X9" s="161">
        <v>-0.68559999999999999</v>
      </c>
      <c r="Y9" s="282">
        <v>1.3329</v>
      </c>
      <c r="Z9" s="284" t="str">
        <f t="shared" si="11"/>
        <v/>
      </c>
      <c r="AA9" s="282" t="str">
        <f t="shared" si="12"/>
        <v/>
      </c>
      <c r="AB9" s="282" t="str">
        <f t="shared" si="13"/>
        <v/>
      </c>
      <c r="AC9" s="282" t="str">
        <f t="shared" si="14"/>
        <v/>
      </c>
      <c r="AD9" s="282" t="str">
        <f t="shared" si="15"/>
        <v/>
      </c>
      <c r="AE9" s="282" t="str">
        <f t="shared" si="16"/>
        <v/>
      </c>
      <c r="AF9" s="282" t="str">
        <f t="shared" si="17"/>
        <v/>
      </c>
      <c r="AG9" s="282" t="str">
        <f t="shared" si="18"/>
        <v/>
      </c>
      <c r="AH9" s="282" t="str">
        <f t="shared" si="19"/>
        <v/>
      </c>
      <c r="AI9" s="282" t="str">
        <f t="shared" si="20"/>
        <v/>
      </c>
      <c r="AJ9" s="282" t="str">
        <f>IF(U9="","",VLOOKUP(LEFT(I9,6)&amp;".1-00",MCP!$AK$9:$AL$464,21,FALSE))</f>
        <v/>
      </c>
      <c r="AK9" s="283" t="str">
        <f t="shared" si="21"/>
        <v/>
      </c>
      <c r="AL9" s="284" t="str">
        <f t="shared" si="22"/>
        <v/>
      </c>
      <c r="AM9" s="285" t="str">
        <f t="shared" si="23"/>
        <v/>
      </c>
      <c r="AN9" s="282">
        <f t="shared" si="24"/>
        <v>0</v>
      </c>
      <c r="AO9" s="282">
        <f t="shared" si="25"/>
        <v>0</v>
      </c>
      <c r="AP9" s="282">
        <f t="shared" si="26"/>
        <v>0</v>
      </c>
      <c r="AQ9" s="282" t="e">
        <f>VLOOKUP(LEFT($A9,7)&amp;"1-00",MCP!#REF!,30,FALSE)</f>
        <v>#REF!</v>
      </c>
      <c r="AR9" s="282" t="e">
        <f>VLOOKUP(LEFT($A9,7)&amp;"1-00",MCP!#REF!,31,FALSE)</f>
        <v>#REF!</v>
      </c>
      <c r="AS9" s="282" t="e">
        <f>VLOOKUP($A9&amp;"-"&amp;$B9,MCP!#REF!,12,FALSE)</f>
        <v>#REF!</v>
      </c>
      <c r="AT9" s="282" t="str">
        <f t="shared" si="27"/>
        <v/>
      </c>
      <c r="AU9" s="282" t="str">
        <f t="shared" si="28"/>
        <v/>
      </c>
      <c r="AV9" s="282" t="str">
        <f t="shared" si="29"/>
        <v/>
      </c>
      <c r="AW9" s="282" t="str">
        <f>IF($U9="","",VLOOKUP(LEFT($A9,7)&amp;"1-00",MCP!#REF!,24,FALSE))</f>
        <v/>
      </c>
      <c r="AX9" s="282">
        <v>-43511.46169762413</v>
      </c>
      <c r="AY9" s="282">
        <v>-4042.6527789437005</v>
      </c>
      <c r="BF9" s="174" t="str">
        <f t="shared" si="30"/>
        <v/>
      </c>
    </row>
    <row r="10" spans="1:58" x14ac:dyDescent="0.2">
      <c r="A10" s="282" t="str">
        <f t="shared" si="0"/>
        <v>3.1008.1</v>
      </c>
      <c r="B10" s="282" t="str">
        <f t="shared" si="1"/>
        <v>03</v>
      </c>
      <c r="C10" s="282" t="str">
        <f t="shared" si="2"/>
        <v>3.1008.1.03</v>
      </c>
      <c r="D10" s="161">
        <v>1.9532</v>
      </c>
      <c r="E10" s="161">
        <v>0.10929999999999999</v>
      </c>
      <c r="F10" s="282">
        <f t="shared" si="3"/>
        <v>1.3413999999999999</v>
      </c>
      <c r="G10" s="161" t="s">
        <v>834</v>
      </c>
      <c r="H10" s="282">
        <f t="shared" si="4"/>
        <v>2.3906654618881879E-2</v>
      </c>
      <c r="I10" s="282" t="str">
        <f>A10&amp;"-"&amp;TEXT(MCP!$D$1,"00")</f>
        <v>3.1008.1-03</v>
      </c>
      <c r="J10" s="282">
        <f>IFERROR(VLOOKUP(I10,MCP!#REF!,10,FALSE),0)</f>
        <v>0</v>
      </c>
      <c r="K10" s="282">
        <f>IFERROR(VLOOKUP(I10,MCP!#REF!,19,FALSE),0)</f>
        <v>0</v>
      </c>
      <c r="L10" s="161">
        <v>8</v>
      </c>
      <c r="M10" s="161">
        <v>2.5779764355309848E-2</v>
      </c>
      <c r="N10" s="282" t="e">
        <f>IF($A10="","",VLOOKUP(LEFT($A10,7)&amp;"1-00",MCP!#REF!,N$1,FALSE))</f>
        <v>#REF!</v>
      </c>
      <c r="O10" s="282" t="e">
        <f>IF($A10="","",VLOOKUP(LEFT($A10,7)&amp;"1-00",MCP!#REF!,O$1,FALSE))</f>
        <v>#REF!</v>
      </c>
      <c r="P10" s="282" t="e">
        <f>IF($A10="","",VLOOKUP(LEFT($A10,7)&amp;"1-00",MCP!#REF!,P$1,FALSE))</f>
        <v>#REF!</v>
      </c>
      <c r="Q10" s="282" t="e">
        <f t="shared" si="5"/>
        <v>#REF!</v>
      </c>
      <c r="R10" s="282" t="e">
        <f t="shared" si="6"/>
        <v>#REF!</v>
      </c>
      <c r="S10" s="282" t="e">
        <f t="shared" si="7"/>
        <v>#REF!</v>
      </c>
      <c r="T10" s="282" t="e">
        <f>VLOOKUP(LEFT($A10,7)&amp;"1-00",MCP!#REF!,T$1,FALSE)</f>
        <v>#REF!</v>
      </c>
      <c r="U10" s="282" t="str">
        <f t="shared" si="8"/>
        <v/>
      </c>
      <c r="V10" s="282" t="str">
        <f t="shared" si="9"/>
        <v/>
      </c>
      <c r="W10" s="284" t="str">
        <f t="shared" si="10"/>
        <v/>
      </c>
      <c r="X10" s="161">
        <v>-0.91069999999999995</v>
      </c>
      <c r="Y10" s="284">
        <v>1.3612</v>
      </c>
      <c r="Z10" s="284" t="str">
        <f t="shared" si="11"/>
        <v/>
      </c>
      <c r="AA10" s="282" t="str">
        <f t="shared" si="12"/>
        <v/>
      </c>
      <c r="AB10" s="282" t="str">
        <f t="shared" si="13"/>
        <v/>
      </c>
      <c r="AC10" s="282" t="str">
        <f t="shared" si="14"/>
        <v/>
      </c>
      <c r="AD10" s="282" t="str">
        <f t="shared" si="15"/>
        <v/>
      </c>
      <c r="AE10" s="282" t="str">
        <f t="shared" si="16"/>
        <v/>
      </c>
      <c r="AF10" s="282" t="str">
        <f t="shared" si="17"/>
        <v/>
      </c>
      <c r="AG10" s="282" t="str">
        <f t="shared" si="18"/>
        <v/>
      </c>
      <c r="AH10" s="282" t="str">
        <f t="shared" si="19"/>
        <v/>
      </c>
      <c r="AI10" s="282" t="str">
        <f t="shared" si="20"/>
        <v/>
      </c>
      <c r="AJ10" s="282" t="str">
        <f>IF(U10="","",VLOOKUP(LEFT(I10,6)&amp;".1-00",MCP!$AK$9:$AL$464,21,FALSE))</f>
        <v/>
      </c>
      <c r="AK10" s="283" t="str">
        <f t="shared" si="21"/>
        <v/>
      </c>
      <c r="AL10" s="284" t="str">
        <f t="shared" si="22"/>
        <v/>
      </c>
      <c r="AM10" s="285" t="str">
        <f t="shared" si="23"/>
        <v/>
      </c>
      <c r="AN10" s="282">
        <f t="shared" si="24"/>
        <v>0</v>
      </c>
      <c r="AO10" s="282">
        <f t="shared" si="25"/>
        <v>0</v>
      </c>
      <c r="AP10" s="282">
        <f t="shared" si="26"/>
        <v>0</v>
      </c>
      <c r="AQ10" s="282" t="e">
        <f>VLOOKUP(LEFT($A10,7)&amp;"1-00",MCP!#REF!,30,FALSE)</f>
        <v>#REF!</v>
      </c>
      <c r="AR10" s="282" t="e">
        <f>VLOOKUP(LEFT($A10,7)&amp;"1-00",MCP!#REF!,31,FALSE)</f>
        <v>#REF!</v>
      </c>
      <c r="AS10" s="282" t="e">
        <f>VLOOKUP($A10&amp;"-"&amp;$B10,MCP!#REF!,12,FALSE)</f>
        <v>#REF!</v>
      </c>
      <c r="AT10" s="282" t="str">
        <f t="shared" si="27"/>
        <v/>
      </c>
      <c r="AU10" s="282" t="str">
        <f t="shared" si="28"/>
        <v/>
      </c>
      <c r="AV10" s="282" t="str">
        <f t="shared" si="29"/>
        <v/>
      </c>
      <c r="AW10" s="282" t="str">
        <f>IF($U10="","",VLOOKUP(LEFT($A10,7)&amp;"1-00",MCP!#REF!,24,FALSE))</f>
        <v/>
      </c>
      <c r="AX10" s="282">
        <v>-55414.888903658721</v>
      </c>
      <c r="AY10" s="282">
        <v>-4515.4379940126537</v>
      </c>
      <c r="BF10" s="174" t="str">
        <f t="shared" si="30"/>
        <v/>
      </c>
    </row>
    <row r="11" spans="1:58" x14ac:dyDescent="0.2">
      <c r="A11" s="282" t="str">
        <f t="shared" si="0"/>
        <v>5.1009.1</v>
      </c>
      <c r="B11" s="282" t="str">
        <f t="shared" si="1"/>
        <v>03</v>
      </c>
      <c r="C11" s="282" t="str">
        <f t="shared" si="2"/>
        <v>5.1009.1.03</v>
      </c>
      <c r="D11" s="161">
        <v>2.1978</v>
      </c>
      <c r="E11" s="161">
        <v>0.10780000000000001</v>
      </c>
      <c r="F11" s="282">
        <f t="shared" si="3"/>
        <v>1.4885999999999999</v>
      </c>
      <c r="G11" s="161" t="s">
        <v>866</v>
      </c>
      <c r="H11" s="282">
        <f t="shared" si="4"/>
        <v>2.6530077579892324E-2</v>
      </c>
      <c r="I11" s="282" t="str">
        <f>A11&amp;"-"&amp;TEXT(MCP!$D$1,"00")</f>
        <v>5.1009.1-03</v>
      </c>
      <c r="J11" s="282">
        <f>IFERROR(VLOOKUP(I11,MCP!#REF!,10,FALSE),0)</f>
        <v>0</v>
      </c>
      <c r="K11" s="282">
        <f>IFERROR(VLOOKUP(I11,MCP!#REF!,19,FALSE),0)</f>
        <v>0</v>
      </c>
      <c r="L11" s="161">
        <v>9</v>
      </c>
      <c r="M11" s="161">
        <v>2.8590320068294543E-2</v>
      </c>
      <c r="N11" s="282" t="e">
        <f>IF($A11="","",VLOOKUP(LEFT($A11,7)&amp;"1-00",MCP!#REF!,N$1,FALSE))</f>
        <v>#REF!</v>
      </c>
      <c r="O11" s="282" t="e">
        <f>IF($A11="","",VLOOKUP(LEFT($A11,7)&amp;"1-00",MCP!#REF!,O$1,FALSE))</f>
        <v>#REF!</v>
      </c>
      <c r="P11" s="282" t="e">
        <f>IF($A11="","",VLOOKUP(LEFT($A11,7)&amp;"1-00",MCP!#REF!,P$1,FALSE))</f>
        <v>#REF!</v>
      </c>
      <c r="Q11" s="282" t="e">
        <f t="shared" si="5"/>
        <v>#REF!</v>
      </c>
      <c r="R11" s="282" t="e">
        <f t="shared" si="6"/>
        <v>#REF!</v>
      </c>
      <c r="S11" s="282" t="e">
        <f t="shared" si="7"/>
        <v>#REF!</v>
      </c>
      <c r="T11" s="282" t="e">
        <f>VLOOKUP(LEFT($A11,7)&amp;"1-00",MCP!#REF!,T$1,FALSE)</f>
        <v>#REF!</v>
      </c>
      <c r="U11" s="282" t="str">
        <f t="shared" si="8"/>
        <v/>
      </c>
      <c r="V11" s="282" t="str">
        <f t="shared" si="9"/>
        <v/>
      </c>
      <c r="W11" s="284" t="str">
        <f t="shared" si="10"/>
        <v/>
      </c>
      <c r="X11" s="161">
        <v>-1.135</v>
      </c>
      <c r="Y11" s="280">
        <v>1.3552</v>
      </c>
      <c r="Z11" s="284" t="str">
        <f t="shared" si="11"/>
        <v/>
      </c>
      <c r="AA11" s="282" t="str">
        <f t="shared" si="12"/>
        <v/>
      </c>
      <c r="AB11" s="282" t="str">
        <f t="shared" si="13"/>
        <v/>
      </c>
      <c r="AC11" s="282" t="str">
        <f t="shared" si="14"/>
        <v/>
      </c>
      <c r="AD11" s="282" t="str">
        <f t="shared" si="15"/>
        <v/>
      </c>
      <c r="AE11" s="282" t="str">
        <f t="shared" si="16"/>
        <v/>
      </c>
      <c r="AF11" s="282" t="str">
        <f t="shared" si="17"/>
        <v/>
      </c>
      <c r="AG11" s="282" t="str">
        <f t="shared" si="18"/>
        <v/>
      </c>
      <c r="AH11" s="282" t="str">
        <f t="shared" si="19"/>
        <v/>
      </c>
      <c r="AI11" s="282" t="str">
        <f t="shared" si="20"/>
        <v/>
      </c>
      <c r="AJ11" s="282" t="str">
        <f>IF(U11="","",VLOOKUP(LEFT(I11,6)&amp;".1-00",MCP!$AK$9:$AL$464,21,FALSE))</f>
        <v/>
      </c>
      <c r="AK11" s="283" t="str">
        <f t="shared" si="21"/>
        <v/>
      </c>
      <c r="AL11" s="284" t="str">
        <f t="shared" si="22"/>
        <v/>
      </c>
      <c r="AM11" s="285" t="str">
        <f t="shared" si="23"/>
        <v/>
      </c>
      <c r="AN11" s="282">
        <f t="shared" si="24"/>
        <v>0</v>
      </c>
      <c r="AO11" s="282">
        <f t="shared" si="25"/>
        <v>0</v>
      </c>
      <c r="AP11" s="282">
        <f t="shared" si="26"/>
        <v>0</v>
      </c>
      <c r="AQ11" s="282" t="e">
        <f>VLOOKUP(LEFT($A11,7)&amp;"1-00",MCP!#REF!,30,FALSE)</f>
        <v>#REF!</v>
      </c>
      <c r="AR11" s="282" t="e">
        <f>VLOOKUP(LEFT($A11,7)&amp;"1-00",MCP!#REF!,31,FALSE)</f>
        <v>#REF!</v>
      </c>
      <c r="AS11" s="282" t="e">
        <f>VLOOKUP($A11&amp;"-"&amp;$B11,MCP!#REF!,12,FALSE)</f>
        <v>#REF!</v>
      </c>
      <c r="AT11" s="282" t="str">
        <f t="shared" si="27"/>
        <v/>
      </c>
      <c r="AU11" s="282" t="str">
        <f t="shared" si="28"/>
        <v/>
      </c>
      <c r="AV11" s="282" t="str">
        <f t="shared" si="29"/>
        <v/>
      </c>
      <c r="AW11" s="282" t="str">
        <f>IF($U11="","",VLOOKUP(LEFT($A11,7)&amp;"1-00",MCP!#REF!,24,FALSE))</f>
        <v/>
      </c>
      <c r="AX11" s="282">
        <v>-64742.655674046269</v>
      </c>
      <c r="AY11" s="282">
        <v>-4688.3764125129765</v>
      </c>
      <c r="BF11" s="174" t="str">
        <f t="shared" si="30"/>
        <v/>
      </c>
    </row>
    <row r="12" spans="1:58" x14ac:dyDescent="0.2">
      <c r="A12" s="282" t="str">
        <f t="shared" si="0"/>
        <v>1.1010.1</v>
      </c>
      <c r="B12" s="282" t="str">
        <f t="shared" si="1"/>
        <v>03</v>
      </c>
      <c r="C12" s="282" t="str">
        <f t="shared" si="2"/>
        <v>1.1010.1.03</v>
      </c>
      <c r="D12" s="161">
        <v>2.4155000000000002</v>
      </c>
      <c r="E12" s="161">
        <v>8.9399999999999993E-2</v>
      </c>
      <c r="F12" s="282">
        <f t="shared" si="3"/>
        <v>1.3568</v>
      </c>
      <c r="G12" s="161" t="s">
        <v>804</v>
      </c>
      <c r="H12" s="282">
        <f t="shared" si="4"/>
        <v>2.4181115988444114E-2</v>
      </c>
      <c r="I12" s="282" t="str">
        <f>A12&amp;"-"&amp;TEXT(MCP!$D$1,"00")</f>
        <v>1.1010.1-03</v>
      </c>
      <c r="J12" s="282">
        <f>IFERROR(VLOOKUP(I12,MCP!#REF!,10,FALSE),0)</f>
        <v>0</v>
      </c>
      <c r="K12" s="282">
        <f>IFERROR(VLOOKUP(I12,MCP!#REF!,19,FALSE),0)</f>
        <v>0</v>
      </c>
      <c r="L12" s="161">
        <v>10</v>
      </c>
      <c r="M12" s="161">
        <v>2.6268091727128368E-2</v>
      </c>
      <c r="N12" s="282" t="e">
        <f>IF($A12="","",VLOOKUP(LEFT($A12,7)&amp;"1-00",MCP!#REF!,N$1,FALSE))</f>
        <v>#REF!</v>
      </c>
      <c r="O12" s="282" t="e">
        <f>IF($A12="","",VLOOKUP(LEFT($A12,7)&amp;"1-00",MCP!#REF!,O$1,FALSE))</f>
        <v>#REF!</v>
      </c>
      <c r="P12" s="282" t="e">
        <f>IF($A12="","",VLOOKUP(LEFT($A12,7)&amp;"1-00",MCP!#REF!,P$1,FALSE))</f>
        <v>#REF!</v>
      </c>
      <c r="Q12" s="282" t="e">
        <f t="shared" si="5"/>
        <v>#REF!</v>
      </c>
      <c r="R12" s="282" t="e">
        <f t="shared" si="6"/>
        <v>#REF!</v>
      </c>
      <c r="S12" s="282" t="e">
        <f t="shared" si="7"/>
        <v>#REF!</v>
      </c>
      <c r="T12" s="282" t="e">
        <f>VLOOKUP(LEFT($A12,7)&amp;"1-00",MCP!#REF!,T$1,FALSE)</f>
        <v>#REF!</v>
      </c>
      <c r="U12" s="282" t="str">
        <f t="shared" si="8"/>
        <v/>
      </c>
      <c r="V12" s="282" t="str">
        <f t="shared" si="9"/>
        <v/>
      </c>
      <c r="W12" s="284" t="str">
        <f t="shared" si="10"/>
        <v/>
      </c>
      <c r="X12" s="161">
        <v>-0.88800000000000001</v>
      </c>
      <c r="Y12" s="268">
        <v>1.29</v>
      </c>
      <c r="Z12" s="284" t="str">
        <f t="shared" si="11"/>
        <v/>
      </c>
      <c r="AA12" s="282" t="str">
        <f t="shared" si="12"/>
        <v/>
      </c>
      <c r="AB12" s="282" t="str">
        <f t="shared" si="13"/>
        <v/>
      </c>
      <c r="AC12" s="282" t="str">
        <f t="shared" si="14"/>
        <v/>
      </c>
      <c r="AD12" s="282" t="str">
        <f t="shared" si="15"/>
        <v/>
      </c>
      <c r="AE12" s="282" t="str">
        <f t="shared" si="16"/>
        <v/>
      </c>
      <c r="AF12" s="282" t="str">
        <f t="shared" si="17"/>
        <v/>
      </c>
      <c r="AG12" s="282" t="str">
        <f t="shared" si="18"/>
        <v/>
      </c>
      <c r="AH12" s="282" t="str">
        <f t="shared" si="19"/>
        <v/>
      </c>
      <c r="AI12" s="282" t="str">
        <f t="shared" si="20"/>
        <v/>
      </c>
      <c r="AJ12" s="282" t="str">
        <f>IF(U12="","",VLOOKUP(LEFT(I12,6)&amp;".1-00",MCP!$AK$9:$AL$464,21,FALSE))</f>
        <v/>
      </c>
      <c r="AK12" s="283" t="str">
        <f t="shared" si="21"/>
        <v/>
      </c>
      <c r="AL12" s="284" t="str">
        <f t="shared" si="22"/>
        <v/>
      </c>
      <c r="AM12" s="285" t="str">
        <f t="shared" si="23"/>
        <v/>
      </c>
      <c r="AN12" s="282">
        <f t="shared" si="24"/>
        <v>0</v>
      </c>
      <c r="AO12" s="282">
        <f t="shared" si="25"/>
        <v>0</v>
      </c>
      <c r="AP12" s="282">
        <f t="shared" si="26"/>
        <v>0</v>
      </c>
      <c r="AQ12" s="282" t="e">
        <f>VLOOKUP(LEFT($A12,7)&amp;"1-00",MCP!#REF!,30,FALSE)</f>
        <v>#REF!</v>
      </c>
      <c r="AR12" s="282" t="e">
        <f>VLOOKUP(LEFT($A12,7)&amp;"1-00",MCP!#REF!,31,FALSE)</f>
        <v>#REF!</v>
      </c>
      <c r="AS12" s="282" t="e">
        <f>VLOOKUP($A12&amp;"-"&amp;$B12,MCP!#REF!,12,FALSE)</f>
        <v>#REF!</v>
      </c>
      <c r="AT12" s="282" t="str">
        <f t="shared" si="27"/>
        <v/>
      </c>
      <c r="AU12" s="282" t="str">
        <f t="shared" si="28"/>
        <v/>
      </c>
      <c r="AV12" s="282" t="str">
        <f t="shared" si="29"/>
        <v/>
      </c>
      <c r="AW12" s="282" t="str">
        <f>IF($U12="","",VLOOKUP(LEFT($A12,7)&amp;"1-00",MCP!#REF!,24,FALSE))</f>
        <v/>
      </c>
      <c r="AX12" s="282">
        <v>-62834.650556763896</v>
      </c>
      <c r="AY12" s="282">
        <v>-4140.1139447571504</v>
      </c>
      <c r="BF12" s="174" t="str">
        <f t="shared" si="30"/>
        <v/>
      </c>
    </row>
    <row r="13" spans="1:58" x14ac:dyDescent="0.2">
      <c r="A13" s="282" t="str">
        <f t="shared" si="0"/>
        <v>3.1011.1</v>
      </c>
      <c r="B13" s="282" t="str">
        <f t="shared" si="1"/>
        <v>03</v>
      </c>
      <c r="C13" s="282" t="str">
        <f t="shared" si="2"/>
        <v>3.1011.1.03</v>
      </c>
      <c r="D13" s="161">
        <v>2.6640000000000001</v>
      </c>
      <c r="E13" s="161">
        <v>9.9299999999999999E-2</v>
      </c>
      <c r="F13" s="282">
        <f t="shared" si="3"/>
        <v>1.6620999999999999</v>
      </c>
      <c r="G13" s="161" t="s">
        <v>836</v>
      </c>
      <c r="H13" s="282">
        <f t="shared" si="4"/>
        <v>2.9622223529181133E-2</v>
      </c>
      <c r="I13" s="282" t="str">
        <f>A13&amp;"-"&amp;TEXT(MCP!$D$1,"00")</f>
        <v>3.1011.1-03</v>
      </c>
      <c r="J13" s="282">
        <f>IFERROR(VLOOKUP(I13,MCP!#REF!,10,FALSE),0)</f>
        <v>0</v>
      </c>
      <c r="K13" s="282">
        <f>IFERROR(VLOOKUP(I13,MCP!#REF!,19,FALSE),0)</f>
        <v>0</v>
      </c>
      <c r="L13" s="161">
        <v>11</v>
      </c>
      <c r="M13" s="161">
        <v>3.2161882305974526E-2</v>
      </c>
      <c r="N13" s="282" t="e">
        <f>IF($A13="","",VLOOKUP(LEFT($A13,7)&amp;"1-00",MCP!#REF!,N$1,FALSE))</f>
        <v>#REF!</v>
      </c>
      <c r="O13" s="282" t="e">
        <f>IF($A13="","",VLOOKUP(LEFT($A13,7)&amp;"1-00",MCP!#REF!,O$1,FALSE))</f>
        <v>#REF!</v>
      </c>
      <c r="P13" s="282" t="e">
        <f>IF($A13="","",VLOOKUP(LEFT($A13,7)&amp;"1-00",MCP!#REF!,P$1,FALSE))</f>
        <v>#REF!</v>
      </c>
      <c r="Q13" s="282" t="e">
        <f t="shared" si="5"/>
        <v>#REF!</v>
      </c>
      <c r="R13" s="282" t="e">
        <f t="shared" si="6"/>
        <v>#REF!</v>
      </c>
      <c r="S13" s="282" t="e">
        <f t="shared" si="7"/>
        <v>#REF!</v>
      </c>
      <c r="T13" s="282" t="e">
        <f>VLOOKUP(LEFT($A13,7)&amp;"1-00",MCP!#REF!,T$1,FALSE)</f>
        <v>#REF!</v>
      </c>
      <c r="U13" s="282" t="str">
        <f t="shared" si="8"/>
        <v/>
      </c>
      <c r="V13" s="282" t="str">
        <f t="shared" si="9"/>
        <v/>
      </c>
      <c r="W13" s="284" t="str">
        <f t="shared" si="10"/>
        <v/>
      </c>
      <c r="X13" s="161">
        <v>-1.1117999999999999</v>
      </c>
      <c r="Y13" s="284">
        <v>1.3181</v>
      </c>
      <c r="Z13" s="284" t="str">
        <f t="shared" si="11"/>
        <v/>
      </c>
      <c r="AA13" s="282" t="str">
        <f t="shared" si="12"/>
        <v/>
      </c>
      <c r="AB13" s="282" t="str">
        <f t="shared" si="13"/>
        <v/>
      </c>
      <c r="AC13" s="282" t="str">
        <f t="shared" si="14"/>
        <v/>
      </c>
      <c r="AD13" s="282" t="str">
        <f t="shared" si="15"/>
        <v/>
      </c>
      <c r="AE13" s="282" t="str">
        <f t="shared" si="16"/>
        <v/>
      </c>
      <c r="AF13" s="282" t="str">
        <f t="shared" si="17"/>
        <v/>
      </c>
      <c r="AG13" s="282" t="str">
        <f t="shared" si="18"/>
        <v/>
      </c>
      <c r="AH13" s="282" t="str">
        <f t="shared" si="19"/>
        <v/>
      </c>
      <c r="AI13" s="282" t="str">
        <f t="shared" si="20"/>
        <v/>
      </c>
      <c r="AJ13" s="282" t="str">
        <f>IF(U13="","",VLOOKUP(LEFT(I13,6)&amp;".1-00",MCP!$AK$9:$AL$464,21,FALSE))</f>
        <v/>
      </c>
      <c r="AK13" s="283" t="str">
        <f t="shared" si="21"/>
        <v/>
      </c>
      <c r="AL13" s="284" t="str">
        <f t="shared" si="22"/>
        <v/>
      </c>
      <c r="AM13" s="285" t="str">
        <f t="shared" si="23"/>
        <v/>
      </c>
      <c r="AN13" s="282">
        <f t="shared" si="24"/>
        <v>0</v>
      </c>
      <c r="AO13" s="282">
        <f t="shared" si="25"/>
        <v>0</v>
      </c>
      <c r="AP13" s="282">
        <f t="shared" si="26"/>
        <v>0</v>
      </c>
      <c r="AQ13" s="282" t="e">
        <f>VLOOKUP(LEFT($A13,7)&amp;"1-00",MCP!#REF!,30,FALSE)</f>
        <v>#REF!</v>
      </c>
      <c r="AR13" s="282" t="e">
        <f>VLOOKUP(LEFT($A13,7)&amp;"1-00",MCP!#REF!,31,FALSE)</f>
        <v>#REF!</v>
      </c>
      <c r="AS13" s="282" t="e">
        <f>VLOOKUP($A13&amp;"-"&amp;$B13,MCP!#REF!,12,FALSE)</f>
        <v>#REF!</v>
      </c>
      <c r="AT13" s="282" t="str">
        <f t="shared" si="27"/>
        <v/>
      </c>
      <c r="AU13" s="282" t="str">
        <f t="shared" si="28"/>
        <v/>
      </c>
      <c r="AV13" s="282" t="str">
        <f t="shared" si="29"/>
        <v/>
      </c>
      <c r="AW13" s="282" t="str">
        <f>IF($U13="","",VLOOKUP(LEFT($A13,7)&amp;"1-00",MCP!#REF!,24,FALSE))</f>
        <v/>
      </c>
      <c r="AX13" s="282">
        <v>-79408.170988082929</v>
      </c>
      <c r="AY13" s="282">
        <v>-4744.0701706606023</v>
      </c>
      <c r="BF13" s="174" t="str">
        <f t="shared" si="30"/>
        <v/>
      </c>
    </row>
    <row r="14" spans="1:58" x14ac:dyDescent="0.2">
      <c r="A14" s="282" t="str">
        <f t="shared" si="0"/>
        <v>6.1012.1</v>
      </c>
      <c r="B14" s="282" t="str">
        <f t="shared" si="1"/>
        <v>03</v>
      </c>
      <c r="C14" s="282" t="str">
        <f t="shared" si="2"/>
        <v>6.1012.1.03</v>
      </c>
      <c r="D14" s="161">
        <v>2.6248</v>
      </c>
      <c r="E14" s="161">
        <v>1.35E-2</v>
      </c>
      <c r="F14" s="282">
        <f t="shared" si="3"/>
        <v>0.22259999999999999</v>
      </c>
      <c r="G14" s="161" t="s">
        <v>880</v>
      </c>
      <c r="H14" s="282">
        <f t="shared" si="4"/>
        <v>3.9672143418541129E-3</v>
      </c>
      <c r="I14" s="282" t="str">
        <f>A14&amp;"-"&amp;TEXT(MCP!$D$1,"00")</f>
        <v>6.1012.1-03</v>
      </c>
      <c r="J14" s="282">
        <f>IFERROR(VLOOKUP(I14,MCP!#REF!,10,FALSE),0)</f>
        <v>0</v>
      </c>
      <c r="K14" s="282">
        <f>IFERROR(VLOOKUP(I14,MCP!#REF!,19,FALSE),0)</f>
        <v>0</v>
      </c>
      <c r="L14" s="161">
        <v>12</v>
      </c>
      <c r="M14" s="161">
        <v>5.3145701560687146E-3</v>
      </c>
      <c r="N14" s="282" t="e">
        <f>IF($A14="","",VLOOKUP(LEFT($A14,7)&amp;"1-00",MCP!#REF!,N$1,FALSE))</f>
        <v>#REF!</v>
      </c>
      <c r="O14" s="282" t="e">
        <f>IF($A14="","",VLOOKUP(LEFT($A14,7)&amp;"1-00",MCP!#REF!,O$1,FALSE))</f>
        <v>#REF!</v>
      </c>
      <c r="P14" s="282" t="e">
        <f>IF($A14="","",VLOOKUP(LEFT($A14,7)&amp;"1-00",MCP!#REF!,P$1,FALSE))</f>
        <v>#REF!</v>
      </c>
      <c r="Q14" s="282" t="e">
        <f t="shared" si="5"/>
        <v>#REF!</v>
      </c>
      <c r="R14" s="282" t="e">
        <f t="shared" si="6"/>
        <v>#REF!</v>
      </c>
      <c r="S14" s="282" t="e">
        <f t="shared" si="7"/>
        <v>#REF!</v>
      </c>
      <c r="T14" s="282" t="e">
        <f>VLOOKUP(LEFT($A14,7)&amp;"1-00",MCP!#REF!,T$1,FALSE)</f>
        <v>#REF!</v>
      </c>
      <c r="U14" s="282" t="str">
        <f t="shared" si="8"/>
        <v/>
      </c>
      <c r="V14" s="282" t="str">
        <f t="shared" si="9"/>
        <v/>
      </c>
      <c r="W14" s="284" t="str">
        <f t="shared" si="10"/>
        <v/>
      </c>
      <c r="X14" s="161">
        <v>-1.3205</v>
      </c>
      <c r="Y14" s="284">
        <v>0.67300000000000004</v>
      </c>
      <c r="Z14" s="284" t="str">
        <f t="shared" si="11"/>
        <v/>
      </c>
      <c r="AA14" s="282" t="str">
        <f t="shared" si="12"/>
        <v/>
      </c>
      <c r="AB14" s="282" t="str">
        <f t="shared" si="13"/>
        <v/>
      </c>
      <c r="AC14" s="282" t="str">
        <f t="shared" si="14"/>
        <v/>
      </c>
      <c r="AD14" s="282" t="str">
        <f t="shared" si="15"/>
        <v/>
      </c>
      <c r="AE14" s="282" t="str">
        <f t="shared" si="16"/>
        <v/>
      </c>
      <c r="AF14" s="282" t="str">
        <f t="shared" si="17"/>
        <v/>
      </c>
      <c r="AG14" s="282" t="str">
        <f t="shared" si="18"/>
        <v/>
      </c>
      <c r="AH14" s="282" t="str">
        <f t="shared" si="19"/>
        <v/>
      </c>
      <c r="AI14" s="282" t="str">
        <f t="shared" si="20"/>
        <v/>
      </c>
      <c r="AJ14" s="282" t="str">
        <f>IF(U14="","",VLOOKUP(LEFT(I14,6)&amp;".1-00",MCP!$AK$9:$AL$464,21,FALSE))</f>
        <v/>
      </c>
      <c r="AK14" s="283" t="str">
        <f t="shared" si="21"/>
        <v/>
      </c>
      <c r="AL14" s="284" t="str">
        <f t="shared" si="22"/>
        <v/>
      </c>
      <c r="AM14" s="285" t="str">
        <f t="shared" si="23"/>
        <v/>
      </c>
      <c r="AN14" s="282">
        <f t="shared" si="24"/>
        <v>0</v>
      </c>
      <c r="AO14" s="282">
        <f t="shared" si="25"/>
        <v>0</v>
      </c>
      <c r="AP14" s="282">
        <f t="shared" si="26"/>
        <v>0</v>
      </c>
      <c r="AQ14" s="282" t="e">
        <f>VLOOKUP(LEFT($A14,7)&amp;"1-00",MCP!#REF!,30,FALSE)</f>
        <v>#REF!</v>
      </c>
      <c r="AR14" s="282" t="e">
        <f>VLOOKUP(LEFT($A14,7)&amp;"1-00",MCP!#REF!,31,FALSE)</f>
        <v>#REF!</v>
      </c>
      <c r="AS14" s="282" t="e">
        <f>VLOOKUP($A14&amp;"-"&amp;$B14,MCP!#REF!,12,FALSE)</f>
        <v>#REF!</v>
      </c>
      <c r="AT14" s="282" t="str">
        <f t="shared" si="27"/>
        <v/>
      </c>
      <c r="AU14" s="282" t="str">
        <f t="shared" si="28"/>
        <v/>
      </c>
      <c r="AV14" s="282" t="str">
        <f t="shared" si="29"/>
        <v/>
      </c>
      <c r="AW14" s="282" t="str">
        <f>IF($U14="","",VLOOKUP(LEFT($A14,7)&amp;"1-00",MCP!#REF!,24,FALSE))</f>
        <v/>
      </c>
      <c r="AX14" s="282">
        <v>-15866.825116144597</v>
      </c>
      <c r="AY14" s="282">
        <v>-962.08612024118088</v>
      </c>
      <c r="AZ14" s="173"/>
      <c r="BF14" s="174" t="str">
        <f t="shared" si="30"/>
        <v/>
      </c>
    </row>
    <row r="15" spans="1:58" x14ac:dyDescent="0.2">
      <c r="A15" s="282" t="str">
        <f t="shared" si="0"/>
        <v>5.1013.1</v>
      </c>
      <c r="B15" s="282" t="str">
        <f t="shared" si="1"/>
        <v>03</v>
      </c>
      <c r="C15" s="282" t="str">
        <f t="shared" si="2"/>
        <v>5.1013.1.03</v>
      </c>
      <c r="D15" s="161">
        <v>2.9285999999999999</v>
      </c>
      <c r="E15" s="161">
        <v>0.10009999999999999</v>
      </c>
      <c r="F15" s="282">
        <f t="shared" si="3"/>
        <v>1.8419000000000001</v>
      </c>
      <c r="G15" s="161" t="s">
        <v>868</v>
      </c>
      <c r="H15" s="282">
        <f t="shared" si="4"/>
        <v>3.2826649129654495E-2</v>
      </c>
      <c r="I15" s="282" t="str">
        <f>A15&amp;"-"&amp;TEXT(MCP!$D$1,"00")</f>
        <v>5.1013.1-03</v>
      </c>
      <c r="J15" s="282">
        <f>IFERROR(VLOOKUP(I15,MCP!#REF!,10,FALSE),0)</f>
        <v>0</v>
      </c>
      <c r="K15" s="282">
        <f>IFERROR(VLOOKUP(I15,MCP!#REF!,19,FALSE),0)</f>
        <v>0</v>
      </c>
      <c r="L15" s="161">
        <v>13</v>
      </c>
      <c r="M15" s="161">
        <v>3.5621164892469963E-2</v>
      </c>
      <c r="N15" s="282" t="e">
        <f>IF($A15="","",VLOOKUP(LEFT($A15,7)&amp;"1-00",MCP!#REF!,N$1,FALSE))</f>
        <v>#REF!</v>
      </c>
      <c r="O15" s="282" t="e">
        <f>IF($A15="","",VLOOKUP(LEFT($A15,7)&amp;"1-00",MCP!#REF!,O$1,FALSE))</f>
        <v>#REF!</v>
      </c>
      <c r="P15" s="282" t="e">
        <f>IF($A15="","",VLOOKUP(LEFT($A15,7)&amp;"1-00",MCP!#REF!,P$1,FALSE))</f>
        <v>#REF!</v>
      </c>
      <c r="Q15" s="282" t="e">
        <f t="shared" si="5"/>
        <v>#REF!</v>
      </c>
      <c r="R15" s="282" t="e">
        <f t="shared" si="6"/>
        <v>#REF!</v>
      </c>
      <c r="S15" s="282" t="e">
        <f t="shared" si="7"/>
        <v>#REF!</v>
      </c>
      <c r="T15" s="282" t="e">
        <f>VLOOKUP(LEFT($A15,7)&amp;"1-00",MCP!#REF!,T$1,FALSE)</f>
        <v>#REF!</v>
      </c>
      <c r="U15" s="282" t="str">
        <f t="shared" si="8"/>
        <v/>
      </c>
      <c r="V15" s="282" t="str">
        <f t="shared" si="9"/>
        <v/>
      </c>
      <c r="W15" s="284" t="str">
        <f t="shared" si="10"/>
        <v/>
      </c>
      <c r="X15" s="161">
        <v>-1.3186</v>
      </c>
      <c r="Y15" s="280">
        <v>1.3308</v>
      </c>
      <c r="Z15" s="284" t="str">
        <f t="shared" si="11"/>
        <v/>
      </c>
      <c r="AA15" s="282" t="str">
        <f t="shared" si="12"/>
        <v/>
      </c>
      <c r="AB15" s="282" t="str">
        <f t="shared" si="13"/>
        <v/>
      </c>
      <c r="AC15" s="282" t="str">
        <f t="shared" si="14"/>
        <v/>
      </c>
      <c r="AD15" s="282" t="str">
        <f t="shared" si="15"/>
        <v/>
      </c>
      <c r="AE15" s="282" t="str">
        <f t="shared" si="16"/>
        <v/>
      </c>
      <c r="AF15" s="282" t="str">
        <f t="shared" si="17"/>
        <v/>
      </c>
      <c r="AG15" s="282" t="str">
        <f t="shared" si="18"/>
        <v/>
      </c>
      <c r="AH15" s="282" t="str">
        <f t="shared" si="19"/>
        <v/>
      </c>
      <c r="AI15" s="282" t="str">
        <f t="shared" si="20"/>
        <v/>
      </c>
      <c r="AJ15" s="282" t="str">
        <f>IF(U15="","",VLOOKUP(LEFT(I15,6)&amp;".1-00",MCP!$AK$9:$AL$464,21,FALSE))</f>
        <v/>
      </c>
      <c r="AK15" s="283" t="str">
        <f t="shared" si="21"/>
        <v/>
      </c>
      <c r="AL15" s="284" t="str">
        <f t="shared" si="22"/>
        <v/>
      </c>
      <c r="AM15" s="285" t="str">
        <f t="shared" si="23"/>
        <v/>
      </c>
      <c r="AN15" s="282">
        <f t="shared" si="24"/>
        <v>0</v>
      </c>
      <c r="AO15" s="282">
        <f t="shared" si="25"/>
        <v>0</v>
      </c>
      <c r="AP15" s="282">
        <f t="shared" si="26"/>
        <v>0</v>
      </c>
      <c r="AQ15" s="282" t="e">
        <f>VLOOKUP(LEFT($A15,7)&amp;"1-00",MCP!#REF!,30,FALSE)</f>
        <v>#REF!</v>
      </c>
      <c r="AR15" s="282" t="e">
        <f>VLOOKUP(LEFT($A15,7)&amp;"1-00",MCP!#REF!,31,FALSE)</f>
        <v>#REF!</v>
      </c>
      <c r="AS15" s="282" t="e">
        <f>VLOOKUP($A15&amp;"-"&amp;$B15,MCP!#REF!,12,FALSE)</f>
        <v>#REF!</v>
      </c>
      <c r="AT15" s="282" t="str">
        <f t="shared" si="27"/>
        <v/>
      </c>
      <c r="AU15" s="282" t="str">
        <f t="shared" si="28"/>
        <v/>
      </c>
      <c r="AV15" s="282" t="str">
        <f t="shared" si="29"/>
        <v/>
      </c>
      <c r="AW15" s="282" t="str">
        <f>IF($U15="","",VLOOKUP(LEFT($A15,7)&amp;"1-00",MCP!#REF!,24,FALSE))</f>
        <v/>
      </c>
      <c r="AX15" s="282">
        <v>-91157.103878907306</v>
      </c>
      <c r="AY15" s="282">
        <v>-4953.9382914257667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2" t="str">
        <f t="shared" si="0"/>
        <v>2.1014.1</v>
      </c>
      <c r="B16" s="282" t="str">
        <f t="shared" si="1"/>
        <v>03</v>
      </c>
      <c r="C16" s="282" t="str">
        <f t="shared" si="2"/>
        <v>2.1014.1.03</v>
      </c>
      <c r="D16" s="161">
        <v>2.8948999999999998</v>
      </c>
      <c r="E16" s="161">
        <v>1.4800000000000001E-2</v>
      </c>
      <c r="F16" s="282">
        <f t="shared" si="3"/>
        <v>0.26919999999999999</v>
      </c>
      <c r="G16" s="161" t="s">
        <v>818</v>
      </c>
      <c r="H16" s="282">
        <f t="shared" si="4"/>
        <v>4.7977273172826913E-3</v>
      </c>
      <c r="I16" s="282" t="str">
        <f>A16&amp;"-"&amp;TEXT(MCP!$D$1,"00")</f>
        <v>2.1014.1-03</v>
      </c>
      <c r="J16" s="282">
        <f>IFERROR(VLOOKUP(I16,MCP!#REF!,10,FALSE),0)</f>
        <v>0</v>
      </c>
      <c r="K16" s="282">
        <f>IFERROR(VLOOKUP(I16,MCP!#REF!,19,FALSE),0)</f>
        <v>0</v>
      </c>
      <c r="L16" s="161">
        <v>14</v>
      </c>
      <c r="M16" s="161">
        <v>6.3518202670117046E-3</v>
      </c>
      <c r="N16" s="282" t="e">
        <f>IF($A16="","",VLOOKUP(LEFT($A16,7)&amp;"1-00",MCP!#REF!,N$1,FALSE))</f>
        <v>#REF!</v>
      </c>
      <c r="O16" s="282" t="e">
        <f>IF($A16="","",VLOOKUP(LEFT($A16,7)&amp;"1-00",MCP!#REF!,O$1,FALSE))</f>
        <v>#REF!</v>
      </c>
      <c r="P16" s="282" t="e">
        <f>IF($A16="","",VLOOKUP(LEFT($A16,7)&amp;"1-00",MCP!#REF!,P$1,FALSE))</f>
        <v>#REF!</v>
      </c>
      <c r="Q16" s="282" t="e">
        <f t="shared" si="5"/>
        <v>#REF!</v>
      </c>
      <c r="R16" s="282" t="e">
        <f t="shared" si="6"/>
        <v>#REF!</v>
      </c>
      <c r="S16" s="282" t="e">
        <f t="shared" si="7"/>
        <v>#REF!</v>
      </c>
      <c r="T16" s="282" t="e">
        <f>VLOOKUP(LEFT($A16,7)&amp;"1-00",MCP!#REF!,T$1,FALSE)</f>
        <v>#REF!</v>
      </c>
      <c r="U16" s="282" t="str">
        <f t="shared" si="8"/>
        <v/>
      </c>
      <c r="V16" s="282" t="str">
        <f t="shared" si="9"/>
        <v/>
      </c>
      <c r="W16" s="284" t="str">
        <f t="shared" si="10"/>
        <v/>
      </c>
      <c r="X16" s="161">
        <v>-1.0549999999999999</v>
      </c>
      <c r="Y16" s="280">
        <v>0.7026</v>
      </c>
      <c r="Z16" s="284" t="str">
        <f t="shared" si="11"/>
        <v/>
      </c>
      <c r="AA16" s="282" t="str">
        <f t="shared" si="12"/>
        <v/>
      </c>
      <c r="AB16" s="282" t="str">
        <f t="shared" si="13"/>
        <v/>
      </c>
      <c r="AC16" s="282" t="str">
        <f t="shared" si="14"/>
        <v/>
      </c>
      <c r="AD16" s="282" t="str">
        <f t="shared" si="15"/>
        <v/>
      </c>
      <c r="AE16" s="282" t="str">
        <f t="shared" si="16"/>
        <v/>
      </c>
      <c r="AF16" s="282" t="str">
        <f t="shared" si="17"/>
        <v/>
      </c>
      <c r="AG16" s="282" t="str">
        <f t="shared" si="18"/>
        <v/>
      </c>
      <c r="AH16" s="282" t="str">
        <f t="shared" si="19"/>
        <v/>
      </c>
      <c r="AI16" s="282" t="str">
        <f t="shared" si="20"/>
        <v/>
      </c>
      <c r="AJ16" s="282" t="str">
        <f>IF(U16="","",VLOOKUP(LEFT(I16,6)&amp;".1-00",MCP!$AK$9:$AL$464,21,FALSE))</f>
        <v/>
      </c>
      <c r="AK16" s="283" t="str">
        <f t="shared" si="21"/>
        <v/>
      </c>
      <c r="AL16" s="284" t="str">
        <f t="shared" si="22"/>
        <v/>
      </c>
      <c r="AM16" s="285" t="str">
        <f t="shared" si="23"/>
        <v/>
      </c>
      <c r="AN16" s="282">
        <f t="shared" si="24"/>
        <v>0</v>
      </c>
      <c r="AO16" s="282">
        <f t="shared" si="25"/>
        <v>0</v>
      </c>
      <c r="AP16" s="282">
        <f t="shared" si="26"/>
        <v>0</v>
      </c>
      <c r="AQ16" s="282" t="e">
        <f>VLOOKUP(LEFT($A16,7)&amp;"1-00",MCP!#REF!,30,FALSE)</f>
        <v>#REF!</v>
      </c>
      <c r="AR16" s="282" t="e">
        <f>VLOOKUP(LEFT($A16,7)&amp;"1-00",MCP!#REF!,31,FALSE)</f>
        <v>#REF!</v>
      </c>
      <c r="AS16" s="282" t="e">
        <f>VLOOKUP($A16&amp;"-"&amp;$B16,MCP!#REF!,12,FALSE)</f>
        <v>#REF!</v>
      </c>
      <c r="AT16" s="282" t="str">
        <f t="shared" si="27"/>
        <v/>
      </c>
      <c r="AU16" s="282" t="str">
        <f t="shared" si="28"/>
        <v/>
      </c>
      <c r="AV16" s="282" t="str">
        <f t="shared" si="29"/>
        <v/>
      </c>
      <c r="AW16" s="282" t="str">
        <f>IF($U16="","",VLOOKUP(LEFT($A16,7)&amp;"1-00",MCP!#REF!,24,FALSE))</f>
        <v/>
      </c>
      <c r="AX16" s="282">
        <v>-19496.673416383972</v>
      </c>
      <c r="AY16" s="282">
        <v>-1071.8822577864048</v>
      </c>
      <c r="AZ16" s="173"/>
      <c r="BF16" s="174" t="str">
        <f t="shared" si="30"/>
        <v/>
      </c>
    </row>
    <row r="17" spans="1:58" x14ac:dyDescent="0.2">
      <c r="A17" s="282" t="str">
        <f t="shared" si="0"/>
        <v>1.1015.1</v>
      </c>
      <c r="B17" s="282" t="str">
        <f t="shared" si="1"/>
        <v>03</v>
      </c>
      <c r="C17" s="282" t="str">
        <f t="shared" si="2"/>
        <v>1.1015.1.03</v>
      </c>
      <c r="D17" s="161">
        <v>3.2010000000000001</v>
      </c>
      <c r="E17" s="161">
        <v>9.7900000000000001E-2</v>
      </c>
      <c r="F17" s="282">
        <f t="shared" si="3"/>
        <v>1.9690000000000001</v>
      </c>
      <c r="G17" s="161" t="s">
        <v>806</v>
      </c>
      <c r="H17" s="282">
        <f t="shared" si="4"/>
        <v>3.5091846536885664E-2</v>
      </c>
      <c r="I17" s="282" t="str">
        <f>A17&amp;"-"&amp;TEXT(MCP!$D$1,"00")</f>
        <v>1.1015.1-03</v>
      </c>
      <c r="J17" s="282">
        <f>IFERROR(VLOOKUP(I17,MCP!#REF!,10,FALSE),0)</f>
        <v>0</v>
      </c>
      <c r="K17" s="282">
        <f>IFERROR(VLOOKUP(I17,MCP!#REF!,19,FALSE),0)</f>
        <v>0</v>
      </c>
      <c r="L17" s="161">
        <v>15</v>
      </c>
      <c r="M17" s="161">
        <v>3.8151912585836015E-2</v>
      </c>
      <c r="N17" s="282" t="e">
        <f>IF($A17="","",VLOOKUP(LEFT($A17,7)&amp;"1-00",MCP!#REF!,N$1,FALSE))</f>
        <v>#REF!</v>
      </c>
      <c r="O17" s="282" t="e">
        <f>IF($A17="","",VLOOKUP(LEFT($A17,7)&amp;"1-00",MCP!#REF!,O$1,FALSE))</f>
        <v>#REF!</v>
      </c>
      <c r="P17" s="282" t="e">
        <f>IF($A17="","",VLOOKUP(LEFT($A17,7)&amp;"1-00",MCP!#REF!,P$1,FALSE))</f>
        <v>#REF!</v>
      </c>
      <c r="Q17" s="282" t="e">
        <f t="shared" si="5"/>
        <v>#REF!</v>
      </c>
      <c r="R17" s="282" t="e">
        <f t="shared" si="6"/>
        <v>#REF!</v>
      </c>
      <c r="S17" s="282" t="e">
        <f t="shared" si="7"/>
        <v>#REF!</v>
      </c>
      <c r="T17" s="282" t="e">
        <f>VLOOKUP(LEFT($A17,7)&amp;"1-00",MCP!#REF!,T$1,FALSE)</f>
        <v>#REF!</v>
      </c>
      <c r="U17" s="282" t="str">
        <f t="shared" si="8"/>
        <v/>
      </c>
      <c r="V17" s="282" t="str">
        <f t="shared" si="9"/>
        <v/>
      </c>
      <c r="W17" s="284" t="str">
        <f t="shared" si="10"/>
        <v/>
      </c>
      <c r="X17" s="161">
        <v>-1.0188999999999999</v>
      </c>
      <c r="Y17" s="284">
        <v>1.3225</v>
      </c>
      <c r="Z17" s="284" t="str">
        <f t="shared" si="11"/>
        <v/>
      </c>
      <c r="AA17" s="282" t="str">
        <f t="shared" si="12"/>
        <v/>
      </c>
      <c r="AB17" s="282" t="str">
        <f t="shared" si="13"/>
        <v/>
      </c>
      <c r="AC17" s="282" t="str">
        <f t="shared" si="14"/>
        <v/>
      </c>
      <c r="AD17" s="282" t="str">
        <f t="shared" si="15"/>
        <v/>
      </c>
      <c r="AE17" s="282" t="str">
        <f t="shared" si="16"/>
        <v/>
      </c>
      <c r="AF17" s="282" t="str">
        <f t="shared" si="17"/>
        <v/>
      </c>
      <c r="AG17" s="282" t="str">
        <f t="shared" si="18"/>
        <v/>
      </c>
      <c r="AH17" s="282" t="str">
        <f t="shared" si="19"/>
        <v/>
      </c>
      <c r="AI17" s="282" t="str">
        <f t="shared" si="20"/>
        <v/>
      </c>
      <c r="AJ17" s="282" t="str">
        <f>IF(U17="","",VLOOKUP(LEFT(I17,6)&amp;".1-00",MCP!$AK$9:$AL$464,21,FALSE))</f>
        <v/>
      </c>
      <c r="AK17" s="283" t="str">
        <f t="shared" si="21"/>
        <v/>
      </c>
      <c r="AL17" s="284" t="str">
        <f t="shared" si="22"/>
        <v/>
      </c>
      <c r="AM17" s="285" t="str">
        <f t="shared" si="23"/>
        <v/>
      </c>
      <c r="AN17" s="282">
        <f t="shared" si="24"/>
        <v>0</v>
      </c>
      <c r="AO17" s="282">
        <f t="shared" si="25"/>
        <v>0</v>
      </c>
      <c r="AP17" s="282">
        <f t="shared" si="26"/>
        <v>0</v>
      </c>
      <c r="AQ17" s="282" t="e">
        <f>VLOOKUP(LEFT($A17,7)&amp;"1-00",MCP!#REF!,30,FALSE)</f>
        <v>#REF!</v>
      </c>
      <c r="AR17" s="282" t="e">
        <f>VLOOKUP(LEFT($A17,7)&amp;"1-00",MCP!#REF!,31,FALSE)</f>
        <v>#REF!</v>
      </c>
      <c r="AS17" s="282" t="e">
        <f>VLOOKUP($A17&amp;"-"&amp;$B17,MCP!#REF!,12,FALSE)</f>
        <v>#REF!</v>
      </c>
      <c r="AT17" s="282" t="str">
        <f t="shared" si="27"/>
        <v/>
      </c>
      <c r="AU17" s="282" t="str">
        <f t="shared" si="28"/>
        <v/>
      </c>
      <c r="AV17" s="282" t="str">
        <f t="shared" si="29"/>
        <v/>
      </c>
      <c r="AW17" s="282" t="str">
        <f>IF($U17="","",VLOOKUP(LEFT($A17,7)&amp;"1-00",MCP!#REF!,24,FALSE))</f>
        <v/>
      </c>
      <c r="AX17" s="282">
        <v>-100831.0312839424</v>
      </c>
      <c r="AY17" s="282">
        <v>-5013.3574026532297</v>
      </c>
      <c r="BF17" s="174" t="str">
        <f t="shared" si="30"/>
        <v/>
      </c>
    </row>
    <row r="18" spans="1:58" x14ac:dyDescent="0.2">
      <c r="A18" s="282" t="str">
        <f t="shared" si="0"/>
        <v>4.1016.1</v>
      </c>
      <c r="B18" s="282" t="str">
        <f t="shared" si="1"/>
        <v>03</v>
      </c>
      <c r="C18" s="282" t="str">
        <f t="shared" si="2"/>
        <v>4.1016.1.03</v>
      </c>
      <c r="D18" s="161">
        <v>3.1606000000000001</v>
      </c>
      <c r="E18" s="161">
        <v>1.6400000000000001E-2</v>
      </c>
      <c r="F18" s="282">
        <f t="shared" si="3"/>
        <v>0.32569999999999999</v>
      </c>
      <c r="G18" s="161" t="s">
        <v>664</v>
      </c>
      <c r="H18" s="282">
        <f t="shared" si="4"/>
        <v>5.8046797445727065E-3</v>
      </c>
      <c r="I18" s="282" t="str">
        <f>A18&amp;"-"&amp;TEXT(MCP!$D$1,"00")</f>
        <v>4.1016.1-03</v>
      </c>
      <c r="J18" s="282">
        <f>IFERROR(VLOOKUP(I18,MCP!#REF!,10,FALSE),0)</f>
        <v>0</v>
      </c>
      <c r="K18" s="282">
        <f>IFERROR(VLOOKUP(I18,MCP!#REF!,19,FALSE),0)</f>
        <v>0</v>
      </c>
      <c r="L18" s="161">
        <v>16</v>
      </c>
      <c r="M18" s="161">
        <v>7.5762031299289436E-3</v>
      </c>
      <c r="N18" s="282" t="e">
        <f>IF($A18="","",VLOOKUP(LEFT($A18,7)&amp;"1-00",MCP!#REF!,N$1,FALSE))</f>
        <v>#REF!</v>
      </c>
      <c r="O18" s="282" t="e">
        <f>IF($A18="","",VLOOKUP(LEFT($A18,7)&amp;"1-00",MCP!#REF!,O$1,FALSE))</f>
        <v>#REF!</v>
      </c>
      <c r="P18" s="282" t="e">
        <f>IF($A18="","",VLOOKUP(LEFT($A18,7)&amp;"1-00",MCP!#REF!,P$1,FALSE))</f>
        <v>#REF!</v>
      </c>
      <c r="Q18" s="282" t="e">
        <f t="shared" si="5"/>
        <v>#REF!</v>
      </c>
      <c r="R18" s="282" t="e">
        <f t="shared" si="6"/>
        <v>#REF!</v>
      </c>
      <c r="S18" s="282" t="e">
        <f t="shared" si="7"/>
        <v>#REF!</v>
      </c>
      <c r="T18" s="282" t="e">
        <f>VLOOKUP(LEFT($A18,7)&amp;"1-00",MCP!#REF!,T$1,FALSE)</f>
        <v>#REF!</v>
      </c>
      <c r="U18" s="282" t="str">
        <f t="shared" si="8"/>
        <v/>
      </c>
      <c r="V18" s="282" t="str">
        <f t="shared" si="9"/>
        <v/>
      </c>
      <c r="W18" s="284" t="str">
        <f t="shared" si="10"/>
        <v/>
      </c>
      <c r="X18" s="161">
        <v>-1.2379</v>
      </c>
      <c r="Y18" s="266">
        <v>0.72250000000000003</v>
      </c>
      <c r="Z18" s="284" t="str">
        <f t="shared" si="11"/>
        <v/>
      </c>
      <c r="AA18" s="282" t="str">
        <f t="shared" si="12"/>
        <v/>
      </c>
      <c r="AB18" s="282" t="str">
        <f t="shared" si="13"/>
        <v/>
      </c>
      <c r="AC18" s="282" t="str">
        <f t="shared" si="14"/>
        <v/>
      </c>
      <c r="AD18" s="282" t="str">
        <f t="shared" si="15"/>
        <v/>
      </c>
      <c r="AE18" s="282" t="str">
        <f t="shared" si="16"/>
        <v/>
      </c>
      <c r="AF18" s="282" t="str">
        <f t="shared" si="17"/>
        <v/>
      </c>
      <c r="AG18" s="282" t="str">
        <f t="shared" si="18"/>
        <v/>
      </c>
      <c r="AH18" s="282" t="str">
        <f t="shared" si="19"/>
        <v/>
      </c>
      <c r="AI18" s="282" t="str">
        <f t="shared" si="20"/>
        <v/>
      </c>
      <c r="AJ18" s="282" t="str">
        <f>IF(U18="","",VLOOKUP(LEFT(I18,6)&amp;".1-00",MCP!$AK$9:$AL$464,21,FALSE))</f>
        <v/>
      </c>
      <c r="AK18" s="283" t="str">
        <f t="shared" si="21"/>
        <v/>
      </c>
      <c r="AL18" s="284" t="str">
        <f t="shared" si="22"/>
        <v/>
      </c>
      <c r="AM18" s="285" t="str">
        <f t="shared" si="23"/>
        <v/>
      </c>
      <c r="AN18" s="282">
        <f t="shared" si="24"/>
        <v>0</v>
      </c>
      <c r="AO18" s="282">
        <f t="shared" si="25"/>
        <v>0</v>
      </c>
      <c r="AP18" s="282">
        <f t="shared" si="26"/>
        <v>0</v>
      </c>
      <c r="AQ18" s="282" t="e">
        <f>VLOOKUP(LEFT($A18,7)&amp;"1-00",MCP!#REF!,30,FALSE)</f>
        <v>#REF!</v>
      </c>
      <c r="AR18" s="282" t="e">
        <f>VLOOKUP(LEFT($A18,7)&amp;"1-00",MCP!#REF!,31,FALSE)</f>
        <v>#REF!</v>
      </c>
      <c r="AS18" s="282" t="e">
        <f>VLOOKUP($A18&amp;"-"&amp;$B18,MCP!#REF!,12,FALSE)</f>
        <v>#REF!</v>
      </c>
      <c r="AT18" s="282" t="str">
        <f t="shared" si="27"/>
        <v/>
      </c>
      <c r="AU18" s="282" t="str">
        <f t="shared" si="28"/>
        <v/>
      </c>
      <c r="AV18" s="282" t="str">
        <f t="shared" si="29"/>
        <v/>
      </c>
      <c r="AW18" s="282" t="str">
        <f>IF($U18="","",VLOOKUP(LEFT($A18,7)&amp;"1-00",MCP!#REF!,24,FALSE))</f>
        <v/>
      </c>
      <c r="AX18" s="282">
        <v>-23664.415448586013</v>
      </c>
      <c r="AY18" s="282">
        <v>-1191.6435784416501</v>
      </c>
      <c r="BF18" s="174" t="str">
        <f t="shared" si="30"/>
        <v/>
      </c>
    </row>
    <row r="19" spans="1:58" x14ac:dyDescent="0.2">
      <c r="A19" s="282" t="str">
        <f t="shared" si="0"/>
        <v>3.1017.1</v>
      </c>
      <c r="B19" s="282" t="str">
        <f t="shared" si="1"/>
        <v>03</v>
      </c>
      <c r="C19" s="282" t="str">
        <f t="shared" si="2"/>
        <v>3.1017.1.03</v>
      </c>
      <c r="D19" s="161">
        <v>3.4689999999999999</v>
      </c>
      <c r="E19" s="161">
        <v>0.1038</v>
      </c>
      <c r="F19" s="282">
        <f t="shared" si="3"/>
        <v>2.2625000000000002</v>
      </c>
      <c r="G19" s="161" t="s">
        <v>662</v>
      </c>
      <c r="H19" s="282">
        <f t="shared" si="4"/>
        <v>4.0322652508737331E-2</v>
      </c>
      <c r="I19" s="282" t="str">
        <f>A19&amp;"-"&amp;TEXT(MCP!$D$1,"00")</f>
        <v>3.1017.1-03</v>
      </c>
      <c r="J19" s="282">
        <f>IFERROR(VLOOKUP(I19,MCP!#REF!,10,FALSE),0)</f>
        <v>0</v>
      </c>
      <c r="K19" s="282">
        <f>IFERROR(VLOOKUP(I19,MCP!#REF!,19,FALSE),0)</f>
        <v>0</v>
      </c>
      <c r="L19" s="161">
        <v>17</v>
      </c>
      <c r="M19" s="161">
        <v>4.379619282871651E-2</v>
      </c>
      <c r="N19" s="282" t="e">
        <f>IF($A19="","",VLOOKUP(LEFT($A19,7)&amp;"1-00",MCP!#REF!,N$1,FALSE))</f>
        <v>#REF!</v>
      </c>
      <c r="O19" s="282" t="e">
        <f>IF($A19="","",VLOOKUP(LEFT($A19,7)&amp;"1-00",MCP!#REF!,O$1,FALSE))</f>
        <v>#REF!</v>
      </c>
      <c r="P19" s="282" t="e">
        <f>IF($A19="","",VLOOKUP(LEFT($A19,7)&amp;"1-00",MCP!#REF!,P$1,FALSE))</f>
        <v>#REF!</v>
      </c>
      <c r="Q19" s="282" t="e">
        <f t="shared" si="5"/>
        <v>#REF!</v>
      </c>
      <c r="R19" s="282" t="e">
        <f t="shared" si="6"/>
        <v>#REF!</v>
      </c>
      <c r="S19" s="282" t="e">
        <f t="shared" si="7"/>
        <v>#REF!</v>
      </c>
      <c r="T19" s="282" t="e">
        <f>VLOOKUP(LEFT($A19,7)&amp;"1-00",MCP!#REF!,T$1,FALSE)</f>
        <v>#REF!</v>
      </c>
      <c r="U19" s="282" t="str">
        <f t="shared" si="8"/>
        <v/>
      </c>
      <c r="V19" s="282" t="str">
        <f t="shared" si="9"/>
        <v/>
      </c>
      <c r="W19" s="284" t="str">
        <f t="shared" si="10"/>
        <v/>
      </c>
      <c r="X19" s="161">
        <v>-1.1728000000000001</v>
      </c>
      <c r="Y19" s="284">
        <v>1.3653</v>
      </c>
      <c r="Z19" s="284" t="str">
        <f t="shared" si="11"/>
        <v/>
      </c>
      <c r="AA19" s="282" t="str">
        <f t="shared" si="12"/>
        <v/>
      </c>
      <c r="AB19" s="282" t="str">
        <f t="shared" si="13"/>
        <v/>
      </c>
      <c r="AC19" s="282" t="str">
        <f t="shared" si="14"/>
        <v/>
      </c>
      <c r="AD19" s="282" t="str">
        <f t="shared" si="15"/>
        <v/>
      </c>
      <c r="AE19" s="282" t="str">
        <f t="shared" si="16"/>
        <v/>
      </c>
      <c r="AF19" s="282" t="str">
        <f t="shared" si="17"/>
        <v/>
      </c>
      <c r="AG19" s="282" t="str">
        <f t="shared" si="18"/>
        <v/>
      </c>
      <c r="AH19" s="282" t="str">
        <f t="shared" si="19"/>
        <v/>
      </c>
      <c r="AI19" s="282" t="str">
        <f t="shared" si="20"/>
        <v/>
      </c>
      <c r="AJ19" s="282" t="str">
        <f>IF(U19="","",VLOOKUP(LEFT(I19,6)&amp;".1-00",MCP!$AK$9:$AL$464,21,FALSE))</f>
        <v/>
      </c>
      <c r="AK19" s="283" t="str">
        <f t="shared" si="21"/>
        <v/>
      </c>
      <c r="AL19" s="284" t="str">
        <f t="shared" si="22"/>
        <v/>
      </c>
      <c r="AM19" s="285" t="str">
        <f t="shared" si="23"/>
        <v/>
      </c>
      <c r="AN19" s="282">
        <f t="shared" si="24"/>
        <v>0</v>
      </c>
      <c r="AO19" s="282">
        <f t="shared" si="25"/>
        <v>0</v>
      </c>
      <c r="AP19" s="282">
        <f t="shared" si="26"/>
        <v>0</v>
      </c>
      <c r="AQ19" s="282" t="e">
        <f>VLOOKUP(LEFT($A19,7)&amp;"1-00",MCP!#REF!,30,FALSE)</f>
        <v>#REF!</v>
      </c>
      <c r="AR19" s="282" t="e">
        <f>VLOOKUP(LEFT($A19,7)&amp;"1-00",MCP!#REF!,31,FALSE)</f>
        <v>#REF!</v>
      </c>
      <c r="AS19" s="282" t="e">
        <f>VLOOKUP($A19&amp;"-"&amp;$B19,MCP!#REF!,12,FALSE)</f>
        <v>#REF!</v>
      </c>
      <c r="AT19" s="282" t="str">
        <f t="shared" si="27"/>
        <v/>
      </c>
      <c r="AU19" s="282" t="str">
        <f t="shared" si="28"/>
        <v/>
      </c>
      <c r="AV19" s="282" t="str">
        <f t="shared" si="29"/>
        <v/>
      </c>
      <c r="AW19" s="282" t="str">
        <f>IF($U19="","",VLOOKUP(LEFT($A19,7)&amp;"1-00",MCP!#REF!,24,FALSE))</f>
        <v/>
      </c>
      <c r="AX19" s="282">
        <v>-118442.48972437771</v>
      </c>
      <c r="AY19" s="282">
        <v>-5434.0466162426501</v>
      </c>
      <c r="AZ19" s="173"/>
      <c r="BF19" s="174" t="str">
        <f t="shared" si="30"/>
        <v/>
      </c>
    </row>
    <row r="20" spans="1:58" x14ac:dyDescent="0.2">
      <c r="A20" s="282" t="str">
        <f t="shared" si="0"/>
        <v>6.1018.1</v>
      </c>
      <c r="B20" s="282" t="str">
        <f t="shared" si="1"/>
        <v>03</v>
      </c>
      <c r="C20" s="282" t="str">
        <f t="shared" si="2"/>
        <v>6.1018.1.03</v>
      </c>
      <c r="D20" s="161">
        <v>3.4327999999999999</v>
      </c>
      <c r="E20" s="161">
        <v>1.38E-2</v>
      </c>
      <c r="F20" s="282">
        <f t="shared" si="3"/>
        <v>0.29770000000000002</v>
      </c>
      <c r="G20" s="161" t="s">
        <v>882</v>
      </c>
      <c r="H20" s="282">
        <f t="shared" si="4"/>
        <v>5.305659072641372E-3</v>
      </c>
      <c r="I20" s="282" t="str">
        <f>A20&amp;"-"&amp;TEXT(MCP!$D$1,"00")</f>
        <v>6.1018.1-03</v>
      </c>
      <c r="J20" s="282">
        <f>IFERROR(VLOOKUP(I20,MCP!#REF!,10,FALSE),0)</f>
        <v>0</v>
      </c>
      <c r="K20" s="282">
        <f>IFERROR(VLOOKUP(I20,MCP!#REF!,19,FALSE),0)</f>
        <v>0</v>
      </c>
      <c r="L20" s="161">
        <v>18</v>
      </c>
      <c r="M20" s="161">
        <v>7.0754002413121395E-3</v>
      </c>
      <c r="N20" s="282" t="e">
        <f>IF($A20="","",VLOOKUP(LEFT($A20,7)&amp;"1-00",MCP!#REF!,N$1,FALSE))</f>
        <v>#REF!</v>
      </c>
      <c r="O20" s="282" t="e">
        <f>IF($A20="","",VLOOKUP(LEFT($A20,7)&amp;"1-00",MCP!#REF!,O$1,FALSE))</f>
        <v>#REF!</v>
      </c>
      <c r="P20" s="282" t="e">
        <f>IF($A20="","",VLOOKUP(LEFT($A20,7)&amp;"1-00",MCP!#REF!,P$1,FALSE))</f>
        <v>#REF!</v>
      </c>
      <c r="Q20" s="282" t="e">
        <f t="shared" si="5"/>
        <v>#REF!</v>
      </c>
      <c r="R20" s="282" t="e">
        <f t="shared" si="6"/>
        <v>#REF!</v>
      </c>
      <c r="S20" s="282" t="e">
        <f t="shared" si="7"/>
        <v>#REF!</v>
      </c>
      <c r="T20" s="282" t="e">
        <f>VLOOKUP(LEFT($A20,7)&amp;"1-00",MCP!#REF!,T$1,FALSE)</f>
        <v>#REF!</v>
      </c>
      <c r="U20" s="282" t="str">
        <f t="shared" si="8"/>
        <v/>
      </c>
      <c r="V20" s="282" t="str">
        <f t="shared" si="9"/>
        <v/>
      </c>
      <c r="W20" s="284" t="str">
        <f t="shared" si="10"/>
        <v/>
      </c>
      <c r="X20" s="161">
        <v>-1.393</v>
      </c>
      <c r="Y20" s="279">
        <v>0.6623</v>
      </c>
      <c r="Z20" s="284" t="str">
        <f t="shared" si="11"/>
        <v/>
      </c>
      <c r="AA20" s="282" t="str">
        <f t="shared" si="12"/>
        <v/>
      </c>
      <c r="AB20" s="282" t="str">
        <f t="shared" si="13"/>
        <v/>
      </c>
      <c r="AC20" s="282" t="str">
        <f t="shared" si="14"/>
        <v/>
      </c>
      <c r="AD20" s="282" t="str">
        <f t="shared" si="15"/>
        <v/>
      </c>
      <c r="AE20" s="282" t="str">
        <f t="shared" si="16"/>
        <v/>
      </c>
      <c r="AF20" s="282" t="str">
        <f t="shared" si="17"/>
        <v/>
      </c>
      <c r="AG20" s="282" t="str">
        <f t="shared" si="18"/>
        <v/>
      </c>
      <c r="AH20" s="282" t="str">
        <f t="shared" si="19"/>
        <v/>
      </c>
      <c r="AI20" s="282" t="str">
        <f t="shared" si="20"/>
        <v/>
      </c>
      <c r="AJ20" s="282" t="str">
        <f>IF(U20="","",VLOOKUP(LEFT(I20,6)&amp;".1-00",MCP!$AK$9:$AL$464,21,FALSE))</f>
        <v/>
      </c>
      <c r="AK20" s="283" t="str">
        <f t="shared" si="21"/>
        <v/>
      </c>
      <c r="AL20" s="284" t="str">
        <f t="shared" si="22"/>
        <v/>
      </c>
      <c r="AM20" s="285" t="str">
        <f t="shared" si="23"/>
        <v/>
      </c>
      <c r="AN20" s="282">
        <f t="shared" si="24"/>
        <v>0</v>
      </c>
      <c r="AO20" s="282">
        <f t="shared" si="25"/>
        <v>0</v>
      </c>
      <c r="AP20" s="282">
        <f t="shared" si="26"/>
        <v>0</v>
      </c>
      <c r="AQ20" s="282" t="e">
        <f>VLOOKUP(LEFT($A20,7)&amp;"1-00",MCP!#REF!,30,FALSE)</f>
        <v>#REF!</v>
      </c>
      <c r="AR20" s="282" t="e">
        <f>VLOOKUP(LEFT($A20,7)&amp;"1-00",MCP!#REF!,31,FALSE)</f>
        <v>#REF!</v>
      </c>
      <c r="AS20" s="282" t="e">
        <f>VLOOKUP($A20&amp;"-"&amp;$B20,MCP!#REF!,12,FALSE)</f>
        <v>#REF!</v>
      </c>
      <c r="AT20" s="282" t="str">
        <f t="shared" si="27"/>
        <v/>
      </c>
      <c r="AU20" s="282" t="str">
        <f t="shared" si="28"/>
        <v/>
      </c>
      <c r="AV20" s="282" t="str">
        <f t="shared" si="29"/>
        <v/>
      </c>
      <c r="AW20" s="282" t="str">
        <f>IF($U20="","",VLOOKUP(LEFT($A20,7)&amp;"1-00",MCP!#REF!,24,FALSE))</f>
        <v/>
      </c>
      <c r="AX20" s="282">
        <v>-23221.862837896606</v>
      </c>
      <c r="AY20" s="282">
        <v>-1076.6354749630732</v>
      </c>
      <c r="AZ20" s="173"/>
      <c r="BF20" s="174" t="str">
        <f t="shared" si="30"/>
        <v/>
      </c>
    </row>
    <row r="21" spans="1:58" x14ac:dyDescent="0.2">
      <c r="A21" s="282" t="str">
        <f t="shared" si="0"/>
        <v>5.1019.1</v>
      </c>
      <c r="B21" s="282" t="str">
        <f t="shared" si="1"/>
        <v>03</v>
      </c>
      <c r="C21" s="282" t="str">
        <f t="shared" si="2"/>
        <v>5.1019.1.03</v>
      </c>
      <c r="D21" s="161">
        <v>3.7395</v>
      </c>
      <c r="E21" s="161">
        <v>9.9599999999999994E-2</v>
      </c>
      <c r="F21" s="282">
        <f t="shared" si="3"/>
        <v>2.3401999999999998</v>
      </c>
      <c r="G21" s="161" t="s">
        <v>870</v>
      </c>
      <c r="H21" s="282">
        <f t="shared" si="4"/>
        <v>4.1707434873346778E-2</v>
      </c>
      <c r="I21" s="282" t="str">
        <f>A21&amp;"-"&amp;TEXT(MCP!$D$1,"00")</f>
        <v>5.1019.1-03</v>
      </c>
      <c r="J21" s="282">
        <f>IFERROR(VLOOKUP(I21,MCP!#REF!,10,FALSE),0)</f>
        <v>0</v>
      </c>
      <c r="K21" s="282">
        <f>IFERROR(VLOOKUP(I21,MCP!#REF!,19,FALSE),0)</f>
        <v>0</v>
      </c>
      <c r="L21" s="161">
        <v>19</v>
      </c>
      <c r="M21" s="161">
        <v>4.5332463611590823E-2</v>
      </c>
      <c r="N21" s="282" t="e">
        <f>IF($A21="","",VLOOKUP(LEFT($A21,7)&amp;"1-00",MCP!#REF!,N$1,FALSE))</f>
        <v>#REF!</v>
      </c>
      <c r="O21" s="282" t="e">
        <f>IF($A21="","",VLOOKUP(LEFT($A21,7)&amp;"1-00",MCP!#REF!,O$1,FALSE))</f>
        <v>#REF!</v>
      </c>
      <c r="P21" s="282" t="e">
        <f>IF($A21="","",VLOOKUP(LEFT($A21,7)&amp;"1-00",MCP!#REF!,P$1,FALSE))</f>
        <v>#REF!</v>
      </c>
      <c r="Q21" s="282" t="e">
        <f t="shared" si="5"/>
        <v>#REF!</v>
      </c>
      <c r="R21" s="282" t="e">
        <f t="shared" si="6"/>
        <v>#REF!</v>
      </c>
      <c r="S21" s="282" t="e">
        <f t="shared" si="7"/>
        <v>#REF!</v>
      </c>
      <c r="T21" s="282" t="e">
        <f>VLOOKUP(LEFT($A21,7)&amp;"1-00",MCP!#REF!,T$1,FALSE)</f>
        <v>#REF!</v>
      </c>
      <c r="U21" s="282" t="str">
        <f t="shared" si="8"/>
        <v/>
      </c>
      <c r="V21" s="282" t="str">
        <f t="shared" si="9"/>
        <v/>
      </c>
      <c r="W21" s="284" t="str">
        <f t="shared" si="10"/>
        <v/>
      </c>
      <c r="X21" s="161">
        <v>-1.3009999999999999</v>
      </c>
      <c r="Y21" s="282">
        <v>1.3604000000000001</v>
      </c>
      <c r="Z21" s="284" t="str">
        <f t="shared" si="11"/>
        <v/>
      </c>
      <c r="AA21" s="282" t="str">
        <f t="shared" si="12"/>
        <v/>
      </c>
      <c r="AB21" s="282" t="str">
        <f t="shared" si="13"/>
        <v/>
      </c>
      <c r="AC21" s="282" t="str">
        <f t="shared" si="14"/>
        <v/>
      </c>
      <c r="AD21" s="282" t="str">
        <f t="shared" si="15"/>
        <v/>
      </c>
      <c r="AE21" s="282" t="str">
        <f t="shared" si="16"/>
        <v/>
      </c>
      <c r="AF21" s="282" t="str">
        <f t="shared" si="17"/>
        <v/>
      </c>
      <c r="AG21" s="282" t="str">
        <f t="shared" si="18"/>
        <v/>
      </c>
      <c r="AH21" s="282" t="str">
        <f t="shared" si="19"/>
        <v/>
      </c>
      <c r="AI21" s="282" t="str">
        <f t="shared" si="20"/>
        <v/>
      </c>
      <c r="AJ21" s="282" t="str">
        <f>IF(U21="","",VLOOKUP(LEFT(I21,6)&amp;".1-00",MCP!$AK$9:$AL$464,21,FALSE))</f>
        <v/>
      </c>
      <c r="AK21" s="283" t="str">
        <f t="shared" si="21"/>
        <v/>
      </c>
      <c r="AL21" s="284" t="str">
        <f t="shared" si="22"/>
        <v/>
      </c>
      <c r="AM21" s="285" t="str">
        <f t="shared" si="23"/>
        <v/>
      </c>
      <c r="AN21" s="282">
        <f t="shared" si="24"/>
        <v>0</v>
      </c>
      <c r="AO21" s="282">
        <f t="shared" si="25"/>
        <v>0</v>
      </c>
      <c r="AP21" s="282">
        <f t="shared" si="26"/>
        <v>0</v>
      </c>
      <c r="AQ21" s="282" t="e">
        <f>VLOOKUP(LEFT($A21,7)&amp;"1-00",MCP!#REF!,30,FALSE)</f>
        <v>#REF!</v>
      </c>
      <c r="AR21" s="282" t="e">
        <f>VLOOKUP(LEFT($A21,7)&amp;"1-00",MCP!#REF!,31,FALSE)</f>
        <v>#REF!</v>
      </c>
      <c r="AS21" s="282" t="e">
        <f>VLOOKUP($A21&amp;"-"&amp;$B21,MCP!#REF!,12,FALSE)</f>
        <v>#REF!</v>
      </c>
      <c r="AT21" s="282" t="str">
        <f t="shared" si="27"/>
        <v/>
      </c>
      <c r="AU21" s="282" t="str">
        <f t="shared" si="28"/>
        <v/>
      </c>
      <c r="AV21" s="282" t="str">
        <f t="shared" si="29"/>
        <v/>
      </c>
      <c r="AW21" s="282" t="str">
        <f>IF($U21="","",VLOOKUP(LEFT($A21,7)&amp;"1-00",MCP!#REF!,24,FALSE))</f>
        <v/>
      </c>
      <c r="AX21" s="282">
        <v>-125971.11124068884</v>
      </c>
      <c r="AY21" s="282">
        <v>-5361.3919082055545</v>
      </c>
      <c r="BF21" s="174" t="str">
        <f t="shared" si="30"/>
        <v/>
      </c>
    </row>
    <row r="22" spans="1:58" x14ac:dyDescent="0.2">
      <c r="A22" s="282" t="str">
        <f t="shared" si="0"/>
        <v>2.1020.1</v>
      </c>
      <c r="B22" s="282" t="str">
        <f t="shared" si="1"/>
        <v>03</v>
      </c>
      <c r="C22" s="282" t="str">
        <f t="shared" si="2"/>
        <v>2.1020.1.03</v>
      </c>
      <c r="D22" s="161">
        <v>3.7088999999999999</v>
      </c>
      <c r="E22" s="161">
        <v>1.5299999999999999E-2</v>
      </c>
      <c r="F22" s="282">
        <f t="shared" si="3"/>
        <v>0.35649999999999998</v>
      </c>
      <c r="G22" s="161" t="s">
        <v>820</v>
      </c>
      <c r="H22" s="282">
        <f t="shared" si="4"/>
        <v>6.3536024836971751E-3</v>
      </c>
      <c r="I22" s="282" t="str">
        <f>A22&amp;"-"&amp;TEXT(MCP!$D$1,"00")</f>
        <v>2.1020.1-03</v>
      </c>
      <c r="J22" s="282">
        <f>IFERROR(VLOOKUP(I22,MCP!#REF!,10,FALSE),0)</f>
        <v>0</v>
      </c>
      <c r="K22" s="282">
        <f>IFERROR(VLOOKUP(I22,MCP!#REF!,19,FALSE),0)</f>
        <v>0</v>
      </c>
      <c r="L22" s="161">
        <v>20</v>
      </c>
      <c r="M22" s="161">
        <v>8.3496851714225124E-3</v>
      </c>
      <c r="N22" s="282" t="e">
        <f>IF($A22="","",VLOOKUP(LEFT($A22,7)&amp;"1-00",MCP!#REF!,N$1,FALSE))</f>
        <v>#REF!</v>
      </c>
      <c r="O22" s="282" t="e">
        <f>IF($A22="","",VLOOKUP(LEFT($A22,7)&amp;"1-00",MCP!#REF!,O$1,FALSE))</f>
        <v>#REF!</v>
      </c>
      <c r="P22" s="282" t="e">
        <f>IF($A22="","",VLOOKUP(LEFT($A22,7)&amp;"1-00",MCP!#REF!,P$1,FALSE))</f>
        <v>#REF!</v>
      </c>
      <c r="Q22" s="282" t="e">
        <f t="shared" si="5"/>
        <v>#REF!</v>
      </c>
      <c r="R22" s="282" t="e">
        <f t="shared" si="6"/>
        <v>#REF!</v>
      </c>
      <c r="S22" s="282" t="e">
        <f t="shared" si="7"/>
        <v>#REF!</v>
      </c>
      <c r="T22" s="282" t="e">
        <f>VLOOKUP(LEFT($A22,7)&amp;"1-00",MCP!#REF!,T$1,FALSE)</f>
        <v>#REF!</v>
      </c>
      <c r="U22" s="282" t="str">
        <f t="shared" si="8"/>
        <v/>
      </c>
      <c r="V22" s="282" t="str">
        <f t="shared" si="9"/>
        <v/>
      </c>
      <c r="W22" s="284" t="str">
        <f t="shared" si="10"/>
        <v/>
      </c>
      <c r="X22" s="161">
        <v>-1.046</v>
      </c>
      <c r="Y22" s="189">
        <v>0.70330000000000004</v>
      </c>
      <c r="Z22" s="284" t="str">
        <f t="shared" si="11"/>
        <v/>
      </c>
      <c r="AA22" s="282" t="str">
        <f t="shared" si="12"/>
        <v/>
      </c>
      <c r="AB22" s="282" t="str">
        <f t="shared" si="13"/>
        <v/>
      </c>
      <c r="AC22" s="282" t="str">
        <f t="shared" si="14"/>
        <v/>
      </c>
      <c r="AD22" s="282" t="str">
        <f t="shared" si="15"/>
        <v/>
      </c>
      <c r="AE22" s="282" t="str">
        <f t="shared" si="16"/>
        <v/>
      </c>
      <c r="AF22" s="282" t="str">
        <f t="shared" si="17"/>
        <v/>
      </c>
      <c r="AG22" s="282" t="str">
        <f t="shared" si="18"/>
        <v/>
      </c>
      <c r="AH22" s="282" t="str">
        <f t="shared" si="19"/>
        <v/>
      </c>
      <c r="AI22" s="282" t="str">
        <f t="shared" si="20"/>
        <v/>
      </c>
      <c r="AJ22" s="282" t="str">
        <f>IF(U22="","",VLOOKUP(LEFT(I22,6)&amp;".1-00",MCP!$AK$9:$AL$464,21,FALSE))</f>
        <v/>
      </c>
      <c r="AK22" s="283" t="str">
        <f t="shared" si="21"/>
        <v/>
      </c>
      <c r="AL22" s="284" t="str">
        <f t="shared" si="22"/>
        <v/>
      </c>
      <c r="AM22" s="285" t="str">
        <f t="shared" si="23"/>
        <v/>
      </c>
      <c r="AN22" s="282">
        <f t="shared" si="24"/>
        <v>0</v>
      </c>
      <c r="AO22" s="282">
        <f t="shared" si="25"/>
        <v>0</v>
      </c>
      <c r="AP22" s="282">
        <f t="shared" si="26"/>
        <v>0</v>
      </c>
      <c r="AQ22" s="282" t="e">
        <f>VLOOKUP(LEFT($A22,7)&amp;"1-00",MCP!#REF!,30,FALSE)</f>
        <v>#REF!</v>
      </c>
      <c r="AR22" s="282" t="e">
        <f>VLOOKUP(LEFT($A22,7)&amp;"1-00",MCP!#REF!,31,FALSE)</f>
        <v>#REF!</v>
      </c>
      <c r="AS22" s="282" t="e">
        <f>VLOOKUP($A22&amp;"-"&amp;$B22,MCP!#REF!,12,FALSE)</f>
        <v>#REF!</v>
      </c>
      <c r="AT22" s="282" t="str">
        <f t="shared" si="27"/>
        <v/>
      </c>
      <c r="AU22" s="282" t="str">
        <f t="shared" si="28"/>
        <v/>
      </c>
      <c r="AV22" s="282" t="str">
        <f t="shared" si="29"/>
        <v/>
      </c>
      <c r="AW22" s="282" t="str">
        <f>IF($U22="","",VLOOKUP(LEFT($A22,7)&amp;"1-00",MCP!#REF!,24,FALSE))</f>
        <v/>
      </c>
      <c r="AX22" s="282">
        <v>-27946.910261451685</v>
      </c>
      <c r="AY22" s="282">
        <v>-1199.2474621196725</v>
      </c>
      <c r="BF22" s="174" t="str">
        <f t="shared" si="30"/>
        <v/>
      </c>
    </row>
    <row r="23" spans="1:58" x14ac:dyDescent="0.2">
      <c r="A23" s="282" t="str">
        <f t="shared" si="0"/>
        <v>1.1021.1</v>
      </c>
      <c r="B23" s="282" t="str">
        <f t="shared" si="1"/>
        <v>03</v>
      </c>
      <c r="C23" s="282" t="str">
        <f t="shared" si="2"/>
        <v>1.1021.1.03</v>
      </c>
      <c r="D23" s="161">
        <v>4.0069999999999997</v>
      </c>
      <c r="E23" s="161">
        <v>9.4200000000000006E-2</v>
      </c>
      <c r="F23" s="282">
        <f t="shared" si="3"/>
        <v>2.3715999999999999</v>
      </c>
      <c r="G23" s="161" t="s">
        <v>808</v>
      </c>
      <c r="H23" s="282">
        <f t="shared" si="4"/>
        <v>4.2267050912584064E-2</v>
      </c>
      <c r="I23" s="282" t="str">
        <f>A23&amp;"-"&amp;TEXT(MCP!$D$1,"00")</f>
        <v>1.1021.1-03</v>
      </c>
      <c r="J23" s="282">
        <f>IFERROR(VLOOKUP(I23,MCP!#REF!,10,FALSE),0)</f>
        <v>0</v>
      </c>
      <c r="K23" s="282">
        <f>IFERROR(VLOOKUP(I23,MCP!#REF!,19,FALSE),0)</f>
        <v>0</v>
      </c>
      <c r="L23" s="161">
        <v>21</v>
      </c>
      <c r="M23" s="161">
        <v>4.6113074519826276E-2</v>
      </c>
      <c r="N23" s="282" t="e">
        <f>IF($A23="","",VLOOKUP(LEFT($A23,7)&amp;"1-00",MCP!#REF!,N$1,FALSE))</f>
        <v>#REF!</v>
      </c>
      <c r="O23" s="282" t="e">
        <f>IF($A23="","",VLOOKUP(LEFT($A23,7)&amp;"1-00",MCP!#REF!,O$1,FALSE))</f>
        <v>#REF!</v>
      </c>
      <c r="P23" s="282" t="e">
        <f>IF($A23="","",VLOOKUP(LEFT($A23,7)&amp;"1-00",MCP!#REF!,P$1,FALSE))</f>
        <v>#REF!</v>
      </c>
      <c r="Q23" s="282" t="e">
        <f t="shared" si="5"/>
        <v>#REF!</v>
      </c>
      <c r="R23" s="282" t="e">
        <f t="shared" si="6"/>
        <v>#REF!</v>
      </c>
      <c r="S23" s="282" t="e">
        <f t="shared" si="7"/>
        <v>#REF!</v>
      </c>
      <c r="T23" s="282" t="e">
        <f>VLOOKUP(LEFT($A23,7)&amp;"1-00",MCP!#REF!,T$1,FALSE)</f>
        <v>#REF!</v>
      </c>
      <c r="U23" s="282" t="str">
        <f t="shared" si="8"/>
        <v/>
      </c>
      <c r="V23" s="282" t="str">
        <f t="shared" si="9"/>
        <v/>
      </c>
      <c r="W23" s="284" t="str">
        <f t="shared" si="10"/>
        <v/>
      </c>
      <c r="X23" s="161">
        <v>-0.92010000000000003</v>
      </c>
      <c r="Y23" s="266">
        <v>1.3403</v>
      </c>
      <c r="Z23" s="284" t="str">
        <f t="shared" si="11"/>
        <v/>
      </c>
      <c r="AA23" s="282" t="str">
        <f t="shared" si="12"/>
        <v/>
      </c>
      <c r="AB23" s="282" t="str">
        <f t="shared" si="13"/>
        <v/>
      </c>
      <c r="AC23" s="282" t="str">
        <f t="shared" si="14"/>
        <v/>
      </c>
      <c r="AD23" s="282" t="str">
        <f t="shared" si="15"/>
        <v/>
      </c>
      <c r="AE23" s="282" t="str">
        <f t="shared" si="16"/>
        <v/>
      </c>
      <c r="AF23" s="282" t="str">
        <f t="shared" si="17"/>
        <v/>
      </c>
      <c r="AG23" s="282" t="str">
        <f t="shared" si="18"/>
        <v/>
      </c>
      <c r="AH23" s="282" t="str">
        <f t="shared" si="19"/>
        <v/>
      </c>
      <c r="AI23" s="282" t="str">
        <f t="shared" si="20"/>
        <v/>
      </c>
      <c r="AJ23" s="282" t="str">
        <f>IF(U23="","",VLOOKUP(LEFT(I23,6)&amp;".1-00",MCP!$AK$9:$AL$464,21,FALSE))</f>
        <v/>
      </c>
      <c r="AK23" s="283" t="str">
        <f t="shared" si="21"/>
        <v/>
      </c>
      <c r="AL23" s="284" t="str">
        <f t="shared" si="22"/>
        <v/>
      </c>
      <c r="AM23" s="285" t="str">
        <f t="shared" si="23"/>
        <v/>
      </c>
      <c r="AN23" s="282">
        <f t="shared" si="24"/>
        <v>0</v>
      </c>
      <c r="AO23" s="282">
        <f t="shared" si="25"/>
        <v>0</v>
      </c>
      <c r="AP23" s="282">
        <f t="shared" si="26"/>
        <v>0</v>
      </c>
      <c r="AQ23" s="282" t="e">
        <f>VLOOKUP(LEFT($A23,7)&amp;"1-00",MCP!#REF!,30,FALSE)</f>
        <v>#REF!</v>
      </c>
      <c r="AR23" s="282" t="e">
        <f>VLOOKUP(LEFT($A23,7)&amp;"1-00",MCP!#REF!,31,FALSE)</f>
        <v>#REF!</v>
      </c>
      <c r="AS23" s="282" t="e">
        <f>VLOOKUP($A23&amp;"-"&amp;$B23,MCP!#REF!,12,FALSE)</f>
        <v>#REF!</v>
      </c>
      <c r="AT23" s="282" t="str">
        <f t="shared" si="27"/>
        <v/>
      </c>
      <c r="AU23" s="282" t="str">
        <f t="shared" si="28"/>
        <v/>
      </c>
      <c r="AV23" s="282" t="str">
        <f t="shared" si="29"/>
        <v/>
      </c>
      <c r="AW23" s="282" t="str">
        <f>IF($U23="","",VLOOKUP(LEFT($A23,7)&amp;"1-00",MCP!#REF!,24,FALSE))</f>
        <v/>
      </c>
      <c r="AX23" s="282">
        <v>-131081.57790085251</v>
      </c>
      <c r="AY23" s="282">
        <v>-5206.4589646134391</v>
      </c>
      <c r="BF23" s="174" t="str">
        <f t="shared" si="30"/>
        <v/>
      </c>
    </row>
    <row r="24" spans="1:58" x14ac:dyDescent="0.2">
      <c r="A24" s="282" t="str">
        <f t="shared" si="0"/>
        <v>4.1022.1</v>
      </c>
      <c r="B24" s="282" t="str">
        <f t="shared" si="1"/>
        <v>03</v>
      </c>
      <c r="C24" s="282" t="str">
        <f t="shared" si="2"/>
        <v>4.1022.1.03</v>
      </c>
      <c r="D24" s="161">
        <v>3.9719000000000002</v>
      </c>
      <c r="E24" s="161">
        <v>1.5800000000000002E-2</v>
      </c>
      <c r="F24" s="282">
        <f t="shared" si="3"/>
        <v>0.39429999999999998</v>
      </c>
      <c r="G24" s="161" t="s">
        <v>850</v>
      </c>
      <c r="H24" s="282">
        <f t="shared" si="4"/>
        <v>7.0272803908044768E-3</v>
      </c>
      <c r="I24" s="282" t="str">
        <f>A24&amp;"-"&amp;TEXT(MCP!$D$1,"00")</f>
        <v>4.1022.1-03</v>
      </c>
      <c r="J24" s="282">
        <f>IFERROR(VLOOKUP(I24,MCP!#REF!,10,FALSE),0)</f>
        <v>0</v>
      </c>
      <c r="K24" s="282">
        <f>IFERROR(VLOOKUP(I24,MCP!#REF!,19,FALSE),0)</f>
        <v>0</v>
      </c>
      <c r="L24" s="161">
        <v>22</v>
      </c>
      <c r="M24" s="161">
        <v>9.2122780471895344E-3</v>
      </c>
      <c r="N24" s="282" t="e">
        <f>IF($A24="","",VLOOKUP(LEFT($A24,7)&amp;"1-00",MCP!#REF!,N$1,FALSE))</f>
        <v>#REF!</v>
      </c>
      <c r="O24" s="282" t="e">
        <f>IF($A24="","",VLOOKUP(LEFT($A24,7)&amp;"1-00",MCP!#REF!,O$1,FALSE))</f>
        <v>#REF!</v>
      </c>
      <c r="P24" s="282" t="e">
        <f>IF($A24="","",VLOOKUP(LEFT($A24,7)&amp;"1-00",MCP!#REF!,P$1,FALSE))</f>
        <v>#REF!</v>
      </c>
      <c r="Q24" s="282" t="e">
        <f t="shared" si="5"/>
        <v>#REF!</v>
      </c>
      <c r="R24" s="282" t="e">
        <f t="shared" si="6"/>
        <v>#REF!</v>
      </c>
      <c r="S24" s="282" t="e">
        <f t="shared" si="7"/>
        <v>#REF!</v>
      </c>
      <c r="T24" s="282" t="e">
        <f>VLOOKUP(LEFT($A24,7)&amp;"1-00",MCP!#REF!,T$1,FALSE)</f>
        <v>#REF!</v>
      </c>
      <c r="U24" s="282" t="str">
        <f t="shared" si="8"/>
        <v/>
      </c>
      <c r="V24" s="282" t="str">
        <f t="shared" si="9"/>
        <v/>
      </c>
      <c r="W24" s="284" t="str">
        <f t="shared" si="10"/>
        <v/>
      </c>
      <c r="X24" s="161">
        <v>-1.1516999999999999</v>
      </c>
      <c r="Y24" s="284">
        <v>0.71660000000000001</v>
      </c>
      <c r="Z24" s="284" t="str">
        <f t="shared" si="11"/>
        <v/>
      </c>
      <c r="AA24" s="282" t="str">
        <f t="shared" si="12"/>
        <v/>
      </c>
      <c r="AB24" s="282" t="str">
        <f t="shared" si="13"/>
        <v/>
      </c>
      <c r="AC24" s="282" t="str">
        <f t="shared" si="14"/>
        <v/>
      </c>
      <c r="AD24" s="282" t="str">
        <f t="shared" si="15"/>
        <v/>
      </c>
      <c r="AE24" s="282" t="str">
        <f t="shared" si="16"/>
        <v/>
      </c>
      <c r="AF24" s="282" t="str">
        <f t="shared" si="17"/>
        <v/>
      </c>
      <c r="AG24" s="282" t="str">
        <f t="shared" si="18"/>
        <v/>
      </c>
      <c r="AH24" s="282" t="str">
        <f t="shared" si="19"/>
        <v/>
      </c>
      <c r="AI24" s="282" t="str">
        <f t="shared" si="20"/>
        <v/>
      </c>
      <c r="AJ24" s="282" t="str">
        <f>IF(U24="","",VLOOKUP(LEFT(I24,6)&amp;".1-00",MCP!$AK$9:$AL$464,21,FALSE))</f>
        <v/>
      </c>
      <c r="AK24" s="283" t="str">
        <f t="shared" si="21"/>
        <v/>
      </c>
      <c r="AL24" s="284" t="str">
        <f t="shared" si="22"/>
        <v/>
      </c>
      <c r="AM24" s="285" t="str">
        <f t="shared" si="23"/>
        <v/>
      </c>
      <c r="AN24" s="282">
        <f t="shared" si="24"/>
        <v>0</v>
      </c>
      <c r="AO24" s="282">
        <f t="shared" si="25"/>
        <v>0</v>
      </c>
      <c r="AP24" s="282">
        <f t="shared" si="26"/>
        <v>0</v>
      </c>
      <c r="AQ24" s="282" t="e">
        <f>VLOOKUP(LEFT($A24,7)&amp;"1-00",MCP!#REF!,30,FALSE)</f>
        <v>#REF!</v>
      </c>
      <c r="AR24" s="282" t="e">
        <f>VLOOKUP(LEFT($A24,7)&amp;"1-00",MCP!#REF!,31,FALSE)</f>
        <v>#REF!</v>
      </c>
      <c r="AS24" s="282" t="e">
        <f>VLOOKUP($A24&amp;"-"&amp;$B24,MCP!#REF!,12,FALSE)</f>
        <v>#REF!</v>
      </c>
      <c r="AT24" s="282" t="str">
        <f t="shared" si="27"/>
        <v/>
      </c>
      <c r="AU24" s="282" t="str">
        <f t="shared" si="28"/>
        <v/>
      </c>
      <c r="AV24" s="282" t="str">
        <f t="shared" si="29"/>
        <v/>
      </c>
      <c r="AW24" s="282" t="str">
        <f>IF($U24="","",VLOOKUP(LEFT($A24,7)&amp;"1-00",MCP!#REF!,24,FALSE))</f>
        <v/>
      </c>
      <c r="AX24" s="282">
        <v>-31274.567450738254</v>
      </c>
      <c r="AY24" s="282">
        <v>-1253.1790837749927</v>
      </c>
      <c r="BF24" s="174" t="str">
        <f t="shared" si="30"/>
        <v/>
      </c>
    </row>
    <row r="25" spans="1:58" x14ac:dyDescent="0.2">
      <c r="A25" s="282" t="str">
        <f t="shared" si="0"/>
        <v>3.1023.1</v>
      </c>
      <c r="B25" s="282" t="str">
        <f t="shared" si="1"/>
        <v>03</v>
      </c>
      <c r="C25" s="282" t="str">
        <f t="shared" si="2"/>
        <v>3.1023.1.03</v>
      </c>
      <c r="D25" s="161">
        <v>4.2602000000000002</v>
      </c>
      <c r="E25" s="161">
        <v>9.69E-2</v>
      </c>
      <c r="F25" s="282">
        <f t="shared" si="3"/>
        <v>2.5937999999999999</v>
      </c>
      <c r="G25" s="161" t="s">
        <v>838</v>
      </c>
      <c r="H25" s="282">
        <f t="shared" si="4"/>
        <v>4.6227136387696301E-2</v>
      </c>
      <c r="I25" s="282" t="str">
        <f>A25&amp;"-"&amp;TEXT(MCP!$D$1,"00")</f>
        <v>3.1023.1-03</v>
      </c>
      <c r="J25" s="282">
        <f>IFERROR(VLOOKUP(I25,MCP!#REF!,10,FALSE),0)</f>
        <v>0</v>
      </c>
      <c r="K25" s="282">
        <f>IFERROR(VLOOKUP(I25,MCP!#REF!,19,FALSE),0)</f>
        <v>0</v>
      </c>
      <c r="L25" s="161">
        <v>23</v>
      </c>
      <c r="M25" s="161">
        <v>5.0413563381863091E-2</v>
      </c>
      <c r="N25" s="282" t="e">
        <f>IF($A25="","",VLOOKUP(LEFT($A25,7)&amp;"1-00",MCP!#REF!,N$1,FALSE))</f>
        <v>#REF!</v>
      </c>
      <c r="O25" s="282" t="e">
        <f>IF($A25="","",VLOOKUP(LEFT($A25,7)&amp;"1-00",MCP!#REF!,O$1,FALSE))</f>
        <v>#REF!</v>
      </c>
      <c r="P25" s="282" t="e">
        <f>IF($A25="","",VLOOKUP(LEFT($A25,7)&amp;"1-00",MCP!#REF!,P$1,FALSE))</f>
        <v>#REF!</v>
      </c>
      <c r="Q25" s="282" t="e">
        <f t="shared" si="5"/>
        <v>#REF!</v>
      </c>
      <c r="R25" s="282" t="e">
        <f t="shared" si="6"/>
        <v>#REF!</v>
      </c>
      <c r="S25" s="282" t="e">
        <f t="shared" si="7"/>
        <v>#REF!</v>
      </c>
      <c r="T25" s="282" t="e">
        <f>VLOOKUP(LEFT($A25,7)&amp;"1-00",MCP!#REF!,T$1,FALSE)</f>
        <v>#REF!</v>
      </c>
      <c r="U25" s="282" t="str">
        <f t="shared" si="8"/>
        <v/>
      </c>
      <c r="V25" s="282" t="str">
        <f t="shared" si="9"/>
        <v/>
      </c>
      <c r="W25" s="284" t="str">
        <f t="shared" si="10"/>
        <v/>
      </c>
      <c r="X25" s="161">
        <v>-0.99680000000000002</v>
      </c>
      <c r="Y25" s="279">
        <v>1.3772</v>
      </c>
      <c r="Z25" s="284" t="str">
        <f t="shared" si="11"/>
        <v/>
      </c>
      <c r="AA25" s="282" t="str">
        <f t="shared" si="12"/>
        <v/>
      </c>
      <c r="AB25" s="282" t="str">
        <f t="shared" si="13"/>
        <v/>
      </c>
      <c r="AC25" s="282" t="str">
        <f t="shared" si="14"/>
        <v/>
      </c>
      <c r="AD25" s="282" t="str">
        <f t="shared" si="15"/>
        <v/>
      </c>
      <c r="AE25" s="282" t="str">
        <f t="shared" si="16"/>
        <v/>
      </c>
      <c r="AF25" s="282" t="str">
        <f t="shared" si="17"/>
        <v/>
      </c>
      <c r="AG25" s="282" t="str">
        <f t="shared" si="18"/>
        <v/>
      </c>
      <c r="AH25" s="282" t="str">
        <f t="shared" si="19"/>
        <v/>
      </c>
      <c r="AI25" s="282" t="str">
        <f t="shared" si="20"/>
        <v/>
      </c>
      <c r="AJ25" s="282" t="str">
        <f>IF(U25="","",VLOOKUP(LEFT(I25,6)&amp;".1-00",MCP!$AK$9:$AL$464,21,FALSE))</f>
        <v/>
      </c>
      <c r="AK25" s="283" t="str">
        <f t="shared" si="21"/>
        <v/>
      </c>
      <c r="AL25" s="284" t="str">
        <f t="shared" si="22"/>
        <v/>
      </c>
      <c r="AM25" s="285" t="str">
        <f t="shared" si="23"/>
        <v/>
      </c>
      <c r="AN25" s="282">
        <f t="shared" si="24"/>
        <v>0</v>
      </c>
      <c r="AO25" s="282">
        <f t="shared" si="25"/>
        <v>0</v>
      </c>
      <c r="AP25" s="282">
        <f t="shared" si="26"/>
        <v>0</v>
      </c>
      <c r="AQ25" s="282" t="e">
        <f>VLOOKUP(LEFT($A25,7)&amp;"1-00",MCP!#REF!,30,FALSE)</f>
        <v>#REF!</v>
      </c>
      <c r="AR25" s="282" t="e">
        <f>VLOOKUP(LEFT($A25,7)&amp;"1-00",MCP!#REF!,31,FALSE)</f>
        <v>#REF!</v>
      </c>
      <c r="AS25" s="282" t="e">
        <f>VLOOKUP($A25&amp;"-"&amp;$B25,MCP!#REF!,12,FALSE)</f>
        <v>#REF!</v>
      </c>
      <c r="AT25" s="282" t="str">
        <f t="shared" si="27"/>
        <v/>
      </c>
      <c r="AU25" s="282" t="str">
        <f t="shared" si="28"/>
        <v/>
      </c>
      <c r="AV25" s="282" t="str">
        <f t="shared" si="29"/>
        <v/>
      </c>
      <c r="AW25" s="282" t="str">
        <f>IF($U25="","",VLOOKUP(LEFT($A25,7)&amp;"1-00",MCP!#REF!,24,FALSE))</f>
        <v/>
      </c>
      <c r="AX25" s="282">
        <v>-145640.0129959287</v>
      </c>
      <c r="AY25" s="282">
        <v>-5440.9013615017957</v>
      </c>
      <c r="BF25" s="174" t="str">
        <f t="shared" si="30"/>
        <v/>
      </c>
    </row>
    <row r="26" spans="1:58" x14ac:dyDescent="0.2">
      <c r="A26" s="282" t="str">
        <f t="shared" si="0"/>
        <v>6.1024.1</v>
      </c>
      <c r="B26" s="282" t="str">
        <f t="shared" si="1"/>
        <v>03</v>
      </c>
      <c r="C26" s="282" t="str">
        <f t="shared" si="2"/>
        <v>6.1024.1.03</v>
      </c>
      <c r="D26" s="161">
        <v>4.2356999999999996</v>
      </c>
      <c r="E26" s="161">
        <v>1.2699999999999999E-2</v>
      </c>
      <c r="F26" s="282">
        <f t="shared" si="3"/>
        <v>0.33800000000000002</v>
      </c>
      <c r="G26" s="161" t="s">
        <v>884</v>
      </c>
      <c r="H26" s="282">
        <f t="shared" si="4"/>
        <v>6.0238923968854007E-3</v>
      </c>
      <c r="I26" s="282" t="str">
        <f>A26&amp;"-"&amp;TEXT(MCP!$D$1,"00")</f>
        <v>6.1024.1-03</v>
      </c>
      <c r="J26" s="282">
        <f>IFERROR(VLOOKUP(I26,MCP!#REF!,10,FALSE),0)</f>
        <v>0</v>
      </c>
      <c r="K26" s="282">
        <f>IFERROR(VLOOKUP(I26,MCP!#REF!,19,FALSE),0)</f>
        <v>0</v>
      </c>
      <c r="L26" s="161">
        <v>24</v>
      </c>
      <c r="M26" s="161">
        <v>8.1162147856260677E-3</v>
      </c>
      <c r="N26" s="282" t="e">
        <f>IF($A26="","",VLOOKUP(LEFT($A26,7)&amp;"1-00",MCP!#REF!,N$1,FALSE))</f>
        <v>#REF!</v>
      </c>
      <c r="O26" s="282" t="e">
        <f>IF($A26="","",VLOOKUP(LEFT($A26,7)&amp;"1-00",MCP!#REF!,O$1,FALSE))</f>
        <v>#REF!</v>
      </c>
      <c r="P26" s="282" t="e">
        <f>IF($A26="","",VLOOKUP(LEFT($A26,7)&amp;"1-00",MCP!#REF!,P$1,FALSE))</f>
        <v>#REF!</v>
      </c>
      <c r="Q26" s="282" t="e">
        <f t="shared" si="5"/>
        <v>#REF!</v>
      </c>
      <c r="R26" s="282" t="e">
        <f t="shared" si="6"/>
        <v>#REF!</v>
      </c>
      <c r="S26" s="282" t="e">
        <f t="shared" si="7"/>
        <v>#REF!</v>
      </c>
      <c r="T26" s="282" t="e">
        <f>VLOOKUP(LEFT($A26,7)&amp;"1-00",MCP!#REF!,T$1,FALSE)</f>
        <v>#REF!</v>
      </c>
      <c r="U26" s="282" t="str">
        <f t="shared" si="8"/>
        <v/>
      </c>
      <c r="V26" s="282" t="str">
        <f t="shared" si="9"/>
        <v/>
      </c>
      <c r="W26" s="284" t="str">
        <f t="shared" si="10"/>
        <v/>
      </c>
      <c r="X26" s="161">
        <v>-1.2273000000000001</v>
      </c>
      <c r="Y26" s="282">
        <v>0.64959999999999996</v>
      </c>
      <c r="Z26" s="284" t="str">
        <f t="shared" si="11"/>
        <v/>
      </c>
      <c r="AA26" s="282" t="str">
        <f t="shared" si="12"/>
        <v/>
      </c>
      <c r="AB26" s="282" t="str">
        <f t="shared" si="13"/>
        <v/>
      </c>
      <c r="AC26" s="282" t="str">
        <f t="shared" si="14"/>
        <v/>
      </c>
      <c r="AD26" s="282" t="str">
        <f t="shared" si="15"/>
        <v/>
      </c>
      <c r="AE26" s="282" t="str">
        <f t="shared" si="16"/>
        <v/>
      </c>
      <c r="AF26" s="282" t="str">
        <f t="shared" si="17"/>
        <v/>
      </c>
      <c r="AG26" s="282" t="str">
        <f t="shared" si="18"/>
        <v/>
      </c>
      <c r="AH26" s="282" t="str">
        <f t="shared" si="19"/>
        <v/>
      </c>
      <c r="AI26" s="282" t="str">
        <f t="shared" si="20"/>
        <v/>
      </c>
      <c r="AJ26" s="282" t="str">
        <f>IF(U26="","",VLOOKUP(LEFT(I26,6)&amp;".1-00",MCP!$AK$9:$AL$464,21,FALSE))</f>
        <v/>
      </c>
      <c r="AK26" s="283" t="str">
        <f t="shared" si="21"/>
        <v/>
      </c>
      <c r="AL26" s="284" t="str">
        <f t="shared" si="22"/>
        <v/>
      </c>
      <c r="AM26" s="285" t="str">
        <f t="shared" si="23"/>
        <v/>
      </c>
      <c r="AN26" s="282">
        <f t="shared" si="24"/>
        <v>0</v>
      </c>
      <c r="AO26" s="282">
        <f t="shared" si="25"/>
        <v>0</v>
      </c>
      <c r="AP26" s="282">
        <f t="shared" si="26"/>
        <v>0</v>
      </c>
      <c r="AQ26" s="282" t="e">
        <f>VLOOKUP(LEFT($A26,7)&amp;"1-00",MCP!#REF!,30,FALSE)</f>
        <v>#REF!</v>
      </c>
      <c r="AR26" s="282" t="e">
        <f>VLOOKUP(LEFT($A26,7)&amp;"1-00",MCP!#REF!,31,FALSE)</f>
        <v>#REF!</v>
      </c>
      <c r="AS26" s="282" t="e">
        <f>VLOOKUP($A26&amp;"-"&amp;$B26,MCP!#REF!,12,FALSE)</f>
        <v>#REF!</v>
      </c>
      <c r="AT26" s="282" t="str">
        <f t="shared" si="27"/>
        <v/>
      </c>
      <c r="AU26" s="282" t="str">
        <f t="shared" si="28"/>
        <v/>
      </c>
      <c r="AV26" s="282" t="str">
        <f t="shared" si="29"/>
        <v/>
      </c>
      <c r="AW26" s="282" t="str">
        <f>IF($U26="","",VLOOKUP(LEFT($A26,7)&amp;"1-00",MCP!#REF!,24,FALSE))</f>
        <v/>
      </c>
      <c r="AX26" s="282">
        <v>-28780.826899151121</v>
      </c>
      <c r="AY26" s="282">
        <v>-1081.4294844469846</v>
      </c>
      <c r="BF26" s="174" t="str">
        <f t="shared" si="30"/>
        <v/>
      </c>
    </row>
    <row r="27" spans="1:58" x14ac:dyDescent="0.2">
      <c r="A27" s="282" t="str">
        <f t="shared" si="0"/>
        <v>5.1025.1</v>
      </c>
      <c r="B27" s="282" t="str">
        <f t="shared" si="1"/>
        <v>03</v>
      </c>
      <c r="C27" s="282" t="str">
        <f t="shared" si="2"/>
        <v>5.1025.1.03</v>
      </c>
      <c r="D27" s="161">
        <v>4.5105000000000004</v>
      </c>
      <c r="E27" s="161">
        <v>8.9599999999999999E-2</v>
      </c>
      <c r="F27" s="282">
        <f t="shared" si="3"/>
        <v>2.5392999999999999</v>
      </c>
      <c r="G27" s="161" t="s">
        <v>872</v>
      </c>
      <c r="H27" s="282">
        <f t="shared" si="4"/>
        <v>4.5255828294115667E-2</v>
      </c>
      <c r="I27" s="282" t="str">
        <f>A27&amp;"-"&amp;TEXT(MCP!$D$1,"00")</f>
        <v>5.1025.1-03</v>
      </c>
      <c r="J27" s="282">
        <f>IFERROR(VLOOKUP(I27,MCP!#REF!,10,FALSE),0)</f>
        <v>0</v>
      </c>
      <c r="K27" s="282">
        <f>IFERROR(VLOOKUP(I27,MCP!#REF!,19,FALSE),0)</f>
        <v>0</v>
      </c>
      <c r="L27" s="161">
        <v>25</v>
      </c>
      <c r="M27" s="161">
        <v>4.9542059422668726E-2</v>
      </c>
      <c r="N27" s="282" t="e">
        <f>IF($A27="","",VLOOKUP(LEFT($A27,7)&amp;"1-00",MCP!#REF!,N$1,FALSE))</f>
        <v>#REF!</v>
      </c>
      <c r="O27" s="282" t="e">
        <f>IF($A27="","",VLOOKUP(LEFT($A27,7)&amp;"1-00",MCP!#REF!,O$1,FALSE))</f>
        <v>#REF!</v>
      </c>
      <c r="P27" s="282" t="e">
        <f>IF($A27="","",VLOOKUP(LEFT($A27,7)&amp;"1-00",MCP!#REF!,P$1,FALSE))</f>
        <v>#REF!</v>
      </c>
      <c r="Q27" s="282" t="e">
        <f t="shared" si="5"/>
        <v>#REF!</v>
      </c>
      <c r="R27" s="282" t="e">
        <f t="shared" si="6"/>
        <v>#REF!</v>
      </c>
      <c r="S27" s="282" t="e">
        <f t="shared" si="7"/>
        <v>#REF!</v>
      </c>
      <c r="T27" s="282" t="e">
        <f>VLOOKUP(LEFT($A27,7)&amp;"1-00",MCP!#REF!,T$1,FALSE)</f>
        <v>#REF!</v>
      </c>
      <c r="U27" s="282" t="str">
        <f t="shared" si="8"/>
        <v/>
      </c>
      <c r="V27" s="282" t="str">
        <f t="shared" si="9"/>
        <v/>
      </c>
      <c r="W27" s="284" t="str">
        <f t="shared" si="10"/>
        <v/>
      </c>
      <c r="X27" s="161">
        <v>-1.0458000000000001</v>
      </c>
      <c r="Y27" s="282">
        <v>1.3584000000000001</v>
      </c>
      <c r="Z27" s="284" t="str">
        <f t="shared" si="11"/>
        <v/>
      </c>
      <c r="AA27" s="282" t="str">
        <f t="shared" si="12"/>
        <v/>
      </c>
      <c r="AB27" s="282" t="str">
        <f t="shared" si="13"/>
        <v/>
      </c>
      <c r="AC27" s="282" t="str">
        <f t="shared" si="14"/>
        <v/>
      </c>
      <c r="AD27" s="282" t="str">
        <f t="shared" si="15"/>
        <v/>
      </c>
      <c r="AE27" s="282" t="str">
        <f t="shared" si="16"/>
        <v/>
      </c>
      <c r="AF27" s="282" t="str">
        <f t="shared" si="17"/>
        <v/>
      </c>
      <c r="AG27" s="282" t="str">
        <f t="shared" si="18"/>
        <v/>
      </c>
      <c r="AH27" s="282" t="str">
        <f t="shared" si="19"/>
        <v/>
      </c>
      <c r="AI27" s="282" t="str">
        <f t="shared" si="20"/>
        <v/>
      </c>
      <c r="AJ27" s="282" t="str">
        <f>IF(U27="","",VLOOKUP(LEFT(I27,6)&amp;".1-00",MCP!$AK$9:$AL$464,21,FALSE))</f>
        <v/>
      </c>
      <c r="AK27" s="283" t="str">
        <f t="shared" si="21"/>
        <v/>
      </c>
      <c r="AL27" s="284" t="str">
        <f t="shared" si="22"/>
        <v/>
      </c>
      <c r="AM27" s="285" t="str">
        <f t="shared" si="23"/>
        <v/>
      </c>
      <c r="AN27" s="282">
        <f t="shared" si="24"/>
        <v>0</v>
      </c>
      <c r="AO27" s="282">
        <f t="shared" si="25"/>
        <v>0</v>
      </c>
      <c r="AP27" s="282">
        <f t="shared" si="26"/>
        <v>0</v>
      </c>
      <c r="AQ27" s="282" t="e">
        <f>VLOOKUP(LEFT($A27,7)&amp;"1-00",MCP!#REF!,30,FALSE)</f>
        <v>#REF!</v>
      </c>
      <c r="AR27" s="282" t="e">
        <f>VLOOKUP(LEFT($A27,7)&amp;"1-00",MCP!#REF!,31,FALSE)</f>
        <v>#REF!</v>
      </c>
      <c r="AS27" s="282" t="e">
        <f>VLOOKUP($A27&amp;"-"&amp;$B27,MCP!#REF!,12,FALSE)</f>
        <v>#REF!</v>
      </c>
      <c r="AT27" s="282" t="str">
        <f t="shared" si="27"/>
        <v/>
      </c>
      <c r="AU27" s="282" t="str">
        <f t="shared" si="28"/>
        <v/>
      </c>
      <c r="AV27" s="282" t="str">
        <f t="shared" si="29"/>
        <v/>
      </c>
      <c r="AW27" s="282" t="str">
        <f>IF($U27="","",VLOOKUP(LEFT($A27,7)&amp;"1-00",MCP!#REF!,24,FALSE))</f>
        <v/>
      </c>
      <c r="AX27" s="282">
        <v>-145895.59198315168</v>
      </c>
      <c r="AY27" s="282">
        <v>-5147.9890565207643</v>
      </c>
      <c r="BF27" s="174" t="str">
        <f t="shared" si="30"/>
        <v/>
      </c>
    </row>
    <row r="28" spans="1:58" x14ac:dyDescent="0.2">
      <c r="A28" s="282" t="str">
        <f t="shared" si="0"/>
        <v>2.1026.1</v>
      </c>
      <c r="B28" s="282" t="str">
        <f t="shared" si="1"/>
        <v>03</v>
      </c>
      <c r="C28" s="282" t="str">
        <f t="shared" si="2"/>
        <v>2.1026.1.03</v>
      </c>
      <c r="D28" s="161">
        <v>4.4946000000000002</v>
      </c>
      <c r="E28" s="161">
        <v>1.43E-2</v>
      </c>
      <c r="F28" s="282">
        <f t="shared" si="3"/>
        <v>0.40379999999999999</v>
      </c>
      <c r="G28" s="161" t="s">
        <v>822</v>
      </c>
      <c r="H28" s="282">
        <f t="shared" si="4"/>
        <v>7.196590975924037E-3</v>
      </c>
      <c r="I28" s="282" t="str">
        <f>A28&amp;"-"&amp;TEXT(MCP!$D$1,"00")</f>
        <v>2.1026.1-03</v>
      </c>
      <c r="J28" s="282">
        <f>IFERROR(VLOOKUP(I28,MCP!#REF!,10,FALSE),0)</f>
        <v>0</v>
      </c>
      <c r="K28" s="282">
        <f>IFERROR(VLOOKUP(I28,MCP!#REF!,19,FALSE),0)</f>
        <v>0</v>
      </c>
      <c r="L28" s="161">
        <v>26</v>
      </c>
      <c r="M28" s="161">
        <v>9.5669391675978765E-3</v>
      </c>
      <c r="N28" s="282" t="e">
        <f>IF($A28="","",VLOOKUP(LEFT($A28,7)&amp;"1-00",MCP!#REF!,N$1,FALSE))</f>
        <v>#REF!</v>
      </c>
      <c r="O28" s="282" t="e">
        <f>IF($A28="","",VLOOKUP(LEFT($A28,7)&amp;"1-00",MCP!#REF!,O$1,FALSE))</f>
        <v>#REF!</v>
      </c>
      <c r="P28" s="282" t="e">
        <f>IF($A28="","",VLOOKUP(LEFT($A28,7)&amp;"1-00",MCP!#REF!,P$1,FALSE))</f>
        <v>#REF!</v>
      </c>
      <c r="Q28" s="282" t="e">
        <f t="shared" si="5"/>
        <v>#REF!</v>
      </c>
      <c r="R28" s="282" t="e">
        <f t="shared" si="6"/>
        <v>#REF!</v>
      </c>
      <c r="S28" s="282" t="e">
        <f t="shared" si="7"/>
        <v>#REF!</v>
      </c>
      <c r="T28" s="282" t="e">
        <f>VLOOKUP(LEFT($A28,7)&amp;"1-00",MCP!#REF!,T$1,FALSE)</f>
        <v>#REF!</v>
      </c>
      <c r="U28" s="282" t="str">
        <f t="shared" si="8"/>
        <v/>
      </c>
      <c r="V28" s="282" t="str">
        <f t="shared" si="9"/>
        <v/>
      </c>
      <c r="W28" s="284" t="str">
        <f t="shared" si="10"/>
        <v/>
      </c>
      <c r="X28" s="161">
        <v>-0.79869999999999997</v>
      </c>
      <c r="Y28" s="279">
        <v>0.69420000000000004</v>
      </c>
      <c r="Z28" s="284" t="str">
        <f t="shared" si="11"/>
        <v/>
      </c>
      <c r="AA28" s="282" t="str">
        <f t="shared" si="12"/>
        <v/>
      </c>
      <c r="AB28" s="282" t="str">
        <f t="shared" si="13"/>
        <v/>
      </c>
      <c r="AC28" s="282" t="str">
        <f t="shared" si="14"/>
        <v/>
      </c>
      <c r="AD28" s="282" t="str">
        <f t="shared" si="15"/>
        <v/>
      </c>
      <c r="AE28" s="282" t="str">
        <f t="shared" si="16"/>
        <v/>
      </c>
      <c r="AF28" s="282" t="str">
        <f t="shared" si="17"/>
        <v/>
      </c>
      <c r="AG28" s="282" t="str">
        <f t="shared" si="18"/>
        <v/>
      </c>
      <c r="AH28" s="282" t="str">
        <f t="shared" si="19"/>
        <v/>
      </c>
      <c r="AI28" s="282" t="str">
        <f t="shared" si="20"/>
        <v/>
      </c>
      <c r="AJ28" s="282" t="str">
        <f>IF(U28="","",VLOOKUP(LEFT(I28,6)&amp;".1-00",MCP!$AK$9:$AL$464,21,FALSE))</f>
        <v/>
      </c>
      <c r="AK28" s="283" t="str">
        <f t="shared" si="21"/>
        <v/>
      </c>
      <c r="AL28" s="284" t="str">
        <f t="shared" si="22"/>
        <v/>
      </c>
      <c r="AM28" s="285" t="str">
        <f t="shared" si="23"/>
        <v/>
      </c>
      <c r="AN28" s="282">
        <f t="shared" si="24"/>
        <v>0</v>
      </c>
      <c r="AO28" s="282">
        <f t="shared" si="25"/>
        <v>0</v>
      </c>
      <c r="AP28" s="282">
        <f t="shared" si="26"/>
        <v>0</v>
      </c>
      <c r="AQ28" s="282" t="e">
        <f>VLOOKUP(LEFT($A28,7)&amp;"1-00",MCP!#REF!,30,FALSE)</f>
        <v>#REF!</v>
      </c>
      <c r="AR28" s="282" t="e">
        <f>VLOOKUP(LEFT($A28,7)&amp;"1-00",MCP!#REF!,31,FALSE)</f>
        <v>#REF!</v>
      </c>
      <c r="AS28" s="282" t="e">
        <f>VLOOKUP($A28&amp;"-"&amp;$B28,MCP!#REF!,12,FALSE)</f>
        <v>#REF!</v>
      </c>
      <c r="AT28" s="282" t="str">
        <f t="shared" si="27"/>
        <v/>
      </c>
      <c r="AU28" s="282" t="str">
        <f t="shared" si="28"/>
        <v/>
      </c>
      <c r="AV28" s="282" t="str">
        <f t="shared" si="29"/>
        <v/>
      </c>
      <c r="AW28" s="282" t="str">
        <f>IF($U28="","",VLOOKUP(LEFT($A28,7)&amp;"1-00",MCP!#REF!,24,FALSE))</f>
        <v/>
      </c>
      <c r="AX28" s="282">
        <v>-33835.284298273174</v>
      </c>
      <c r="AY28" s="282">
        <v>-1198.1161275730369</v>
      </c>
      <c r="BF28" s="174" t="str">
        <f t="shared" si="30"/>
        <v/>
      </c>
    </row>
    <row r="29" spans="1:58" x14ac:dyDescent="0.2">
      <c r="A29" s="282" t="str">
        <f t="shared" si="0"/>
        <v>1.1027.1</v>
      </c>
      <c r="B29" s="282" t="str">
        <f t="shared" si="1"/>
        <v>03</v>
      </c>
      <c r="C29" s="282" t="str">
        <f t="shared" si="2"/>
        <v>1.1027.1.03</v>
      </c>
      <c r="D29" s="161">
        <v>4.7491000000000003</v>
      </c>
      <c r="E29" s="161">
        <v>8.14E-2</v>
      </c>
      <c r="F29" s="282">
        <f t="shared" si="3"/>
        <v>2.4289000000000001</v>
      </c>
      <c r="G29" s="161" t="s">
        <v>810</v>
      </c>
      <c r="H29" s="282">
        <f t="shared" si="4"/>
        <v>4.3288261073357835E-2</v>
      </c>
      <c r="I29" s="282" t="str">
        <f>A29&amp;"-"&amp;TEXT(MCP!$D$1,"00")</f>
        <v>1.1027.1-03</v>
      </c>
      <c r="J29" s="282">
        <f>IFERROR(VLOOKUP(I29,MCP!#REF!,10,FALSE),0)</f>
        <v>0</v>
      </c>
      <c r="K29" s="282">
        <f>IFERROR(VLOOKUP(I29,MCP!#REF!,19,FALSE),0)</f>
        <v>0</v>
      </c>
      <c r="L29" s="161">
        <v>27</v>
      </c>
      <c r="M29" s="161">
        <v>4.7487163584322915E-2</v>
      </c>
      <c r="N29" s="282" t="e">
        <f>IF($A29="","",VLOOKUP(LEFT($A29,7)&amp;"1-00",MCP!#REF!,N$1,FALSE))</f>
        <v>#REF!</v>
      </c>
      <c r="O29" s="282" t="e">
        <f>IF($A29="","",VLOOKUP(LEFT($A29,7)&amp;"1-00",MCP!#REF!,O$1,FALSE))</f>
        <v>#REF!</v>
      </c>
      <c r="P29" s="282" t="e">
        <f>IF($A29="","",VLOOKUP(LEFT($A29,7)&amp;"1-00",MCP!#REF!,P$1,FALSE))</f>
        <v>#REF!</v>
      </c>
      <c r="Q29" s="282" t="e">
        <f t="shared" si="5"/>
        <v>#REF!</v>
      </c>
      <c r="R29" s="282" t="e">
        <f t="shared" si="6"/>
        <v>#REF!</v>
      </c>
      <c r="S29" s="282" t="e">
        <f t="shared" si="7"/>
        <v>#REF!</v>
      </c>
      <c r="T29" s="282" t="e">
        <f>VLOOKUP(LEFT($A29,7)&amp;"1-00",MCP!#REF!,T$1,FALSE)</f>
        <v>#REF!</v>
      </c>
      <c r="U29" s="282" t="str">
        <f t="shared" si="8"/>
        <v/>
      </c>
      <c r="V29" s="282" t="str">
        <f t="shared" si="9"/>
        <v/>
      </c>
      <c r="W29" s="284" t="str">
        <f t="shared" si="10"/>
        <v/>
      </c>
      <c r="X29" s="161">
        <v>-0.58779999999999999</v>
      </c>
      <c r="Y29" s="284">
        <v>1.3244</v>
      </c>
      <c r="Z29" s="284" t="str">
        <f t="shared" si="11"/>
        <v/>
      </c>
      <c r="AA29" s="282" t="str">
        <f t="shared" si="12"/>
        <v/>
      </c>
      <c r="AB29" s="282" t="str">
        <f t="shared" si="13"/>
        <v/>
      </c>
      <c r="AC29" s="282" t="str">
        <f t="shared" si="14"/>
        <v/>
      </c>
      <c r="AD29" s="282" t="str">
        <f t="shared" si="15"/>
        <v/>
      </c>
      <c r="AE29" s="282" t="str">
        <f t="shared" si="16"/>
        <v/>
      </c>
      <c r="AF29" s="282" t="str">
        <f t="shared" si="17"/>
        <v/>
      </c>
      <c r="AG29" s="282" t="str">
        <f t="shared" si="18"/>
        <v/>
      </c>
      <c r="AH29" s="282" t="str">
        <f t="shared" si="19"/>
        <v/>
      </c>
      <c r="AI29" s="282" t="str">
        <f t="shared" si="20"/>
        <v/>
      </c>
      <c r="AJ29" s="282" t="str">
        <f>IF(U29="","",VLOOKUP(LEFT(I29,6)&amp;".1-00",MCP!$AK$9:$AL$464,21,FALSE))</f>
        <v/>
      </c>
      <c r="AK29" s="283" t="str">
        <f t="shared" si="21"/>
        <v/>
      </c>
      <c r="AL29" s="284" t="str">
        <f t="shared" si="22"/>
        <v/>
      </c>
      <c r="AM29" s="285" t="str">
        <f t="shared" si="23"/>
        <v/>
      </c>
      <c r="AN29" s="282">
        <f t="shared" si="24"/>
        <v>0</v>
      </c>
      <c r="AO29" s="282">
        <f t="shared" si="25"/>
        <v>0</v>
      </c>
      <c r="AP29" s="282">
        <f t="shared" si="26"/>
        <v>0</v>
      </c>
      <c r="AQ29" s="282" t="e">
        <f>VLOOKUP(LEFT($A29,7)&amp;"1-00",MCP!#REF!,30,FALSE)</f>
        <v>#REF!</v>
      </c>
      <c r="AR29" s="282" t="e">
        <f>VLOOKUP(LEFT($A29,7)&amp;"1-00",MCP!#REF!,31,FALSE)</f>
        <v>#REF!</v>
      </c>
      <c r="AS29" s="282" t="e">
        <f>VLOOKUP($A29&amp;"-"&amp;$B29,MCP!#REF!,12,FALSE)</f>
        <v>#REF!</v>
      </c>
      <c r="AT29" s="282" t="str">
        <f t="shared" si="27"/>
        <v/>
      </c>
      <c r="AU29" s="282" t="str">
        <f t="shared" si="28"/>
        <v/>
      </c>
      <c r="AV29" s="282" t="str">
        <f t="shared" si="29"/>
        <v/>
      </c>
      <c r="AW29" s="282" t="str">
        <f>IF($U29="","",VLOOKUP(LEFT($A29,7)&amp;"1-00",MCP!#REF!,24,FALSE))</f>
        <v/>
      </c>
      <c r="AX29" s="282">
        <v>-142238.47181213243</v>
      </c>
      <c r="AY29" s="282">
        <v>-4766.7886308433426</v>
      </c>
      <c r="BF29" s="174" t="str">
        <f t="shared" si="30"/>
        <v/>
      </c>
    </row>
    <row r="30" spans="1:58" x14ac:dyDescent="0.2">
      <c r="A30" s="282" t="str">
        <f t="shared" si="0"/>
        <v>4.1028.1</v>
      </c>
      <c r="B30" s="282" t="str">
        <f t="shared" si="1"/>
        <v>03</v>
      </c>
      <c r="C30" s="282" t="str">
        <f t="shared" si="2"/>
        <v>4.1028.1.03</v>
      </c>
      <c r="D30" s="161">
        <v>4.7314999999999996</v>
      </c>
      <c r="E30" s="161">
        <v>1.3899999999999999E-2</v>
      </c>
      <c r="F30" s="282">
        <f t="shared" si="3"/>
        <v>0.41320000000000001</v>
      </c>
      <c r="G30" s="161" t="s">
        <v>852</v>
      </c>
      <c r="H30" s="282">
        <f t="shared" si="4"/>
        <v>7.3641193443581285E-3</v>
      </c>
      <c r="I30" s="282" t="str">
        <f>A30&amp;"-"&amp;TEXT(MCP!$D$1,"00")</f>
        <v>4.1028.1-03</v>
      </c>
      <c r="J30" s="282">
        <f>IFERROR(VLOOKUP(I30,MCP!#REF!,10,FALSE),0)</f>
        <v>0</v>
      </c>
      <c r="K30" s="282">
        <f>IFERROR(VLOOKUP(I30,MCP!#REF!,19,FALSE),0)</f>
        <v>0</v>
      </c>
      <c r="L30" s="161">
        <v>28</v>
      </c>
      <c r="M30" s="161">
        <v>9.7522897028866577E-3</v>
      </c>
      <c r="N30" s="282" t="e">
        <f>IF($A30="","",VLOOKUP(LEFT($A30,7)&amp;"1-00",MCP!#REF!,N$1,FALSE))</f>
        <v>#REF!</v>
      </c>
      <c r="O30" s="282" t="e">
        <f>IF($A30="","",VLOOKUP(LEFT($A30,7)&amp;"1-00",MCP!#REF!,O$1,FALSE))</f>
        <v>#REF!</v>
      </c>
      <c r="P30" s="282" t="e">
        <f>IF($A30="","",VLOOKUP(LEFT($A30,7)&amp;"1-00",MCP!#REF!,P$1,FALSE))</f>
        <v>#REF!</v>
      </c>
      <c r="Q30" s="282" t="e">
        <f t="shared" si="5"/>
        <v>#REF!</v>
      </c>
      <c r="R30" s="282" t="e">
        <f t="shared" si="6"/>
        <v>#REF!</v>
      </c>
      <c r="S30" s="282" t="e">
        <f t="shared" si="7"/>
        <v>#REF!</v>
      </c>
      <c r="T30" s="282" t="e">
        <f>VLOOKUP(LEFT($A30,7)&amp;"1-00",MCP!#REF!,T$1,FALSE)</f>
        <v>#REF!</v>
      </c>
      <c r="U30" s="282" t="str">
        <f t="shared" si="8"/>
        <v/>
      </c>
      <c r="V30" s="282" t="str">
        <f t="shared" si="9"/>
        <v/>
      </c>
      <c r="W30" s="284" t="str">
        <f t="shared" si="10"/>
        <v/>
      </c>
      <c r="X30" s="161">
        <v>-0.82909999999999995</v>
      </c>
      <c r="Y30" s="284">
        <v>0.69330000000000003</v>
      </c>
      <c r="Z30" s="284" t="str">
        <f t="shared" si="11"/>
        <v/>
      </c>
      <c r="AA30" s="282" t="str">
        <f t="shared" si="12"/>
        <v/>
      </c>
      <c r="AB30" s="282" t="str">
        <f t="shared" si="13"/>
        <v/>
      </c>
      <c r="AC30" s="282" t="str">
        <f t="shared" si="14"/>
        <v/>
      </c>
      <c r="AD30" s="282" t="str">
        <f t="shared" si="15"/>
        <v/>
      </c>
      <c r="AE30" s="282" t="str">
        <f t="shared" si="16"/>
        <v/>
      </c>
      <c r="AF30" s="282" t="str">
        <f t="shared" si="17"/>
        <v/>
      </c>
      <c r="AG30" s="282" t="str">
        <f t="shared" si="18"/>
        <v/>
      </c>
      <c r="AH30" s="282" t="str">
        <f t="shared" si="19"/>
        <v/>
      </c>
      <c r="AI30" s="282" t="str">
        <f t="shared" si="20"/>
        <v/>
      </c>
      <c r="AJ30" s="282" t="str">
        <f>IF(U30="","",VLOOKUP(LEFT(I30,6)&amp;".1-00",MCP!$AK$9:$AL$464,21,FALSE))</f>
        <v/>
      </c>
      <c r="AK30" s="283" t="str">
        <f t="shared" si="21"/>
        <v/>
      </c>
      <c r="AL30" s="284" t="str">
        <f t="shared" si="22"/>
        <v/>
      </c>
      <c r="AM30" s="285" t="str">
        <f t="shared" si="23"/>
        <v/>
      </c>
      <c r="AN30" s="282">
        <f t="shared" si="24"/>
        <v>0</v>
      </c>
      <c r="AO30" s="282">
        <f t="shared" si="25"/>
        <v>0</v>
      </c>
      <c r="AP30" s="282">
        <f t="shared" si="26"/>
        <v>0</v>
      </c>
      <c r="AQ30" s="282" t="e">
        <f>VLOOKUP(LEFT($A30,7)&amp;"1-00",MCP!#REF!,30,FALSE)</f>
        <v>#REF!</v>
      </c>
      <c r="AR30" s="282" t="e">
        <f>VLOOKUP(LEFT($A30,7)&amp;"1-00",MCP!#REF!,31,FALSE)</f>
        <v>#REF!</v>
      </c>
      <c r="AS30" s="282" t="e">
        <f>VLOOKUP($A30&amp;"-"&amp;$B30,MCP!#REF!,12,FALSE)</f>
        <v>#REF!</v>
      </c>
      <c r="AT30" s="282" t="str">
        <f t="shared" si="27"/>
        <v/>
      </c>
      <c r="AU30" s="282" t="str">
        <f t="shared" si="28"/>
        <v/>
      </c>
      <c r="AV30" s="282" t="str">
        <f t="shared" si="29"/>
        <v/>
      </c>
      <c r="AW30" s="282" t="str">
        <f>IF($U30="","",VLOOKUP(LEFT($A30,7)&amp;"1-00",MCP!#REF!,24,FALSE))</f>
        <v/>
      </c>
      <c r="AX30" s="282">
        <v>-35169.261724286967</v>
      </c>
      <c r="AY30" s="282">
        <v>-1182.9994395673405</v>
      </c>
      <c r="BF30" s="174" t="str">
        <f t="shared" si="30"/>
        <v/>
      </c>
    </row>
    <row r="31" spans="1:58" x14ac:dyDescent="0.2">
      <c r="A31" s="282" t="str">
        <f t="shared" si="0"/>
        <v>3.1029.1</v>
      </c>
      <c r="B31" s="282" t="str">
        <f t="shared" si="1"/>
        <v>03</v>
      </c>
      <c r="C31" s="282" t="str">
        <f t="shared" si="2"/>
        <v>3.1029.1.03</v>
      </c>
      <c r="D31" s="161">
        <v>4.9650999999999996</v>
      </c>
      <c r="E31" s="161">
        <v>8.0799999999999997E-2</v>
      </c>
      <c r="F31" s="282">
        <f t="shared" si="3"/>
        <v>2.5207000000000002</v>
      </c>
      <c r="G31" s="161" t="s">
        <v>840</v>
      </c>
      <c r="H31" s="282">
        <f t="shared" si="4"/>
        <v>4.492433599061843E-2</v>
      </c>
      <c r="I31" s="282" t="str">
        <f>A31&amp;"-"&amp;TEXT(MCP!$D$1,"00")</f>
        <v>3.1029.1-03</v>
      </c>
      <c r="J31" s="282">
        <f>IFERROR(VLOOKUP(I31,MCP!#REF!,10,FALSE),0)</f>
        <v>0</v>
      </c>
      <c r="K31" s="282">
        <f>IFERROR(VLOOKUP(I31,MCP!#REF!,19,FALSE),0)</f>
        <v>0</v>
      </c>
      <c r="L31" s="161">
        <v>29</v>
      </c>
      <c r="M31" s="161">
        <v>4.9431561988169649E-2</v>
      </c>
      <c r="N31" s="282" t="e">
        <f>IF($A31="","",VLOOKUP(LEFT($A31,7)&amp;"1-00",MCP!#REF!,N$1,FALSE))</f>
        <v>#REF!</v>
      </c>
      <c r="O31" s="282" t="e">
        <f>IF($A31="","",VLOOKUP(LEFT($A31,7)&amp;"1-00",MCP!#REF!,O$1,FALSE))</f>
        <v>#REF!</v>
      </c>
      <c r="P31" s="282" t="e">
        <f>IF($A31="","",VLOOKUP(LEFT($A31,7)&amp;"1-00",MCP!#REF!,P$1,FALSE))</f>
        <v>#REF!</v>
      </c>
      <c r="Q31" s="282" t="e">
        <f t="shared" si="5"/>
        <v>#REF!</v>
      </c>
      <c r="R31" s="282" t="e">
        <f t="shared" si="6"/>
        <v>#REF!</v>
      </c>
      <c r="S31" s="282" t="e">
        <f t="shared" si="7"/>
        <v>#REF!</v>
      </c>
      <c r="T31" s="282" t="e">
        <f>VLOOKUP(LEFT($A31,7)&amp;"1-00",MCP!#REF!,T$1,FALSE)</f>
        <v>#REF!</v>
      </c>
      <c r="U31" s="282" t="str">
        <f t="shared" si="8"/>
        <v/>
      </c>
      <c r="V31" s="282" t="str">
        <f t="shared" si="9"/>
        <v/>
      </c>
      <c r="W31" s="284" t="str">
        <f t="shared" si="10"/>
        <v/>
      </c>
      <c r="X31" s="161">
        <v>-0.59430000000000005</v>
      </c>
      <c r="Y31" s="279">
        <v>1.3506</v>
      </c>
      <c r="Z31" s="284" t="str">
        <f t="shared" si="11"/>
        <v/>
      </c>
      <c r="AA31" s="282" t="str">
        <f t="shared" si="12"/>
        <v/>
      </c>
      <c r="AB31" s="282" t="str">
        <f t="shared" si="13"/>
        <v/>
      </c>
      <c r="AC31" s="282" t="str">
        <f t="shared" si="14"/>
        <v/>
      </c>
      <c r="AD31" s="282" t="str">
        <f t="shared" si="15"/>
        <v/>
      </c>
      <c r="AE31" s="282" t="str">
        <f t="shared" si="16"/>
        <v/>
      </c>
      <c r="AF31" s="282" t="str">
        <f t="shared" si="17"/>
        <v/>
      </c>
      <c r="AG31" s="282" t="str">
        <f t="shared" si="18"/>
        <v/>
      </c>
      <c r="AH31" s="282" t="str">
        <f t="shared" si="19"/>
        <v/>
      </c>
      <c r="AI31" s="282" t="str">
        <f t="shared" si="20"/>
        <v/>
      </c>
      <c r="AJ31" s="282" t="str">
        <f>IF(U31="","",VLOOKUP(LEFT(I31,6)&amp;".1-00",MCP!$AK$9:$AL$464,21,FALSE))</f>
        <v/>
      </c>
      <c r="AK31" s="283" t="str">
        <f t="shared" si="21"/>
        <v/>
      </c>
      <c r="AL31" s="284" t="str">
        <f t="shared" si="22"/>
        <v/>
      </c>
      <c r="AM31" s="285" t="str">
        <f t="shared" si="23"/>
        <v/>
      </c>
      <c r="AN31" s="282">
        <f t="shared" si="24"/>
        <v>0</v>
      </c>
      <c r="AO31" s="282">
        <f t="shared" si="25"/>
        <v>0</v>
      </c>
      <c r="AP31" s="282">
        <f t="shared" si="26"/>
        <v>0</v>
      </c>
      <c r="AQ31" s="282" t="e">
        <f>VLOOKUP(LEFT($A31,7)&amp;"1-00",MCP!#REF!,30,FALSE)</f>
        <v>#REF!</v>
      </c>
      <c r="AR31" s="282" t="e">
        <f>VLOOKUP(LEFT($A31,7)&amp;"1-00",MCP!#REF!,31,FALSE)</f>
        <v>#REF!</v>
      </c>
      <c r="AS31" s="282" t="e">
        <f>VLOOKUP($A31&amp;"-"&amp;$B31,MCP!#REF!,12,FALSE)</f>
        <v>#REF!</v>
      </c>
      <c r="AT31" s="282" t="str">
        <f t="shared" si="27"/>
        <v/>
      </c>
      <c r="AU31" s="282" t="str">
        <f t="shared" si="28"/>
        <v/>
      </c>
      <c r="AV31" s="282" t="str">
        <f t="shared" si="29"/>
        <v/>
      </c>
      <c r="AW31" s="282" t="str">
        <f>IF($U31="","",VLOOKUP(LEFT($A31,7)&amp;"1-00",MCP!#REF!,24,FALSE))</f>
        <v/>
      </c>
      <c r="AX31" s="282">
        <v>-149406.74450124626</v>
      </c>
      <c r="AY31" s="282">
        <v>-4789.1929505228936</v>
      </c>
      <c r="BF31" s="174" t="str">
        <f t="shared" si="30"/>
        <v/>
      </c>
    </row>
    <row r="32" spans="1:58" x14ac:dyDescent="0.2">
      <c r="A32" s="282" t="str">
        <f t="shared" si="0"/>
        <v>6.1030.1</v>
      </c>
      <c r="B32" s="282" t="str">
        <f t="shared" si="1"/>
        <v>03</v>
      </c>
      <c r="C32" s="282" t="str">
        <f t="shared" si="2"/>
        <v>6.1030.1.03</v>
      </c>
      <c r="D32" s="161">
        <v>4.9623999999999997</v>
      </c>
      <c r="E32" s="161">
        <v>1.0699999999999999E-2</v>
      </c>
      <c r="F32" s="282">
        <f t="shared" si="3"/>
        <v>0.33360000000000001</v>
      </c>
      <c r="G32" s="161" t="s">
        <v>886</v>
      </c>
      <c r="H32" s="282">
        <f t="shared" si="4"/>
        <v>5.9454748627247615E-3</v>
      </c>
      <c r="I32" s="282" t="str">
        <f>A32&amp;"-"&amp;TEXT(MCP!$D$1,"00")</f>
        <v>6.1030.1-03</v>
      </c>
      <c r="J32" s="282">
        <f>IFERROR(VLOOKUP(I32,MCP!#REF!,10,FALSE),0)</f>
        <v>0</v>
      </c>
      <c r="K32" s="282">
        <f>IFERROR(VLOOKUP(I32,MCP!#REF!,19,FALSE),0)</f>
        <v>0</v>
      </c>
      <c r="L32" s="161">
        <v>30</v>
      </c>
      <c r="M32" s="161">
        <v>8.1732457195610765E-3</v>
      </c>
      <c r="N32" s="282" t="e">
        <f>IF($A32="","",VLOOKUP(LEFT($A32,7)&amp;"1-00",MCP!#REF!,N$1,FALSE))</f>
        <v>#REF!</v>
      </c>
      <c r="O32" s="282" t="e">
        <f>IF($A32="","",VLOOKUP(LEFT($A32,7)&amp;"1-00",MCP!#REF!,O$1,FALSE))</f>
        <v>#REF!</v>
      </c>
      <c r="P32" s="282" t="e">
        <f>IF($A32="","",VLOOKUP(LEFT($A32,7)&amp;"1-00",MCP!#REF!,P$1,FALSE))</f>
        <v>#REF!</v>
      </c>
      <c r="Q32" s="282" t="e">
        <f t="shared" si="5"/>
        <v>#REF!</v>
      </c>
      <c r="R32" s="282" t="e">
        <f t="shared" si="6"/>
        <v>#REF!</v>
      </c>
      <c r="S32" s="282" t="e">
        <f t="shared" si="7"/>
        <v>#REF!</v>
      </c>
      <c r="T32" s="282" t="e">
        <f>VLOOKUP(LEFT($A32,7)&amp;"1-00",MCP!#REF!,T$1,FALSE)</f>
        <v>#REF!</v>
      </c>
      <c r="U32" s="282" t="str">
        <f t="shared" si="8"/>
        <v/>
      </c>
      <c r="V32" s="282" t="str">
        <f t="shared" si="9"/>
        <v/>
      </c>
      <c r="W32" s="284" t="str">
        <f t="shared" si="10"/>
        <v/>
      </c>
      <c r="X32" s="161">
        <v>-0.82779999999999998</v>
      </c>
      <c r="Y32" s="282">
        <v>0.61880000000000002</v>
      </c>
      <c r="Z32" s="284" t="str">
        <f t="shared" si="11"/>
        <v/>
      </c>
      <c r="AA32" s="282" t="str">
        <f t="shared" si="12"/>
        <v/>
      </c>
      <c r="AB32" s="282" t="str">
        <f t="shared" si="13"/>
        <v/>
      </c>
      <c r="AC32" s="282" t="str">
        <f t="shared" si="14"/>
        <v/>
      </c>
      <c r="AD32" s="282" t="str">
        <f t="shared" si="15"/>
        <v/>
      </c>
      <c r="AE32" s="282" t="str">
        <f t="shared" si="16"/>
        <v/>
      </c>
      <c r="AF32" s="282" t="str">
        <f t="shared" si="17"/>
        <v/>
      </c>
      <c r="AG32" s="282" t="str">
        <f t="shared" si="18"/>
        <v/>
      </c>
      <c r="AH32" s="282" t="str">
        <f t="shared" si="19"/>
        <v/>
      </c>
      <c r="AI32" s="282" t="str">
        <f t="shared" si="20"/>
        <v/>
      </c>
      <c r="AJ32" s="282" t="str">
        <f>IF(U32="","",VLOOKUP(LEFT(I32,6)&amp;".1-00",MCP!$AK$9:$AL$464,21,FALSE))</f>
        <v/>
      </c>
      <c r="AK32" s="283" t="str">
        <f t="shared" si="21"/>
        <v/>
      </c>
      <c r="AL32" s="284" t="str">
        <f t="shared" si="22"/>
        <v/>
      </c>
      <c r="AM32" s="285" t="str">
        <f t="shared" si="23"/>
        <v/>
      </c>
      <c r="AN32" s="282">
        <f t="shared" si="24"/>
        <v>0</v>
      </c>
      <c r="AO32" s="282">
        <f t="shared" si="25"/>
        <v>0</v>
      </c>
      <c r="AP32" s="282">
        <f t="shared" si="26"/>
        <v>0</v>
      </c>
      <c r="AQ32" s="282" t="e">
        <f>VLOOKUP(LEFT($A32,7)&amp;"1-00",MCP!#REF!,30,FALSE)</f>
        <v>#REF!</v>
      </c>
      <c r="AR32" s="282" t="e">
        <f>VLOOKUP(LEFT($A32,7)&amp;"1-00",MCP!#REF!,31,FALSE)</f>
        <v>#REF!</v>
      </c>
      <c r="AS32" s="282" t="e">
        <f>VLOOKUP($A32&amp;"-"&amp;$B32,MCP!#REF!,12,FALSE)</f>
        <v>#REF!</v>
      </c>
      <c r="AT32" s="282" t="str">
        <f t="shared" si="27"/>
        <v/>
      </c>
      <c r="AU32" s="282" t="str">
        <f t="shared" si="28"/>
        <v/>
      </c>
      <c r="AV32" s="282" t="str">
        <f t="shared" si="29"/>
        <v/>
      </c>
      <c r="AW32" s="282" t="str">
        <f>IF($U32="","",VLOOKUP(LEFT($A32,7)&amp;"1-00",MCP!#REF!,24,FALSE))</f>
        <v/>
      </c>
      <c r="AX32" s="282">
        <v>-30569.065827736671</v>
      </c>
      <c r="AY32" s="282">
        <v>-980.41631714207597</v>
      </c>
      <c r="BF32" s="174" t="str">
        <f t="shared" si="30"/>
        <v/>
      </c>
    </row>
    <row r="33" spans="1:58" x14ac:dyDescent="0.2">
      <c r="A33" s="282" t="str">
        <f t="shared" si="0"/>
        <v>5.1031.1</v>
      </c>
      <c r="B33" s="282" t="str">
        <f t="shared" si="1"/>
        <v>03</v>
      </c>
      <c r="C33" s="282" t="str">
        <f t="shared" si="2"/>
        <v>5.1031.1.03</v>
      </c>
      <c r="D33" s="161">
        <v>5.1726999999999999</v>
      </c>
      <c r="E33" s="161">
        <v>7.2300000000000003E-2</v>
      </c>
      <c r="F33" s="282">
        <f t="shared" si="3"/>
        <v>2.3498000000000001</v>
      </c>
      <c r="G33" s="161" t="s">
        <v>874</v>
      </c>
      <c r="H33" s="282">
        <f t="shared" si="4"/>
        <v>4.1878527675151815E-2</v>
      </c>
      <c r="I33" s="282" t="str">
        <f>A33&amp;"-"&amp;TEXT(MCP!$D$1,"00")</f>
        <v>5.1031.1-03</v>
      </c>
      <c r="J33" s="282">
        <f>IFERROR(VLOOKUP(I33,MCP!#REF!,10,FALSE),0)</f>
        <v>0</v>
      </c>
      <c r="K33" s="282">
        <f>IFERROR(VLOOKUP(I33,MCP!#REF!,19,FALSE),0)</f>
        <v>0</v>
      </c>
      <c r="L33" s="161">
        <v>31</v>
      </c>
      <c r="M33" s="161">
        <v>4.6287731755002247E-2</v>
      </c>
      <c r="N33" s="282" t="e">
        <f>IF($A33="","",VLOOKUP(LEFT($A33,7)&amp;"1-00",MCP!#REF!,N$1,FALSE))</f>
        <v>#REF!</v>
      </c>
      <c r="O33" s="282" t="e">
        <f>IF($A33="","",VLOOKUP(LEFT($A33,7)&amp;"1-00",MCP!#REF!,O$1,FALSE))</f>
        <v>#REF!</v>
      </c>
      <c r="P33" s="282" t="e">
        <f>IF($A33="","",VLOOKUP(LEFT($A33,7)&amp;"1-00",MCP!#REF!,P$1,FALSE))</f>
        <v>#REF!</v>
      </c>
      <c r="Q33" s="282" t="e">
        <f t="shared" si="5"/>
        <v>#REF!</v>
      </c>
      <c r="R33" s="282" t="e">
        <f t="shared" si="6"/>
        <v>#REF!</v>
      </c>
      <c r="S33" s="282" t="e">
        <f t="shared" si="7"/>
        <v>#REF!</v>
      </c>
      <c r="T33" s="282" t="e">
        <f>VLOOKUP(LEFT($A33,7)&amp;"1-00",MCP!#REF!,T$1,FALSE)</f>
        <v>#REF!</v>
      </c>
      <c r="U33" s="282" t="str">
        <f t="shared" si="8"/>
        <v/>
      </c>
      <c r="V33" s="282" t="str">
        <f t="shared" si="9"/>
        <v/>
      </c>
      <c r="W33" s="284" t="str">
        <f t="shared" si="10"/>
        <v/>
      </c>
      <c r="X33" s="161">
        <v>-0.57289999999999996</v>
      </c>
      <c r="Y33" s="280">
        <v>1.3214999999999999</v>
      </c>
      <c r="Z33" s="284" t="str">
        <f t="shared" si="11"/>
        <v/>
      </c>
      <c r="AA33" s="282" t="str">
        <f t="shared" si="12"/>
        <v/>
      </c>
      <c r="AB33" s="282" t="str">
        <f t="shared" si="13"/>
        <v/>
      </c>
      <c r="AC33" s="282" t="str">
        <f t="shared" si="14"/>
        <v/>
      </c>
      <c r="AD33" s="282" t="str">
        <f t="shared" si="15"/>
        <v/>
      </c>
      <c r="AE33" s="282" t="str">
        <f t="shared" si="16"/>
        <v/>
      </c>
      <c r="AF33" s="282" t="str">
        <f t="shared" si="17"/>
        <v/>
      </c>
      <c r="AG33" s="282" t="str">
        <f t="shared" si="18"/>
        <v/>
      </c>
      <c r="AH33" s="282" t="str">
        <f t="shared" si="19"/>
        <v/>
      </c>
      <c r="AI33" s="282" t="str">
        <f t="shared" si="20"/>
        <v/>
      </c>
      <c r="AJ33" s="282" t="str">
        <f>IF(U33="","",VLOOKUP(LEFT(I33,6)&amp;".1-00",MCP!$AK$9:$AL$464,21,FALSE))</f>
        <v/>
      </c>
      <c r="AK33" s="283" t="str">
        <f t="shared" si="21"/>
        <v/>
      </c>
      <c r="AL33" s="284" t="str">
        <f t="shared" si="22"/>
        <v/>
      </c>
      <c r="AM33" s="285" t="str">
        <f t="shared" si="23"/>
        <v/>
      </c>
      <c r="AN33" s="282">
        <f t="shared" si="24"/>
        <v>0</v>
      </c>
      <c r="AO33" s="282">
        <f t="shared" si="25"/>
        <v>0</v>
      </c>
      <c r="AP33" s="282">
        <f t="shared" si="26"/>
        <v>0</v>
      </c>
      <c r="AQ33" s="282" t="e">
        <f>VLOOKUP(LEFT($A33,7)&amp;"1-00",MCP!#REF!,30,FALSE)</f>
        <v>#REF!</v>
      </c>
      <c r="AR33" s="282" t="e">
        <f>VLOOKUP(LEFT($A33,7)&amp;"1-00",MCP!#REF!,31,FALSE)</f>
        <v>#REF!</v>
      </c>
      <c r="AS33" s="282" t="e">
        <f>VLOOKUP($A33&amp;"-"&amp;$B33,MCP!#REF!,12,FALSE)</f>
        <v>#REF!</v>
      </c>
      <c r="AT33" s="282" t="str">
        <f t="shared" si="27"/>
        <v/>
      </c>
      <c r="AU33" s="282" t="str">
        <f t="shared" si="28"/>
        <v/>
      </c>
      <c r="AV33" s="282" t="str">
        <f t="shared" si="29"/>
        <v/>
      </c>
      <c r="AW33" s="282" t="str">
        <f>IF($U33="","",VLOOKUP(LEFT($A33,7)&amp;"1-00",MCP!#REF!,24,FALSE))</f>
        <v/>
      </c>
      <c r="AX33" s="282">
        <v>-142250.61087948739</v>
      </c>
      <c r="AY33" s="282">
        <v>-4376.8028069117072</v>
      </c>
      <c r="BF33" s="174" t="str">
        <f t="shared" si="30"/>
        <v/>
      </c>
    </row>
    <row r="34" spans="1:58" x14ac:dyDescent="0.2">
      <c r="A34" s="282" t="str">
        <f t="shared" si="0"/>
        <v>2.1032.1</v>
      </c>
      <c r="B34" s="282" t="str">
        <f t="shared" si="1"/>
        <v>03</v>
      </c>
      <c r="C34" s="282" t="str">
        <f t="shared" si="2"/>
        <v>2.1032.1.03</v>
      </c>
      <c r="D34" s="161">
        <v>5.1783000000000001</v>
      </c>
      <c r="E34" s="161">
        <v>1.14E-2</v>
      </c>
      <c r="F34" s="282">
        <f t="shared" si="3"/>
        <v>0.37090000000000001</v>
      </c>
      <c r="G34" s="161" t="s">
        <v>660</v>
      </c>
      <c r="H34" s="282">
        <f t="shared" si="4"/>
        <v>6.6102416864047189E-3</v>
      </c>
      <c r="I34" s="282" t="str">
        <f>A34&amp;"-"&amp;TEXT(MCP!$D$1,"00")</f>
        <v>2.1032.1-03</v>
      </c>
      <c r="J34" s="282">
        <f>IFERROR(VLOOKUP(I34,MCP!#REF!,10,FALSE),0)</f>
        <v>0</v>
      </c>
      <c r="K34" s="282">
        <f>IFERROR(VLOOKUP(I34,MCP!#REF!,19,FALSE),0)</f>
        <v>0</v>
      </c>
      <c r="L34" s="161">
        <v>32</v>
      </c>
      <c r="M34" s="161">
        <v>8.8754390936358826E-3</v>
      </c>
      <c r="N34" s="282" t="e">
        <f>IF($A34="","",VLOOKUP(LEFT($A34,7)&amp;"1-00",MCP!#REF!,N$1,FALSE))</f>
        <v>#REF!</v>
      </c>
      <c r="O34" s="282" t="e">
        <f>IF($A34="","",VLOOKUP(LEFT($A34,7)&amp;"1-00",MCP!#REF!,O$1,FALSE))</f>
        <v>#REF!</v>
      </c>
      <c r="P34" s="282" t="e">
        <f>IF($A34="","",VLOOKUP(LEFT($A34,7)&amp;"1-00",MCP!#REF!,P$1,FALSE))</f>
        <v>#REF!</v>
      </c>
      <c r="Q34" s="282" t="e">
        <f t="shared" si="5"/>
        <v>#REF!</v>
      </c>
      <c r="R34" s="282" t="e">
        <f t="shared" si="6"/>
        <v>#REF!</v>
      </c>
      <c r="S34" s="282" t="e">
        <f t="shared" si="7"/>
        <v>#REF!</v>
      </c>
      <c r="T34" s="282" t="e">
        <f>VLOOKUP(LEFT($A34,7)&amp;"1-00",MCP!#REF!,T$1,FALSE)</f>
        <v>#REF!</v>
      </c>
      <c r="U34" s="282" t="str">
        <f t="shared" si="8"/>
        <v/>
      </c>
      <c r="V34" s="282" t="str">
        <f t="shared" si="9"/>
        <v/>
      </c>
      <c r="W34" s="284" t="str">
        <f t="shared" si="10"/>
        <v/>
      </c>
      <c r="X34" s="161">
        <v>-0.32419999999999999</v>
      </c>
      <c r="Y34" s="280">
        <v>0.64600000000000002</v>
      </c>
      <c r="Z34" s="284" t="str">
        <f t="shared" si="11"/>
        <v/>
      </c>
      <c r="AA34" s="282" t="str">
        <f t="shared" si="12"/>
        <v/>
      </c>
      <c r="AB34" s="282" t="str">
        <f t="shared" si="13"/>
        <v/>
      </c>
      <c r="AC34" s="282" t="str">
        <f t="shared" si="14"/>
        <v/>
      </c>
      <c r="AD34" s="282" t="str">
        <f t="shared" si="15"/>
        <v/>
      </c>
      <c r="AE34" s="282" t="str">
        <f t="shared" si="16"/>
        <v/>
      </c>
      <c r="AF34" s="282" t="str">
        <f t="shared" si="17"/>
        <v/>
      </c>
      <c r="AG34" s="282" t="str">
        <f t="shared" si="18"/>
        <v/>
      </c>
      <c r="AH34" s="282" t="str">
        <f t="shared" si="19"/>
        <v/>
      </c>
      <c r="AI34" s="282" t="str">
        <f t="shared" si="20"/>
        <v/>
      </c>
      <c r="AJ34" s="282" t="str">
        <f>IF(U34="","",VLOOKUP(LEFT(I34,6)&amp;".1-00",MCP!$AK$9:$AL$464,21,FALSE))</f>
        <v/>
      </c>
      <c r="AK34" s="283" t="str">
        <f t="shared" si="21"/>
        <v/>
      </c>
      <c r="AL34" s="284" t="str">
        <f t="shared" si="22"/>
        <v/>
      </c>
      <c r="AM34" s="285" t="str">
        <f t="shared" si="23"/>
        <v/>
      </c>
      <c r="AN34" s="282">
        <f t="shared" si="24"/>
        <v>0</v>
      </c>
      <c r="AO34" s="282">
        <f t="shared" si="25"/>
        <v>0</v>
      </c>
      <c r="AP34" s="282">
        <f t="shared" si="26"/>
        <v>0</v>
      </c>
      <c r="AQ34" s="282" t="e">
        <f>VLOOKUP(LEFT($A34,7)&amp;"1-00",MCP!#REF!,30,FALSE)</f>
        <v>#REF!</v>
      </c>
      <c r="AR34" s="282" t="e">
        <f>VLOOKUP(LEFT($A34,7)&amp;"1-00",MCP!#REF!,31,FALSE)</f>
        <v>#REF!</v>
      </c>
      <c r="AS34" s="282" t="e">
        <f>VLOOKUP($A34&amp;"-"&amp;$B34,MCP!#REF!,12,FALSE)</f>
        <v>#REF!</v>
      </c>
      <c r="AT34" s="282" t="str">
        <f t="shared" si="27"/>
        <v/>
      </c>
      <c r="AU34" s="282" t="str">
        <f t="shared" si="28"/>
        <v/>
      </c>
      <c r="AV34" s="282" t="str">
        <f t="shared" si="29"/>
        <v/>
      </c>
      <c r="AW34" s="282" t="str">
        <f>IF($U34="","",VLOOKUP(LEFT($A34,7)&amp;"1-00",MCP!#REF!,24,FALSE))</f>
        <v/>
      </c>
      <c r="AX34" s="282">
        <v>-33405.462048282308</v>
      </c>
      <c r="AY34" s="282">
        <v>-1026.716183159115</v>
      </c>
      <c r="BF34" s="174" t="str">
        <f t="shared" si="30"/>
        <v/>
      </c>
    </row>
    <row r="35" spans="1:58" x14ac:dyDescent="0.2">
      <c r="A35" s="282" t="str">
        <f t="shared" ref="A35:A66" si="31">LEFT(C35,8)</f>
        <v>1.1033.1</v>
      </c>
      <c r="B35" s="282" t="str">
        <f t="shared" ref="B35:B66" si="32">RIGHT(C35,2)</f>
        <v>03</v>
      </c>
      <c r="C35" s="282" t="str">
        <f t="shared" ref="C35:C66" si="33">LEFT(G35,11)</f>
        <v>1.1033.1.03</v>
      </c>
      <c r="D35" s="161">
        <v>5.3616999999999999</v>
      </c>
      <c r="E35" s="161">
        <v>6.1600000000000002E-2</v>
      </c>
      <c r="F35" s="282">
        <f t="shared" ref="F35:F66" si="34">ROUND(PI()*2*D35*E35,4)</f>
        <v>2.0752000000000002</v>
      </c>
      <c r="G35" s="161" t="s">
        <v>658</v>
      </c>
      <c r="H35" s="282">
        <f t="shared" ref="H35:H66" si="35">F35/SUM($F$3:$F$116)</f>
        <v>3.6984560656853793E-2</v>
      </c>
      <c r="I35" s="282" t="str">
        <f>A35&amp;"-"&amp;TEXT(MCP!$D$1,"00")</f>
        <v>1.1033.1-03</v>
      </c>
      <c r="J35" s="282">
        <f>IFERROR(VLOOKUP(I35,MCP!#REF!,10,FALSE),0)</f>
        <v>0</v>
      </c>
      <c r="K35" s="282">
        <f>IFERROR(VLOOKUP(I35,MCP!#REF!,19,FALSE),0)</f>
        <v>0</v>
      </c>
      <c r="L35" s="161">
        <v>33</v>
      </c>
      <c r="M35" s="161">
        <v>4.1258316268608576E-2</v>
      </c>
      <c r="N35" s="282" t="e">
        <f>IF($A35="","",VLOOKUP(LEFT($A35,7)&amp;"1-00",MCP!#REF!,N$1,FALSE))</f>
        <v>#REF!</v>
      </c>
      <c r="O35" s="282" t="e">
        <f>IF($A35="","",VLOOKUP(LEFT($A35,7)&amp;"1-00",MCP!#REF!,O$1,FALSE))</f>
        <v>#REF!</v>
      </c>
      <c r="P35" s="282" t="e">
        <f>IF($A35="","",VLOOKUP(LEFT($A35,7)&amp;"1-00",MCP!#REF!,P$1,FALSE))</f>
        <v>#REF!</v>
      </c>
      <c r="Q35" s="282" t="e">
        <f t="shared" ref="Q35:Q66" si="36">IF(RIGHT($A35,1)="1",(LOG10($AR$1*$J35+$AT$1)*$AV$1*$E35*$AP$1+$AX$1)*N35,"")</f>
        <v>#REF!</v>
      </c>
      <c r="R35" s="282" t="e">
        <f t="shared" ref="R35:R66" si="37">IF(RIGHT($A35,1)="1",(LOG10($AR$1*$J35+$AT$1)*$AV$1*$E35*$AP$1+$AX$1)*O35,"")</f>
        <v>#REF!</v>
      </c>
      <c r="S35" s="282" t="e">
        <f t="shared" ref="S35:S66" si="38">IF(RIGHT($A35,1)="1",(LOG10($AR$1*$J35+$AT$1)*$AV$1*$E35*$AP$1+$AX$1)*P35,"")</f>
        <v>#REF!</v>
      </c>
      <c r="T35" s="282" t="e">
        <f>VLOOKUP(LEFT($A35,7)&amp;"1-00",MCP!#REF!,T$1,FALSE)</f>
        <v>#REF!</v>
      </c>
      <c r="U35" s="282" t="str">
        <f t="shared" ref="U35:U66" si="39">IF(RIGHT($A35,1)="2",(LOG10($AR$1*$J35+$AT$1)*$AV$1*$E35*$AP$1+$AX$1)*N35,"")</f>
        <v/>
      </c>
      <c r="V35" s="282" t="str">
        <f t="shared" ref="V35:V66" si="40">IF(RIGHT($A35,1)="2",(LOG10($AR$1*$J35+$AT$1)*$AV$1*$E35*$AP$1+$AX$1)*O35,"")</f>
        <v/>
      </c>
      <c r="W35" s="284" t="str">
        <f t="shared" ref="W35:W66" si="41">IF(RIGHT(A35,1)="2",(T35*$AZ$1*2*K35*SIN((Y35)/(K35*4))),"")</f>
        <v/>
      </c>
      <c r="X35" s="161">
        <v>-5.0599999999999999E-2</v>
      </c>
      <c r="Y35" s="282">
        <v>1.2666999999999999</v>
      </c>
      <c r="Z35" s="284" t="str">
        <f t="shared" ref="Z35:Z66" si="42">IF(U35="","",SQRT((J35-D35)^2+(X35-AS35)^2))</f>
        <v/>
      </c>
      <c r="AA35" s="282" t="str">
        <f t="shared" ref="AA35:AA66" si="43">IF(U35="","",$Z35*N35+AQ35)</f>
        <v/>
      </c>
      <c r="AB35" s="282" t="str">
        <f t="shared" ref="AB35:AB66" si="44">IF(V35="","",$Z35*O35+AR35)</f>
        <v/>
      </c>
      <c r="AC35" s="282" t="str">
        <f t="shared" ref="AC35:AC66" si="45">IF(W35="","",$Z35*P35+AS35)</f>
        <v/>
      </c>
      <c r="AD35" s="282" t="str">
        <f t="shared" ref="AD35:AD66" si="46">IF(V35="","",AA35-AT35)</f>
        <v/>
      </c>
      <c r="AE35" s="282" t="str">
        <f t="shared" ref="AE35:AE66" si="47">IF(V35="","",AB35-AU35)</f>
        <v/>
      </c>
      <c r="AF35" s="282" t="str">
        <f t="shared" ref="AF35:AF66" si="48">IF(V35="","",AC35-AV35)</f>
        <v/>
      </c>
      <c r="AG35" s="282" t="str">
        <f t="shared" ref="AG35:AG66" si="49">IF(V35="","",AD35/SQRT($AD35^2+$AE35^2+$AF35^2))</f>
        <v/>
      </c>
      <c r="AH35" s="282" t="str">
        <f t="shared" ref="AH35:AH66" si="50">IF(W35="","",AE35/SQRT($AD35^2+$AE35^2+$AF35^2))</f>
        <v/>
      </c>
      <c r="AI35" s="282" t="str">
        <f t="shared" ref="AI35:AI66" si="51">IF(U35="","",AF35/SQRT($AD35^2+$AE35^2+$AF35^2))</f>
        <v/>
      </c>
      <c r="AJ35" s="282" t="str">
        <f>IF(U35="","",VLOOKUP(LEFT(I35,6)&amp;".1-00",MCP!$AK$9:$AL$464,21,FALSE))</f>
        <v/>
      </c>
      <c r="AK35" s="283" t="str">
        <f t="shared" ref="AK35:AK66" si="52">IF(RIGHT($A35,1)="2",(LOG10($AR$1*$J35+$AT$1)*$AV$1*$W35*$AP$1+$AX$1)*AG35,"")</f>
        <v/>
      </c>
      <c r="AL35" s="284" t="str">
        <f t="shared" ref="AL35:AL66" si="53">IF(RIGHT($A35,1)="2",(LOG10($AR$1*$J35+$AT$1)*$AV$1*$W35*$AP$1+$AX$1)*AH35,"")</f>
        <v/>
      </c>
      <c r="AM35" s="285" t="str">
        <f t="shared" ref="AM35:AM66" si="54">IF(RIGHT($A35,1)="2",(LOG10($AR$1*$J35+$AT$1)*$AV$1*$W35*$AP$1+$AX$1)*AI35,"")</f>
        <v/>
      </c>
      <c r="AN35" s="282">
        <f t="shared" ref="AN35:AN66" si="55">IFERROR((AR35*N(AM35)+AR35*N(S35)),0)</f>
        <v>0</v>
      </c>
      <c r="AO35" s="282">
        <f t="shared" ref="AO35:AO66" si="56">IFERROR(-(AQ35*N(AM35)+AQ35*N(S35)),0)</f>
        <v>0</v>
      </c>
      <c r="AP35" s="282">
        <f t="shared" ref="AP35:AP66" si="57">IFERROR((AQ35*N(AL35)+AQ35*N(R35))-(AR35*N(AK35)+AR35*N(Q35)),0)</f>
        <v>0</v>
      </c>
      <c r="AQ35" s="282" t="e">
        <f>VLOOKUP(LEFT($A35,7)&amp;"1-00",MCP!#REF!,30,FALSE)</f>
        <v>#REF!</v>
      </c>
      <c r="AR35" s="282" t="e">
        <f>VLOOKUP(LEFT($A35,7)&amp;"1-00",MCP!#REF!,31,FALSE)</f>
        <v>#REF!</v>
      </c>
      <c r="AS35" s="282" t="e">
        <f>VLOOKUP($A35&amp;"-"&amp;$B35,MCP!#REF!,12,FALSE)</f>
        <v>#REF!</v>
      </c>
      <c r="AT35" s="282" t="str">
        <f t="shared" ref="AT35:AT66" si="58">IF($U35="","",((D35*COS(RADIANS(AW35)))-(0*SIN(RADIANS(AW35)))))</f>
        <v/>
      </c>
      <c r="AU35" s="282" t="str">
        <f t="shared" ref="AU35:AU66" si="59">IF($U35="","",((0*COS(RADIANS(AW35)))+(D35*SIN(RADIANS(AW35)))))</f>
        <v/>
      </c>
      <c r="AV35" s="282" t="str">
        <f t="shared" ref="AV35:AV66" si="60">IF($U35="","",X35)</f>
        <v/>
      </c>
      <c r="AW35" s="282" t="str">
        <f>IF($U35="","",VLOOKUP(LEFT($A35,7)&amp;"1-00",MCP!#REF!,24,FALSE))</f>
        <v/>
      </c>
      <c r="AX35" s="282">
        <v>-128549.06321129379</v>
      </c>
      <c r="AY35" s="282">
        <v>-3815.8082026055058</v>
      </c>
      <c r="BF35" s="174" t="str">
        <f t="shared" si="30"/>
        <v/>
      </c>
    </row>
    <row r="36" spans="1:58" x14ac:dyDescent="0.2">
      <c r="A36" s="282" t="str">
        <f t="shared" si="31"/>
        <v>4.1034.1</v>
      </c>
      <c r="B36" s="282" t="str">
        <f t="shared" si="32"/>
        <v>03</v>
      </c>
      <c r="C36" s="282" t="str">
        <f t="shared" si="33"/>
        <v>4.1034.1.03</v>
      </c>
      <c r="D36" s="161">
        <v>5.3677000000000001</v>
      </c>
      <c r="E36" s="161">
        <v>1.11E-2</v>
      </c>
      <c r="F36" s="282">
        <f t="shared" si="34"/>
        <v>0.37440000000000001</v>
      </c>
      <c r="G36" s="161" t="s">
        <v>854</v>
      </c>
      <c r="H36" s="282">
        <f t="shared" si="35"/>
        <v>6.6726192703961355E-3</v>
      </c>
      <c r="I36" s="282" t="str">
        <f>A36&amp;"-"&amp;TEXT(MCP!$D$1,"00")</f>
        <v>4.1034.1-03</v>
      </c>
      <c r="J36" s="282">
        <f>IFERROR(VLOOKUP(I36,MCP!#REF!,10,FALSE),0)</f>
        <v>0</v>
      </c>
      <c r="K36" s="282">
        <f>IFERROR(VLOOKUP(I36,MCP!#REF!,19,FALSE),0)</f>
        <v>0</v>
      </c>
      <c r="L36" s="161">
        <v>34</v>
      </c>
      <c r="M36" s="161">
        <v>9.0197986451588767E-3</v>
      </c>
      <c r="N36" s="282" t="e">
        <f>IF($A36="","",VLOOKUP(LEFT($A36,7)&amp;"1-00",MCP!#REF!,N$1,FALSE))</f>
        <v>#REF!</v>
      </c>
      <c r="O36" s="282" t="e">
        <f>IF($A36="","",VLOOKUP(LEFT($A36,7)&amp;"1-00",MCP!#REF!,O$1,FALSE))</f>
        <v>#REF!</v>
      </c>
      <c r="P36" s="282" t="e">
        <f>IF($A36="","",VLOOKUP(LEFT($A36,7)&amp;"1-00",MCP!#REF!,P$1,FALSE))</f>
        <v>#REF!</v>
      </c>
      <c r="Q36" s="282" t="e">
        <f t="shared" si="36"/>
        <v>#REF!</v>
      </c>
      <c r="R36" s="282" t="e">
        <f t="shared" si="37"/>
        <v>#REF!</v>
      </c>
      <c r="S36" s="282" t="e">
        <f t="shared" si="38"/>
        <v>#REF!</v>
      </c>
      <c r="T36" s="282" t="e">
        <f>VLOOKUP(LEFT($A36,7)&amp;"1-00",MCP!#REF!,T$1,FALSE)</f>
        <v>#REF!</v>
      </c>
      <c r="U36" s="282" t="str">
        <f t="shared" si="39"/>
        <v/>
      </c>
      <c r="V36" s="282" t="str">
        <f t="shared" si="40"/>
        <v/>
      </c>
      <c r="W36" s="284" t="str">
        <f t="shared" si="41"/>
        <v/>
      </c>
      <c r="X36" s="161">
        <v>-0.28770000000000001</v>
      </c>
      <c r="Y36" s="266">
        <v>0.64780000000000004</v>
      </c>
      <c r="Z36" s="284" t="str">
        <f t="shared" si="42"/>
        <v/>
      </c>
      <c r="AA36" s="282" t="str">
        <f t="shared" si="43"/>
        <v/>
      </c>
      <c r="AB36" s="282" t="str">
        <f t="shared" si="44"/>
        <v/>
      </c>
      <c r="AC36" s="282" t="str">
        <f t="shared" si="45"/>
        <v/>
      </c>
      <c r="AD36" s="282" t="str">
        <f t="shared" si="46"/>
        <v/>
      </c>
      <c r="AE36" s="282" t="str">
        <f t="shared" si="47"/>
        <v/>
      </c>
      <c r="AF36" s="282" t="str">
        <f t="shared" si="48"/>
        <v/>
      </c>
      <c r="AG36" s="282" t="str">
        <f t="shared" si="49"/>
        <v/>
      </c>
      <c r="AH36" s="282" t="str">
        <f t="shared" si="50"/>
        <v/>
      </c>
      <c r="AI36" s="282" t="str">
        <f t="shared" si="51"/>
        <v/>
      </c>
      <c r="AJ36" s="282" t="str">
        <f>IF(U36="","",VLOOKUP(LEFT(I36,6)&amp;".1-00",MCP!$AK$9:$AL$464,21,FALSE))</f>
        <v/>
      </c>
      <c r="AK36" s="283" t="str">
        <f t="shared" si="52"/>
        <v/>
      </c>
      <c r="AL36" s="284" t="str">
        <f t="shared" si="53"/>
        <v/>
      </c>
      <c r="AM36" s="285" t="str">
        <f t="shared" si="54"/>
        <v/>
      </c>
      <c r="AN36" s="282">
        <f t="shared" si="55"/>
        <v>0</v>
      </c>
      <c r="AO36" s="282">
        <f t="shared" si="56"/>
        <v>0</v>
      </c>
      <c r="AP36" s="282">
        <f t="shared" si="57"/>
        <v>0</v>
      </c>
      <c r="AQ36" s="282" t="e">
        <f>VLOOKUP(LEFT($A36,7)&amp;"1-00",MCP!#REF!,30,FALSE)</f>
        <v>#REF!</v>
      </c>
      <c r="AR36" s="282" t="e">
        <f>VLOOKUP(LEFT($A36,7)&amp;"1-00",MCP!#REF!,31,FALSE)</f>
        <v>#REF!</v>
      </c>
      <c r="AS36" s="282" t="e">
        <f>VLOOKUP($A36&amp;"-"&amp;$B36,MCP!#REF!,12,FALSE)</f>
        <v>#REF!</v>
      </c>
      <c r="AT36" s="282" t="str">
        <f t="shared" si="58"/>
        <v/>
      </c>
      <c r="AU36" s="282" t="str">
        <f t="shared" si="59"/>
        <v/>
      </c>
      <c r="AV36" s="282" t="str">
        <f t="shared" si="60"/>
        <v/>
      </c>
      <c r="AW36" s="282" t="str">
        <f>IF($U36="","",VLOOKUP(LEFT($A36,7)&amp;"1-00",MCP!#REF!,24,FALSE))</f>
        <v/>
      </c>
      <c r="AX36" s="282">
        <v>-34101.112720490986</v>
      </c>
      <c r="AY36" s="282">
        <v>-1011.1147520167029</v>
      </c>
      <c r="BF36" s="174" t="str">
        <f t="shared" si="30"/>
        <v/>
      </c>
    </row>
    <row r="37" spans="1:58" x14ac:dyDescent="0.2">
      <c r="A37" s="282" t="str">
        <f t="shared" si="31"/>
        <v>3.1035.1</v>
      </c>
      <c r="B37" s="282" t="str">
        <f t="shared" si="32"/>
        <v>03</v>
      </c>
      <c r="C37" s="282" t="str">
        <f t="shared" si="33"/>
        <v>3.1035.1.03</v>
      </c>
      <c r="D37" s="161">
        <v>5.5233999999999996</v>
      </c>
      <c r="E37" s="161">
        <v>5.7299999999999997E-2</v>
      </c>
      <c r="F37" s="282">
        <f t="shared" si="34"/>
        <v>1.9885999999999999</v>
      </c>
      <c r="G37" s="161" t="s">
        <v>842</v>
      </c>
      <c r="H37" s="282">
        <f t="shared" si="35"/>
        <v>3.5441161007237591E-2</v>
      </c>
      <c r="I37" s="282" t="str">
        <f>A37&amp;"-"&amp;TEXT(MCP!$D$1,"00")</f>
        <v>3.1035.1-03</v>
      </c>
      <c r="J37" s="282">
        <f>IFERROR(VLOOKUP(I37,MCP!#REF!,10,FALSE),0)</f>
        <v>0</v>
      </c>
      <c r="K37" s="282">
        <f>IFERROR(VLOOKUP(I37,MCP!#REF!,19,FALSE),0)</f>
        <v>0</v>
      </c>
      <c r="L37" s="161">
        <v>35</v>
      </c>
      <c r="M37" s="161">
        <v>3.9723827702419716E-2</v>
      </c>
      <c r="N37" s="282" t="e">
        <f>IF($A37="","",VLOOKUP(LEFT($A37,7)&amp;"1-00",MCP!#REF!,N$1,FALSE))</f>
        <v>#REF!</v>
      </c>
      <c r="O37" s="282" t="e">
        <f>IF($A37="","",VLOOKUP(LEFT($A37,7)&amp;"1-00",MCP!#REF!,O$1,FALSE))</f>
        <v>#REF!</v>
      </c>
      <c r="P37" s="282" t="e">
        <f>IF($A37="","",VLOOKUP(LEFT($A37,7)&amp;"1-00",MCP!#REF!,P$1,FALSE))</f>
        <v>#REF!</v>
      </c>
      <c r="Q37" s="282" t="e">
        <f t="shared" si="36"/>
        <v>#REF!</v>
      </c>
      <c r="R37" s="282" t="e">
        <f t="shared" si="37"/>
        <v>#REF!</v>
      </c>
      <c r="S37" s="282" t="e">
        <f t="shared" si="38"/>
        <v>#REF!</v>
      </c>
      <c r="T37" s="282" t="e">
        <f>VLOOKUP(LEFT($A37,7)&amp;"1-00",MCP!#REF!,T$1,FALSE)</f>
        <v>#REF!</v>
      </c>
      <c r="U37" s="282" t="str">
        <f t="shared" si="39"/>
        <v/>
      </c>
      <c r="V37" s="282" t="str">
        <f t="shared" si="40"/>
        <v/>
      </c>
      <c r="W37" s="284" t="str">
        <f t="shared" si="41"/>
        <v/>
      </c>
      <c r="X37" s="161">
        <v>-4.0000000000000002E-4</v>
      </c>
      <c r="Y37" s="266">
        <v>1.2589999999999999</v>
      </c>
      <c r="Z37" s="284" t="str">
        <f t="shared" si="42"/>
        <v/>
      </c>
      <c r="AA37" s="282" t="str">
        <f t="shared" si="43"/>
        <v/>
      </c>
      <c r="AB37" s="282" t="str">
        <f t="shared" si="44"/>
        <v/>
      </c>
      <c r="AC37" s="282" t="str">
        <f t="shared" si="45"/>
        <v/>
      </c>
      <c r="AD37" s="282" t="str">
        <f t="shared" si="46"/>
        <v/>
      </c>
      <c r="AE37" s="282" t="str">
        <f t="shared" si="47"/>
        <v/>
      </c>
      <c r="AF37" s="282" t="str">
        <f t="shared" si="48"/>
        <v/>
      </c>
      <c r="AG37" s="282" t="str">
        <f t="shared" si="49"/>
        <v/>
      </c>
      <c r="AH37" s="282" t="str">
        <f t="shared" si="50"/>
        <v/>
      </c>
      <c r="AI37" s="282" t="str">
        <f t="shared" si="51"/>
        <v/>
      </c>
      <c r="AJ37" s="282" t="str">
        <f>IF(U37="","",VLOOKUP(LEFT(I37,6)&amp;".1-00",MCP!$AK$9:$AL$464,21,FALSE))</f>
        <v/>
      </c>
      <c r="AK37" s="283" t="str">
        <f t="shared" si="52"/>
        <v/>
      </c>
      <c r="AL37" s="284" t="str">
        <f t="shared" si="53"/>
        <v/>
      </c>
      <c r="AM37" s="285" t="str">
        <f t="shared" si="54"/>
        <v/>
      </c>
      <c r="AN37" s="282">
        <f t="shared" si="55"/>
        <v>0</v>
      </c>
      <c r="AO37" s="282">
        <f t="shared" si="56"/>
        <v>0</v>
      </c>
      <c r="AP37" s="282">
        <f t="shared" si="57"/>
        <v>0</v>
      </c>
      <c r="AQ37" s="282" t="e">
        <f>VLOOKUP(LEFT($A37,7)&amp;"1-00",MCP!#REF!,30,FALSE)</f>
        <v>#REF!</v>
      </c>
      <c r="AR37" s="282" t="e">
        <f>VLOOKUP(LEFT($A37,7)&amp;"1-00",MCP!#REF!,31,FALSE)</f>
        <v>#REF!</v>
      </c>
      <c r="AS37" s="282" t="e">
        <f>VLOOKUP($A37&amp;"-"&amp;$B37,MCP!#REF!,12,FALSE)</f>
        <v>#REF!</v>
      </c>
      <c r="AT37" s="282" t="str">
        <f t="shared" si="58"/>
        <v/>
      </c>
      <c r="AU37" s="282" t="str">
        <f t="shared" si="59"/>
        <v/>
      </c>
      <c r="AV37" s="282" t="str">
        <f t="shared" si="60"/>
        <v/>
      </c>
      <c r="AW37" s="282" t="str">
        <f>IF($U37="","",VLOOKUP(LEFT($A37,7)&amp;"1-00",MCP!#REF!,24,FALSE))</f>
        <v/>
      </c>
      <c r="AX37" s="282">
        <v>-125101.00881916004</v>
      </c>
      <c r="AY37" s="282">
        <v>-3604.7441683296761</v>
      </c>
      <c r="BF37" s="174" t="str">
        <f t="shared" si="30"/>
        <v/>
      </c>
    </row>
    <row r="38" spans="1:58" x14ac:dyDescent="0.2">
      <c r="A38" s="282" t="str">
        <f t="shared" si="31"/>
        <v>6.1036.1</v>
      </c>
      <c r="B38" s="282" t="str">
        <f t="shared" si="32"/>
        <v>03</v>
      </c>
      <c r="C38" s="282" t="str">
        <f t="shared" si="33"/>
        <v>6.1036.1.03</v>
      </c>
      <c r="D38" s="161">
        <v>5.5486000000000004</v>
      </c>
      <c r="E38" s="161">
        <v>7.6E-3</v>
      </c>
      <c r="F38" s="282">
        <f t="shared" si="34"/>
        <v>0.26500000000000001</v>
      </c>
      <c r="G38" s="161" t="s">
        <v>888</v>
      </c>
      <c r="H38" s="282">
        <f t="shared" si="35"/>
        <v>4.7228742164929912E-3</v>
      </c>
      <c r="I38" s="282" t="str">
        <f>A38&amp;"-"&amp;TEXT(MCP!$D$1,"00")</f>
        <v>6.1036.1-03</v>
      </c>
      <c r="J38" s="282">
        <f>IFERROR(VLOOKUP(I38,MCP!#REF!,10,FALSE),0)</f>
        <v>0</v>
      </c>
      <c r="K38" s="282">
        <f>IFERROR(VLOOKUP(I38,MCP!#REF!,19,FALSE),0)</f>
        <v>0</v>
      </c>
      <c r="L38" s="161">
        <v>36</v>
      </c>
      <c r="M38" s="161">
        <v>6.6512326701705059E-3</v>
      </c>
      <c r="N38" s="282" t="e">
        <f>IF($A38="","",VLOOKUP(LEFT($A38,7)&amp;"1-00",MCP!#REF!,N$1,FALSE))</f>
        <v>#REF!</v>
      </c>
      <c r="O38" s="282" t="e">
        <f>IF($A38="","",VLOOKUP(LEFT($A38,7)&amp;"1-00",MCP!#REF!,O$1,FALSE))</f>
        <v>#REF!</v>
      </c>
      <c r="P38" s="282" t="e">
        <f>IF($A38="","",VLOOKUP(LEFT($A38,7)&amp;"1-00",MCP!#REF!,P$1,FALSE))</f>
        <v>#REF!</v>
      </c>
      <c r="Q38" s="282" t="e">
        <f t="shared" si="36"/>
        <v>#REF!</v>
      </c>
      <c r="R38" s="282" t="e">
        <f t="shared" si="37"/>
        <v>#REF!</v>
      </c>
      <c r="S38" s="282" t="e">
        <f t="shared" si="38"/>
        <v>#REF!</v>
      </c>
      <c r="T38" s="282" t="e">
        <f>VLOOKUP(LEFT($A38,7)&amp;"1-00",MCP!#REF!,T$1,FALSE)</f>
        <v>#REF!</v>
      </c>
      <c r="U38" s="282" t="str">
        <f t="shared" si="39"/>
        <v/>
      </c>
      <c r="V38" s="282" t="str">
        <f t="shared" si="40"/>
        <v/>
      </c>
      <c r="W38" s="284" t="str">
        <f t="shared" si="41"/>
        <v/>
      </c>
      <c r="X38" s="161">
        <v>-0.21640000000000001</v>
      </c>
      <c r="Y38" s="284">
        <v>0.55259999999999998</v>
      </c>
      <c r="Z38" s="284" t="str">
        <f t="shared" si="42"/>
        <v/>
      </c>
      <c r="AA38" s="282" t="str">
        <f t="shared" si="43"/>
        <v/>
      </c>
      <c r="AB38" s="282" t="str">
        <f t="shared" si="44"/>
        <v/>
      </c>
      <c r="AC38" s="282" t="str">
        <f t="shared" si="45"/>
        <v/>
      </c>
      <c r="AD38" s="282" t="str">
        <f t="shared" si="46"/>
        <v/>
      </c>
      <c r="AE38" s="282" t="str">
        <f t="shared" si="47"/>
        <v/>
      </c>
      <c r="AF38" s="282" t="str">
        <f t="shared" si="48"/>
        <v/>
      </c>
      <c r="AG38" s="282" t="str">
        <f t="shared" si="49"/>
        <v/>
      </c>
      <c r="AH38" s="282" t="str">
        <f t="shared" si="50"/>
        <v/>
      </c>
      <c r="AI38" s="282" t="str">
        <f t="shared" si="51"/>
        <v/>
      </c>
      <c r="AJ38" s="282" t="str">
        <f>IF(U38="","",VLOOKUP(LEFT(I38,6)&amp;".1-00",MCP!$AK$9:$AL$464,21,FALSE))</f>
        <v/>
      </c>
      <c r="AK38" s="283" t="str">
        <f t="shared" si="52"/>
        <v/>
      </c>
      <c r="AL38" s="284" t="str">
        <f t="shared" si="53"/>
        <v/>
      </c>
      <c r="AM38" s="285" t="str">
        <f t="shared" si="54"/>
        <v/>
      </c>
      <c r="AN38" s="282">
        <f t="shared" si="55"/>
        <v>0</v>
      </c>
      <c r="AO38" s="282">
        <f t="shared" si="56"/>
        <v>0</v>
      </c>
      <c r="AP38" s="282">
        <f t="shared" si="57"/>
        <v>0</v>
      </c>
      <c r="AQ38" s="282" t="e">
        <f>VLOOKUP(LEFT($A38,7)&amp;"1-00",MCP!#REF!,30,FALSE)</f>
        <v>#REF!</v>
      </c>
      <c r="AR38" s="282" t="e">
        <f>VLOOKUP(LEFT($A38,7)&amp;"1-00",MCP!#REF!,31,FALSE)</f>
        <v>#REF!</v>
      </c>
      <c r="AS38" s="282" t="e">
        <f>VLOOKUP($A38&amp;"-"&amp;$B38,MCP!#REF!,12,FALSE)</f>
        <v>#REF!</v>
      </c>
      <c r="AT38" s="282" t="str">
        <f t="shared" si="58"/>
        <v/>
      </c>
      <c r="AU38" s="282" t="str">
        <f t="shared" si="59"/>
        <v/>
      </c>
      <c r="AV38" s="282" t="str">
        <f t="shared" si="60"/>
        <v/>
      </c>
      <c r="AW38" s="282" t="str">
        <f>IF($U38="","",VLOOKUP(LEFT($A38,7)&amp;"1-00",MCP!#REF!,24,FALSE))</f>
        <v/>
      </c>
      <c r="AX38" s="282">
        <v>-26707.697125089027</v>
      </c>
      <c r="AY38" s="282">
        <v>-766.07829291336998</v>
      </c>
      <c r="BF38" s="174" t="str">
        <f t="shared" si="30"/>
        <v/>
      </c>
    </row>
    <row r="39" spans="1:58" x14ac:dyDescent="0.2">
      <c r="A39" s="282" t="str">
        <f t="shared" si="31"/>
        <v>5.1037.1</v>
      </c>
      <c r="B39" s="282" t="str">
        <f t="shared" si="32"/>
        <v>03</v>
      </c>
      <c r="C39" s="282" t="str">
        <f t="shared" si="33"/>
        <v>5.1037.1.03</v>
      </c>
      <c r="D39" s="161">
        <v>5.6692</v>
      </c>
      <c r="E39" s="161">
        <v>4.7399999999999998E-2</v>
      </c>
      <c r="F39" s="282">
        <f t="shared" si="34"/>
        <v>1.6883999999999999</v>
      </c>
      <c r="G39" s="161" t="s">
        <v>876</v>
      </c>
      <c r="H39" s="282">
        <f t="shared" si="35"/>
        <v>3.0090946517459492E-2</v>
      </c>
      <c r="I39" s="282" t="str">
        <f>A39&amp;"-"&amp;TEXT(MCP!$D$1,"00")</f>
        <v>5.1037.1-03</v>
      </c>
      <c r="J39" s="282">
        <f>IFERROR(VLOOKUP(I39,MCP!#REF!,10,FALSE),0)</f>
        <v>0</v>
      </c>
      <c r="K39" s="282">
        <f>IFERROR(VLOOKUP(I39,MCP!#REF!,19,FALSE),0)</f>
        <v>0</v>
      </c>
      <c r="L39" s="161">
        <v>37</v>
      </c>
      <c r="M39" s="161">
        <v>3.3977961108467486E-2</v>
      </c>
      <c r="N39" s="282" t="e">
        <f>IF($A39="","",VLOOKUP(LEFT($A39,7)&amp;"1-00",MCP!#REF!,N$1,FALSE))</f>
        <v>#REF!</v>
      </c>
      <c r="O39" s="282" t="e">
        <f>IF($A39="","",VLOOKUP(LEFT($A39,7)&amp;"1-00",MCP!#REF!,O$1,FALSE))</f>
        <v>#REF!</v>
      </c>
      <c r="P39" s="282" t="e">
        <f>IF($A39="","",VLOOKUP(LEFT($A39,7)&amp;"1-00",MCP!#REF!,P$1,FALSE))</f>
        <v>#REF!</v>
      </c>
      <c r="Q39" s="282" t="e">
        <f t="shared" si="36"/>
        <v>#REF!</v>
      </c>
      <c r="R39" s="282" t="e">
        <f t="shared" si="37"/>
        <v>#REF!</v>
      </c>
      <c r="S39" s="282" t="e">
        <f t="shared" si="38"/>
        <v>#REF!</v>
      </c>
      <c r="T39" s="282" t="e">
        <f>VLOOKUP(LEFT($A39,7)&amp;"1-00",MCP!#REF!,T$1,FALSE)</f>
        <v>#REF!</v>
      </c>
      <c r="U39" s="282" t="str">
        <f t="shared" si="39"/>
        <v/>
      </c>
      <c r="V39" s="282" t="str">
        <f t="shared" si="40"/>
        <v/>
      </c>
      <c r="W39" s="284" t="str">
        <f t="shared" si="41"/>
        <v/>
      </c>
      <c r="X39" s="161">
        <v>7.9100000000000004E-2</v>
      </c>
      <c r="Y39" s="284">
        <v>1.1962999999999999</v>
      </c>
      <c r="Z39" s="284" t="str">
        <f t="shared" si="42"/>
        <v/>
      </c>
      <c r="AA39" s="282" t="str">
        <f t="shared" si="43"/>
        <v/>
      </c>
      <c r="AB39" s="282" t="str">
        <f t="shared" si="44"/>
        <v/>
      </c>
      <c r="AC39" s="282" t="str">
        <f t="shared" si="45"/>
        <v/>
      </c>
      <c r="AD39" s="282" t="str">
        <f t="shared" si="46"/>
        <v/>
      </c>
      <c r="AE39" s="282" t="str">
        <f t="shared" si="47"/>
        <v/>
      </c>
      <c r="AF39" s="282" t="str">
        <f t="shared" si="48"/>
        <v/>
      </c>
      <c r="AG39" s="282" t="str">
        <f t="shared" si="49"/>
        <v/>
      </c>
      <c r="AH39" s="282" t="str">
        <f t="shared" si="50"/>
        <v/>
      </c>
      <c r="AI39" s="282" t="str">
        <f t="shared" si="51"/>
        <v/>
      </c>
      <c r="AJ39" s="282" t="str">
        <f>IF(U39="","",VLOOKUP(LEFT(I39,6)&amp;".1-00",MCP!$AK$9:$AL$464,21,FALSE))</f>
        <v/>
      </c>
      <c r="AK39" s="283" t="str">
        <f t="shared" si="52"/>
        <v/>
      </c>
      <c r="AL39" s="284" t="str">
        <f t="shared" si="53"/>
        <v/>
      </c>
      <c r="AM39" s="285" t="str">
        <f t="shared" si="54"/>
        <v/>
      </c>
      <c r="AN39" s="282">
        <f t="shared" si="55"/>
        <v>0</v>
      </c>
      <c r="AO39" s="282">
        <f t="shared" si="56"/>
        <v>0</v>
      </c>
      <c r="AP39" s="282">
        <f t="shared" si="57"/>
        <v>0</v>
      </c>
      <c r="AQ39" s="282" t="e">
        <f>VLOOKUP(LEFT($A39,7)&amp;"1-00",MCP!#REF!,30,FALSE)</f>
        <v>#REF!</v>
      </c>
      <c r="AR39" s="282" t="e">
        <f>VLOOKUP(LEFT($A39,7)&amp;"1-00",MCP!#REF!,31,FALSE)</f>
        <v>#REF!</v>
      </c>
      <c r="AS39" s="282" t="e">
        <f>VLOOKUP($A39&amp;"-"&amp;$B39,MCP!#REF!,12,FALSE)</f>
        <v>#REF!</v>
      </c>
      <c r="AT39" s="282" t="str">
        <f t="shared" si="58"/>
        <v/>
      </c>
      <c r="AU39" s="282" t="str">
        <f t="shared" si="59"/>
        <v/>
      </c>
      <c r="AV39" s="282" t="str">
        <f t="shared" si="60"/>
        <v/>
      </c>
      <c r="AW39" s="282" t="str">
        <f>IF($U39="","",VLOOKUP(LEFT($A39,7)&amp;"1-00",MCP!#REF!,24,FALSE))</f>
        <v/>
      </c>
      <c r="AX39" s="282">
        <v>-108763.21215090442</v>
      </c>
      <c r="AY39" s="282">
        <v>-3053.3766387442583</v>
      </c>
      <c r="BF39" s="174" t="str">
        <f t="shared" si="30"/>
        <v/>
      </c>
    </row>
    <row r="40" spans="1:58" x14ac:dyDescent="0.2">
      <c r="A40" s="282" t="str">
        <f t="shared" si="31"/>
        <v>2.1038.1</v>
      </c>
      <c r="B40" s="282" t="str">
        <f t="shared" si="32"/>
        <v>03</v>
      </c>
      <c r="C40" s="282" t="str">
        <f t="shared" si="33"/>
        <v>2.1038.1.03</v>
      </c>
      <c r="D40" s="161">
        <v>5.702</v>
      </c>
      <c r="E40" s="161">
        <v>8.0000000000000002E-3</v>
      </c>
      <c r="F40" s="282">
        <f t="shared" si="34"/>
        <v>0.28660000000000002</v>
      </c>
      <c r="G40" s="161" t="s">
        <v>824</v>
      </c>
      <c r="H40" s="282">
        <f t="shared" si="35"/>
        <v>5.1078330205543074E-3</v>
      </c>
      <c r="I40" s="282" t="str">
        <f>A40&amp;"-"&amp;TEXT(MCP!$D$1,"00")</f>
        <v>2.1038.1-03</v>
      </c>
      <c r="J40" s="282">
        <f>IFERROR(VLOOKUP(I40,MCP!#REF!,10,FALSE),0)</f>
        <v>0</v>
      </c>
      <c r="K40" s="282">
        <f>IFERROR(VLOOKUP(I40,MCP!#REF!,19,FALSE),0)</f>
        <v>0</v>
      </c>
      <c r="L40" s="161">
        <v>38</v>
      </c>
      <c r="M40" s="161">
        <v>7.0896579747958925E-3</v>
      </c>
      <c r="N40" s="282" t="e">
        <f>IF($A40="","",VLOOKUP(LEFT($A40,7)&amp;"1-00",MCP!#REF!,N$1,FALSE))</f>
        <v>#REF!</v>
      </c>
      <c r="O40" s="282" t="e">
        <f>IF($A40="","",VLOOKUP(LEFT($A40,7)&amp;"1-00",MCP!#REF!,O$1,FALSE))</f>
        <v>#REF!</v>
      </c>
      <c r="P40" s="282" t="e">
        <f>IF($A40="","",VLOOKUP(LEFT($A40,7)&amp;"1-00",MCP!#REF!,P$1,FALSE))</f>
        <v>#REF!</v>
      </c>
      <c r="Q40" s="282" t="e">
        <f t="shared" si="36"/>
        <v>#REF!</v>
      </c>
      <c r="R40" s="282" t="e">
        <f t="shared" si="37"/>
        <v>#REF!</v>
      </c>
      <c r="S40" s="282" t="e">
        <f t="shared" si="38"/>
        <v>#REF!</v>
      </c>
      <c r="T40" s="282" t="e">
        <f>VLOOKUP(LEFT($A40,7)&amp;"1-00",MCP!#REF!,T$1,FALSE)</f>
        <v>#REF!</v>
      </c>
      <c r="U40" s="282" t="str">
        <f t="shared" si="39"/>
        <v/>
      </c>
      <c r="V40" s="282" t="str">
        <f t="shared" si="40"/>
        <v/>
      </c>
      <c r="W40" s="284" t="str">
        <f t="shared" si="41"/>
        <v/>
      </c>
      <c r="X40" s="161">
        <v>0.34970000000000001</v>
      </c>
      <c r="Y40" s="284">
        <v>0.57579999999999998</v>
      </c>
      <c r="Z40" s="284" t="str">
        <f t="shared" si="42"/>
        <v/>
      </c>
      <c r="AA40" s="282" t="str">
        <f t="shared" si="43"/>
        <v/>
      </c>
      <c r="AB40" s="282" t="str">
        <f t="shared" si="44"/>
        <v/>
      </c>
      <c r="AC40" s="282" t="str">
        <f t="shared" si="45"/>
        <v/>
      </c>
      <c r="AD40" s="282" t="str">
        <f t="shared" si="46"/>
        <v/>
      </c>
      <c r="AE40" s="282" t="str">
        <f t="shared" si="47"/>
        <v/>
      </c>
      <c r="AF40" s="282" t="str">
        <f t="shared" si="48"/>
        <v/>
      </c>
      <c r="AG40" s="282" t="str">
        <f t="shared" si="49"/>
        <v/>
      </c>
      <c r="AH40" s="282" t="str">
        <f t="shared" si="50"/>
        <v/>
      </c>
      <c r="AI40" s="282" t="str">
        <f t="shared" si="51"/>
        <v/>
      </c>
      <c r="AJ40" s="282" t="str">
        <f>IF(U40="","",VLOOKUP(LEFT(I40,6)&amp;".1-00",MCP!$AK$9:$AL$464,21,FALSE))</f>
        <v/>
      </c>
      <c r="AK40" s="283" t="str">
        <f t="shared" si="52"/>
        <v/>
      </c>
      <c r="AL40" s="284" t="str">
        <f t="shared" si="53"/>
        <v/>
      </c>
      <c r="AM40" s="285" t="str">
        <f t="shared" si="54"/>
        <v/>
      </c>
      <c r="AN40" s="282">
        <f t="shared" si="55"/>
        <v>0</v>
      </c>
      <c r="AO40" s="282">
        <f t="shared" si="56"/>
        <v>0</v>
      </c>
      <c r="AP40" s="282">
        <f t="shared" si="57"/>
        <v>0</v>
      </c>
      <c r="AQ40" s="282" t="e">
        <f>VLOOKUP(LEFT($A40,7)&amp;"1-00",MCP!#REF!,30,FALSE)</f>
        <v>#REF!</v>
      </c>
      <c r="AR40" s="282" t="e">
        <f>VLOOKUP(LEFT($A40,7)&amp;"1-00",MCP!#REF!,31,FALSE)</f>
        <v>#REF!</v>
      </c>
      <c r="AS40" s="282" t="e">
        <f>VLOOKUP($A40&amp;"-"&amp;$B40,MCP!#REF!,12,FALSE)</f>
        <v>#REF!</v>
      </c>
      <c r="AT40" s="282" t="str">
        <f t="shared" si="58"/>
        <v/>
      </c>
      <c r="AU40" s="282" t="str">
        <f t="shared" si="59"/>
        <v/>
      </c>
      <c r="AV40" s="282" t="str">
        <f t="shared" si="60"/>
        <v/>
      </c>
      <c r="AW40" s="282" t="str">
        <f>IF($U40="","",VLOOKUP(LEFT($A40,7)&amp;"1-00",MCP!#REF!,24,FALSE))</f>
        <v/>
      </c>
      <c r="AX40" s="282">
        <v>-28423.564442241579</v>
      </c>
      <c r="AY40" s="282">
        <v>-793.36211527074408</v>
      </c>
      <c r="BF40" s="174" t="str">
        <f t="shared" si="30"/>
        <v/>
      </c>
    </row>
    <row r="41" spans="1:58" x14ac:dyDescent="0.2">
      <c r="A41" s="282" t="str">
        <f t="shared" si="31"/>
        <v>1.1039.1</v>
      </c>
      <c r="B41" s="282" t="str">
        <f t="shared" si="32"/>
        <v>03</v>
      </c>
      <c r="C41" s="282" t="str">
        <f t="shared" si="33"/>
        <v>1.1039.1.03</v>
      </c>
      <c r="D41" s="161">
        <v>5.7907999999999999</v>
      </c>
      <c r="E41" s="161">
        <v>3.7400000000000003E-2</v>
      </c>
      <c r="F41" s="282">
        <f t="shared" si="34"/>
        <v>1.3608</v>
      </c>
      <c r="G41" s="161" t="s">
        <v>812</v>
      </c>
      <c r="H41" s="282">
        <f t="shared" si="35"/>
        <v>2.4252404655862876E-2</v>
      </c>
      <c r="I41" s="282" t="str">
        <f>A41&amp;"-"&amp;TEXT(MCP!$D$1,"00")</f>
        <v>1.1039.1-03</v>
      </c>
      <c r="J41" s="282">
        <f>IFERROR(VLOOKUP(I41,MCP!#REF!,10,FALSE),0)</f>
        <v>0</v>
      </c>
      <c r="K41" s="282">
        <f>IFERROR(VLOOKUP(I41,MCP!#REF!,19,FALSE),0)</f>
        <v>0</v>
      </c>
      <c r="L41" s="161">
        <v>39</v>
      </c>
      <c r="M41" s="161">
        <v>2.7638616358254074E-2</v>
      </c>
      <c r="N41" s="282" t="e">
        <f>IF($A41="","",VLOOKUP(LEFT($A41,7)&amp;"1-00",MCP!#REF!,N$1,FALSE))</f>
        <v>#REF!</v>
      </c>
      <c r="O41" s="282" t="e">
        <f>IF($A41="","",VLOOKUP(LEFT($A41,7)&amp;"1-00",MCP!#REF!,O$1,FALSE))</f>
        <v>#REF!</v>
      </c>
      <c r="P41" s="282" t="e">
        <f>IF($A41="","",VLOOKUP(LEFT($A41,7)&amp;"1-00",MCP!#REF!,P$1,FALSE))</f>
        <v>#REF!</v>
      </c>
      <c r="Q41" s="282" t="e">
        <f t="shared" si="36"/>
        <v>#REF!</v>
      </c>
      <c r="R41" s="282" t="e">
        <f t="shared" si="37"/>
        <v>#REF!</v>
      </c>
      <c r="S41" s="282" t="e">
        <f t="shared" si="38"/>
        <v>#REF!</v>
      </c>
      <c r="T41" s="282" t="e">
        <f>VLOOKUP(LEFT($A41,7)&amp;"1-00",MCP!#REF!,T$1,FALSE)</f>
        <v>#REF!</v>
      </c>
      <c r="U41" s="282" t="str">
        <f t="shared" si="39"/>
        <v/>
      </c>
      <c r="V41" s="282" t="str">
        <f t="shared" si="40"/>
        <v/>
      </c>
      <c r="W41" s="284" t="str">
        <f t="shared" si="41"/>
        <v/>
      </c>
      <c r="X41" s="161">
        <v>0.65029999999999999</v>
      </c>
      <c r="Y41" s="282">
        <v>1.0844</v>
      </c>
      <c r="Z41" s="284" t="str">
        <f t="shared" si="42"/>
        <v/>
      </c>
      <c r="AA41" s="282" t="str">
        <f t="shared" si="43"/>
        <v/>
      </c>
      <c r="AB41" s="282" t="str">
        <f t="shared" si="44"/>
        <v/>
      </c>
      <c r="AC41" s="282" t="str">
        <f t="shared" si="45"/>
        <v/>
      </c>
      <c r="AD41" s="282" t="str">
        <f t="shared" si="46"/>
        <v/>
      </c>
      <c r="AE41" s="282" t="str">
        <f t="shared" si="47"/>
        <v/>
      </c>
      <c r="AF41" s="282" t="str">
        <f t="shared" si="48"/>
        <v/>
      </c>
      <c r="AG41" s="282" t="str">
        <f t="shared" si="49"/>
        <v/>
      </c>
      <c r="AH41" s="282" t="str">
        <f t="shared" si="50"/>
        <v/>
      </c>
      <c r="AI41" s="282" t="str">
        <f t="shared" si="51"/>
        <v/>
      </c>
      <c r="AJ41" s="282" t="str">
        <f>IF(U41="","",VLOOKUP(LEFT(I41,6)&amp;".1-00",MCP!$AK$9:$AL$464,21,FALSE))</f>
        <v/>
      </c>
      <c r="AK41" s="283" t="str">
        <f t="shared" si="52"/>
        <v/>
      </c>
      <c r="AL41" s="284" t="str">
        <f t="shared" si="53"/>
        <v/>
      </c>
      <c r="AM41" s="285" t="str">
        <f t="shared" si="54"/>
        <v/>
      </c>
      <c r="AN41" s="282">
        <f t="shared" si="55"/>
        <v>0</v>
      </c>
      <c r="AO41" s="282">
        <f t="shared" si="56"/>
        <v>0</v>
      </c>
      <c r="AP41" s="282">
        <f t="shared" si="57"/>
        <v>0</v>
      </c>
      <c r="AQ41" s="282" t="e">
        <f>VLOOKUP(LEFT($A41,7)&amp;"1-00",MCP!#REF!,30,FALSE)</f>
        <v>#REF!</v>
      </c>
      <c r="AR41" s="282" t="e">
        <f>VLOOKUP(LEFT($A41,7)&amp;"1-00",MCP!#REF!,31,FALSE)</f>
        <v>#REF!</v>
      </c>
      <c r="AS41" s="282" t="e">
        <f>VLOOKUP($A41&amp;"-"&amp;$B41,MCP!#REF!,12,FALSE)</f>
        <v>#REF!</v>
      </c>
      <c r="AT41" s="282" t="str">
        <f t="shared" si="58"/>
        <v/>
      </c>
      <c r="AU41" s="282" t="str">
        <f t="shared" si="59"/>
        <v/>
      </c>
      <c r="AV41" s="282" t="str">
        <f t="shared" si="60"/>
        <v/>
      </c>
      <c r="AW41" s="282" t="str">
        <f>IF($U41="","",VLOOKUP(LEFT($A41,7)&amp;"1-00",MCP!#REF!,24,FALSE))</f>
        <v/>
      </c>
      <c r="AX41" s="282">
        <v>-90513.657678762189</v>
      </c>
      <c r="AY41" s="282">
        <v>-2487.6866817888213</v>
      </c>
      <c r="BF41" s="174" t="str">
        <f t="shared" si="30"/>
        <v/>
      </c>
    </row>
    <row r="42" spans="1:58" x14ac:dyDescent="0.2">
      <c r="A42" s="282" t="str">
        <f t="shared" si="31"/>
        <v>4.1040.1</v>
      </c>
      <c r="B42" s="282" t="str">
        <f t="shared" si="32"/>
        <v>03</v>
      </c>
      <c r="C42" s="282" t="str">
        <f t="shared" si="33"/>
        <v>4.1040.1.03</v>
      </c>
      <c r="D42" s="161">
        <v>5.8281999999999998</v>
      </c>
      <c r="E42" s="161">
        <v>6.6E-3</v>
      </c>
      <c r="F42" s="282">
        <f t="shared" si="34"/>
        <v>0.2417</v>
      </c>
      <c r="G42" s="161" t="s">
        <v>856</v>
      </c>
      <c r="H42" s="282">
        <f t="shared" si="35"/>
        <v>4.307617728778702E-3</v>
      </c>
      <c r="I42" s="282" t="str">
        <f>A42&amp;"-"&amp;TEXT(MCP!$D$1,"00")</f>
        <v>4.1040.1-03</v>
      </c>
      <c r="J42" s="282">
        <f>IFERROR(VLOOKUP(I42,MCP!#REF!,10,FALSE),0)</f>
        <v>0</v>
      </c>
      <c r="K42" s="282">
        <f>IFERROR(VLOOKUP(I42,MCP!#REF!,19,FALSE),0)</f>
        <v>0</v>
      </c>
      <c r="L42" s="161">
        <v>40</v>
      </c>
      <c r="M42" s="161">
        <v>6.0720122473930625E-3</v>
      </c>
      <c r="N42" s="282" t="e">
        <f>IF($A42="","",VLOOKUP(LEFT($A42,7)&amp;"1-00",MCP!#REF!,N$1,FALSE))</f>
        <v>#REF!</v>
      </c>
      <c r="O42" s="282" t="e">
        <f>IF($A42="","",VLOOKUP(LEFT($A42,7)&amp;"1-00",MCP!#REF!,O$1,FALSE))</f>
        <v>#REF!</v>
      </c>
      <c r="P42" s="282" t="e">
        <f>IF($A42="","",VLOOKUP(LEFT($A42,7)&amp;"1-00",MCP!#REF!,P$1,FALSE))</f>
        <v>#REF!</v>
      </c>
      <c r="Q42" s="282" t="e">
        <f t="shared" si="36"/>
        <v>#REF!</v>
      </c>
      <c r="R42" s="282" t="e">
        <f t="shared" si="37"/>
        <v>#REF!</v>
      </c>
      <c r="S42" s="282" t="e">
        <f t="shared" si="38"/>
        <v>#REF!</v>
      </c>
      <c r="T42" s="282" t="e">
        <f>VLOOKUP(LEFT($A42,7)&amp;"1-00",MCP!#REF!,T$1,FALSE)</f>
        <v>#REF!</v>
      </c>
      <c r="U42" s="282" t="str">
        <f t="shared" si="39"/>
        <v/>
      </c>
      <c r="V42" s="282" t="str">
        <f t="shared" si="40"/>
        <v/>
      </c>
      <c r="W42" s="284" t="str">
        <f t="shared" si="41"/>
        <v/>
      </c>
      <c r="X42" s="161">
        <v>0.44600000000000001</v>
      </c>
      <c r="Y42" s="284">
        <v>0.54269999999999996</v>
      </c>
      <c r="Z42" s="284" t="str">
        <f t="shared" si="42"/>
        <v/>
      </c>
      <c r="AA42" s="282" t="str">
        <f t="shared" si="43"/>
        <v/>
      </c>
      <c r="AB42" s="282" t="str">
        <f t="shared" si="44"/>
        <v/>
      </c>
      <c r="AC42" s="282" t="str">
        <f t="shared" si="45"/>
        <v/>
      </c>
      <c r="AD42" s="282" t="str">
        <f t="shared" si="46"/>
        <v/>
      </c>
      <c r="AE42" s="282" t="str">
        <f t="shared" si="47"/>
        <v/>
      </c>
      <c r="AF42" s="282" t="str">
        <f t="shared" si="48"/>
        <v/>
      </c>
      <c r="AG42" s="282" t="str">
        <f t="shared" si="49"/>
        <v/>
      </c>
      <c r="AH42" s="282" t="str">
        <f t="shared" si="50"/>
        <v/>
      </c>
      <c r="AI42" s="282" t="str">
        <f t="shared" si="51"/>
        <v/>
      </c>
      <c r="AJ42" s="282" t="str">
        <f>IF(U42="","",VLOOKUP(LEFT(I42,6)&amp;".1-00",MCP!$AK$9:$AL$464,21,FALSE))</f>
        <v/>
      </c>
      <c r="AK42" s="283" t="str">
        <f t="shared" si="52"/>
        <v/>
      </c>
      <c r="AL42" s="284" t="str">
        <f t="shared" si="53"/>
        <v/>
      </c>
      <c r="AM42" s="285" t="str">
        <f t="shared" si="54"/>
        <v/>
      </c>
      <c r="AN42" s="282">
        <f t="shared" si="55"/>
        <v>0</v>
      </c>
      <c r="AO42" s="282">
        <f t="shared" si="56"/>
        <v>0</v>
      </c>
      <c r="AP42" s="282">
        <f t="shared" si="57"/>
        <v>0</v>
      </c>
      <c r="AQ42" s="282" t="e">
        <f>VLOOKUP(LEFT($A42,7)&amp;"1-00",MCP!#REF!,30,FALSE)</f>
        <v>#REF!</v>
      </c>
      <c r="AR42" s="282" t="e">
        <f>VLOOKUP(LEFT($A42,7)&amp;"1-00",MCP!#REF!,31,FALSE)</f>
        <v>#REF!</v>
      </c>
      <c r="AS42" s="282" t="e">
        <f>VLOOKUP($A42&amp;"-"&amp;$B42,MCP!#REF!,12,FALSE)</f>
        <v>#REF!</v>
      </c>
      <c r="AT42" s="282" t="str">
        <f t="shared" si="58"/>
        <v/>
      </c>
      <c r="AU42" s="282" t="str">
        <f t="shared" si="59"/>
        <v/>
      </c>
      <c r="AV42" s="282" t="str">
        <f t="shared" si="60"/>
        <v/>
      </c>
      <c r="AW42" s="282" t="str">
        <f>IF($U42="","",VLOOKUP(LEFT($A42,7)&amp;"1-00",MCP!#REF!,24,FALSE))</f>
        <v/>
      </c>
      <c r="AX42" s="282">
        <v>-25386.979884762088</v>
      </c>
      <c r="AY42" s="282">
        <v>-693.26092770227615</v>
      </c>
      <c r="BF42" s="174" t="str">
        <f t="shared" si="30"/>
        <v/>
      </c>
    </row>
    <row r="43" spans="1:58" x14ac:dyDescent="0.2">
      <c r="A43" s="282" t="str">
        <f t="shared" si="31"/>
        <v>3.1041.1</v>
      </c>
      <c r="B43" s="282" t="str">
        <f t="shared" si="32"/>
        <v>03</v>
      </c>
      <c r="C43" s="282" t="str">
        <f t="shared" si="33"/>
        <v>3.1041.1.03</v>
      </c>
      <c r="D43" s="161">
        <v>5.8865999999999996</v>
      </c>
      <c r="E43" s="161">
        <v>2.87E-2</v>
      </c>
      <c r="F43" s="282">
        <f t="shared" si="34"/>
        <v>1.0615000000000001</v>
      </c>
      <c r="G43" s="161" t="s">
        <v>844</v>
      </c>
      <c r="H43" s="282">
        <f t="shared" si="35"/>
        <v>1.8918230116254004E-2</v>
      </c>
      <c r="I43" s="282" t="str">
        <f>A43&amp;"-"&amp;TEXT(MCP!$D$1,"00")</f>
        <v>3.1041.1-03</v>
      </c>
      <c r="J43" s="282">
        <f>IFERROR(VLOOKUP(I43,MCP!#REF!,10,FALSE),0)</f>
        <v>0</v>
      </c>
      <c r="K43" s="282">
        <f>IFERROR(VLOOKUP(I43,MCP!#REF!,19,FALSE),0)</f>
        <v>0</v>
      </c>
      <c r="L43" s="161">
        <v>41</v>
      </c>
      <c r="M43" s="161">
        <v>2.209414024975985E-2</v>
      </c>
      <c r="N43" s="282" t="e">
        <f>IF($A43="","",VLOOKUP(LEFT($A43,7)&amp;"1-00",MCP!#REF!,N$1,FALSE))</f>
        <v>#REF!</v>
      </c>
      <c r="O43" s="282" t="e">
        <f>IF($A43="","",VLOOKUP(LEFT($A43,7)&amp;"1-00",MCP!#REF!,O$1,FALSE))</f>
        <v>#REF!</v>
      </c>
      <c r="P43" s="282" t="e">
        <f>IF($A43="","",VLOOKUP(LEFT($A43,7)&amp;"1-00",MCP!#REF!,P$1,FALSE))</f>
        <v>#REF!</v>
      </c>
      <c r="Q43" s="282" t="e">
        <f t="shared" si="36"/>
        <v>#REF!</v>
      </c>
      <c r="R43" s="282" t="e">
        <f t="shared" si="37"/>
        <v>#REF!</v>
      </c>
      <c r="S43" s="282" t="e">
        <f t="shared" si="38"/>
        <v>#REF!</v>
      </c>
      <c r="T43" s="282" t="e">
        <f>VLOOKUP(LEFT($A43,7)&amp;"1-00",MCP!#REF!,T$1,FALSE)</f>
        <v>#REF!</v>
      </c>
      <c r="U43" s="282" t="str">
        <f t="shared" si="39"/>
        <v/>
      </c>
      <c r="V43" s="282" t="str">
        <f t="shared" si="40"/>
        <v/>
      </c>
      <c r="W43" s="284" t="str">
        <f t="shared" si="41"/>
        <v/>
      </c>
      <c r="X43" s="161">
        <v>0.73939999999999995</v>
      </c>
      <c r="Y43" s="266">
        <v>1.0216000000000001</v>
      </c>
      <c r="Z43" s="284" t="str">
        <f t="shared" si="42"/>
        <v/>
      </c>
      <c r="AA43" s="282" t="str">
        <f t="shared" si="43"/>
        <v/>
      </c>
      <c r="AB43" s="282" t="str">
        <f t="shared" si="44"/>
        <v/>
      </c>
      <c r="AC43" s="282" t="str">
        <f t="shared" si="45"/>
        <v/>
      </c>
      <c r="AD43" s="282" t="str">
        <f t="shared" si="46"/>
        <v/>
      </c>
      <c r="AE43" s="282" t="str">
        <f t="shared" si="47"/>
        <v/>
      </c>
      <c r="AF43" s="282" t="str">
        <f t="shared" si="48"/>
        <v/>
      </c>
      <c r="AG43" s="282" t="str">
        <f t="shared" si="49"/>
        <v/>
      </c>
      <c r="AH43" s="282" t="str">
        <f t="shared" si="50"/>
        <v/>
      </c>
      <c r="AI43" s="282" t="str">
        <f t="shared" si="51"/>
        <v/>
      </c>
      <c r="AJ43" s="282" t="str">
        <f>IF(U43="","",VLOOKUP(LEFT(I43,6)&amp;".1-00",MCP!$AK$9:$AL$464,21,FALSE))</f>
        <v/>
      </c>
      <c r="AK43" s="283" t="str">
        <f t="shared" si="52"/>
        <v/>
      </c>
      <c r="AL43" s="284" t="str">
        <f t="shared" si="53"/>
        <v/>
      </c>
      <c r="AM43" s="285" t="str">
        <f t="shared" si="54"/>
        <v/>
      </c>
      <c r="AN43" s="282">
        <f t="shared" si="55"/>
        <v>0</v>
      </c>
      <c r="AO43" s="282">
        <f t="shared" si="56"/>
        <v>0</v>
      </c>
      <c r="AP43" s="282">
        <f t="shared" si="57"/>
        <v>0</v>
      </c>
      <c r="AQ43" s="282" t="e">
        <f>VLOOKUP(LEFT($A43,7)&amp;"1-00",MCP!#REF!,30,FALSE)</f>
        <v>#REF!</v>
      </c>
      <c r="AR43" s="282" t="e">
        <f>VLOOKUP(LEFT($A43,7)&amp;"1-00",MCP!#REF!,31,FALSE)</f>
        <v>#REF!</v>
      </c>
      <c r="AS43" s="282" t="e">
        <f>VLOOKUP($A43&amp;"-"&amp;$B43,MCP!#REF!,12,FALSE)</f>
        <v>#REF!</v>
      </c>
      <c r="AT43" s="282" t="str">
        <f t="shared" si="58"/>
        <v/>
      </c>
      <c r="AU43" s="282" t="str">
        <f t="shared" si="59"/>
        <v/>
      </c>
      <c r="AV43" s="282" t="str">
        <f t="shared" si="60"/>
        <v/>
      </c>
      <c r="AW43" s="282" t="str">
        <f>IF($U43="","",VLOOKUP(LEFT($A43,7)&amp;"1-00",MCP!#REF!,24,FALSE))</f>
        <v/>
      </c>
      <c r="AX43" s="282">
        <v>-73928.901754911218</v>
      </c>
      <c r="AY43" s="282">
        <v>-1998.8023904544607</v>
      </c>
      <c r="BF43" s="174" t="str">
        <f t="shared" si="30"/>
        <v/>
      </c>
    </row>
    <row r="44" spans="1:58" x14ac:dyDescent="0.2">
      <c r="A44" s="282" t="str">
        <f t="shared" si="31"/>
        <v>6.1042.1</v>
      </c>
      <c r="B44" s="282" t="str">
        <f t="shared" si="32"/>
        <v>03</v>
      </c>
      <c r="C44" s="282" t="str">
        <f t="shared" si="33"/>
        <v>6.1042.1.03</v>
      </c>
      <c r="D44" s="161">
        <v>5.9321000000000002</v>
      </c>
      <c r="E44" s="161">
        <v>3.5999999999999999E-3</v>
      </c>
      <c r="F44" s="282">
        <f t="shared" si="34"/>
        <v>0.13420000000000001</v>
      </c>
      <c r="G44" s="161" t="s">
        <v>668</v>
      </c>
      <c r="H44" s="282">
        <f t="shared" si="35"/>
        <v>2.3917347918994696E-3</v>
      </c>
      <c r="I44" s="282" t="str">
        <f>A44&amp;"-"&amp;TEXT(MCP!$D$1,"00")</f>
        <v>6.1042.1-03</v>
      </c>
      <c r="J44" s="282">
        <f>IFERROR(VLOOKUP(I44,MCP!#REF!,10,FALSE),0)</f>
        <v>0</v>
      </c>
      <c r="K44" s="282">
        <f>IFERROR(VLOOKUP(I44,MCP!#REF!,19,FALSE),0)</f>
        <v>0</v>
      </c>
      <c r="L44" s="161">
        <v>42</v>
      </c>
      <c r="M44" s="161">
        <v>3.5893844045346724E-3</v>
      </c>
      <c r="N44" s="282" t="e">
        <f>IF($A44="","",VLOOKUP(LEFT($A44,7)&amp;"1-00",MCP!#REF!,N$1,FALSE))</f>
        <v>#REF!</v>
      </c>
      <c r="O44" s="282" t="e">
        <f>IF($A44="","",VLOOKUP(LEFT($A44,7)&amp;"1-00",MCP!#REF!,O$1,FALSE))</f>
        <v>#REF!</v>
      </c>
      <c r="P44" s="282" t="e">
        <f>IF($A44="","",VLOOKUP(LEFT($A44,7)&amp;"1-00",MCP!#REF!,P$1,FALSE))</f>
        <v>#REF!</v>
      </c>
      <c r="Q44" s="282" t="e">
        <f t="shared" si="36"/>
        <v>#REF!</v>
      </c>
      <c r="R44" s="282" t="e">
        <f t="shared" si="37"/>
        <v>#REF!</v>
      </c>
      <c r="S44" s="282" t="e">
        <f t="shared" si="38"/>
        <v>#REF!</v>
      </c>
      <c r="T44" s="282" t="e">
        <f>VLOOKUP(LEFT($A44,7)&amp;"1-00",MCP!#REF!,T$1,FALSE)</f>
        <v>#REF!</v>
      </c>
      <c r="U44" s="282" t="str">
        <f t="shared" si="39"/>
        <v/>
      </c>
      <c r="V44" s="282" t="str">
        <f t="shared" si="40"/>
        <v/>
      </c>
      <c r="W44" s="284" t="str">
        <f t="shared" si="41"/>
        <v/>
      </c>
      <c r="X44" s="161">
        <v>0.57779999999999998</v>
      </c>
      <c r="Y44" s="282">
        <v>0.41660000000000003</v>
      </c>
      <c r="Z44" s="284" t="str">
        <f t="shared" si="42"/>
        <v/>
      </c>
      <c r="AA44" s="282" t="str">
        <f t="shared" si="43"/>
        <v/>
      </c>
      <c r="AB44" s="282" t="str">
        <f t="shared" si="44"/>
        <v/>
      </c>
      <c r="AC44" s="282" t="str">
        <f t="shared" si="45"/>
        <v/>
      </c>
      <c r="AD44" s="282" t="str">
        <f t="shared" si="46"/>
        <v/>
      </c>
      <c r="AE44" s="282" t="str">
        <f t="shared" si="47"/>
        <v/>
      </c>
      <c r="AF44" s="282" t="str">
        <f t="shared" si="48"/>
        <v/>
      </c>
      <c r="AG44" s="282" t="str">
        <f t="shared" si="49"/>
        <v/>
      </c>
      <c r="AH44" s="282" t="str">
        <f t="shared" si="50"/>
        <v/>
      </c>
      <c r="AI44" s="282" t="str">
        <f t="shared" si="51"/>
        <v/>
      </c>
      <c r="AJ44" s="282" t="str">
        <f>IF(U44="","",VLOOKUP(LEFT(I44,6)&amp;".1-00",MCP!$AK$9:$AL$464,21,FALSE))</f>
        <v/>
      </c>
      <c r="AK44" s="283" t="str">
        <f t="shared" si="52"/>
        <v/>
      </c>
      <c r="AL44" s="284" t="str">
        <f t="shared" si="53"/>
        <v/>
      </c>
      <c r="AM44" s="285" t="str">
        <f t="shared" si="54"/>
        <v/>
      </c>
      <c r="AN44" s="282">
        <f t="shared" si="55"/>
        <v>0</v>
      </c>
      <c r="AO44" s="282">
        <f t="shared" si="56"/>
        <v>0</v>
      </c>
      <c r="AP44" s="282">
        <f t="shared" si="57"/>
        <v>0</v>
      </c>
      <c r="AQ44" s="282" t="e">
        <f>VLOOKUP(LEFT($A44,7)&amp;"1-00",MCP!#REF!,30,FALSE)</f>
        <v>#REF!</v>
      </c>
      <c r="AR44" s="282" t="e">
        <f>VLOOKUP(LEFT($A44,7)&amp;"1-00",MCP!#REF!,31,FALSE)</f>
        <v>#REF!</v>
      </c>
      <c r="AS44" s="282" t="e">
        <f>VLOOKUP($A44&amp;"-"&amp;$B44,MCP!#REF!,12,FALSE)</f>
        <v>#REF!</v>
      </c>
      <c r="AT44" s="282" t="str">
        <f t="shared" si="58"/>
        <v/>
      </c>
      <c r="AU44" s="282" t="str">
        <f t="shared" si="59"/>
        <v/>
      </c>
      <c r="AV44" s="282" t="str">
        <f t="shared" si="60"/>
        <v/>
      </c>
      <c r="AW44" s="282" t="str">
        <f>IF($U44="","",VLOOKUP(LEFT($A44,7)&amp;"1-00",MCP!#REF!,24,FALSE))</f>
        <v/>
      </c>
      <c r="AX44" s="282">
        <v>-16880.026460320631</v>
      </c>
      <c r="AY44" s="282">
        <v>-452.881719910659</v>
      </c>
      <c r="BF44" s="174" t="str">
        <f t="shared" si="30"/>
        <v/>
      </c>
    </row>
    <row r="45" spans="1:58" x14ac:dyDescent="0.2">
      <c r="A45" s="282" t="str">
        <f t="shared" si="31"/>
        <v>5.1043.1</v>
      </c>
      <c r="B45" s="282" t="str">
        <f t="shared" si="32"/>
        <v>03</v>
      </c>
      <c r="C45" s="282" t="str">
        <f t="shared" si="33"/>
        <v>5.1043.1.03</v>
      </c>
      <c r="D45" s="161">
        <v>5.9555999999999996</v>
      </c>
      <c r="E45" s="161">
        <v>1.9900000000000001E-2</v>
      </c>
      <c r="F45" s="282">
        <f t="shared" si="34"/>
        <v>0.74470000000000003</v>
      </c>
      <c r="G45" s="161" t="s">
        <v>666</v>
      </c>
      <c r="H45" s="282">
        <f t="shared" si="35"/>
        <v>1.327216765668804E-2</v>
      </c>
      <c r="I45" s="282" t="str">
        <f>A45&amp;"-"&amp;TEXT(MCP!$D$1,"00")</f>
        <v>5.1043.1-03</v>
      </c>
      <c r="J45" s="282">
        <f>IFERROR(VLOOKUP(I45,MCP!#REF!,10,FALSE),0)</f>
        <v>0</v>
      </c>
      <c r="K45" s="282">
        <f>IFERROR(VLOOKUP(I45,MCP!#REF!,19,FALSE),0)</f>
        <v>0</v>
      </c>
      <c r="L45" s="161">
        <v>43</v>
      </c>
      <c r="M45" s="161">
        <v>1.5683506832127665E-2</v>
      </c>
      <c r="N45" s="282" t="e">
        <f>IF($A45="","",VLOOKUP(LEFT($A45,7)&amp;"1-00",MCP!#REF!,N$1,FALSE))</f>
        <v>#REF!</v>
      </c>
      <c r="O45" s="282" t="e">
        <f>IF($A45="","",VLOOKUP(LEFT($A45,7)&amp;"1-00",MCP!#REF!,O$1,FALSE))</f>
        <v>#REF!</v>
      </c>
      <c r="P45" s="282" t="e">
        <f>IF($A45="","",VLOOKUP(LEFT($A45,7)&amp;"1-00",MCP!#REF!,P$1,FALSE))</f>
        <v>#REF!</v>
      </c>
      <c r="Q45" s="282" t="e">
        <f t="shared" si="36"/>
        <v>#REF!</v>
      </c>
      <c r="R45" s="282" t="e">
        <f t="shared" si="37"/>
        <v>#REF!</v>
      </c>
      <c r="S45" s="282" t="e">
        <f t="shared" si="38"/>
        <v>#REF!</v>
      </c>
      <c r="T45" s="282" t="e">
        <f>VLOOKUP(LEFT($A45,7)&amp;"1-00",MCP!#REF!,T$1,FALSE)</f>
        <v>#REF!</v>
      </c>
      <c r="U45" s="282" t="str">
        <f t="shared" si="39"/>
        <v/>
      </c>
      <c r="V45" s="282" t="str">
        <f t="shared" si="40"/>
        <v/>
      </c>
      <c r="W45" s="284" t="str">
        <f t="shared" si="41"/>
        <v/>
      </c>
      <c r="X45" s="161">
        <v>0.8548</v>
      </c>
      <c r="Y45" s="282">
        <v>0.86480000000000001</v>
      </c>
      <c r="Z45" s="284" t="str">
        <f t="shared" si="42"/>
        <v/>
      </c>
      <c r="AA45" s="282" t="str">
        <f t="shared" si="43"/>
        <v/>
      </c>
      <c r="AB45" s="282" t="str">
        <f t="shared" si="44"/>
        <v/>
      </c>
      <c r="AC45" s="282" t="str">
        <f t="shared" si="45"/>
        <v/>
      </c>
      <c r="AD45" s="282" t="str">
        <f t="shared" si="46"/>
        <v/>
      </c>
      <c r="AE45" s="282" t="str">
        <f t="shared" si="47"/>
        <v/>
      </c>
      <c r="AF45" s="282" t="str">
        <f t="shared" si="48"/>
        <v/>
      </c>
      <c r="AG45" s="282" t="str">
        <f t="shared" si="49"/>
        <v/>
      </c>
      <c r="AH45" s="282" t="str">
        <f t="shared" si="50"/>
        <v/>
      </c>
      <c r="AI45" s="282" t="str">
        <f t="shared" si="51"/>
        <v/>
      </c>
      <c r="AJ45" s="282" t="str">
        <f>IF(U45="","",VLOOKUP(LEFT(I45,6)&amp;".1-00",MCP!$AK$9:$AL$464,21,FALSE))</f>
        <v/>
      </c>
      <c r="AK45" s="283" t="str">
        <f t="shared" si="52"/>
        <v/>
      </c>
      <c r="AL45" s="284" t="str">
        <f t="shared" si="53"/>
        <v/>
      </c>
      <c r="AM45" s="285" t="str">
        <f t="shared" si="54"/>
        <v/>
      </c>
      <c r="AN45" s="282">
        <f t="shared" si="55"/>
        <v>0</v>
      </c>
      <c r="AO45" s="282">
        <f t="shared" si="56"/>
        <v>0</v>
      </c>
      <c r="AP45" s="282">
        <f t="shared" si="57"/>
        <v>0</v>
      </c>
      <c r="AQ45" s="282" t="e">
        <f>VLOOKUP(LEFT($A45,7)&amp;"1-00",MCP!#REF!,30,FALSE)</f>
        <v>#REF!</v>
      </c>
      <c r="AR45" s="282" t="e">
        <f>VLOOKUP(LEFT($A45,7)&amp;"1-00",MCP!#REF!,31,FALSE)</f>
        <v>#REF!</v>
      </c>
      <c r="AS45" s="282" t="e">
        <f>VLOOKUP($A45&amp;"-"&amp;$B45,MCP!#REF!,12,FALSE)</f>
        <v>#REF!</v>
      </c>
      <c r="AT45" s="282" t="str">
        <f t="shared" si="58"/>
        <v/>
      </c>
      <c r="AU45" s="282" t="str">
        <f t="shared" si="59"/>
        <v/>
      </c>
      <c r="AV45" s="282" t="str">
        <f t="shared" si="60"/>
        <v/>
      </c>
      <c r="AW45" s="282" t="str">
        <f>IF($U45="","",VLOOKUP(LEFT($A45,7)&amp;"1-00",MCP!#REF!,24,FALSE))</f>
        <v/>
      </c>
      <c r="AX45" s="282">
        <v>-54610.026609180117</v>
      </c>
      <c r="AY45" s="282">
        <v>-1459.3753235997988</v>
      </c>
      <c r="BF45" s="174" t="str">
        <f t="shared" si="30"/>
        <v/>
      </c>
    </row>
    <row r="46" spans="1:58" x14ac:dyDescent="0.2">
      <c r="A46" s="282" t="str">
        <f t="shared" si="31"/>
        <v>2.1044.1</v>
      </c>
      <c r="B46" s="282" t="str">
        <f t="shared" si="32"/>
        <v>03</v>
      </c>
      <c r="C46" s="282" t="str">
        <f t="shared" si="33"/>
        <v>2.1044.1.03</v>
      </c>
      <c r="D46" s="161">
        <v>6</v>
      </c>
      <c r="E46" s="161">
        <v>2.5999999999999999E-3</v>
      </c>
      <c r="F46" s="282">
        <f t="shared" si="34"/>
        <v>9.8000000000000004E-2</v>
      </c>
      <c r="G46" s="161" t="s">
        <v>826</v>
      </c>
      <c r="H46" s="282">
        <f t="shared" si="35"/>
        <v>1.7465723517596722E-3</v>
      </c>
      <c r="I46" s="282" t="str">
        <f>A46&amp;"-"&amp;TEXT(MCP!$D$1,"00")</f>
        <v>2.1044.1-03</v>
      </c>
      <c r="J46" s="282">
        <f>IFERROR(VLOOKUP(I46,MCP!#REF!,10,FALSE),0)</f>
        <v>0</v>
      </c>
      <c r="K46" s="282">
        <f>IFERROR(VLOOKUP(I46,MCP!#REF!,19,FALSE),0)</f>
        <v>0</v>
      </c>
      <c r="L46" s="161">
        <v>44</v>
      </c>
      <c r="M46" s="161">
        <v>2.6875827616873317E-3</v>
      </c>
      <c r="N46" s="282" t="e">
        <f>IF($A46="","",VLOOKUP(LEFT($A46,7)&amp;"1-00",MCP!#REF!,N$1,FALSE))</f>
        <v>#REF!</v>
      </c>
      <c r="O46" s="282" t="e">
        <f>IF($A46="","",VLOOKUP(LEFT($A46,7)&amp;"1-00",MCP!#REF!,O$1,FALSE))</f>
        <v>#REF!</v>
      </c>
      <c r="P46" s="282" t="e">
        <f>IF($A46="","",VLOOKUP(LEFT($A46,7)&amp;"1-00",MCP!#REF!,P$1,FALSE))</f>
        <v>#REF!</v>
      </c>
      <c r="Q46" s="282" t="e">
        <f t="shared" si="36"/>
        <v>#REF!</v>
      </c>
      <c r="R46" s="282" t="e">
        <f t="shared" si="37"/>
        <v>#REF!</v>
      </c>
      <c r="S46" s="282" t="e">
        <f t="shared" si="38"/>
        <v>#REF!</v>
      </c>
      <c r="T46" s="282" t="e">
        <f>VLOOKUP(LEFT($A46,7)&amp;"1-00",MCP!#REF!,T$1,FALSE)</f>
        <v>#REF!</v>
      </c>
      <c r="U46" s="282" t="str">
        <f t="shared" si="39"/>
        <v/>
      </c>
      <c r="V46" s="282" t="str">
        <f t="shared" si="40"/>
        <v/>
      </c>
      <c r="W46" s="284" t="str">
        <f t="shared" si="41"/>
        <v/>
      </c>
      <c r="X46" s="161">
        <v>1.1759999999999999</v>
      </c>
      <c r="Y46" s="282">
        <v>0.3654</v>
      </c>
      <c r="Z46" s="284" t="str">
        <f t="shared" si="42"/>
        <v/>
      </c>
      <c r="AA46" s="282" t="str">
        <f t="shared" si="43"/>
        <v/>
      </c>
      <c r="AB46" s="282" t="str">
        <f t="shared" si="44"/>
        <v/>
      </c>
      <c r="AC46" s="282" t="str">
        <f t="shared" si="45"/>
        <v/>
      </c>
      <c r="AD46" s="282" t="str">
        <f t="shared" si="46"/>
        <v/>
      </c>
      <c r="AE46" s="282" t="str">
        <f t="shared" si="47"/>
        <v/>
      </c>
      <c r="AF46" s="282" t="str">
        <f t="shared" si="48"/>
        <v/>
      </c>
      <c r="AG46" s="282" t="str">
        <f t="shared" si="49"/>
        <v/>
      </c>
      <c r="AH46" s="282" t="str">
        <f t="shared" si="50"/>
        <v/>
      </c>
      <c r="AI46" s="282" t="str">
        <f t="shared" si="51"/>
        <v/>
      </c>
      <c r="AJ46" s="282" t="str">
        <f>IF(U46="","",VLOOKUP(LEFT(I46,6)&amp;".1-00",MCP!$AK$9:$AL$464,21,FALSE))</f>
        <v/>
      </c>
      <c r="AK46" s="283" t="str">
        <f t="shared" si="52"/>
        <v/>
      </c>
      <c r="AL46" s="284" t="str">
        <f t="shared" si="53"/>
        <v/>
      </c>
      <c r="AM46" s="285" t="str">
        <f t="shared" si="54"/>
        <v/>
      </c>
      <c r="AN46" s="282">
        <f t="shared" si="55"/>
        <v>0</v>
      </c>
      <c r="AO46" s="282">
        <f t="shared" si="56"/>
        <v>0</v>
      </c>
      <c r="AP46" s="282">
        <f t="shared" si="57"/>
        <v>0</v>
      </c>
      <c r="AQ46" s="282" t="e">
        <f>VLOOKUP(LEFT($A46,7)&amp;"1-00",MCP!#REF!,30,FALSE)</f>
        <v>#REF!</v>
      </c>
      <c r="AR46" s="282" t="e">
        <f>VLOOKUP(LEFT($A46,7)&amp;"1-00",MCP!#REF!,31,FALSE)</f>
        <v>#REF!</v>
      </c>
      <c r="AS46" s="282" t="e">
        <f>VLOOKUP($A46&amp;"-"&amp;$B46,MCP!#REF!,12,FALSE)</f>
        <v>#REF!</v>
      </c>
      <c r="AT46" s="282" t="str">
        <f t="shared" si="58"/>
        <v/>
      </c>
      <c r="AU46" s="282" t="str">
        <f t="shared" si="59"/>
        <v/>
      </c>
      <c r="AV46" s="282" t="str">
        <f t="shared" si="60"/>
        <v/>
      </c>
      <c r="AW46" s="282" t="str">
        <f>IF($U46="","",VLOOKUP(LEFT($A46,7)&amp;"1-00",MCP!#REF!,24,FALSE))</f>
        <v/>
      </c>
      <c r="AX46" s="282">
        <v>-13693.313311782114</v>
      </c>
      <c r="AY46" s="282">
        <v>-363.22641681269624</v>
      </c>
      <c r="BF46" s="174" t="str">
        <f t="shared" si="30"/>
        <v/>
      </c>
    </row>
    <row r="47" spans="1:58" x14ac:dyDescent="0.2">
      <c r="A47" s="282" t="str">
        <f t="shared" si="31"/>
        <v>1.1045.1</v>
      </c>
      <c r="B47" s="282" t="str">
        <f t="shared" si="32"/>
        <v>03</v>
      </c>
      <c r="C47" s="282" t="str">
        <f t="shared" si="33"/>
        <v>1.1045.1.03</v>
      </c>
      <c r="D47" s="161">
        <v>6.0061</v>
      </c>
      <c r="E47" s="161">
        <v>1.5299999999999999E-2</v>
      </c>
      <c r="F47" s="282">
        <f t="shared" si="34"/>
        <v>0.57740000000000002</v>
      </c>
      <c r="G47" s="161" t="s">
        <v>814</v>
      </c>
      <c r="H47" s="282">
        <f t="shared" si="35"/>
        <v>1.0290519141898314E-2</v>
      </c>
      <c r="I47" s="282" t="str">
        <f>A47&amp;"-"&amp;TEXT(MCP!$D$1,"00")</f>
        <v>1.1045.1-03</v>
      </c>
      <c r="J47" s="282">
        <f>IFERROR(VLOOKUP(I47,MCP!#REF!,10,FALSE),0)</f>
        <v>0</v>
      </c>
      <c r="K47" s="282">
        <f>IFERROR(VLOOKUP(I47,MCP!#REF!,19,FALSE),0)</f>
        <v>0</v>
      </c>
      <c r="L47" s="161">
        <v>45</v>
      </c>
      <c r="M47" s="161">
        <v>1.2181451045180976E-2</v>
      </c>
      <c r="N47" s="282" t="e">
        <f>IF($A47="","",VLOOKUP(LEFT($A47,7)&amp;"1-00",MCP!#REF!,N$1,FALSE))</f>
        <v>#REF!</v>
      </c>
      <c r="O47" s="282" t="e">
        <f>IF($A47="","",VLOOKUP(LEFT($A47,7)&amp;"1-00",MCP!#REF!,O$1,FALSE))</f>
        <v>#REF!</v>
      </c>
      <c r="P47" s="282" t="e">
        <f>IF($A47="","",VLOOKUP(LEFT($A47,7)&amp;"1-00",MCP!#REF!,P$1,FALSE))</f>
        <v>#REF!</v>
      </c>
      <c r="Q47" s="282" t="e">
        <f t="shared" si="36"/>
        <v>#REF!</v>
      </c>
      <c r="R47" s="282" t="e">
        <f t="shared" si="37"/>
        <v>#REF!</v>
      </c>
      <c r="S47" s="282" t="e">
        <f t="shared" si="38"/>
        <v>#REF!</v>
      </c>
      <c r="T47" s="282" t="e">
        <f>VLOOKUP(LEFT($A47,7)&amp;"1-00",MCP!#REF!,T$1,FALSE)</f>
        <v>#REF!</v>
      </c>
      <c r="U47" s="282" t="str">
        <f t="shared" si="39"/>
        <v/>
      </c>
      <c r="V47" s="282" t="str">
        <f t="shared" si="40"/>
        <v/>
      </c>
      <c r="W47" s="284" t="str">
        <f t="shared" si="41"/>
        <v/>
      </c>
      <c r="X47" s="161">
        <v>1.4375</v>
      </c>
      <c r="Y47" s="284">
        <v>0.752</v>
      </c>
      <c r="Z47" s="284" t="str">
        <f t="shared" si="42"/>
        <v/>
      </c>
      <c r="AA47" s="282" t="str">
        <f t="shared" si="43"/>
        <v/>
      </c>
      <c r="AB47" s="282" t="str">
        <f t="shared" si="44"/>
        <v/>
      </c>
      <c r="AC47" s="282" t="str">
        <f t="shared" si="45"/>
        <v/>
      </c>
      <c r="AD47" s="282" t="str">
        <f t="shared" si="46"/>
        <v/>
      </c>
      <c r="AE47" s="282" t="str">
        <f t="shared" si="47"/>
        <v/>
      </c>
      <c r="AF47" s="282" t="str">
        <f t="shared" si="48"/>
        <v/>
      </c>
      <c r="AG47" s="282" t="str">
        <f t="shared" si="49"/>
        <v/>
      </c>
      <c r="AH47" s="282" t="str">
        <f t="shared" si="50"/>
        <v/>
      </c>
      <c r="AI47" s="282" t="str">
        <f t="shared" si="51"/>
        <v/>
      </c>
      <c r="AJ47" s="282" t="str">
        <f>IF(U47="","",VLOOKUP(LEFT(I47,6)&amp;".1-00",MCP!$AK$9:$AL$464,21,FALSE))</f>
        <v/>
      </c>
      <c r="AK47" s="283" t="str">
        <f t="shared" si="52"/>
        <v/>
      </c>
      <c r="AL47" s="284" t="str">
        <f t="shared" si="53"/>
        <v/>
      </c>
      <c r="AM47" s="285" t="str">
        <f t="shared" si="54"/>
        <v/>
      </c>
      <c r="AN47" s="282">
        <f t="shared" si="55"/>
        <v>0</v>
      </c>
      <c r="AO47" s="282">
        <f t="shared" si="56"/>
        <v>0</v>
      </c>
      <c r="AP47" s="282">
        <f t="shared" si="57"/>
        <v>0</v>
      </c>
      <c r="AQ47" s="282" t="e">
        <f>VLOOKUP(LEFT($A47,7)&amp;"1-00",MCP!#REF!,30,FALSE)</f>
        <v>#REF!</v>
      </c>
      <c r="AR47" s="282" t="e">
        <f>VLOOKUP(LEFT($A47,7)&amp;"1-00",MCP!#REF!,31,FALSE)</f>
        <v>#REF!</v>
      </c>
      <c r="AS47" s="282" t="e">
        <f>VLOOKUP($A47&amp;"-"&amp;$B47,MCP!#REF!,12,FALSE)</f>
        <v>#REF!</v>
      </c>
      <c r="AT47" s="282" t="str">
        <f t="shared" si="58"/>
        <v/>
      </c>
      <c r="AU47" s="282" t="str">
        <f t="shared" si="59"/>
        <v/>
      </c>
      <c r="AV47" s="282" t="str">
        <f t="shared" si="60"/>
        <v/>
      </c>
      <c r="AW47" s="282" t="str">
        <f>IF($U47="","",VLOOKUP(LEFT($A47,7)&amp;"1-00",MCP!#REF!,24,FALSE))</f>
        <v/>
      </c>
      <c r="AX47" s="282">
        <v>-43609.987865655115</v>
      </c>
      <c r="AY47" s="282">
        <v>-1155.6159799198469</v>
      </c>
      <c r="BF47" s="174" t="str">
        <f t="shared" si="30"/>
        <v/>
      </c>
    </row>
    <row r="48" spans="1:58" x14ac:dyDescent="0.2">
      <c r="A48" s="282" t="str">
        <f t="shared" si="31"/>
        <v>4.1046.1</v>
      </c>
      <c r="B48" s="282" t="str">
        <f t="shared" si="32"/>
        <v>03</v>
      </c>
      <c r="C48" s="282" t="str">
        <f t="shared" si="33"/>
        <v>4.1046.1.03</v>
      </c>
      <c r="D48" s="161">
        <v>6.0468000000000002</v>
      </c>
      <c r="E48" s="161">
        <v>2.0999999999999999E-3</v>
      </c>
      <c r="F48" s="282">
        <f t="shared" si="34"/>
        <v>7.9799999999999996E-2</v>
      </c>
      <c r="G48" s="161" t="s">
        <v>858</v>
      </c>
      <c r="H48" s="282">
        <f t="shared" si="35"/>
        <v>1.4222089150043044E-3</v>
      </c>
      <c r="I48" s="282" t="str">
        <f>A48&amp;"-"&amp;TEXT(MCP!$D$1,"00")</f>
        <v>4.1046.1-03</v>
      </c>
      <c r="J48" s="282">
        <f>IFERROR(VLOOKUP(I48,MCP!#REF!,10,FALSE),0)</f>
        <v>0</v>
      </c>
      <c r="K48" s="282">
        <f>IFERROR(VLOOKUP(I48,MCP!#REF!,19,FALSE),0)</f>
        <v>0</v>
      </c>
      <c r="L48" s="161">
        <v>46</v>
      </c>
      <c r="M48" s="161">
        <v>2.234899723578192E-3</v>
      </c>
      <c r="N48" s="282" t="e">
        <f>IF($A48="","",VLOOKUP(LEFT($A48,7)&amp;"1-00",MCP!#REF!,N$1,FALSE))</f>
        <v>#REF!</v>
      </c>
      <c r="O48" s="282" t="e">
        <f>IF($A48="","",VLOOKUP(LEFT($A48,7)&amp;"1-00",MCP!#REF!,O$1,FALSE))</f>
        <v>#REF!</v>
      </c>
      <c r="P48" s="282" t="e">
        <f>IF($A48="","",VLOOKUP(LEFT($A48,7)&amp;"1-00",MCP!#REF!,P$1,FALSE))</f>
        <v>#REF!</v>
      </c>
      <c r="Q48" s="282" t="e">
        <f t="shared" si="36"/>
        <v>#REF!</v>
      </c>
      <c r="R48" s="282" t="e">
        <f t="shared" si="37"/>
        <v>#REF!</v>
      </c>
      <c r="S48" s="282" t="e">
        <f t="shared" si="38"/>
        <v>#REF!</v>
      </c>
      <c r="T48" s="282" t="e">
        <f>VLOOKUP(LEFT($A48,7)&amp;"1-00",MCP!#REF!,T$1,FALSE)</f>
        <v>#REF!</v>
      </c>
      <c r="U48" s="282" t="str">
        <f t="shared" si="39"/>
        <v/>
      </c>
      <c r="V48" s="282" t="str">
        <f t="shared" si="40"/>
        <v/>
      </c>
      <c r="W48" s="284" t="str">
        <f t="shared" si="41"/>
        <v/>
      </c>
      <c r="X48" s="161">
        <v>1.2799</v>
      </c>
      <c r="Y48" s="280">
        <v>0.33879999999999999</v>
      </c>
      <c r="Z48" s="284" t="str">
        <f t="shared" si="42"/>
        <v/>
      </c>
      <c r="AA48" s="282" t="str">
        <f t="shared" si="43"/>
        <v/>
      </c>
      <c r="AB48" s="282" t="str">
        <f t="shared" si="44"/>
        <v/>
      </c>
      <c r="AC48" s="282" t="str">
        <f t="shared" si="45"/>
        <v/>
      </c>
      <c r="AD48" s="282" t="str">
        <f t="shared" si="46"/>
        <v/>
      </c>
      <c r="AE48" s="282" t="str">
        <f t="shared" si="47"/>
        <v/>
      </c>
      <c r="AF48" s="282" t="str">
        <f t="shared" si="48"/>
        <v/>
      </c>
      <c r="AG48" s="282" t="str">
        <f t="shared" si="49"/>
        <v/>
      </c>
      <c r="AH48" s="282" t="str">
        <f t="shared" si="50"/>
        <v/>
      </c>
      <c r="AI48" s="282" t="str">
        <f t="shared" si="51"/>
        <v/>
      </c>
      <c r="AJ48" s="282" t="str">
        <f>IF(U48="","",VLOOKUP(LEFT(I48,6)&amp;".1-00",MCP!$AK$9:$AL$464,21,FALSE))</f>
        <v/>
      </c>
      <c r="AK48" s="283" t="str">
        <f t="shared" si="52"/>
        <v/>
      </c>
      <c r="AL48" s="284" t="str">
        <f t="shared" si="53"/>
        <v/>
      </c>
      <c r="AM48" s="285" t="str">
        <f t="shared" si="54"/>
        <v/>
      </c>
      <c r="AN48" s="282">
        <f t="shared" si="55"/>
        <v>0</v>
      </c>
      <c r="AO48" s="282">
        <f t="shared" si="56"/>
        <v>0</v>
      </c>
      <c r="AP48" s="282">
        <f t="shared" si="57"/>
        <v>0</v>
      </c>
      <c r="AQ48" s="282" t="e">
        <f>VLOOKUP(LEFT($A48,7)&amp;"1-00",MCP!#REF!,30,FALSE)</f>
        <v>#REF!</v>
      </c>
      <c r="AR48" s="282" t="e">
        <f>VLOOKUP(LEFT($A48,7)&amp;"1-00",MCP!#REF!,31,FALSE)</f>
        <v>#REF!</v>
      </c>
      <c r="AS48" s="282" t="e">
        <f>VLOOKUP($A48&amp;"-"&amp;$B48,MCP!#REF!,12,FALSE)</f>
        <v>#REF!</v>
      </c>
      <c r="AT48" s="282" t="str">
        <f t="shared" si="58"/>
        <v/>
      </c>
      <c r="AU48" s="282" t="str">
        <f t="shared" si="59"/>
        <v/>
      </c>
      <c r="AV48" s="282" t="str">
        <f t="shared" si="60"/>
        <v/>
      </c>
      <c r="AW48" s="282" t="str">
        <f>IF($U48="","",VLOOKUP(LEFT($A48,7)&amp;"1-00",MCP!#REF!,24,FALSE))</f>
        <v/>
      </c>
      <c r="AX48" s="282">
        <v>-11974.608461384698</v>
      </c>
      <c r="AY48" s="282">
        <v>-315.17796656403584</v>
      </c>
      <c r="BF48" s="174" t="str">
        <f t="shared" si="30"/>
        <v/>
      </c>
    </row>
    <row r="49" spans="1:58" x14ac:dyDescent="0.2">
      <c r="A49" s="282" t="str">
        <f t="shared" si="31"/>
        <v>3.1047.1</v>
      </c>
      <c r="B49" s="282" t="str">
        <f t="shared" si="32"/>
        <v>03</v>
      </c>
      <c r="C49" s="282" t="str">
        <f t="shared" si="33"/>
        <v>3.1047.1.03</v>
      </c>
      <c r="D49" s="161">
        <v>6.0464000000000002</v>
      </c>
      <c r="E49" s="161">
        <v>1.11E-2</v>
      </c>
      <c r="F49" s="282">
        <f t="shared" si="34"/>
        <v>0.42170000000000002</v>
      </c>
      <c r="G49" s="161" t="s">
        <v>846</v>
      </c>
      <c r="H49" s="282">
        <f t="shared" si="35"/>
        <v>7.5156077626229983E-3</v>
      </c>
      <c r="I49" s="282" t="str">
        <f>A49&amp;"-"&amp;TEXT(MCP!$D$1,"00")</f>
        <v>3.1047.1-03</v>
      </c>
      <c r="J49" s="282">
        <f>IFERROR(VLOOKUP(I49,MCP!#REF!,10,FALSE),0)</f>
        <v>0</v>
      </c>
      <c r="K49" s="282">
        <f>IFERROR(VLOOKUP(I49,MCP!#REF!,19,FALSE),0)</f>
        <v>0</v>
      </c>
      <c r="L49" s="161">
        <v>47</v>
      </c>
      <c r="M49" s="161">
        <v>9.1463360298271786E-3</v>
      </c>
      <c r="N49" s="282" t="e">
        <f>IF($A49="","",VLOOKUP(LEFT($A49,7)&amp;"1-00",MCP!#REF!,N$1,FALSE))</f>
        <v>#REF!</v>
      </c>
      <c r="O49" s="282" t="e">
        <f>IF($A49="","",VLOOKUP(LEFT($A49,7)&amp;"1-00",MCP!#REF!,O$1,FALSE))</f>
        <v>#REF!</v>
      </c>
      <c r="P49" s="282" t="e">
        <f>IF($A49="","",VLOOKUP(LEFT($A49,7)&amp;"1-00",MCP!#REF!,P$1,FALSE))</f>
        <v>#REF!</v>
      </c>
      <c r="Q49" s="282" t="e">
        <f t="shared" si="36"/>
        <v>#REF!</v>
      </c>
      <c r="R49" s="282" t="e">
        <f t="shared" si="37"/>
        <v>#REF!</v>
      </c>
      <c r="S49" s="282" t="e">
        <f t="shared" si="38"/>
        <v>#REF!</v>
      </c>
      <c r="T49" s="282" t="e">
        <f>VLOOKUP(LEFT($A49,7)&amp;"1-00",MCP!#REF!,T$1,FALSE)</f>
        <v>#REF!</v>
      </c>
      <c r="U49" s="282" t="str">
        <f t="shared" si="39"/>
        <v/>
      </c>
      <c r="V49" s="282" t="str">
        <f t="shared" si="40"/>
        <v/>
      </c>
      <c r="W49" s="284" t="str">
        <f t="shared" si="41"/>
        <v/>
      </c>
      <c r="X49" s="161">
        <v>1.5277000000000001</v>
      </c>
      <c r="Y49" s="282">
        <v>0.68979999999999997</v>
      </c>
      <c r="Z49" s="284" t="str">
        <f t="shared" si="42"/>
        <v/>
      </c>
      <c r="AA49" s="282" t="str">
        <f t="shared" si="43"/>
        <v/>
      </c>
      <c r="AB49" s="282" t="str">
        <f t="shared" si="44"/>
        <v/>
      </c>
      <c r="AC49" s="282" t="str">
        <f t="shared" si="45"/>
        <v/>
      </c>
      <c r="AD49" s="282" t="str">
        <f t="shared" si="46"/>
        <v/>
      </c>
      <c r="AE49" s="282" t="str">
        <f t="shared" si="47"/>
        <v/>
      </c>
      <c r="AF49" s="282" t="str">
        <f t="shared" si="48"/>
        <v/>
      </c>
      <c r="AG49" s="282" t="str">
        <f t="shared" si="49"/>
        <v/>
      </c>
      <c r="AH49" s="282" t="str">
        <f t="shared" si="50"/>
        <v/>
      </c>
      <c r="AI49" s="282" t="str">
        <f t="shared" si="51"/>
        <v/>
      </c>
      <c r="AJ49" s="282" t="str">
        <f>IF(U49="","",VLOOKUP(LEFT(I49,6)&amp;".1-00",MCP!$AK$9:$AL$464,21,FALSE))</f>
        <v/>
      </c>
      <c r="AK49" s="283" t="str">
        <f t="shared" si="52"/>
        <v/>
      </c>
      <c r="AL49" s="284" t="str">
        <f t="shared" si="53"/>
        <v/>
      </c>
      <c r="AM49" s="285" t="str">
        <f t="shared" si="54"/>
        <v/>
      </c>
      <c r="AN49" s="282">
        <f t="shared" si="55"/>
        <v>0</v>
      </c>
      <c r="AO49" s="282">
        <f t="shared" si="56"/>
        <v>0</v>
      </c>
      <c r="AP49" s="282">
        <f t="shared" si="57"/>
        <v>0</v>
      </c>
      <c r="AQ49" s="282" t="e">
        <f>VLOOKUP(LEFT($A49,7)&amp;"1-00",MCP!#REF!,30,FALSE)</f>
        <v>#REF!</v>
      </c>
      <c r="AR49" s="282" t="e">
        <f>VLOOKUP(LEFT($A49,7)&amp;"1-00",MCP!#REF!,31,FALSE)</f>
        <v>#REF!</v>
      </c>
      <c r="AS49" s="282" t="e">
        <f>VLOOKUP($A49&amp;"-"&amp;$B49,MCP!#REF!,12,FALSE)</f>
        <v>#REF!</v>
      </c>
      <c r="AT49" s="282" t="str">
        <f t="shared" si="58"/>
        <v/>
      </c>
      <c r="AU49" s="282" t="str">
        <f t="shared" si="59"/>
        <v/>
      </c>
      <c r="AV49" s="282" t="str">
        <f t="shared" si="60"/>
        <v/>
      </c>
      <c r="AW49" s="282" t="str">
        <f>IF($U49="","",VLOOKUP(LEFT($A49,7)&amp;"1-00",MCP!#REF!,24,FALSE))</f>
        <v/>
      </c>
      <c r="AX49" s="282">
        <v>-34229.358874971294</v>
      </c>
      <c r="AY49" s="282">
        <v>-900.99425506386012</v>
      </c>
      <c r="BF49" s="174" t="str">
        <f t="shared" si="30"/>
        <v/>
      </c>
    </row>
    <row r="50" spans="1:58" x14ac:dyDescent="0.2">
      <c r="A50" s="282" t="str">
        <f t="shared" si="31"/>
        <v>6.1048.1</v>
      </c>
      <c r="B50" s="282" t="str">
        <f t="shared" si="32"/>
        <v>03</v>
      </c>
      <c r="C50" s="282" t="str">
        <f t="shared" si="33"/>
        <v>6.1048.1.03</v>
      </c>
      <c r="D50" s="161">
        <v>6.0830000000000002</v>
      </c>
      <c r="E50" s="161">
        <v>1.1000000000000001E-3</v>
      </c>
      <c r="F50" s="282">
        <f t="shared" si="34"/>
        <v>4.2000000000000003E-2</v>
      </c>
      <c r="G50" s="161" t="s">
        <v>890</v>
      </c>
      <c r="H50" s="282">
        <f t="shared" si="35"/>
        <v>7.4853100789700237E-4</v>
      </c>
      <c r="I50" s="282" t="str">
        <f>A50&amp;"-"&amp;TEXT(MCP!$D$1,"00")</f>
        <v>6.1048.1-03</v>
      </c>
      <c r="J50" s="282">
        <f>IFERROR(VLOOKUP(I50,MCP!#REF!,10,FALSE),0)</f>
        <v>0</v>
      </c>
      <c r="K50" s="282">
        <f>IFERROR(VLOOKUP(I50,MCP!#REF!,19,FALSE),0)</f>
        <v>0</v>
      </c>
      <c r="L50" s="161">
        <v>48</v>
      </c>
      <c r="M50" s="161">
        <v>1.2938893136505325E-3</v>
      </c>
      <c r="N50" s="282" t="e">
        <f>IF($A50="","",VLOOKUP(LEFT($A50,7)&amp;"1-00",MCP!#REF!,N$1,FALSE))</f>
        <v>#REF!</v>
      </c>
      <c r="O50" s="282" t="e">
        <f>IF($A50="","",VLOOKUP(LEFT($A50,7)&amp;"1-00",MCP!#REF!,O$1,FALSE))</f>
        <v>#REF!</v>
      </c>
      <c r="P50" s="282" t="e">
        <f>IF($A50="","",VLOOKUP(LEFT($A50,7)&amp;"1-00",MCP!#REF!,P$1,FALSE))</f>
        <v>#REF!</v>
      </c>
      <c r="Q50" s="282" t="e">
        <f t="shared" si="36"/>
        <v>#REF!</v>
      </c>
      <c r="R50" s="282" t="e">
        <f t="shared" si="37"/>
        <v>#REF!</v>
      </c>
      <c r="S50" s="282" t="e">
        <f t="shared" si="38"/>
        <v>#REF!</v>
      </c>
      <c r="T50" s="282" t="e">
        <f>VLOOKUP(LEFT($A50,7)&amp;"1-00",MCP!#REF!,T$1,FALSE)</f>
        <v>#REF!</v>
      </c>
      <c r="U50" s="282" t="str">
        <f t="shared" si="39"/>
        <v/>
      </c>
      <c r="V50" s="282" t="str">
        <f t="shared" si="40"/>
        <v/>
      </c>
      <c r="W50" s="284" t="str">
        <f t="shared" si="41"/>
        <v/>
      </c>
      <c r="X50" s="161">
        <v>1.3975</v>
      </c>
      <c r="Y50" s="279">
        <v>0.27479999999999999</v>
      </c>
      <c r="Z50" s="284" t="str">
        <f t="shared" si="42"/>
        <v/>
      </c>
      <c r="AA50" s="282" t="str">
        <f t="shared" si="43"/>
        <v/>
      </c>
      <c r="AB50" s="282" t="str">
        <f t="shared" si="44"/>
        <v/>
      </c>
      <c r="AC50" s="282" t="str">
        <f t="shared" si="45"/>
        <v/>
      </c>
      <c r="AD50" s="282" t="str">
        <f t="shared" si="46"/>
        <v/>
      </c>
      <c r="AE50" s="282" t="str">
        <f t="shared" si="47"/>
        <v/>
      </c>
      <c r="AF50" s="282" t="str">
        <f t="shared" si="48"/>
        <v/>
      </c>
      <c r="AG50" s="282" t="str">
        <f t="shared" si="49"/>
        <v/>
      </c>
      <c r="AH50" s="282" t="str">
        <f t="shared" si="50"/>
        <v/>
      </c>
      <c r="AI50" s="282" t="str">
        <f t="shared" si="51"/>
        <v/>
      </c>
      <c r="AJ50" s="282" t="str">
        <f>IF(U50="","",VLOOKUP(LEFT(I50,6)&amp;".1-00",MCP!$AK$9:$AL$464,21,FALSE))</f>
        <v/>
      </c>
      <c r="AK50" s="283" t="str">
        <f t="shared" si="52"/>
        <v/>
      </c>
      <c r="AL50" s="284" t="str">
        <f t="shared" si="53"/>
        <v/>
      </c>
      <c r="AM50" s="285" t="str">
        <f t="shared" si="54"/>
        <v/>
      </c>
      <c r="AN50" s="282">
        <f t="shared" si="55"/>
        <v>0</v>
      </c>
      <c r="AO50" s="282">
        <f t="shared" si="56"/>
        <v>0</v>
      </c>
      <c r="AP50" s="282">
        <f t="shared" si="57"/>
        <v>0</v>
      </c>
      <c r="AQ50" s="282" t="e">
        <f>VLOOKUP(LEFT($A50,7)&amp;"1-00",MCP!#REF!,30,FALSE)</f>
        <v>#REF!</v>
      </c>
      <c r="AR50" s="282" t="e">
        <f>VLOOKUP(LEFT($A50,7)&amp;"1-00",MCP!#REF!,31,FALSE)</f>
        <v>#REF!</v>
      </c>
      <c r="AS50" s="282" t="e">
        <f>VLOOKUP($A50&amp;"-"&amp;$B50,MCP!#REF!,12,FALSE)</f>
        <v>#REF!</v>
      </c>
      <c r="AT50" s="282" t="str">
        <f t="shared" si="58"/>
        <v/>
      </c>
      <c r="AU50" s="282" t="str">
        <f t="shared" si="59"/>
        <v/>
      </c>
      <c r="AV50" s="282" t="str">
        <f t="shared" si="60"/>
        <v/>
      </c>
      <c r="AW50" s="282" t="str">
        <f>IF($U50="","",VLOOKUP(LEFT($A50,7)&amp;"1-00",MCP!#REF!,24,FALSE))</f>
        <v/>
      </c>
      <c r="AX50" s="282">
        <v>-8464.1207720195343</v>
      </c>
      <c r="AY50" s="282">
        <v>-221.45432513458812</v>
      </c>
      <c r="BF50" s="174" t="str">
        <f t="shared" si="30"/>
        <v/>
      </c>
    </row>
    <row r="51" spans="1:58" x14ac:dyDescent="0.2">
      <c r="A51" s="282" t="str">
        <f t="shared" si="31"/>
        <v>5.1049.1</v>
      </c>
      <c r="B51" s="282" t="str">
        <f t="shared" si="32"/>
        <v>03</v>
      </c>
      <c r="C51" s="282" t="str">
        <f t="shared" si="33"/>
        <v>5.1049.1.03</v>
      </c>
      <c r="D51" s="161">
        <v>6.0744999999999996</v>
      </c>
      <c r="E51" s="161">
        <v>7.7999999999999996E-3</v>
      </c>
      <c r="F51" s="282">
        <f t="shared" si="34"/>
        <v>0.29770000000000002</v>
      </c>
      <c r="G51" s="161" t="s">
        <v>878</v>
      </c>
      <c r="H51" s="282">
        <f t="shared" si="35"/>
        <v>5.305659072641372E-3</v>
      </c>
      <c r="I51" s="282" t="str">
        <f>A51&amp;"-"&amp;TEXT(MCP!$D$1,"00")</f>
        <v>5.1049.1-03</v>
      </c>
      <c r="J51" s="282">
        <f>IFERROR(VLOOKUP(I51,MCP!#REF!,10,FALSE),0)</f>
        <v>0</v>
      </c>
      <c r="K51" s="282">
        <f>IFERROR(VLOOKUP(I51,MCP!#REF!,19,FALSE),0)</f>
        <v>0</v>
      </c>
      <c r="L51" s="161">
        <v>49</v>
      </c>
      <c r="M51" s="161">
        <v>6.4658821348817239E-3</v>
      </c>
      <c r="N51" s="282" t="e">
        <f>IF($A51="","",VLOOKUP(LEFT($A51,7)&amp;"1-00",MCP!#REF!,N$1,FALSE))</f>
        <v>#REF!</v>
      </c>
      <c r="O51" s="282" t="e">
        <f>IF($A51="","",VLOOKUP(LEFT($A51,7)&amp;"1-00",MCP!#REF!,O$1,FALSE))</f>
        <v>#REF!</v>
      </c>
      <c r="P51" s="282" t="e">
        <f>IF($A51="","",VLOOKUP(LEFT($A51,7)&amp;"1-00",MCP!#REF!,P$1,FALSE))</f>
        <v>#REF!</v>
      </c>
      <c r="Q51" s="282" t="e">
        <f t="shared" si="36"/>
        <v>#REF!</v>
      </c>
      <c r="R51" s="282" t="e">
        <f t="shared" si="37"/>
        <v>#REF!</v>
      </c>
      <c r="S51" s="282" t="e">
        <f t="shared" si="38"/>
        <v>#REF!</v>
      </c>
      <c r="T51" s="282" t="e">
        <f>VLOOKUP(LEFT($A51,7)&amp;"1-00",MCP!#REF!,T$1,FALSE)</f>
        <v>#REF!</v>
      </c>
      <c r="U51" s="282" t="str">
        <f t="shared" si="39"/>
        <v/>
      </c>
      <c r="V51" s="282" t="str">
        <f t="shared" si="40"/>
        <v/>
      </c>
      <c r="W51" s="284" t="str">
        <f t="shared" si="41"/>
        <v/>
      </c>
      <c r="X51" s="161">
        <v>1.6220000000000001</v>
      </c>
      <c r="Y51" s="280">
        <v>0.57520000000000004</v>
      </c>
      <c r="Z51" s="284" t="str">
        <f t="shared" si="42"/>
        <v/>
      </c>
      <c r="AA51" s="282" t="str">
        <f t="shared" si="43"/>
        <v/>
      </c>
      <c r="AB51" s="282" t="str">
        <f t="shared" si="44"/>
        <v/>
      </c>
      <c r="AC51" s="282" t="str">
        <f t="shared" si="45"/>
        <v/>
      </c>
      <c r="AD51" s="282" t="str">
        <f t="shared" si="46"/>
        <v/>
      </c>
      <c r="AE51" s="282" t="str">
        <f t="shared" si="47"/>
        <v/>
      </c>
      <c r="AF51" s="282" t="str">
        <f t="shared" si="48"/>
        <v/>
      </c>
      <c r="AG51" s="282" t="str">
        <f t="shared" si="49"/>
        <v/>
      </c>
      <c r="AH51" s="282" t="str">
        <f t="shared" si="50"/>
        <v/>
      </c>
      <c r="AI51" s="282" t="str">
        <f t="shared" si="51"/>
        <v/>
      </c>
      <c r="AJ51" s="282" t="str">
        <f>IF(U51="","",VLOOKUP(LEFT(I51,6)&amp;".1-00",MCP!$AK$9:$AL$464,21,FALSE))</f>
        <v/>
      </c>
      <c r="AK51" s="283" t="str">
        <f t="shared" si="52"/>
        <v/>
      </c>
      <c r="AL51" s="284" t="str">
        <f t="shared" si="53"/>
        <v/>
      </c>
      <c r="AM51" s="285" t="str">
        <f t="shared" si="54"/>
        <v/>
      </c>
      <c r="AN51" s="282">
        <f t="shared" si="55"/>
        <v>0</v>
      </c>
      <c r="AO51" s="282">
        <f t="shared" si="56"/>
        <v>0</v>
      </c>
      <c r="AP51" s="282">
        <f t="shared" si="57"/>
        <v>0</v>
      </c>
      <c r="AQ51" s="282" t="e">
        <f>VLOOKUP(LEFT($A51,7)&amp;"1-00",MCP!#REF!,30,FALSE)</f>
        <v>#REF!</v>
      </c>
      <c r="AR51" s="282" t="e">
        <f>VLOOKUP(LEFT($A51,7)&amp;"1-00",MCP!#REF!,31,FALSE)</f>
        <v>#REF!</v>
      </c>
      <c r="AS51" s="282" t="e">
        <f>VLOOKUP($A51&amp;"-"&amp;$B51,MCP!#REF!,12,FALSE)</f>
        <v>#REF!</v>
      </c>
      <c r="AT51" s="282" t="str">
        <f t="shared" si="58"/>
        <v/>
      </c>
      <c r="AU51" s="282" t="str">
        <f t="shared" si="59"/>
        <v/>
      </c>
      <c r="AV51" s="282" t="str">
        <f t="shared" si="60"/>
        <v/>
      </c>
      <c r="AW51" s="282" t="str">
        <f>IF($U51="","",VLOOKUP(LEFT($A51,7)&amp;"1-00",MCP!#REF!,24,FALSE))</f>
        <v/>
      </c>
      <c r="AX51" s="282">
        <v>-25575.937193385711</v>
      </c>
      <c r="AY51" s="282">
        <v>-670.10236703188684</v>
      </c>
      <c r="BF51" s="174" t="str">
        <f t="shared" si="30"/>
        <v/>
      </c>
    </row>
    <row r="52" spans="1:58" x14ac:dyDescent="0.2">
      <c r="A52" s="282" t="str">
        <f t="shared" si="31"/>
        <v>2.1050.1</v>
      </c>
      <c r="B52" s="282" t="str">
        <f t="shared" si="32"/>
        <v>03</v>
      </c>
      <c r="C52" s="282" t="str">
        <f t="shared" si="33"/>
        <v>2.1050.1.03</v>
      </c>
      <c r="D52" s="161">
        <v>6.1055000000000001</v>
      </c>
      <c r="E52" s="161">
        <v>5.0000000000000001E-4</v>
      </c>
      <c r="F52" s="282">
        <f t="shared" si="34"/>
        <v>1.9199999999999998E-2</v>
      </c>
      <c r="G52" s="161" t="s">
        <v>828</v>
      </c>
      <c r="H52" s="282">
        <f t="shared" si="35"/>
        <v>3.4218560361005821E-4</v>
      </c>
      <c r="I52" s="282" t="str">
        <f>A52&amp;"-"&amp;TEXT(MCP!$D$1,"00")</f>
        <v>2.1050.1-03</v>
      </c>
      <c r="J52" s="282">
        <f>IFERROR(VLOOKUP(I52,MCP!#REF!,10,FALSE),0)</f>
        <v>0</v>
      </c>
      <c r="K52" s="282">
        <f>IFERROR(VLOOKUP(I52,MCP!#REF!,19,FALSE),0)</f>
        <v>0</v>
      </c>
      <c r="L52" s="161">
        <v>50</v>
      </c>
      <c r="M52" s="161">
        <v>8.2160189200123333E-4</v>
      </c>
      <c r="N52" s="282" t="e">
        <f>IF($A52="","",VLOOKUP(LEFT($A52,7)&amp;"1-00",MCP!#REF!,N$1,FALSE))</f>
        <v>#REF!</v>
      </c>
      <c r="O52" s="282" t="e">
        <f>IF($A52="","",VLOOKUP(LEFT($A52,7)&amp;"1-00",MCP!#REF!,O$1,FALSE))</f>
        <v>#REF!</v>
      </c>
      <c r="P52" s="282" t="e">
        <f>IF($A52="","",VLOOKUP(LEFT($A52,7)&amp;"1-00",MCP!#REF!,P$1,FALSE))</f>
        <v>#REF!</v>
      </c>
      <c r="Q52" s="282" t="e">
        <f t="shared" si="36"/>
        <v>#REF!</v>
      </c>
      <c r="R52" s="282" t="e">
        <f t="shared" si="37"/>
        <v>#REF!</v>
      </c>
      <c r="S52" s="282" t="e">
        <f t="shared" si="38"/>
        <v>#REF!</v>
      </c>
      <c r="T52" s="282" t="e">
        <f>VLOOKUP(LEFT($A52,7)&amp;"1-00",MCP!#REF!,T$1,FALSE)</f>
        <v>#REF!</v>
      </c>
      <c r="U52" s="282" t="str">
        <f t="shared" si="39"/>
        <v/>
      </c>
      <c r="V52" s="282" t="str">
        <f t="shared" si="40"/>
        <v/>
      </c>
      <c r="W52" s="284" t="str">
        <f t="shared" si="41"/>
        <v/>
      </c>
      <c r="X52" s="161">
        <v>1.9833000000000001</v>
      </c>
      <c r="Y52" s="266">
        <v>0.2487</v>
      </c>
      <c r="Z52" s="284" t="str">
        <f t="shared" si="42"/>
        <v/>
      </c>
      <c r="AA52" s="282" t="str">
        <f t="shared" si="43"/>
        <v/>
      </c>
      <c r="AB52" s="282" t="str">
        <f t="shared" si="44"/>
        <v/>
      </c>
      <c r="AC52" s="282" t="str">
        <f t="shared" si="45"/>
        <v/>
      </c>
      <c r="AD52" s="282" t="str">
        <f t="shared" si="46"/>
        <v/>
      </c>
      <c r="AE52" s="282" t="str">
        <f t="shared" si="47"/>
        <v/>
      </c>
      <c r="AF52" s="282" t="str">
        <f t="shared" si="48"/>
        <v/>
      </c>
      <c r="AG52" s="282" t="str">
        <f t="shared" si="49"/>
        <v/>
      </c>
      <c r="AH52" s="282" t="str">
        <f t="shared" si="50"/>
        <v/>
      </c>
      <c r="AI52" s="282" t="str">
        <f t="shared" si="51"/>
        <v/>
      </c>
      <c r="AJ52" s="282" t="str">
        <f>IF(U52="","",VLOOKUP(LEFT(I52,6)&amp;".1-00",MCP!$AK$9:$AL$464,21,FALSE))</f>
        <v/>
      </c>
      <c r="AK52" s="283" t="str">
        <f t="shared" si="52"/>
        <v/>
      </c>
      <c r="AL52" s="284" t="str">
        <f t="shared" si="53"/>
        <v/>
      </c>
      <c r="AM52" s="285" t="str">
        <f t="shared" si="54"/>
        <v/>
      </c>
      <c r="AN52" s="282">
        <f t="shared" si="55"/>
        <v>0</v>
      </c>
      <c r="AO52" s="282">
        <f t="shared" si="56"/>
        <v>0</v>
      </c>
      <c r="AP52" s="282">
        <f t="shared" si="57"/>
        <v>0</v>
      </c>
      <c r="AQ52" s="282" t="e">
        <f>VLOOKUP(LEFT($A52,7)&amp;"1-00",MCP!#REF!,30,FALSE)</f>
        <v>#REF!</v>
      </c>
      <c r="AR52" s="282" t="e">
        <f>VLOOKUP(LEFT($A52,7)&amp;"1-00",MCP!#REF!,31,FALSE)</f>
        <v>#REF!</v>
      </c>
      <c r="AS52" s="282" t="e">
        <f>VLOOKUP($A52&amp;"-"&amp;$B52,MCP!#REF!,12,FALSE)</f>
        <v>#REF!</v>
      </c>
      <c r="AT52" s="282" t="str">
        <f t="shared" si="58"/>
        <v/>
      </c>
      <c r="AU52" s="282" t="str">
        <f t="shared" si="59"/>
        <v/>
      </c>
      <c r="AV52" s="282" t="str">
        <f t="shared" si="60"/>
        <v/>
      </c>
      <c r="AW52" s="282" t="str">
        <f>IF($U52="","",VLOOKUP(LEFT($A52,7)&amp;"1-00",MCP!#REF!,24,FALSE))</f>
        <v/>
      </c>
      <c r="AX52" s="282">
        <v>-6538.4401195067276</v>
      </c>
      <c r="AY52" s="282">
        <v>-170.44059702397178</v>
      </c>
      <c r="BF52" s="174" t="str">
        <f t="shared" si="30"/>
        <v/>
      </c>
    </row>
    <row r="53" spans="1:58" x14ac:dyDescent="0.2">
      <c r="A53" s="282" t="str">
        <f t="shared" si="31"/>
        <v>1.1051.1</v>
      </c>
      <c r="B53" s="282" t="str">
        <f t="shared" si="32"/>
        <v>03</v>
      </c>
      <c r="C53" s="282" t="str">
        <f t="shared" si="33"/>
        <v>1.1051.1.03</v>
      </c>
      <c r="D53" s="161">
        <v>6.0918999999999999</v>
      </c>
      <c r="E53" s="161">
        <v>5.0000000000000001E-3</v>
      </c>
      <c r="F53" s="282">
        <f t="shared" si="34"/>
        <v>0.19139999999999999</v>
      </c>
      <c r="G53" s="161" t="s">
        <v>816</v>
      </c>
      <c r="H53" s="282">
        <f t="shared" si="35"/>
        <v>3.4111627359877678E-3</v>
      </c>
      <c r="I53" s="282" t="str">
        <f>A53&amp;"-"&amp;TEXT(MCP!$D$1,"00")</f>
        <v>1.1051.1-03</v>
      </c>
      <c r="J53" s="282">
        <f>IFERROR(VLOOKUP(I53,MCP!#REF!,10,FALSE),0)</f>
        <v>0</v>
      </c>
      <c r="K53" s="282">
        <f>IFERROR(VLOOKUP(I53,MCP!#REF!,19,FALSE),0)</f>
        <v>0</v>
      </c>
      <c r="L53" s="161">
        <v>51</v>
      </c>
      <c r="M53" s="161">
        <v>4.2309824113035315E-3</v>
      </c>
      <c r="N53" s="282" t="e">
        <f>IF($A53="","",VLOOKUP(LEFT($A53,7)&amp;"1-00",MCP!#REF!,N$1,FALSE))</f>
        <v>#REF!</v>
      </c>
      <c r="O53" s="282" t="e">
        <f>IF($A53="","",VLOOKUP(LEFT($A53,7)&amp;"1-00",MCP!#REF!,O$1,FALSE))</f>
        <v>#REF!</v>
      </c>
      <c r="P53" s="282" t="e">
        <f>IF($A53="","",VLOOKUP(LEFT($A53,7)&amp;"1-00",MCP!#REF!,P$1,FALSE))</f>
        <v>#REF!</v>
      </c>
      <c r="Q53" s="282" t="e">
        <f t="shared" si="36"/>
        <v>#REF!</v>
      </c>
      <c r="R53" s="282" t="e">
        <f t="shared" si="37"/>
        <v>#REF!</v>
      </c>
      <c r="S53" s="282" t="e">
        <f t="shared" si="38"/>
        <v>#REF!</v>
      </c>
      <c r="T53" s="282" t="e">
        <f>VLOOKUP(LEFT($A53,7)&amp;"1-00",MCP!#REF!,T$1,FALSE)</f>
        <v>#REF!</v>
      </c>
      <c r="U53" s="282" t="str">
        <f t="shared" si="39"/>
        <v/>
      </c>
      <c r="V53" s="282" t="str">
        <f t="shared" si="40"/>
        <v/>
      </c>
      <c r="W53" s="284" t="str">
        <f t="shared" si="41"/>
        <v/>
      </c>
      <c r="X53" s="161">
        <v>2.1968000000000001</v>
      </c>
      <c r="Y53" s="282">
        <v>0.45979999999999999</v>
      </c>
      <c r="Z53" s="284" t="str">
        <f t="shared" si="42"/>
        <v/>
      </c>
      <c r="AA53" s="282" t="str">
        <f t="shared" si="43"/>
        <v/>
      </c>
      <c r="AB53" s="282" t="str">
        <f t="shared" si="44"/>
        <v/>
      </c>
      <c r="AC53" s="282" t="str">
        <f t="shared" si="45"/>
        <v/>
      </c>
      <c r="AD53" s="282" t="str">
        <f t="shared" si="46"/>
        <v/>
      </c>
      <c r="AE53" s="282" t="str">
        <f t="shared" si="47"/>
        <v/>
      </c>
      <c r="AF53" s="282" t="str">
        <f t="shared" si="48"/>
        <v/>
      </c>
      <c r="AG53" s="282" t="str">
        <f t="shared" si="49"/>
        <v/>
      </c>
      <c r="AH53" s="282" t="str">
        <f t="shared" si="50"/>
        <v/>
      </c>
      <c r="AI53" s="282" t="str">
        <f t="shared" si="51"/>
        <v/>
      </c>
      <c r="AJ53" s="282" t="str">
        <f>IF(U53="","",VLOOKUP(LEFT(I53,6)&amp;".1-00",MCP!$AK$9:$AL$464,21,FALSE))</f>
        <v/>
      </c>
      <c r="AK53" s="283" t="str">
        <f t="shared" si="52"/>
        <v/>
      </c>
      <c r="AL53" s="284" t="str">
        <f t="shared" si="53"/>
        <v/>
      </c>
      <c r="AM53" s="285" t="str">
        <f t="shared" si="54"/>
        <v/>
      </c>
      <c r="AN53" s="282">
        <f t="shared" si="55"/>
        <v>0</v>
      </c>
      <c r="AO53" s="282">
        <f t="shared" si="56"/>
        <v>0</v>
      </c>
      <c r="AP53" s="282">
        <f t="shared" si="57"/>
        <v>0</v>
      </c>
      <c r="AQ53" s="282" t="e">
        <f>VLOOKUP(LEFT($A53,7)&amp;"1-00",MCP!#REF!,30,FALSE)</f>
        <v>#REF!</v>
      </c>
      <c r="AR53" s="282" t="e">
        <f>VLOOKUP(LEFT($A53,7)&amp;"1-00",MCP!#REF!,31,FALSE)</f>
        <v>#REF!</v>
      </c>
      <c r="AS53" s="282" t="e">
        <f>VLOOKUP($A53&amp;"-"&amp;$B53,MCP!#REF!,12,FALSE)</f>
        <v>#REF!</v>
      </c>
      <c r="AT53" s="282" t="str">
        <f t="shared" si="58"/>
        <v/>
      </c>
      <c r="AU53" s="282" t="str">
        <f t="shared" si="59"/>
        <v/>
      </c>
      <c r="AV53" s="282" t="str">
        <f t="shared" si="60"/>
        <v/>
      </c>
      <c r="AW53" s="282" t="str">
        <f>IF($U53="","",VLOOKUP(LEFT($A53,7)&amp;"1-00",MCP!#REF!,24,FALSE))</f>
        <v/>
      </c>
      <c r="AX53" s="282">
        <v>-17936.598210181535</v>
      </c>
      <c r="AY53" s="282">
        <v>-468.60556926470184</v>
      </c>
      <c r="BF53" s="174" t="str">
        <f t="shared" si="30"/>
        <v/>
      </c>
    </row>
    <row r="54" spans="1:58" x14ac:dyDescent="0.2">
      <c r="A54" s="282" t="str">
        <f t="shared" si="31"/>
        <v>4.1052.1</v>
      </c>
      <c r="B54" s="282" t="str">
        <f t="shared" si="32"/>
        <v>03</v>
      </c>
      <c r="C54" s="282" t="str">
        <f t="shared" si="33"/>
        <v>4.1052.1.03</v>
      </c>
      <c r="D54" s="161">
        <v>6.1169000000000002</v>
      </c>
      <c r="E54" s="161">
        <v>1.6000000000000001E-3</v>
      </c>
      <c r="F54" s="282">
        <f t="shared" si="34"/>
        <v>6.1499999999999999E-2</v>
      </c>
      <c r="G54" s="161" t="s">
        <v>860</v>
      </c>
      <c r="H54" s="282">
        <f t="shared" si="35"/>
        <v>1.0960632615634677E-3</v>
      </c>
      <c r="I54" s="282" t="str">
        <f>A54&amp;"-"&amp;TEXT(MCP!$D$1,"00")</f>
        <v>4.1052.1-03</v>
      </c>
      <c r="J54" s="282">
        <f>IFERROR(VLOOKUP(I54,MCP!#REF!,10,FALSE),0)</f>
        <v>0</v>
      </c>
      <c r="K54" s="282">
        <f>IFERROR(VLOOKUP(I54,MCP!#REF!,19,FALSE),0)</f>
        <v>0</v>
      </c>
      <c r="L54" s="161">
        <v>52</v>
      </c>
      <c r="M54" s="161">
        <v>1.3010181803924086E-3</v>
      </c>
      <c r="N54" s="282" t="e">
        <f>IF($A54="","",VLOOKUP(LEFT($A54,7)&amp;"1-00",MCP!#REF!,N$1,FALSE))</f>
        <v>#REF!</v>
      </c>
      <c r="O54" s="282" t="e">
        <f>IF($A54="","",VLOOKUP(LEFT($A54,7)&amp;"1-00",MCP!#REF!,O$1,FALSE))</f>
        <v>#REF!</v>
      </c>
      <c r="P54" s="282" t="e">
        <f>IF($A54="","",VLOOKUP(LEFT($A54,7)&amp;"1-00",MCP!#REF!,P$1,FALSE))</f>
        <v>#REF!</v>
      </c>
      <c r="Q54" s="282" t="e">
        <f t="shared" si="36"/>
        <v>#REF!</v>
      </c>
      <c r="R54" s="282" t="e">
        <f t="shared" si="37"/>
        <v>#REF!</v>
      </c>
      <c r="S54" s="282" t="e">
        <f t="shared" si="38"/>
        <v>#REF!</v>
      </c>
      <c r="T54" s="282" t="e">
        <f>VLOOKUP(LEFT($A54,7)&amp;"1-00",MCP!#REF!,T$1,FALSE)</f>
        <v>#REF!</v>
      </c>
      <c r="U54" s="282" t="str">
        <f t="shared" si="39"/>
        <v/>
      </c>
      <c r="V54" s="282" t="str">
        <f t="shared" si="40"/>
        <v/>
      </c>
      <c r="W54" s="284" t="str">
        <f t="shared" si="41"/>
        <v/>
      </c>
      <c r="X54" s="161">
        <v>1.9818</v>
      </c>
      <c r="Y54" s="282">
        <v>0.34239999999999998</v>
      </c>
      <c r="Z54" s="284" t="str">
        <f t="shared" si="42"/>
        <v/>
      </c>
      <c r="AA54" s="282" t="str">
        <f t="shared" si="43"/>
        <v/>
      </c>
      <c r="AB54" s="282" t="str">
        <f t="shared" si="44"/>
        <v/>
      </c>
      <c r="AC54" s="282" t="str">
        <f t="shared" si="45"/>
        <v/>
      </c>
      <c r="AD54" s="282" t="str">
        <f t="shared" si="46"/>
        <v/>
      </c>
      <c r="AE54" s="282" t="str">
        <f t="shared" si="47"/>
        <v/>
      </c>
      <c r="AF54" s="282" t="str">
        <f t="shared" si="48"/>
        <v/>
      </c>
      <c r="AG54" s="282" t="str">
        <f t="shared" si="49"/>
        <v/>
      </c>
      <c r="AH54" s="282" t="str">
        <f t="shared" si="50"/>
        <v/>
      </c>
      <c r="AI54" s="282" t="str">
        <f t="shared" si="51"/>
        <v/>
      </c>
      <c r="AJ54" s="282" t="str">
        <f>IF(U54="","",VLOOKUP(LEFT(I54,6)&amp;".1-00",MCP!$AK$9:$AL$464,21,FALSE))</f>
        <v/>
      </c>
      <c r="AK54" s="283" t="str">
        <f t="shared" si="52"/>
        <v/>
      </c>
      <c r="AL54" s="284" t="str">
        <f t="shared" si="53"/>
        <v/>
      </c>
      <c r="AM54" s="285" t="str">
        <f t="shared" si="54"/>
        <v/>
      </c>
      <c r="AN54" s="282">
        <f t="shared" si="55"/>
        <v>0</v>
      </c>
      <c r="AO54" s="282">
        <f t="shared" si="56"/>
        <v>0</v>
      </c>
      <c r="AP54" s="282">
        <f t="shared" si="57"/>
        <v>0</v>
      </c>
      <c r="AQ54" s="282" t="e">
        <f>VLOOKUP(LEFT($A54,7)&amp;"1-00",MCP!#REF!,30,FALSE)</f>
        <v>#REF!</v>
      </c>
      <c r="AR54" s="282" t="e">
        <f>VLOOKUP(LEFT($A54,7)&amp;"1-00",MCP!#REF!,31,FALSE)</f>
        <v>#REF!</v>
      </c>
      <c r="AS54" s="282" t="e">
        <f>VLOOKUP($A54&amp;"-"&amp;$B54,MCP!#REF!,12,FALSE)</f>
        <v>#REF!</v>
      </c>
      <c r="AT54" s="282" t="str">
        <f t="shared" si="58"/>
        <v/>
      </c>
      <c r="AU54" s="282" t="str">
        <f t="shared" si="59"/>
        <v/>
      </c>
      <c r="AV54" s="282" t="str">
        <f t="shared" si="60"/>
        <v/>
      </c>
      <c r="AW54" s="282" t="str">
        <f>IF($U54="","",VLOOKUP(LEFT($A54,7)&amp;"1-00",MCP!#REF!,24,FALSE))</f>
        <v/>
      </c>
      <c r="AX54" s="282">
        <v>-5395.2434536996543</v>
      </c>
      <c r="AY54" s="282">
        <v>-140.37824140340535</v>
      </c>
      <c r="BF54" s="174" t="str">
        <f t="shared" si="30"/>
        <v/>
      </c>
    </row>
    <row r="55" spans="1:58" x14ac:dyDescent="0.2">
      <c r="A55" s="282" t="str">
        <f t="shared" si="31"/>
        <v>3.1053.1</v>
      </c>
      <c r="B55" s="282" t="str">
        <f t="shared" si="32"/>
        <v>03</v>
      </c>
      <c r="C55" s="282" t="str">
        <f t="shared" si="33"/>
        <v>3.1053.1.03</v>
      </c>
      <c r="D55" s="161">
        <v>6.1109999999999998</v>
      </c>
      <c r="E55" s="161">
        <v>4.1999999999999997E-3</v>
      </c>
      <c r="F55" s="282">
        <f t="shared" si="34"/>
        <v>0.1613</v>
      </c>
      <c r="G55" s="161" t="s">
        <v>848</v>
      </c>
      <c r="H55" s="282">
        <f t="shared" si="35"/>
        <v>2.8747155136615828E-3</v>
      </c>
      <c r="I55" s="282" t="str">
        <f>A55&amp;"-"&amp;TEXT(MCP!$D$1,"00")</f>
        <v>3.1053.1-03</v>
      </c>
      <c r="J55" s="282">
        <f>IFERROR(VLOOKUP(I55,MCP!#REF!,10,FALSE),0)</f>
        <v>0</v>
      </c>
      <c r="K55" s="282">
        <f>IFERROR(VLOOKUP(I55,MCP!#REF!,19,FALSE),0)</f>
        <v>0</v>
      </c>
      <c r="L55" s="161">
        <v>53</v>
      </c>
      <c r="M55" s="161">
        <v>3.1491768832238166E-3</v>
      </c>
      <c r="N55" s="282" t="e">
        <f>IF($A55="","",VLOOKUP(LEFT($A55,7)&amp;"1-00",MCP!#REF!,N$1,FALSE))</f>
        <v>#REF!</v>
      </c>
      <c r="O55" s="282" t="e">
        <f>IF($A55="","",VLOOKUP(LEFT($A55,7)&amp;"1-00",MCP!#REF!,O$1,FALSE))</f>
        <v>#REF!</v>
      </c>
      <c r="P55" s="282" t="e">
        <f>IF($A55="","",VLOOKUP(LEFT($A55,7)&amp;"1-00",MCP!#REF!,P$1,FALSE))</f>
        <v>#REF!</v>
      </c>
      <c r="Q55" s="282" t="e">
        <f t="shared" si="36"/>
        <v>#REF!</v>
      </c>
      <c r="R55" s="282" t="e">
        <f t="shared" si="37"/>
        <v>#REF!</v>
      </c>
      <c r="S55" s="282" t="e">
        <f t="shared" si="38"/>
        <v>#REF!</v>
      </c>
      <c r="T55" s="282" t="e">
        <f>VLOOKUP(LEFT($A55,7)&amp;"1-00",MCP!#REF!,T$1,FALSE)</f>
        <v>#REF!</v>
      </c>
      <c r="U55" s="282" t="str">
        <f t="shared" si="39"/>
        <v/>
      </c>
      <c r="V55" s="282" t="str">
        <f t="shared" si="40"/>
        <v/>
      </c>
      <c r="W55" s="284" t="str">
        <f t="shared" si="41"/>
        <v/>
      </c>
      <c r="X55" s="161">
        <v>2.2397999999999998</v>
      </c>
      <c r="Y55" s="282">
        <v>0.5998</v>
      </c>
      <c r="Z55" s="284" t="str">
        <f t="shared" si="42"/>
        <v/>
      </c>
      <c r="AA55" s="282" t="str">
        <f t="shared" si="43"/>
        <v/>
      </c>
      <c r="AB55" s="282" t="str">
        <f t="shared" si="44"/>
        <v/>
      </c>
      <c r="AC55" s="282" t="str">
        <f t="shared" si="45"/>
        <v/>
      </c>
      <c r="AD55" s="282" t="str">
        <f t="shared" si="46"/>
        <v/>
      </c>
      <c r="AE55" s="282" t="str">
        <f t="shared" si="47"/>
        <v/>
      </c>
      <c r="AF55" s="282" t="str">
        <f t="shared" si="48"/>
        <v/>
      </c>
      <c r="AG55" s="282" t="str">
        <f t="shared" si="49"/>
        <v/>
      </c>
      <c r="AH55" s="282" t="str">
        <f t="shared" si="50"/>
        <v/>
      </c>
      <c r="AI55" s="282" t="str">
        <f t="shared" si="51"/>
        <v/>
      </c>
      <c r="AJ55" s="282" t="str">
        <f>IF(U55="","",VLOOKUP(LEFT(I55,6)&amp;".1-00",MCP!$AK$9:$AL$464,21,FALSE))</f>
        <v/>
      </c>
      <c r="AK55" s="283" t="str">
        <f t="shared" si="52"/>
        <v/>
      </c>
      <c r="AL55" s="284" t="str">
        <f t="shared" si="53"/>
        <v/>
      </c>
      <c r="AM55" s="285" t="str">
        <f t="shared" si="54"/>
        <v/>
      </c>
      <c r="AN55" s="282">
        <f t="shared" si="55"/>
        <v>0</v>
      </c>
      <c r="AO55" s="282">
        <f t="shared" si="56"/>
        <v>0</v>
      </c>
      <c r="AP55" s="282">
        <f t="shared" si="57"/>
        <v>0</v>
      </c>
      <c r="AQ55" s="282" t="e">
        <f>VLOOKUP(LEFT($A55,7)&amp;"1-00",MCP!#REF!,30,FALSE)</f>
        <v>#REF!</v>
      </c>
      <c r="AR55" s="282" t="e">
        <f>VLOOKUP(LEFT($A55,7)&amp;"1-00",MCP!#REF!,31,FALSE)</f>
        <v>#REF!</v>
      </c>
      <c r="AS55" s="282" t="e">
        <f>VLOOKUP($A55&amp;"-"&amp;$B55,MCP!#REF!,12,FALSE)</f>
        <v>#REF!</v>
      </c>
      <c r="AT55" s="282" t="str">
        <f t="shared" si="58"/>
        <v/>
      </c>
      <c r="AU55" s="282" t="str">
        <f t="shared" si="59"/>
        <v/>
      </c>
      <c r="AV55" s="282" t="str">
        <f t="shared" si="60"/>
        <v/>
      </c>
      <c r="AW55" s="282" t="str">
        <f>IF($U55="","",VLOOKUP(LEFT($A55,7)&amp;"1-00",MCP!#REF!,24,FALSE))</f>
        <v/>
      </c>
      <c r="AX55" s="282">
        <v>-11362.982282193627</v>
      </c>
      <c r="AY55" s="282">
        <v>-295.93762043474777</v>
      </c>
      <c r="BF55" s="174" t="str">
        <f t="shared" si="30"/>
        <v/>
      </c>
    </row>
    <row r="56" spans="1:58" x14ac:dyDescent="0.2">
      <c r="A56" s="282" t="str">
        <f t="shared" si="31"/>
        <v>5.1055.1</v>
      </c>
      <c r="B56" s="282" t="str">
        <f t="shared" si="32"/>
        <v>03</v>
      </c>
      <c r="C56" s="282" t="str">
        <f t="shared" si="33"/>
        <v>5.1055.1.03</v>
      </c>
      <c r="D56" s="161">
        <v>6.1139999999999999</v>
      </c>
      <c r="E56" s="161">
        <v>1.6999999999999999E-3</v>
      </c>
      <c r="F56" s="282">
        <f t="shared" si="34"/>
        <v>6.5299999999999997E-2</v>
      </c>
      <c r="G56" s="161" t="s">
        <v>893</v>
      </c>
      <c r="H56" s="282">
        <f t="shared" si="35"/>
        <v>1.1637874956112917E-3</v>
      </c>
      <c r="I56" s="282" t="str">
        <f>A56&amp;"-"&amp;TEXT(MCP!$D$1,"00")</f>
        <v>5.1055.1-03</v>
      </c>
      <c r="J56" s="282">
        <f>IFERROR(VLOOKUP(I56,MCP!#REF!,10,FALSE),0)</f>
        <v>0</v>
      </c>
      <c r="K56" s="282">
        <f>IFERROR(VLOOKUP(I56,MCP!#REF!,19,FALSE),0)</f>
        <v>0</v>
      </c>
      <c r="L56" s="161">
        <v>55</v>
      </c>
      <c r="M56" s="161">
        <v>1.2315117296591155E-3</v>
      </c>
      <c r="N56" s="282" t="e">
        <f>IF($A56="","",VLOOKUP(LEFT($A56,7)&amp;"1-00",MCP!#REF!,N$1,FALSE))</f>
        <v>#REF!</v>
      </c>
      <c r="O56" s="282" t="e">
        <f>IF($A56="","",VLOOKUP(LEFT($A56,7)&amp;"1-00",MCP!#REF!,O$1,FALSE))</f>
        <v>#REF!</v>
      </c>
      <c r="P56" s="282" t="e">
        <f>IF($A56="","",VLOOKUP(LEFT($A56,7)&amp;"1-00",MCP!#REF!,P$1,FALSE))</f>
        <v>#REF!</v>
      </c>
      <c r="Q56" s="282" t="e">
        <f t="shared" si="36"/>
        <v>#REF!</v>
      </c>
      <c r="R56" s="282" t="e">
        <f t="shared" si="37"/>
        <v>#REF!</v>
      </c>
      <c r="S56" s="282" t="e">
        <f t="shared" si="38"/>
        <v>#REF!</v>
      </c>
      <c r="T56" s="282" t="e">
        <f>VLOOKUP(LEFT($A56,7)&amp;"1-00",MCP!#REF!,T$1,FALSE)</f>
        <v>#REF!</v>
      </c>
      <c r="U56" s="282" t="str">
        <f t="shared" si="39"/>
        <v/>
      </c>
      <c r="V56" s="282" t="str">
        <f t="shared" si="40"/>
        <v/>
      </c>
      <c r="W56" s="284" t="str">
        <f t="shared" si="41"/>
        <v/>
      </c>
      <c r="X56" s="161">
        <v>2.3546999999999998</v>
      </c>
      <c r="Y56" s="284">
        <v>0.2228</v>
      </c>
      <c r="Z56" s="284" t="str">
        <f t="shared" si="42"/>
        <v/>
      </c>
      <c r="AA56" s="282" t="str">
        <f t="shared" si="43"/>
        <v/>
      </c>
      <c r="AB56" s="282" t="str">
        <f t="shared" si="44"/>
        <v/>
      </c>
      <c r="AC56" s="282" t="str">
        <f t="shared" si="45"/>
        <v/>
      </c>
      <c r="AD56" s="282" t="str">
        <f t="shared" si="46"/>
        <v/>
      </c>
      <c r="AE56" s="282" t="str">
        <f t="shared" si="47"/>
        <v/>
      </c>
      <c r="AF56" s="282" t="str">
        <f t="shared" si="48"/>
        <v/>
      </c>
      <c r="AG56" s="282" t="str">
        <f t="shared" si="49"/>
        <v/>
      </c>
      <c r="AH56" s="282" t="str">
        <f t="shared" si="50"/>
        <v/>
      </c>
      <c r="AI56" s="282" t="str">
        <f t="shared" si="51"/>
        <v/>
      </c>
      <c r="AJ56" s="282" t="str">
        <f>IF(U56="","",VLOOKUP(LEFT(I56,6)&amp;".1-00",MCP!$AK$9:$AL$464,21,FALSE))</f>
        <v/>
      </c>
      <c r="AK56" s="283" t="str">
        <f t="shared" si="52"/>
        <v/>
      </c>
      <c r="AL56" s="284" t="str">
        <f t="shared" si="53"/>
        <v/>
      </c>
      <c r="AM56" s="285" t="str">
        <f t="shared" si="54"/>
        <v/>
      </c>
      <c r="AN56" s="282">
        <f t="shared" si="55"/>
        <v>0</v>
      </c>
      <c r="AO56" s="282">
        <f t="shared" si="56"/>
        <v>0</v>
      </c>
      <c r="AP56" s="282">
        <f t="shared" si="57"/>
        <v>0</v>
      </c>
      <c r="AQ56" s="282" t="e">
        <f>VLOOKUP(LEFT($A56,7)&amp;"1-00",MCP!#REF!,30,FALSE)</f>
        <v>#REF!</v>
      </c>
      <c r="AR56" s="282" t="e">
        <f>VLOOKUP(LEFT($A56,7)&amp;"1-00",MCP!#REF!,31,FALSE)</f>
        <v>#REF!</v>
      </c>
      <c r="AS56" s="282" t="e">
        <f>VLOOKUP($A56&amp;"-"&amp;$B56,MCP!#REF!,12,FALSE)</f>
        <v>#REF!</v>
      </c>
      <c r="AT56" s="282" t="str">
        <f t="shared" si="58"/>
        <v/>
      </c>
      <c r="AU56" s="282" t="str">
        <f t="shared" si="59"/>
        <v/>
      </c>
      <c r="AV56" s="282" t="str">
        <f t="shared" si="60"/>
        <v/>
      </c>
      <c r="AW56" s="282" t="str">
        <f>IF($U56="","",VLOOKUP(LEFT($A56,7)&amp;"1-00",MCP!#REF!,24,FALSE))</f>
        <v/>
      </c>
      <c r="AX56" s="282">
        <v>-4029.0839187699962</v>
      </c>
      <c r="AY56" s="282">
        <v>-104.88201207136245</v>
      </c>
      <c r="BF56" s="174" t="str">
        <f t="shared" si="30"/>
        <v/>
      </c>
    </row>
    <row r="57" spans="1:58" x14ac:dyDescent="0.2">
      <c r="A57" s="282" t="str">
        <f t="shared" si="31"/>
        <v>1.1057.1</v>
      </c>
      <c r="B57" s="282" t="str">
        <f t="shared" si="32"/>
        <v>03</v>
      </c>
      <c r="C57" s="282" t="str">
        <f t="shared" si="33"/>
        <v>1.1057.1.03</v>
      </c>
      <c r="D57" s="161">
        <v>6.1231</v>
      </c>
      <c r="E57" s="161">
        <v>1E-4</v>
      </c>
      <c r="F57" s="282">
        <f t="shared" si="34"/>
        <v>3.8E-3</v>
      </c>
      <c r="G57" s="161" t="s">
        <v>892</v>
      </c>
      <c r="H57" s="282">
        <f t="shared" si="35"/>
        <v>6.7724234047824027E-5</v>
      </c>
      <c r="I57" s="282" t="str">
        <f>A57&amp;"-"&amp;TEXT(MCP!$D$1,"00")</f>
        <v>1.1057.1-03</v>
      </c>
      <c r="J57" s="282">
        <f>IFERROR(VLOOKUP(I57,MCP!#REF!,10,FALSE),0)</f>
        <v>0</v>
      </c>
      <c r="K57" s="282">
        <f>IFERROR(VLOOKUP(I57,MCP!#REF!,19,FALSE),0)</f>
        <v>0</v>
      </c>
      <c r="L57" s="161">
        <v>57</v>
      </c>
      <c r="M57" s="161">
        <v>6.7724234047824013E-5</v>
      </c>
      <c r="N57" s="282" t="e">
        <f>IF($A57="","",VLOOKUP(LEFT($A57,7)&amp;"1-00",MCP!#REF!,N$1,FALSE))</f>
        <v>#REF!</v>
      </c>
      <c r="O57" s="282" t="e">
        <f>IF($A57="","",VLOOKUP(LEFT($A57,7)&amp;"1-00",MCP!#REF!,O$1,FALSE))</f>
        <v>#REF!</v>
      </c>
      <c r="P57" s="282" t="e">
        <f>IF($A57="","",VLOOKUP(LEFT($A57,7)&amp;"1-00",MCP!#REF!,P$1,FALSE))</f>
        <v>#REF!</v>
      </c>
      <c r="Q57" s="282" t="e">
        <f t="shared" si="36"/>
        <v>#REF!</v>
      </c>
      <c r="R57" s="282" t="e">
        <f t="shared" si="37"/>
        <v>#REF!</v>
      </c>
      <c r="S57" s="282" t="e">
        <f t="shared" si="38"/>
        <v>#REF!</v>
      </c>
      <c r="T57" s="282" t="e">
        <f>VLOOKUP(LEFT($A57,7)&amp;"1-00",MCP!#REF!,T$1,FALSE)</f>
        <v>#REF!</v>
      </c>
      <c r="U57" s="282" t="str">
        <f t="shared" si="39"/>
        <v/>
      </c>
      <c r="V57" s="282" t="str">
        <f t="shared" si="40"/>
        <v/>
      </c>
      <c r="W57" s="284" t="str">
        <f t="shared" si="41"/>
        <v/>
      </c>
      <c r="X57" s="161">
        <v>2.8826000000000001</v>
      </c>
      <c r="Y57" s="282">
        <v>5.7799999999999997E-2</v>
      </c>
      <c r="Z57" s="284" t="str">
        <f t="shared" si="42"/>
        <v/>
      </c>
      <c r="AA57" s="282" t="str">
        <f t="shared" si="43"/>
        <v/>
      </c>
      <c r="AB57" s="282" t="str">
        <f t="shared" si="44"/>
        <v/>
      </c>
      <c r="AC57" s="282" t="str">
        <f t="shared" si="45"/>
        <v/>
      </c>
      <c r="AD57" s="282" t="str">
        <f t="shared" si="46"/>
        <v/>
      </c>
      <c r="AE57" s="282" t="str">
        <f t="shared" si="47"/>
        <v/>
      </c>
      <c r="AF57" s="282" t="str">
        <f t="shared" si="48"/>
        <v/>
      </c>
      <c r="AG57" s="282" t="str">
        <f t="shared" si="49"/>
        <v/>
      </c>
      <c r="AH57" s="282" t="str">
        <f t="shared" si="50"/>
        <v/>
      </c>
      <c r="AI57" s="282" t="str">
        <f t="shared" si="51"/>
        <v/>
      </c>
      <c r="AJ57" s="282" t="str">
        <f>IF(U57="","",VLOOKUP(LEFT(I57,6)&amp;".1-00",MCP!$AK$9:$AL$464,21,FALSE))</f>
        <v/>
      </c>
      <c r="AK57" s="283" t="str">
        <f t="shared" si="52"/>
        <v/>
      </c>
      <c r="AL57" s="284" t="str">
        <f t="shared" si="53"/>
        <v/>
      </c>
      <c r="AM57" s="285" t="str">
        <f t="shared" si="54"/>
        <v/>
      </c>
      <c r="AN57" s="282">
        <f t="shared" si="55"/>
        <v>0</v>
      </c>
      <c r="AO57" s="282">
        <f t="shared" si="56"/>
        <v>0</v>
      </c>
      <c r="AP57" s="282">
        <f t="shared" si="57"/>
        <v>0</v>
      </c>
      <c r="AQ57" s="282" t="e">
        <f>VLOOKUP(LEFT($A57,7)&amp;"1-00",MCP!#REF!,30,FALSE)</f>
        <v>#REF!</v>
      </c>
      <c r="AR57" s="282" t="e">
        <f>VLOOKUP(LEFT($A57,7)&amp;"1-00",MCP!#REF!,31,FALSE)</f>
        <v>#REF!</v>
      </c>
      <c r="AS57" s="282" t="e">
        <f>VLOOKUP($A57&amp;"-"&amp;$B57,MCP!#REF!,12,FALSE)</f>
        <v>#REF!</v>
      </c>
      <c r="AT57" s="282" t="str">
        <f t="shared" si="58"/>
        <v/>
      </c>
      <c r="AU57" s="282" t="str">
        <f t="shared" si="59"/>
        <v/>
      </c>
      <c r="AV57" s="282" t="str">
        <f t="shared" si="60"/>
        <v/>
      </c>
      <c r="AW57" s="282" t="str">
        <f>IF($U57="","",VLOOKUP(LEFT($A57,7)&amp;"1-00",MCP!#REF!,24,FALSE))</f>
        <v/>
      </c>
      <c r="AX57" s="282">
        <v>-212.27444851564823</v>
      </c>
      <c r="AY57" s="282">
        <v>-5.5175528365323929</v>
      </c>
      <c r="BF57" s="174" t="str">
        <f t="shared" si="30"/>
        <v/>
      </c>
    </row>
    <row r="58" spans="1:58" x14ac:dyDescent="0.2">
      <c r="A58" s="282" t="str">
        <f t="shared" si="31"/>
        <v>1.1001.2</v>
      </c>
      <c r="B58" s="282" t="str">
        <f t="shared" si="32"/>
        <v>03</v>
      </c>
      <c r="C58" s="282" t="str">
        <f t="shared" si="33"/>
        <v>1.1001.2.03</v>
      </c>
      <c r="D58" s="161">
        <v>0.19470000000000001</v>
      </c>
      <c r="E58" s="161">
        <v>1.3299999999999999E-2</v>
      </c>
      <c r="F58" s="282">
        <f t="shared" si="34"/>
        <v>1.6299999999999999E-2</v>
      </c>
      <c r="G58" s="161" t="s">
        <v>453</v>
      </c>
      <c r="H58" s="282">
        <f t="shared" si="35"/>
        <v>2.9050131973145564E-4</v>
      </c>
      <c r="I58" s="282" t="str">
        <f>A58&amp;"-"&amp;TEXT(MCP!$D$1,"00")</f>
        <v>1.1001.2-03</v>
      </c>
      <c r="J58" s="282">
        <f>IFERROR(VLOOKUP(I58,MCP!#REF!,10,FALSE),0)</f>
        <v>0</v>
      </c>
      <c r="K58" s="282">
        <f>IFERROR(VLOOKUP(I58,MCP!#REF!,19,FALSE),0)</f>
        <v>0</v>
      </c>
      <c r="N58" s="282" t="e">
        <f>IF($A58="","",VLOOKUP(LEFT($A58,7)&amp;"1-00",MCP!#REF!,N$1,FALSE))</f>
        <v>#REF!</v>
      </c>
      <c r="O58" s="282" t="e">
        <f>IF($A58="","",VLOOKUP(LEFT($A58,7)&amp;"1-00",MCP!#REF!,O$1,FALSE))</f>
        <v>#REF!</v>
      </c>
      <c r="P58" s="282" t="e">
        <f>IF($A58="","",VLOOKUP(LEFT($A58,7)&amp;"1-00",MCP!#REF!,P$1,FALSE))</f>
        <v>#REF!</v>
      </c>
      <c r="Q58" s="282" t="str">
        <f t="shared" si="36"/>
        <v/>
      </c>
      <c r="R58" s="282" t="str">
        <f t="shared" si="37"/>
        <v/>
      </c>
      <c r="S58" s="282" t="str">
        <f t="shared" si="38"/>
        <v/>
      </c>
      <c r="T58" s="282" t="e">
        <f>VLOOKUP(LEFT($A58,7)&amp;"1-00",MCP!#REF!,T$1,FALSE)</f>
        <v>#REF!</v>
      </c>
      <c r="U58" s="282" t="e">
        <f t="shared" si="39"/>
        <v>#REF!</v>
      </c>
      <c r="V58" s="282" t="e">
        <f t="shared" si="40"/>
        <v>#REF!</v>
      </c>
      <c r="W58" s="284" t="e">
        <f t="shared" si="41"/>
        <v>#REF!</v>
      </c>
      <c r="X58" s="161">
        <v>-0.24360000000000001</v>
      </c>
      <c r="Y58" s="282">
        <v>2.0211999999999999</v>
      </c>
      <c r="Z58" s="284" t="e">
        <f t="shared" si="42"/>
        <v>#REF!</v>
      </c>
      <c r="AA58" s="282" t="e">
        <f t="shared" si="43"/>
        <v>#REF!</v>
      </c>
      <c r="AB58" s="282" t="e">
        <f t="shared" si="44"/>
        <v>#REF!</v>
      </c>
      <c r="AC58" s="282" t="e">
        <f t="shared" si="45"/>
        <v>#REF!</v>
      </c>
      <c r="AD58" s="282" t="e">
        <f t="shared" si="46"/>
        <v>#REF!</v>
      </c>
      <c r="AE58" s="282" t="e">
        <f t="shared" si="47"/>
        <v>#REF!</v>
      </c>
      <c r="AF58" s="282" t="e">
        <f t="shared" si="48"/>
        <v>#REF!</v>
      </c>
      <c r="AG58" s="282" t="e">
        <f t="shared" si="49"/>
        <v>#REF!</v>
      </c>
      <c r="AH58" s="282" t="e">
        <f t="shared" si="50"/>
        <v>#REF!</v>
      </c>
      <c r="AI58" s="282" t="e">
        <f t="shared" si="51"/>
        <v>#REF!</v>
      </c>
      <c r="AJ58" s="282" t="e">
        <f>IF(U58="","",VLOOKUP(LEFT(I58,6)&amp;".1-00",MCP!$AK$9:$AL$464,21,FALSE))</f>
        <v>#REF!</v>
      </c>
      <c r="AK58" s="283" t="e">
        <f t="shared" si="52"/>
        <v>#REF!</v>
      </c>
      <c r="AL58" s="284" t="e">
        <f t="shared" si="53"/>
        <v>#REF!</v>
      </c>
      <c r="AM58" s="285" t="e">
        <f t="shared" si="54"/>
        <v>#REF!</v>
      </c>
      <c r="AN58" s="282">
        <f t="shared" si="55"/>
        <v>0</v>
      </c>
      <c r="AO58" s="282">
        <f t="shared" si="56"/>
        <v>0</v>
      </c>
      <c r="AP58" s="282">
        <f t="shared" si="57"/>
        <v>0</v>
      </c>
      <c r="AQ58" s="282" t="e">
        <f>VLOOKUP(LEFT($A58,7)&amp;"1-00",MCP!#REF!,30,FALSE)</f>
        <v>#REF!</v>
      </c>
      <c r="AR58" s="282" t="e">
        <f>VLOOKUP(LEFT($A58,7)&amp;"1-00",MCP!#REF!,31,FALSE)</f>
        <v>#REF!</v>
      </c>
      <c r="AS58" s="282" t="e">
        <f>VLOOKUP($A58&amp;"-"&amp;$B58,MCP!#REF!,12,FALSE)</f>
        <v>#REF!</v>
      </c>
      <c r="AT58" s="282" t="e">
        <f t="shared" si="58"/>
        <v>#REF!</v>
      </c>
      <c r="AU58" s="282" t="e">
        <f t="shared" si="59"/>
        <v>#REF!</v>
      </c>
      <c r="AV58" s="282" t="e">
        <f t="shared" si="60"/>
        <v>#REF!</v>
      </c>
      <c r="AW58" s="282" t="e">
        <f>IF($U58="","",VLOOKUP(LEFT($A58,7)&amp;"1-00",MCP!#REF!,24,FALSE))</f>
        <v>#REF!</v>
      </c>
      <c r="AX58" s="282"/>
      <c r="AY58" s="282"/>
      <c r="BF58" s="175" t="e">
        <f t="shared" si="30"/>
        <v>#REF!</v>
      </c>
    </row>
    <row r="59" spans="1:58" x14ac:dyDescent="0.2">
      <c r="A59" s="282" t="str">
        <f t="shared" si="31"/>
        <v>1.1004.2</v>
      </c>
      <c r="B59" s="282" t="str">
        <f t="shared" si="32"/>
        <v>03</v>
      </c>
      <c r="C59" s="282" t="str">
        <f t="shared" si="33"/>
        <v>1.1004.2.03</v>
      </c>
      <c r="D59" s="161">
        <v>0.95399999999999996</v>
      </c>
      <c r="E59" s="161">
        <v>8.3000000000000001E-3</v>
      </c>
      <c r="F59" s="282">
        <f t="shared" si="34"/>
        <v>4.9799999999999997E-2</v>
      </c>
      <c r="G59" s="161" t="s">
        <v>657</v>
      </c>
      <c r="H59" s="282">
        <f t="shared" si="35"/>
        <v>8.8754390936358852E-4</v>
      </c>
      <c r="I59" s="282" t="str">
        <f>A59&amp;"-"&amp;TEXT(MCP!$D$1,"00")</f>
        <v>1.1004.2-03</v>
      </c>
      <c r="J59" s="282">
        <f>IFERROR(VLOOKUP(I59,MCP!#REF!,10,FALSE),0)</f>
        <v>0</v>
      </c>
      <c r="K59" s="282">
        <f>IFERROR(VLOOKUP(I59,MCP!#REF!,19,FALSE),0)</f>
        <v>0</v>
      </c>
      <c r="N59" s="282" t="e">
        <f>IF($A59="","",VLOOKUP(LEFT($A59,7)&amp;"1-00",MCP!#REF!,N$1,FALSE))</f>
        <v>#REF!</v>
      </c>
      <c r="O59" s="282" t="e">
        <f>IF($A59="","",VLOOKUP(LEFT($A59,7)&amp;"1-00",MCP!#REF!,O$1,FALSE))</f>
        <v>#REF!</v>
      </c>
      <c r="P59" s="282" t="e">
        <f>IF($A59="","",VLOOKUP(LEFT($A59,7)&amp;"1-00",MCP!#REF!,P$1,FALSE))</f>
        <v>#REF!</v>
      </c>
      <c r="Q59" s="282" t="str">
        <f t="shared" si="36"/>
        <v/>
      </c>
      <c r="R59" s="282" t="str">
        <f t="shared" si="37"/>
        <v/>
      </c>
      <c r="S59" s="282" t="str">
        <f t="shared" si="38"/>
        <v/>
      </c>
      <c r="T59" s="282" t="e">
        <f>VLOOKUP(LEFT($A59,7)&amp;"1-00",MCP!#REF!,T$1,FALSE)</f>
        <v>#REF!</v>
      </c>
      <c r="U59" s="282" t="e">
        <f t="shared" si="39"/>
        <v>#REF!</v>
      </c>
      <c r="V59" s="282" t="e">
        <f t="shared" si="40"/>
        <v>#REF!</v>
      </c>
      <c r="W59" s="284" t="e">
        <f t="shared" si="41"/>
        <v>#REF!</v>
      </c>
      <c r="X59" s="161">
        <v>-0.57630000000000003</v>
      </c>
      <c r="Y59" s="284">
        <v>1.3852</v>
      </c>
      <c r="Z59" s="284" t="e">
        <f t="shared" si="42"/>
        <v>#REF!</v>
      </c>
      <c r="AA59" s="282" t="e">
        <f t="shared" si="43"/>
        <v>#REF!</v>
      </c>
      <c r="AB59" s="282" t="e">
        <f t="shared" si="44"/>
        <v>#REF!</v>
      </c>
      <c r="AC59" s="282" t="e">
        <f t="shared" si="45"/>
        <v>#REF!</v>
      </c>
      <c r="AD59" s="282" t="e">
        <f t="shared" si="46"/>
        <v>#REF!</v>
      </c>
      <c r="AE59" s="282" t="e">
        <f t="shared" si="47"/>
        <v>#REF!</v>
      </c>
      <c r="AF59" s="282" t="e">
        <f t="shared" si="48"/>
        <v>#REF!</v>
      </c>
      <c r="AG59" s="282" t="e">
        <f t="shared" si="49"/>
        <v>#REF!</v>
      </c>
      <c r="AH59" s="282" t="e">
        <f t="shared" si="50"/>
        <v>#REF!</v>
      </c>
      <c r="AI59" s="282" t="e">
        <f t="shared" si="51"/>
        <v>#REF!</v>
      </c>
      <c r="AJ59" s="282" t="e">
        <f>IF(U59="","",VLOOKUP(LEFT(I59,6)&amp;".1-00",MCP!$AK$9:$AL$464,21,FALSE))</f>
        <v>#REF!</v>
      </c>
      <c r="AK59" s="283" t="e">
        <f t="shared" si="52"/>
        <v>#REF!</v>
      </c>
      <c r="AL59" s="284" t="e">
        <f t="shared" si="53"/>
        <v>#REF!</v>
      </c>
      <c r="AM59" s="285" t="e">
        <f t="shared" si="54"/>
        <v>#REF!</v>
      </c>
      <c r="AN59" s="282">
        <f t="shared" si="55"/>
        <v>0</v>
      </c>
      <c r="AO59" s="282">
        <f t="shared" si="56"/>
        <v>0</v>
      </c>
      <c r="AP59" s="282">
        <f t="shared" si="57"/>
        <v>0</v>
      </c>
      <c r="AQ59" s="282" t="e">
        <f>VLOOKUP(LEFT($A59,7)&amp;"1-00",MCP!#REF!,30,FALSE)</f>
        <v>#REF!</v>
      </c>
      <c r="AR59" s="282" t="e">
        <f>VLOOKUP(LEFT($A59,7)&amp;"1-00",MCP!#REF!,31,FALSE)</f>
        <v>#REF!</v>
      </c>
      <c r="AS59" s="282" t="e">
        <f>VLOOKUP($A59&amp;"-"&amp;$B59,MCP!#REF!,12,FALSE)</f>
        <v>#REF!</v>
      </c>
      <c r="AT59" s="282" t="e">
        <f t="shared" si="58"/>
        <v>#REF!</v>
      </c>
      <c r="AU59" s="282" t="e">
        <f t="shared" si="59"/>
        <v>#REF!</v>
      </c>
      <c r="AV59" s="282" t="e">
        <f t="shared" si="60"/>
        <v>#REF!</v>
      </c>
      <c r="AW59" s="282" t="e">
        <f>IF($U59="","",VLOOKUP(LEFT($A59,7)&amp;"1-00",MCP!#REF!,24,FALSE))</f>
        <v>#REF!</v>
      </c>
      <c r="AX59" s="282"/>
      <c r="AY59" s="282"/>
      <c r="BF59" s="175" t="e">
        <f t="shared" si="30"/>
        <v>#REF!</v>
      </c>
    </row>
    <row r="60" spans="1:58" x14ac:dyDescent="0.2">
      <c r="A60" s="282" t="str">
        <f t="shared" si="31"/>
        <v>1.1007.2</v>
      </c>
      <c r="B60" s="282" t="str">
        <f t="shared" si="32"/>
        <v>03</v>
      </c>
      <c r="C60" s="282" t="str">
        <f t="shared" si="33"/>
        <v>1.1007.2.03</v>
      </c>
      <c r="D60" s="161">
        <v>1.6808000000000001</v>
      </c>
      <c r="E60" s="161">
        <v>8.3999999999999995E-3</v>
      </c>
      <c r="F60" s="282">
        <f t="shared" si="34"/>
        <v>8.8700000000000001E-2</v>
      </c>
      <c r="G60" s="161" t="s">
        <v>455</v>
      </c>
      <c r="H60" s="282">
        <f t="shared" si="35"/>
        <v>1.5808262000110503E-3</v>
      </c>
      <c r="I60" s="282" t="str">
        <f>A60&amp;"-"&amp;TEXT(MCP!$D$1,"00")</f>
        <v>1.1007.2-03</v>
      </c>
      <c r="J60" s="282">
        <f>IFERROR(VLOOKUP(I60,MCP!#REF!,10,FALSE),0)</f>
        <v>0</v>
      </c>
      <c r="K60" s="282">
        <f>IFERROR(VLOOKUP(I60,MCP!#REF!,19,FALSE),0)</f>
        <v>0</v>
      </c>
      <c r="N60" s="282" t="e">
        <f>IF($A60="","",VLOOKUP(LEFT($A60,7)&amp;"1-00",MCP!#REF!,N$1,FALSE))</f>
        <v>#REF!</v>
      </c>
      <c r="O60" s="282" t="e">
        <f>IF($A60="","",VLOOKUP(LEFT($A60,7)&amp;"1-00",MCP!#REF!,O$1,FALSE))</f>
        <v>#REF!</v>
      </c>
      <c r="P60" s="282" t="e">
        <f>IF($A60="","",VLOOKUP(LEFT($A60,7)&amp;"1-00",MCP!#REF!,P$1,FALSE))</f>
        <v>#REF!</v>
      </c>
      <c r="Q60" s="282" t="str">
        <f t="shared" si="36"/>
        <v/>
      </c>
      <c r="R60" s="282" t="str">
        <f t="shared" si="37"/>
        <v/>
      </c>
      <c r="S60" s="282" t="str">
        <f t="shared" si="38"/>
        <v/>
      </c>
      <c r="T60" s="282" t="e">
        <f>VLOOKUP(LEFT($A60,7)&amp;"1-00",MCP!#REF!,T$1,FALSE)</f>
        <v>#REF!</v>
      </c>
      <c r="U60" s="282" t="e">
        <f t="shared" si="39"/>
        <v>#REF!</v>
      </c>
      <c r="V60" s="282" t="e">
        <f t="shared" si="40"/>
        <v>#REF!</v>
      </c>
      <c r="W60" s="284" t="e">
        <f t="shared" si="41"/>
        <v>#REF!</v>
      </c>
      <c r="X60" s="161">
        <v>-0.77090000000000003</v>
      </c>
      <c r="Y60" s="284">
        <v>1.3872</v>
      </c>
      <c r="Z60" s="284" t="e">
        <f t="shared" si="42"/>
        <v>#REF!</v>
      </c>
      <c r="AA60" s="282" t="e">
        <f t="shared" si="43"/>
        <v>#REF!</v>
      </c>
      <c r="AB60" s="282" t="e">
        <f t="shared" si="44"/>
        <v>#REF!</v>
      </c>
      <c r="AC60" s="282" t="e">
        <f t="shared" si="45"/>
        <v>#REF!</v>
      </c>
      <c r="AD60" s="282" t="e">
        <f t="shared" si="46"/>
        <v>#REF!</v>
      </c>
      <c r="AE60" s="282" t="e">
        <f t="shared" si="47"/>
        <v>#REF!</v>
      </c>
      <c r="AF60" s="282" t="e">
        <f t="shared" si="48"/>
        <v>#REF!</v>
      </c>
      <c r="AG60" s="282" t="e">
        <f t="shared" si="49"/>
        <v>#REF!</v>
      </c>
      <c r="AH60" s="282" t="e">
        <f t="shared" si="50"/>
        <v>#REF!</v>
      </c>
      <c r="AI60" s="282" t="e">
        <f t="shared" si="51"/>
        <v>#REF!</v>
      </c>
      <c r="AJ60" s="282" t="e">
        <f>IF(U60="","",VLOOKUP(LEFT(I60,6)&amp;".1-00",MCP!$AK$9:$AL$464,21,FALSE))</f>
        <v>#REF!</v>
      </c>
      <c r="AK60" s="283" t="e">
        <f t="shared" si="52"/>
        <v>#REF!</v>
      </c>
      <c r="AL60" s="284" t="e">
        <f t="shared" si="53"/>
        <v>#REF!</v>
      </c>
      <c r="AM60" s="285" t="e">
        <f t="shared" si="54"/>
        <v>#REF!</v>
      </c>
      <c r="AN60" s="282">
        <f t="shared" si="55"/>
        <v>0</v>
      </c>
      <c r="AO60" s="282">
        <f t="shared" si="56"/>
        <v>0</v>
      </c>
      <c r="AP60" s="282">
        <f t="shared" si="57"/>
        <v>0</v>
      </c>
      <c r="AQ60" s="282" t="e">
        <f>VLOOKUP(LEFT($A60,7)&amp;"1-00",MCP!#REF!,30,FALSE)</f>
        <v>#REF!</v>
      </c>
      <c r="AR60" s="282" t="e">
        <f>VLOOKUP(LEFT($A60,7)&amp;"1-00",MCP!#REF!,31,FALSE)</f>
        <v>#REF!</v>
      </c>
      <c r="AS60" s="282" t="e">
        <f>VLOOKUP($A60&amp;"-"&amp;$B60,MCP!#REF!,12,FALSE)</f>
        <v>#REF!</v>
      </c>
      <c r="AT60" s="282" t="e">
        <f t="shared" si="58"/>
        <v>#REF!</v>
      </c>
      <c r="AU60" s="282" t="e">
        <f t="shared" si="59"/>
        <v>#REF!</v>
      </c>
      <c r="AV60" s="282" t="e">
        <f t="shared" si="60"/>
        <v>#REF!</v>
      </c>
      <c r="AW60" s="282" t="e">
        <f>IF($U60="","",VLOOKUP(LEFT($A60,7)&amp;"1-00",MCP!#REF!,24,FALSE))</f>
        <v>#REF!</v>
      </c>
      <c r="AX60" s="282"/>
      <c r="AY60" s="282"/>
      <c r="BF60" s="175" t="e">
        <f t="shared" si="30"/>
        <v>#REF!</v>
      </c>
    </row>
    <row r="61" spans="1:58" x14ac:dyDescent="0.2">
      <c r="A61" s="282" t="str">
        <f t="shared" si="31"/>
        <v>1.1010.2</v>
      </c>
      <c r="B61" s="282" t="str">
        <f t="shared" si="32"/>
        <v>03</v>
      </c>
      <c r="C61" s="282" t="str">
        <f t="shared" si="33"/>
        <v>1.1010.2.03</v>
      </c>
      <c r="D61" s="161">
        <v>2.3900999999999999</v>
      </c>
      <c r="E61" s="161">
        <v>7.7999999999999996E-3</v>
      </c>
      <c r="F61" s="282">
        <f t="shared" si="34"/>
        <v>0.1171</v>
      </c>
      <c r="G61" s="161" t="s">
        <v>805</v>
      </c>
      <c r="H61" s="282">
        <f t="shared" si="35"/>
        <v>2.0869757386842614E-3</v>
      </c>
      <c r="I61" s="282" t="str">
        <f>A61&amp;"-"&amp;TEXT(MCP!$D$1,"00")</f>
        <v>1.1010.2-03</v>
      </c>
      <c r="J61" s="282">
        <f>IFERROR(VLOOKUP(I61,MCP!#REF!,10,FALSE),0)</f>
        <v>0</v>
      </c>
      <c r="K61" s="282">
        <f>IFERROR(VLOOKUP(I61,MCP!#REF!,19,FALSE),0)</f>
        <v>0</v>
      </c>
      <c r="N61" s="282" t="e">
        <f>IF($A61="","",VLOOKUP(LEFT($A61,7)&amp;"1-00",MCP!#REF!,N$1,FALSE))</f>
        <v>#REF!</v>
      </c>
      <c r="O61" s="282" t="e">
        <f>IF($A61="","",VLOOKUP(LEFT($A61,7)&amp;"1-00",MCP!#REF!,O$1,FALSE))</f>
        <v>#REF!</v>
      </c>
      <c r="P61" s="282" t="e">
        <f>IF($A61="","",VLOOKUP(LEFT($A61,7)&amp;"1-00",MCP!#REF!,P$1,FALSE))</f>
        <v>#REF!</v>
      </c>
      <c r="Q61" s="282" t="str">
        <f t="shared" si="36"/>
        <v/>
      </c>
      <c r="R61" s="282" t="str">
        <f t="shared" si="37"/>
        <v/>
      </c>
      <c r="S61" s="282" t="str">
        <f t="shared" si="38"/>
        <v/>
      </c>
      <c r="T61" s="282" t="e">
        <f>VLOOKUP(LEFT($A61,7)&amp;"1-00",MCP!#REF!,T$1,FALSE)</f>
        <v>#REF!</v>
      </c>
      <c r="U61" s="282" t="e">
        <f t="shared" si="39"/>
        <v>#REF!</v>
      </c>
      <c r="V61" s="282" t="e">
        <f t="shared" si="40"/>
        <v>#REF!</v>
      </c>
      <c r="W61" s="284" t="e">
        <f t="shared" si="41"/>
        <v>#REF!</v>
      </c>
      <c r="X61" s="161">
        <v>-0.96819999999999995</v>
      </c>
      <c r="Y61" s="282">
        <v>1.3176000000000001</v>
      </c>
      <c r="Z61" s="284" t="e">
        <f t="shared" si="42"/>
        <v>#REF!</v>
      </c>
      <c r="AA61" s="282" t="e">
        <f t="shared" si="43"/>
        <v>#REF!</v>
      </c>
      <c r="AB61" s="282" t="e">
        <f t="shared" si="44"/>
        <v>#REF!</v>
      </c>
      <c r="AC61" s="282" t="e">
        <f t="shared" si="45"/>
        <v>#REF!</v>
      </c>
      <c r="AD61" s="282" t="e">
        <f t="shared" si="46"/>
        <v>#REF!</v>
      </c>
      <c r="AE61" s="282" t="e">
        <f t="shared" si="47"/>
        <v>#REF!</v>
      </c>
      <c r="AF61" s="282" t="e">
        <f t="shared" si="48"/>
        <v>#REF!</v>
      </c>
      <c r="AG61" s="282" t="e">
        <f t="shared" si="49"/>
        <v>#REF!</v>
      </c>
      <c r="AH61" s="282" t="e">
        <f t="shared" si="50"/>
        <v>#REF!</v>
      </c>
      <c r="AI61" s="282" t="e">
        <f t="shared" si="51"/>
        <v>#REF!</v>
      </c>
      <c r="AJ61" s="282" t="e">
        <f>IF(U61="","",VLOOKUP(LEFT(I61,6)&amp;".1-00",MCP!$AK$9:$AL$464,21,FALSE))</f>
        <v>#REF!</v>
      </c>
      <c r="AK61" s="283" t="e">
        <f t="shared" si="52"/>
        <v>#REF!</v>
      </c>
      <c r="AL61" s="284" t="e">
        <f t="shared" si="53"/>
        <v>#REF!</v>
      </c>
      <c r="AM61" s="285" t="e">
        <f t="shared" si="54"/>
        <v>#REF!</v>
      </c>
      <c r="AN61" s="282">
        <f t="shared" si="55"/>
        <v>0</v>
      </c>
      <c r="AO61" s="282">
        <f t="shared" si="56"/>
        <v>0</v>
      </c>
      <c r="AP61" s="282">
        <f t="shared" si="57"/>
        <v>0</v>
      </c>
      <c r="AQ61" s="282" t="e">
        <f>VLOOKUP(LEFT($A61,7)&amp;"1-00",MCP!#REF!,30,FALSE)</f>
        <v>#REF!</v>
      </c>
      <c r="AR61" s="282" t="e">
        <f>VLOOKUP(LEFT($A61,7)&amp;"1-00",MCP!#REF!,31,FALSE)</f>
        <v>#REF!</v>
      </c>
      <c r="AS61" s="282" t="e">
        <f>VLOOKUP($A61&amp;"-"&amp;$B61,MCP!#REF!,12,FALSE)</f>
        <v>#REF!</v>
      </c>
      <c r="AT61" s="282" t="e">
        <f t="shared" si="58"/>
        <v>#REF!</v>
      </c>
      <c r="AU61" s="282" t="e">
        <f t="shared" si="59"/>
        <v>#REF!</v>
      </c>
      <c r="AV61" s="282" t="e">
        <f t="shared" si="60"/>
        <v>#REF!</v>
      </c>
      <c r="AW61" s="282" t="e">
        <f>IF($U61="","",VLOOKUP(LEFT($A61,7)&amp;"1-00",MCP!#REF!,24,FALSE))</f>
        <v>#REF!</v>
      </c>
      <c r="AX61" s="282"/>
      <c r="AY61" s="282"/>
      <c r="BF61" s="175" t="e">
        <f t="shared" si="30"/>
        <v>#REF!</v>
      </c>
    </row>
    <row r="62" spans="1:58" x14ac:dyDescent="0.2">
      <c r="A62" s="282" t="str">
        <f t="shared" si="31"/>
        <v>1.1015.2</v>
      </c>
      <c r="B62" s="282" t="str">
        <f t="shared" si="32"/>
        <v>03</v>
      </c>
      <c r="C62" s="282" t="str">
        <f t="shared" si="33"/>
        <v>1.1015.2.03</v>
      </c>
      <c r="D62" s="161">
        <v>3.1774</v>
      </c>
      <c r="E62" s="161">
        <v>8.6E-3</v>
      </c>
      <c r="F62" s="282">
        <f t="shared" si="34"/>
        <v>0.17169999999999999</v>
      </c>
      <c r="G62" s="161" t="s">
        <v>807</v>
      </c>
      <c r="H62" s="282">
        <f t="shared" si="35"/>
        <v>3.0600660489503643E-3</v>
      </c>
      <c r="I62" s="282" t="str">
        <f>A62&amp;"-"&amp;TEXT(MCP!$D$1,"00")</f>
        <v>1.1015.2-03</v>
      </c>
      <c r="J62" s="282">
        <f>IFERROR(VLOOKUP(I62,MCP!#REF!,10,FALSE),0)</f>
        <v>0</v>
      </c>
      <c r="K62" s="282">
        <f>IFERROR(VLOOKUP(I62,MCP!#REF!,19,FALSE),0)</f>
        <v>0</v>
      </c>
      <c r="N62" s="282" t="e">
        <f>IF($A62="","",VLOOKUP(LEFT($A62,7)&amp;"1-00",MCP!#REF!,N$1,FALSE))</f>
        <v>#REF!</v>
      </c>
      <c r="O62" s="282" t="e">
        <f>IF($A62="","",VLOOKUP(LEFT($A62,7)&amp;"1-00",MCP!#REF!,O$1,FALSE))</f>
        <v>#REF!</v>
      </c>
      <c r="P62" s="282" t="e">
        <f>IF($A62="","",VLOOKUP(LEFT($A62,7)&amp;"1-00",MCP!#REF!,P$1,FALSE))</f>
        <v>#REF!</v>
      </c>
      <c r="Q62" s="282" t="str">
        <f t="shared" si="36"/>
        <v/>
      </c>
      <c r="R62" s="282" t="str">
        <f t="shared" si="37"/>
        <v/>
      </c>
      <c r="S62" s="282" t="str">
        <f t="shared" si="38"/>
        <v/>
      </c>
      <c r="T62" s="282" t="e">
        <f>VLOOKUP(LEFT($A62,7)&amp;"1-00",MCP!#REF!,T$1,FALSE)</f>
        <v>#REF!</v>
      </c>
      <c r="U62" s="282" t="e">
        <f t="shared" si="39"/>
        <v>#REF!</v>
      </c>
      <c r="V62" s="282" t="e">
        <f t="shared" si="40"/>
        <v>#REF!</v>
      </c>
      <c r="W62" s="284" t="e">
        <f t="shared" si="41"/>
        <v>#REF!</v>
      </c>
      <c r="X62" s="161">
        <v>-1.0992</v>
      </c>
      <c r="Y62" s="284">
        <v>1.4257</v>
      </c>
      <c r="Z62" s="284" t="e">
        <f t="shared" si="42"/>
        <v>#REF!</v>
      </c>
      <c r="AA62" s="282" t="e">
        <f t="shared" si="43"/>
        <v>#REF!</v>
      </c>
      <c r="AB62" s="282" t="e">
        <f t="shared" si="44"/>
        <v>#REF!</v>
      </c>
      <c r="AC62" s="282" t="e">
        <f t="shared" si="45"/>
        <v>#REF!</v>
      </c>
      <c r="AD62" s="282" t="e">
        <f t="shared" si="46"/>
        <v>#REF!</v>
      </c>
      <c r="AE62" s="282" t="e">
        <f t="shared" si="47"/>
        <v>#REF!</v>
      </c>
      <c r="AF62" s="282" t="e">
        <f t="shared" si="48"/>
        <v>#REF!</v>
      </c>
      <c r="AG62" s="282" t="e">
        <f t="shared" si="49"/>
        <v>#REF!</v>
      </c>
      <c r="AH62" s="282" t="e">
        <f t="shared" si="50"/>
        <v>#REF!</v>
      </c>
      <c r="AI62" s="282" t="e">
        <f t="shared" si="51"/>
        <v>#REF!</v>
      </c>
      <c r="AJ62" s="282" t="e">
        <f>IF(U62="","",VLOOKUP(LEFT(I62,6)&amp;".1-00",MCP!$AK$9:$AL$464,21,FALSE))</f>
        <v>#REF!</v>
      </c>
      <c r="AK62" s="283" t="e">
        <f t="shared" si="52"/>
        <v>#REF!</v>
      </c>
      <c r="AL62" s="284" t="e">
        <f t="shared" si="53"/>
        <v>#REF!</v>
      </c>
      <c r="AM62" s="285" t="e">
        <f t="shared" si="54"/>
        <v>#REF!</v>
      </c>
      <c r="AN62" s="282">
        <f t="shared" si="55"/>
        <v>0</v>
      </c>
      <c r="AO62" s="282">
        <f t="shared" si="56"/>
        <v>0</v>
      </c>
      <c r="AP62" s="282">
        <f t="shared" si="57"/>
        <v>0</v>
      </c>
      <c r="AQ62" s="282" t="e">
        <f>VLOOKUP(LEFT($A62,7)&amp;"1-00",MCP!#REF!,30,FALSE)</f>
        <v>#REF!</v>
      </c>
      <c r="AR62" s="282" t="e">
        <f>VLOOKUP(LEFT($A62,7)&amp;"1-00",MCP!#REF!,31,FALSE)</f>
        <v>#REF!</v>
      </c>
      <c r="AS62" s="282" t="e">
        <f>VLOOKUP($A62&amp;"-"&amp;$B62,MCP!#REF!,12,FALSE)</f>
        <v>#REF!</v>
      </c>
      <c r="AT62" s="282" t="e">
        <f t="shared" si="58"/>
        <v>#REF!</v>
      </c>
      <c r="AU62" s="282" t="e">
        <f t="shared" si="59"/>
        <v>#REF!</v>
      </c>
      <c r="AV62" s="282" t="e">
        <f t="shared" si="60"/>
        <v>#REF!</v>
      </c>
      <c r="AW62" s="282" t="e">
        <f>IF($U62="","",VLOOKUP(LEFT($A62,7)&amp;"1-00",MCP!#REF!,24,FALSE))</f>
        <v>#REF!</v>
      </c>
      <c r="AX62" s="282"/>
      <c r="AY62" s="282"/>
      <c r="BF62" s="175" t="e">
        <f t="shared" si="30"/>
        <v>#REF!</v>
      </c>
    </row>
    <row r="63" spans="1:58" x14ac:dyDescent="0.2">
      <c r="A63" s="282" t="str">
        <f t="shared" si="31"/>
        <v>1.1021.2</v>
      </c>
      <c r="B63" s="282" t="str">
        <f t="shared" si="32"/>
        <v>03</v>
      </c>
      <c r="C63" s="282" t="str">
        <f t="shared" si="33"/>
        <v>1.1021.2.03</v>
      </c>
      <c r="D63" s="161">
        <v>3.9937999999999998</v>
      </c>
      <c r="E63" s="161">
        <v>8.6E-3</v>
      </c>
      <c r="F63" s="282">
        <f t="shared" si="34"/>
        <v>0.21579999999999999</v>
      </c>
      <c r="G63" s="161" t="s">
        <v>809</v>
      </c>
      <c r="H63" s="282">
        <f t="shared" si="35"/>
        <v>3.8460236072422166E-3</v>
      </c>
      <c r="I63" s="282" t="str">
        <f>A63&amp;"-"&amp;TEXT(MCP!$D$1,"00")</f>
        <v>1.1021.2-03</v>
      </c>
      <c r="J63" s="282">
        <f>IFERROR(VLOOKUP(I63,MCP!#REF!,10,FALSE),0)</f>
        <v>0</v>
      </c>
      <c r="K63" s="282">
        <f>IFERROR(VLOOKUP(I63,MCP!#REF!,19,FALSE),0)</f>
        <v>0</v>
      </c>
      <c r="N63" s="282" t="e">
        <f>IF($A63="","",VLOOKUP(LEFT($A63,7)&amp;"1-00",MCP!#REF!,N$1,FALSE))</f>
        <v>#REF!</v>
      </c>
      <c r="O63" s="282" t="e">
        <f>IF($A63="","",VLOOKUP(LEFT($A63,7)&amp;"1-00",MCP!#REF!,O$1,FALSE))</f>
        <v>#REF!</v>
      </c>
      <c r="P63" s="282" t="e">
        <f>IF($A63="","",VLOOKUP(LEFT($A63,7)&amp;"1-00",MCP!#REF!,P$1,FALSE))</f>
        <v>#REF!</v>
      </c>
      <c r="Q63" s="282" t="str">
        <f t="shared" si="36"/>
        <v/>
      </c>
      <c r="R63" s="282" t="str">
        <f t="shared" si="37"/>
        <v/>
      </c>
      <c r="S63" s="282" t="str">
        <f t="shared" si="38"/>
        <v/>
      </c>
      <c r="T63" s="282" t="e">
        <f>VLOOKUP(LEFT($A63,7)&amp;"1-00",MCP!#REF!,T$1,FALSE)</f>
        <v>#REF!</v>
      </c>
      <c r="U63" s="282" t="e">
        <f t="shared" si="39"/>
        <v>#REF!</v>
      </c>
      <c r="V63" s="282" t="e">
        <f t="shared" si="40"/>
        <v>#REF!</v>
      </c>
      <c r="W63" s="284" t="e">
        <f t="shared" si="41"/>
        <v>#REF!</v>
      </c>
      <c r="X63" s="161">
        <v>-1.0036</v>
      </c>
      <c r="Y63" s="282">
        <v>1.4468000000000001</v>
      </c>
      <c r="Z63" s="284" t="e">
        <f t="shared" si="42"/>
        <v>#REF!</v>
      </c>
      <c r="AA63" s="282" t="e">
        <f t="shared" si="43"/>
        <v>#REF!</v>
      </c>
      <c r="AB63" s="282" t="e">
        <f t="shared" si="44"/>
        <v>#REF!</v>
      </c>
      <c r="AC63" s="282" t="e">
        <f t="shared" si="45"/>
        <v>#REF!</v>
      </c>
      <c r="AD63" s="282" t="e">
        <f t="shared" si="46"/>
        <v>#REF!</v>
      </c>
      <c r="AE63" s="282" t="e">
        <f t="shared" si="47"/>
        <v>#REF!</v>
      </c>
      <c r="AF63" s="282" t="e">
        <f t="shared" si="48"/>
        <v>#REF!</v>
      </c>
      <c r="AG63" s="282" t="e">
        <f t="shared" si="49"/>
        <v>#REF!</v>
      </c>
      <c r="AH63" s="282" t="e">
        <f t="shared" si="50"/>
        <v>#REF!</v>
      </c>
      <c r="AI63" s="282" t="e">
        <f t="shared" si="51"/>
        <v>#REF!</v>
      </c>
      <c r="AJ63" s="282" t="e">
        <f>IF(U63="","",VLOOKUP(LEFT(I63,6)&amp;".1-00",MCP!$AK$9:$AL$464,21,FALSE))</f>
        <v>#REF!</v>
      </c>
      <c r="AK63" s="283" t="e">
        <f t="shared" si="52"/>
        <v>#REF!</v>
      </c>
      <c r="AL63" s="284" t="e">
        <f t="shared" si="53"/>
        <v>#REF!</v>
      </c>
      <c r="AM63" s="285" t="e">
        <f t="shared" si="54"/>
        <v>#REF!</v>
      </c>
      <c r="AN63" s="282">
        <f t="shared" si="55"/>
        <v>0</v>
      </c>
      <c r="AO63" s="282">
        <f t="shared" si="56"/>
        <v>0</v>
      </c>
      <c r="AP63" s="282">
        <f t="shared" si="57"/>
        <v>0</v>
      </c>
      <c r="AQ63" s="282" t="e">
        <f>VLOOKUP(LEFT($A63,7)&amp;"1-00",MCP!#REF!,30,FALSE)</f>
        <v>#REF!</v>
      </c>
      <c r="AR63" s="282" t="e">
        <f>VLOOKUP(LEFT($A63,7)&amp;"1-00",MCP!#REF!,31,FALSE)</f>
        <v>#REF!</v>
      </c>
      <c r="AS63" s="282" t="e">
        <f>VLOOKUP($A63&amp;"-"&amp;$B63,MCP!#REF!,12,FALSE)</f>
        <v>#REF!</v>
      </c>
      <c r="AT63" s="282" t="e">
        <f t="shared" si="58"/>
        <v>#REF!</v>
      </c>
      <c r="AU63" s="282" t="e">
        <f t="shared" si="59"/>
        <v>#REF!</v>
      </c>
      <c r="AV63" s="282" t="e">
        <f t="shared" si="60"/>
        <v>#REF!</v>
      </c>
      <c r="AW63" s="282" t="e">
        <f>IF($U63="","",VLOOKUP(LEFT($A63,7)&amp;"1-00",MCP!#REF!,24,FALSE))</f>
        <v>#REF!</v>
      </c>
      <c r="AX63" s="282"/>
      <c r="AY63" s="282"/>
      <c r="BF63" s="175" t="e">
        <f t="shared" si="30"/>
        <v>#REF!</v>
      </c>
    </row>
    <row r="64" spans="1:58" x14ac:dyDescent="0.2">
      <c r="A64" s="282" t="str">
        <f t="shared" si="31"/>
        <v>1.1027.2</v>
      </c>
      <c r="B64" s="282" t="str">
        <f t="shared" si="32"/>
        <v>03</v>
      </c>
      <c r="C64" s="282" t="str">
        <f t="shared" si="33"/>
        <v>1.1027.2.03</v>
      </c>
      <c r="D64" s="161">
        <v>4.7473999999999998</v>
      </c>
      <c r="E64" s="161">
        <v>7.9000000000000008E-3</v>
      </c>
      <c r="F64" s="282">
        <f t="shared" si="34"/>
        <v>0.2356</v>
      </c>
      <c r="G64" s="161" t="s">
        <v>811</v>
      </c>
      <c r="H64" s="282">
        <f t="shared" si="35"/>
        <v>4.1989025109650897E-3</v>
      </c>
      <c r="I64" s="282" t="str">
        <f>A64&amp;"-"&amp;TEXT(MCP!$D$1,"00")</f>
        <v>1.1027.2-03</v>
      </c>
      <c r="J64" s="282">
        <f>IFERROR(VLOOKUP(I64,MCP!#REF!,10,FALSE),0)</f>
        <v>0</v>
      </c>
      <c r="K64" s="282">
        <f>IFERROR(VLOOKUP(I64,MCP!#REF!,19,FALSE),0)</f>
        <v>0</v>
      </c>
      <c r="N64" s="282" t="e">
        <f>IF($A64="","",VLOOKUP(LEFT($A64,7)&amp;"1-00",MCP!#REF!,N$1,FALSE))</f>
        <v>#REF!</v>
      </c>
      <c r="O64" s="282" t="e">
        <f>IF($A64="","",VLOOKUP(LEFT($A64,7)&amp;"1-00",MCP!#REF!,O$1,FALSE))</f>
        <v>#REF!</v>
      </c>
      <c r="P64" s="282" t="e">
        <f>IF($A64="","",VLOOKUP(LEFT($A64,7)&amp;"1-00",MCP!#REF!,P$1,FALSE))</f>
        <v>#REF!</v>
      </c>
      <c r="Q64" s="282" t="str">
        <f t="shared" si="36"/>
        <v/>
      </c>
      <c r="R64" s="282" t="str">
        <f t="shared" si="37"/>
        <v/>
      </c>
      <c r="S64" s="282" t="str">
        <f t="shared" si="38"/>
        <v/>
      </c>
      <c r="T64" s="282" t="e">
        <f>VLOOKUP(LEFT($A64,7)&amp;"1-00",MCP!#REF!,T$1,FALSE)</f>
        <v>#REF!</v>
      </c>
      <c r="U64" s="282" t="e">
        <f t="shared" si="39"/>
        <v>#REF!</v>
      </c>
      <c r="V64" s="282" t="e">
        <f t="shared" si="40"/>
        <v>#REF!</v>
      </c>
      <c r="W64" s="284" t="e">
        <f t="shared" si="41"/>
        <v>#REF!</v>
      </c>
      <c r="X64" s="161">
        <v>-0.66790000000000005</v>
      </c>
      <c r="Y64" s="280">
        <v>1.4320999999999999</v>
      </c>
      <c r="Z64" s="284" t="e">
        <f t="shared" si="42"/>
        <v>#REF!</v>
      </c>
      <c r="AA64" s="282" t="e">
        <f t="shared" si="43"/>
        <v>#REF!</v>
      </c>
      <c r="AB64" s="282" t="e">
        <f t="shared" si="44"/>
        <v>#REF!</v>
      </c>
      <c r="AC64" s="282" t="e">
        <f t="shared" si="45"/>
        <v>#REF!</v>
      </c>
      <c r="AD64" s="282" t="e">
        <f t="shared" si="46"/>
        <v>#REF!</v>
      </c>
      <c r="AE64" s="282" t="e">
        <f t="shared" si="47"/>
        <v>#REF!</v>
      </c>
      <c r="AF64" s="282" t="e">
        <f t="shared" si="48"/>
        <v>#REF!</v>
      </c>
      <c r="AG64" s="282" t="e">
        <f t="shared" si="49"/>
        <v>#REF!</v>
      </c>
      <c r="AH64" s="282" t="e">
        <f t="shared" si="50"/>
        <v>#REF!</v>
      </c>
      <c r="AI64" s="282" t="e">
        <f t="shared" si="51"/>
        <v>#REF!</v>
      </c>
      <c r="AJ64" s="282" t="e">
        <f>IF(U64="","",VLOOKUP(LEFT(I64,6)&amp;".1-00",MCP!$AK$9:$AL$464,21,FALSE))</f>
        <v>#REF!</v>
      </c>
      <c r="AK64" s="283" t="e">
        <f t="shared" si="52"/>
        <v>#REF!</v>
      </c>
      <c r="AL64" s="284" t="e">
        <f t="shared" si="53"/>
        <v>#REF!</v>
      </c>
      <c r="AM64" s="285" t="e">
        <f t="shared" si="54"/>
        <v>#REF!</v>
      </c>
      <c r="AN64" s="282">
        <f t="shared" si="55"/>
        <v>0</v>
      </c>
      <c r="AO64" s="282">
        <f t="shared" si="56"/>
        <v>0</v>
      </c>
      <c r="AP64" s="282">
        <f t="shared" si="57"/>
        <v>0</v>
      </c>
      <c r="AQ64" s="282" t="e">
        <f>VLOOKUP(LEFT($A64,7)&amp;"1-00",MCP!#REF!,30,FALSE)</f>
        <v>#REF!</v>
      </c>
      <c r="AR64" s="282" t="e">
        <f>VLOOKUP(LEFT($A64,7)&amp;"1-00",MCP!#REF!,31,FALSE)</f>
        <v>#REF!</v>
      </c>
      <c r="AS64" s="282" t="e">
        <f>VLOOKUP($A64&amp;"-"&amp;$B64,MCP!#REF!,12,FALSE)</f>
        <v>#REF!</v>
      </c>
      <c r="AT64" s="282" t="e">
        <f t="shared" si="58"/>
        <v>#REF!</v>
      </c>
      <c r="AU64" s="282" t="e">
        <f t="shared" si="59"/>
        <v>#REF!</v>
      </c>
      <c r="AV64" s="282" t="e">
        <f t="shared" si="60"/>
        <v>#REF!</v>
      </c>
      <c r="AW64" s="282" t="e">
        <f>IF($U64="","",VLOOKUP(LEFT($A64,7)&amp;"1-00",MCP!#REF!,24,FALSE))</f>
        <v>#REF!</v>
      </c>
      <c r="AX64" s="282"/>
      <c r="AY64" s="282"/>
      <c r="BF64" s="175" t="e">
        <f t="shared" si="30"/>
        <v>#REF!</v>
      </c>
    </row>
    <row r="65" spans="1:58" x14ac:dyDescent="0.2">
      <c r="A65" s="282" t="str">
        <f t="shared" si="31"/>
        <v>1.1033.2</v>
      </c>
      <c r="B65" s="282" t="str">
        <f t="shared" si="32"/>
        <v>03</v>
      </c>
      <c r="C65" s="282" t="str">
        <f t="shared" si="33"/>
        <v>1.1033.2.03</v>
      </c>
      <c r="D65" s="161">
        <v>5.3747999999999996</v>
      </c>
      <c r="E65" s="161">
        <v>7.1000000000000004E-3</v>
      </c>
      <c r="F65" s="282">
        <f t="shared" si="34"/>
        <v>0.23980000000000001</v>
      </c>
      <c r="G65" s="161" t="s">
        <v>659</v>
      </c>
      <c r="H65" s="282">
        <f t="shared" si="35"/>
        <v>4.2737556117547898E-3</v>
      </c>
      <c r="I65" s="282" t="str">
        <f>A65&amp;"-"&amp;TEXT(MCP!$D$1,"00")</f>
        <v>1.1033.2-03</v>
      </c>
      <c r="J65" s="282">
        <f>IFERROR(VLOOKUP(I65,MCP!#REF!,10,FALSE),0)</f>
        <v>0</v>
      </c>
      <c r="K65" s="282">
        <f>IFERROR(VLOOKUP(I65,MCP!#REF!,19,FALSE),0)</f>
        <v>0</v>
      </c>
      <c r="N65" s="282" t="e">
        <f>IF($A65="","",VLOOKUP(LEFT($A65,7)&amp;"1-00",MCP!#REF!,N$1,FALSE))</f>
        <v>#REF!</v>
      </c>
      <c r="O65" s="282" t="e">
        <f>IF($A65="","",VLOOKUP(LEFT($A65,7)&amp;"1-00",MCP!#REF!,O$1,FALSE))</f>
        <v>#REF!</v>
      </c>
      <c r="P65" s="282" t="e">
        <f>IF($A65="","",VLOOKUP(LEFT($A65,7)&amp;"1-00",MCP!#REF!,P$1,FALSE))</f>
        <v>#REF!</v>
      </c>
      <c r="Q65" s="282" t="str">
        <f t="shared" si="36"/>
        <v/>
      </c>
      <c r="R65" s="282" t="str">
        <f t="shared" si="37"/>
        <v/>
      </c>
      <c r="S65" s="282" t="str">
        <f t="shared" si="38"/>
        <v/>
      </c>
      <c r="T65" s="282" t="e">
        <f>VLOOKUP(LEFT($A65,7)&amp;"1-00",MCP!#REF!,T$1,FALSE)</f>
        <v>#REF!</v>
      </c>
      <c r="U65" s="282" t="e">
        <f t="shared" si="39"/>
        <v>#REF!</v>
      </c>
      <c r="V65" s="282" t="e">
        <f t="shared" si="40"/>
        <v>#REF!</v>
      </c>
      <c r="W65" s="284" t="e">
        <f t="shared" si="41"/>
        <v>#REF!</v>
      </c>
      <c r="X65" s="161">
        <v>-0.1145</v>
      </c>
      <c r="Y65" s="279">
        <v>1.3715999999999999</v>
      </c>
      <c r="Z65" s="284" t="e">
        <f t="shared" si="42"/>
        <v>#REF!</v>
      </c>
      <c r="AA65" s="282" t="e">
        <f t="shared" si="43"/>
        <v>#REF!</v>
      </c>
      <c r="AB65" s="282" t="e">
        <f t="shared" si="44"/>
        <v>#REF!</v>
      </c>
      <c r="AC65" s="282" t="e">
        <f t="shared" si="45"/>
        <v>#REF!</v>
      </c>
      <c r="AD65" s="282" t="e">
        <f t="shared" si="46"/>
        <v>#REF!</v>
      </c>
      <c r="AE65" s="282" t="e">
        <f t="shared" si="47"/>
        <v>#REF!</v>
      </c>
      <c r="AF65" s="282" t="e">
        <f t="shared" si="48"/>
        <v>#REF!</v>
      </c>
      <c r="AG65" s="282" t="e">
        <f t="shared" si="49"/>
        <v>#REF!</v>
      </c>
      <c r="AH65" s="282" t="e">
        <f t="shared" si="50"/>
        <v>#REF!</v>
      </c>
      <c r="AI65" s="282" t="e">
        <f t="shared" si="51"/>
        <v>#REF!</v>
      </c>
      <c r="AJ65" s="282" t="e">
        <f>IF(U65="","",VLOOKUP(LEFT(I65,6)&amp;".1-00",MCP!$AK$9:$AL$464,21,FALSE))</f>
        <v>#REF!</v>
      </c>
      <c r="AK65" s="283" t="e">
        <f t="shared" si="52"/>
        <v>#REF!</v>
      </c>
      <c r="AL65" s="284" t="e">
        <f t="shared" si="53"/>
        <v>#REF!</v>
      </c>
      <c r="AM65" s="285" t="e">
        <f t="shared" si="54"/>
        <v>#REF!</v>
      </c>
      <c r="AN65" s="282">
        <f t="shared" si="55"/>
        <v>0</v>
      </c>
      <c r="AO65" s="282">
        <f t="shared" si="56"/>
        <v>0</v>
      </c>
      <c r="AP65" s="282">
        <f t="shared" si="57"/>
        <v>0</v>
      </c>
      <c r="AQ65" s="282" t="e">
        <f>VLOOKUP(LEFT($A65,7)&amp;"1-00",MCP!#REF!,30,FALSE)</f>
        <v>#REF!</v>
      </c>
      <c r="AR65" s="282" t="e">
        <f>VLOOKUP(LEFT($A65,7)&amp;"1-00",MCP!#REF!,31,FALSE)</f>
        <v>#REF!</v>
      </c>
      <c r="AS65" s="282" t="e">
        <f>VLOOKUP($A65&amp;"-"&amp;$B65,MCP!#REF!,12,FALSE)</f>
        <v>#REF!</v>
      </c>
      <c r="AT65" s="282" t="e">
        <f t="shared" si="58"/>
        <v>#REF!</v>
      </c>
      <c r="AU65" s="282" t="e">
        <f t="shared" si="59"/>
        <v>#REF!</v>
      </c>
      <c r="AV65" s="282" t="e">
        <f t="shared" si="60"/>
        <v>#REF!</v>
      </c>
      <c r="AW65" s="282" t="e">
        <f>IF($U65="","",VLOOKUP(LEFT($A65,7)&amp;"1-00",MCP!#REF!,24,FALSE))</f>
        <v>#REF!</v>
      </c>
      <c r="AX65" s="282"/>
      <c r="AY65" s="282"/>
      <c r="BF65" s="175" t="e">
        <f t="shared" si="30"/>
        <v>#REF!</v>
      </c>
    </row>
    <row r="66" spans="1:58" x14ac:dyDescent="0.2">
      <c r="A66" s="282" t="str">
        <f t="shared" si="31"/>
        <v>1.1039.2</v>
      </c>
      <c r="B66" s="282" t="str">
        <f t="shared" si="32"/>
        <v>03</v>
      </c>
      <c r="C66" s="282" t="str">
        <f t="shared" si="33"/>
        <v>1.1039.2.03</v>
      </c>
      <c r="D66" s="161">
        <v>5.8140999999999998</v>
      </c>
      <c r="E66" s="161">
        <v>5.1999999999999998E-3</v>
      </c>
      <c r="F66" s="282">
        <f t="shared" si="34"/>
        <v>0.19</v>
      </c>
      <c r="G66" s="161" t="s">
        <v>813</v>
      </c>
      <c r="H66" s="282">
        <f t="shared" si="35"/>
        <v>3.3862117023912013E-3</v>
      </c>
      <c r="I66" s="282" t="str">
        <f>A66&amp;"-"&amp;TEXT(MCP!$D$1,"00")</f>
        <v>1.1039.2-03</v>
      </c>
      <c r="J66" s="282">
        <f>IFERROR(VLOOKUP(I66,MCP!#REF!,10,FALSE),0)</f>
        <v>0</v>
      </c>
      <c r="K66" s="282">
        <f>IFERROR(VLOOKUP(I66,MCP!#REF!,19,FALSE),0)</f>
        <v>0</v>
      </c>
      <c r="N66" s="282" t="e">
        <f>IF($A66="","",VLOOKUP(LEFT($A66,7)&amp;"1-00",MCP!#REF!,N$1,FALSE))</f>
        <v>#REF!</v>
      </c>
      <c r="O66" s="282" t="e">
        <f>IF($A66="","",VLOOKUP(LEFT($A66,7)&amp;"1-00",MCP!#REF!,O$1,FALSE))</f>
        <v>#REF!</v>
      </c>
      <c r="P66" s="282" t="e">
        <f>IF($A66="","",VLOOKUP(LEFT($A66,7)&amp;"1-00",MCP!#REF!,P$1,FALSE))</f>
        <v>#REF!</v>
      </c>
      <c r="Q66" s="282" t="str">
        <f t="shared" si="36"/>
        <v/>
      </c>
      <c r="R66" s="282" t="str">
        <f t="shared" si="37"/>
        <v/>
      </c>
      <c r="S66" s="282" t="str">
        <f t="shared" si="38"/>
        <v/>
      </c>
      <c r="T66" s="282" t="e">
        <f>VLOOKUP(LEFT($A66,7)&amp;"1-00",MCP!#REF!,T$1,FALSE)</f>
        <v>#REF!</v>
      </c>
      <c r="U66" s="282" t="e">
        <f t="shared" si="39"/>
        <v>#REF!</v>
      </c>
      <c r="V66" s="282" t="e">
        <f t="shared" si="40"/>
        <v>#REF!</v>
      </c>
      <c r="W66" s="284" t="e">
        <f t="shared" si="41"/>
        <v>#REF!</v>
      </c>
      <c r="X66" s="161">
        <v>0.59889999999999999</v>
      </c>
      <c r="Y66" s="282">
        <v>1.1577</v>
      </c>
      <c r="Z66" s="284" t="e">
        <f t="shared" si="42"/>
        <v>#REF!</v>
      </c>
      <c r="AA66" s="282" t="e">
        <f t="shared" si="43"/>
        <v>#REF!</v>
      </c>
      <c r="AB66" s="282" t="e">
        <f t="shared" si="44"/>
        <v>#REF!</v>
      </c>
      <c r="AC66" s="282" t="e">
        <f t="shared" si="45"/>
        <v>#REF!</v>
      </c>
      <c r="AD66" s="282" t="e">
        <f t="shared" si="46"/>
        <v>#REF!</v>
      </c>
      <c r="AE66" s="282" t="e">
        <f t="shared" si="47"/>
        <v>#REF!</v>
      </c>
      <c r="AF66" s="282" t="e">
        <f t="shared" si="48"/>
        <v>#REF!</v>
      </c>
      <c r="AG66" s="282" t="e">
        <f t="shared" si="49"/>
        <v>#REF!</v>
      </c>
      <c r="AH66" s="282" t="e">
        <f t="shared" si="50"/>
        <v>#REF!</v>
      </c>
      <c r="AI66" s="282" t="e">
        <f t="shared" si="51"/>
        <v>#REF!</v>
      </c>
      <c r="AJ66" s="282" t="e">
        <f>IF(U66="","",VLOOKUP(LEFT(I66,6)&amp;".1-00",MCP!$AK$9:$AL$464,21,FALSE))</f>
        <v>#REF!</v>
      </c>
      <c r="AK66" s="283" t="e">
        <f t="shared" si="52"/>
        <v>#REF!</v>
      </c>
      <c r="AL66" s="284" t="e">
        <f t="shared" si="53"/>
        <v>#REF!</v>
      </c>
      <c r="AM66" s="285" t="e">
        <f t="shared" si="54"/>
        <v>#REF!</v>
      </c>
      <c r="AN66" s="282">
        <f t="shared" si="55"/>
        <v>0</v>
      </c>
      <c r="AO66" s="282">
        <f t="shared" si="56"/>
        <v>0</v>
      </c>
      <c r="AP66" s="282">
        <f t="shared" si="57"/>
        <v>0</v>
      </c>
      <c r="AQ66" s="282" t="e">
        <f>VLOOKUP(LEFT($A66,7)&amp;"1-00",MCP!#REF!,30,FALSE)</f>
        <v>#REF!</v>
      </c>
      <c r="AR66" s="282" t="e">
        <f>VLOOKUP(LEFT($A66,7)&amp;"1-00",MCP!#REF!,31,FALSE)</f>
        <v>#REF!</v>
      </c>
      <c r="AS66" s="282" t="e">
        <f>VLOOKUP($A66&amp;"-"&amp;$B66,MCP!#REF!,12,FALSE)</f>
        <v>#REF!</v>
      </c>
      <c r="AT66" s="282" t="e">
        <f t="shared" si="58"/>
        <v>#REF!</v>
      </c>
      <c r="AU66" s="282" t="e">
        <f t="shared" si="59"/>
        <v>#REF!</v>
      </c>
      <c r="AV66" s="282" t="e">
        <f t="shared" si="60"/>
        <v>#REF!</v>
      </c>
      <c r="AW66" s="282" t="e">
        <f>IF($U66="","",VLOOKUP(LEFT($A66,7)&amp;"1-00",MCP!#REF!,24,FALSE))</f>
        <v>#REF!</v>
      </c>
      <c r="AX66" s="282"/>
      <c r="AY66" s="282"/>
      <c r="BF66" s="175" t="e">
        <f t="shared" si="30"/>
        <v>#REF!</v>
      </c>
    </row>
    <row r="67" spans="1:58" x14ac:dyDescent="0.2">
      <c r="A67" s="282" t="str">
        <f t="shared" ref="A67:A98" si="61">LEFT(C67,8)</f>
        <v>1.1045.2</v>
      </c>
      <c r="B67" s="282" t="str">
        <f t="shared" ref="B67:B98" si="62">RIGHT(C67,2)</f>
        <v>03</v>
      </c>
      <c r="C67" s="282" t="str">
        <f t="shared" ref="C67:C98" si="63">LEFT(G67,11)</f>
        <v>1.1045.2.03</v>
      </c>
      <c r="D67" s="161">
        <v>6.0304000000000002</v>
      </c>
      <c r="E67" s="161">
        <v>2.8E-3</v>
      </c>
      <c r="F67" s="282">
        <f t="shared" ref="F67:F98" si="64">ROUND(PI()*2*D67*E67,4)</f>
        <v>0.1061</v>
      </c>
      <c r="G67" s="161" t="s">
        <v>815</v>
      </c>
      <c r="H67" s="282">
        <f t="shared" ref="H67:H98" si="65">F67/SUM($F$3:$F$116)</f>
        <v>1.8909319032826655E-3</v>
      </c>
      <c r="I67" s="282" t="str">
        <f>A67&amp;"-"&amp;TEXT(MCP!$D$1,"00")</f>
        <v>1.1045.2-03</v>
      </c>
      <c r="J67" s="282">
        <f>IFERROR(VLOOKUP(I67,MCP!#REF!,10,FALSE),0)</f>
        <v>0</v>
      </c>
      <c r="K67" s="282">
        <f>IFERROR(VLOOKUP(I67,MCP!#REF!,19,FALSE),0)</f>
        <v>0</v>
      </c>
      <c r="N67" s="282" t="e">
        <f>IF($A67="","",VLOOKUP(LEFT($A67,7)&amp;"1-00",MCP!#REF!,N$1,FALSE))</f>
        <v>#REF!</v>
      </c>
      <c r="O67" s="282" t="e">
        <f>IF($A67="","",VLOOKUP(LEFT($A67,7)&amp;"1-00",MCP!#REF!,O$1,FALSE))</f>
        <v>#REF!</v>
      </c>
      <c r="P67" s="282" t="e">
        <f>IF($A67="","",VLOOKUP(LEFT($A67,7)&amp;"1-00",MCP!#REF!,P$1,FALSE))</f>
        <v>#REF!</v>
      </c>
      <c r="Q67" s="282" t="str">
        <f t="shared" ref="Q67:Q98" si="66">IF(RIGHT($A67,1)="1",(LOG10($AR$1*$J67+$AT$1)*$AV$1*$E67*$AP$1+$AX$1)*N67,"")</f>
        <v/>
      </c>
      <c r="R67" s="282" t="str">
        <f t="shared" ref="R67:R98" si="67">IF(RIGHT($A67,1)="1",(LOG10($AR$1*$J67+$AT$1)*$AV$1*$E67*$AP$1+$AX$1)*O67,"")</f>
        <v/>
      </c>
      <c r="S67" s="282" t="str">
        <f t="shared" ref="S67:S98" si="68">IF(RIGHT($A67,1)="1",(LOG10($AR$1*$J67+$AT$1)*$AV$1*$E67*$AP$1+$AX$1)*P67,"")</f>
        <v/>
      </c>
      <c r="T67" s="282" t="e">
        <f>VLOOKUP(LEFT($A67,7)&amp;"1-00",MCP!#REF!,T$1,FALSE)</f>
        <v>#REF!</v>
      </c>
      <c r="U67" s="282" t="e">
        <f t="shared" ref="U67:U98" si="69">IF(RIGHT($A67,1)="2",(LOG10($AR$1*$J67+$AT$1)*$AV$1*$E67*$AP$1+$AX$1)*N67,"")</f>
        <v>#REF!</v>
      </c>
      <c r="V67" s="282" t="e">
        <f t="shared" ref="V67:V98" si="70">IF(RIGHT($A67,1)="2",(LOG10($AR$1*$J67+$AT$1)*$AV$1*$E67*$AP$1+$AX$1)*O67,"")</f>
        <v>#REF!</v>
      </c>
      <c r="W67" s="284" t="e">
        <f t="shared" ref="W67:W98" si="71">IF(RIGHT(A67,1)="2",(T67*$AZ$1*2*K67*SIN((Y67)/(K67*4))),"")</f>
        <v>#REF!</v>
      </c>
      <c r="X67" s="161">
        <v>1.4132</v>
      </c>
      <c r="Y67" s="282">
        <v>0.81410000000000005</v>
      </c>
      <c r="Z67" s="284" t="e">
        <f t="shared" ref="Z67:Z98" si="72">IF(U67="","",SQRT((J67-D67)^2+(X67-AS67)^2))</f>
        <v>#REF!</v>
      </c>
      <c r="AA67" s="282" t="e">
        <f t="shared" ref="AA67:AA98" si="73">IF(U67="","",$Z67*N67+AQ67)</f>
        <v>#REF!</v>
      </c>
      <c r="AB67" s="282" t="e">
        <f t="shared" ref="AB67:AB98" si="74">IF(V67="","",$Z67*O67+AR67)</f>
        <v>#REF!</v>
      </c>
      <c r="AC67" s="282" t="e">
        <f t="shared" ref="AC67:AC98" si="75">IF(W67="","",$Z67*P67+AS67)</f>
        <v>#REF!</v>
      </c>
      <c r="AD67" s="282" t="e">
        <f t="shared" ref="AD67:AD98" si="76">IF(V67="","",AA67-AT67)</f>
        <v>#REF!</v>
      </c>
      <c r="AE67" s="282" t="e">
        <f t="shared" ref="AE67:AE98" si="77">IF(V67="","",AB67-AU67)</f>
        <v>#REF!</v>
      </c>
      <c r="AF67" s="282" t="e">
        <f t="shared" ref="AF67:AF98" si="78">IF(V67="","",AC67-AV67)</f>
        <v>#REF!</v>
      </c>
      <c r="AG67" s="282" t="e">
        <f t="shared" ref="AG67:AG98" si="79">IF(V67="","",AD67/SQRT($AD67^2+$AE67^2+$AF67^2))</f>
        <v>#REF!</v>
      </c>
      <c r="AH67" s="282" t="e">
        <f t="shared" ref="AH67:AH98" si="80">IF(W67="","",AE67/SQRT($AD67^2+$AE67^2+$AF67^2))</f>
        <v>#REF!</v>
      </c>
      <c r="AI67" s="282" t="e">
        <f t="shared" ref="AI67:AI98" si="81">IF(U67="","",AF67/SQRT($AD67^2+$AE67^2+$AF67^2))</f>
        <v>#REF!</v>
      </c>
      <c r="AJ67" s="282" t="e">
        <f>IF(U67="","",VLOOKUP(LEFT(I67,6)&amp;".1-00",MCP!$AK$9:$AL$464,21,FALSE))</f>
        <v>#REF!</v>
      </c>
      <c r="AK67" s="283" t="e">
        <f t="shared" ref="AK67:AK98" si="82">IF(RIGHT($A67,1)="2",(LOG10($AR$1*$J67+$AT$1)*$AV$1*$W67*$AP$1+$AX$1)*AG67,"")</f>
        <v>#REF!</v>
      </c>
      <c r="AL67" s="284" t="e">
        <f t="shared" ref="AL67:AL98" si="83">IF(RIGHT($A67,1)="2",(LOG10($AR$1*$J67+$AT$1)*$AV$1*$W67*$AP$1+$AX$1)*AH67,"")</f>
        <v>#REF!</v>
      </c>
      <c r="AM67" s="285" t="e">
        <f t="shared" ref="AM67:AM98" si="84">IF(RIGHT($A67,1)="2",(LOG10($AR$1*$J67+$AT$1)*$AV$1*$W67*$AP$1+$AX$1)*AI67,"")</f>
        <v>#REF!</v>
      </c>
      <c r="AN67" s="282">
        <f t="shared" ref="AN67:AN98" si="85">IFERROR((AR67*N(AM67)+AR67*N(S67)),0)</f>
        <v>0</v>
      </c>
      <c r="AO67" s="282">
        <f t="shared" ref="AO67:AO98" si="86">IFERROR(-(AQ67*N(AM67)+AQ67*N(S67)),0)</f>
        <v>0</v>
      </c>
      <c r="AP67" s="282">
        <f t="shared" ref="AP67:AP98" si="87">IFERROR((AQ67*N(AL67)+AQ67*N(R67))-(AR67*N(AK67)+AR67*N(Q67)),0)</f>
        <v>0</v>
      </c>
      <c r="AQ67" s="282" t="e">
        <f>VLOOKUP(LEFT($A67,7)&amp;"1-00",MCP!#REF!,30,FALSE)</f>
        <v>#REF!</v>
      </c>
      <c r="AR67" s="282" t="e">
        <f>VLOOKUP(LEFT($A67,7)&amp;"1-00",MCP!#REF!,31,FALSE)</f>
        <v>#REF!</v>
      </c>
      <c r="AS67" s="282" t="e">
        <f>VLOOKUP($A67&amp;"-"&amp;$B67,MCP!#REF!,12,FALSE)</f>
        <v>#REF!</v>
      </c>
      <c r="AT67" s="282" t="e">
        <f t="shared" ref="AT67:AT98" si="88">IF($U67="","",((D67*COS(RADIANS(AW67)))-(0*SIN(RADIANS(AW67)))))</f>
        <v>#REF!</v>
      </c>
      <c r="AU67" s="282" t="e">
        <f t="shared" ref="AU67:AU98" si="89">IF($U67="","",((0*COS(RADIANS(AW67)))+(D67*SIN(RADIANS(AW67)))))</f>
        <v>#REF!</v>
      </c>
      <c r="AV67" s="282" t="e">
        <f t="shared" ref="AV67:AV98" si="90">IF($U67="","",X67)</f>
        <v>#REF!</v>
      </c>
      <c r="AW67" s="282" t="e">
        <f>IF($U67="","",VLOOKUP(LEFT($A67,7)&amp;"1-00",MCP!#REF!,24,FALSE))</f>
        <v>#REF!</v>
      </c>
      <c r="AX67" s="282"/>
      <c r="AY67" s="282"/>
      <c r="BF67" s="175" t="e">
        <f t="shared" si="30"/>
        <v>#REF!</v>
      </c>
    </row>
    <row r="68" spans="1:58" x14ac:dyDescent="0.2">
      <c r="A68" s="282" t="str">
        <f t="shared" si="61"/>
        <v>1.1051.2</v>
      </c>
      <c r="B68" s="282" t="str">
        <f t="shared" si="62"/>
        <v>03</v>
      </c>
      <c r="C68" s="282" t="str">
        <f t="shared" si="63"/>
        <v>1.1051.2.03</v>
      </c>
      <c r="D68" s="161">
        <v>6.1071999999999997</v>
      </c>
      <c r="E68" s="161">
        <v>1.1999999999999999E-3</v>
      </c>
      <c r="F68" s="282">
        <f t="shared" si="64"/>
        <v>4.5999999999999999E-2</v>
      </c>
      <c r="G68" s="161" t="s">
        <v>817</v>
      </c>
      <c r="H68" s="282">
        <f t="shared" si="65"/>
        <v>8.1981967531576452E-4</v>
      </c>
      <c r="I68" s="282" t="str">
        <f>A68&amp;"-"&amp;TEXT(MCP!$D$1,"00")</f>
        <v>1.1051.2-03</v>
      </c>
      <c r="J68" s="282">
        <f>IFERROR(VLOOKUP(I68,MCP!#REF!,10,FALSE),0)</f>
        <v>0</v>
      </c>
      <c r="K68" s="282">
        <f>IFERROR(VLOOKUP(I68,MCP!#REF!,19,FALSE),0)</f>
        <v>0</v>
      </c>
      <c r="N68" s="282" t="e">
        <f>IF($A68="","",VLOOKUP(LEFT($A68,7)&amp;"1-00",MCP!#REF!,N$1,FALSE))</f>
        <v>#REF!</v>
      </c>
      <c r="O68" s="282" t="e">
        <f>IF($A68="","",VLOOKUP(LEFT($A68,7)&amp;"1-00",MCP!#REF!,O$1,FALSE))</f>
        <v>#REF!</v>
      </c>
      <c r="P68" s="282" t="e">
        <f>IF($A68="","",VLOOKUP(LEFT($A68,7)&amp;"1-00",MCP!#REF!,P$1,FALSE))</f>
        <v>#REF!</v>
      </c>
      <c r="Q68" s="282" t="str">
        <f t="shared" si="66"/>
        <v/>
      </c>
      <c r="R68" s="282" t="str">
        <f t="shared" si="67"/>
        <v/>
      </c>
      <c r="S68" s="282" t="str">
        <f t="shared" si="68"/>
        <v/>
      </c>
      <c r="T68" s="282" t="e">
        <f>VLOOKUP(LEFT($A68,7)&amp;"1-00",MCP!#REF!,T$1,FALSE)</f>
        <v>#REF!</v>
      </c>
      <c r="U68" s="282" t="e">
        <f t="shared" si="69"/>
        <v>#REF!</v>
      </c>
      <c r="V68" s="282" t="e">
        <f t="shared" si="70"/>
        <v>#REF!</v>
      </c>
      <c r="W68" s="284" t="e">
        <f t="shared" si="71"/>
        <v>#REF!</v>
      </c>
      <c r="X68" s="161">
        <v>2.1867999999999999</v>
      </c>
      <c r="Y68" s="279">
        <v>0.50600000000000001</v>
      </c>
      <c r="Z68" s="284" t="e">
        <f t="shared" si="72"/>
        <v>#REF!</v>
      </c>
      <c r="AA68" s="282" t="e">
        <f t="shared" si="73"/>
        <v>#REF!</v>
      </c>
      <c r="AB68" s="282" t="e">
        <f t="shared" si="74"/>
        <v>#REF!</v>
      </c>
      <c r="AC68" s="282" t="e">
        <f t="shared" si="75"/>
        <v>#REF!</v>
      </c>
      <c r="AD68" s="282" t="e">
        <f t="shared" si="76"/>
        <v>#REF!</v>
      </c>
      <c r="AE68" s="282" t="e">
        <f t="shared" si="77"/>
        <v>#REF!</v>
      </c>
      <c r="AF68" s="282" t="e">
        <f t="shared" si="78"/>
        <v>#REF!</v>
      </c>
      <c r="AG68" s="282" t="e">
        <f t="shared" si="79"/>
        <v>#REF!</v>
      </c>
      <c r="AH68" s="282" t="e">
        <f t="shared" si="80"/>
        <v>#REF!</v>
      </c>
      <c r="AI68" s="282" t="e">
        <f t="shared" si="81"/>
        <v>#REF!</v>
      </c>
      <c r="AJ68" s="282" t="e">
        <f>IF(U68="","",VLOOKUP(LEFT(I68,6)&amp;".1-00",MCP!$AK$9:$AL$464,21,FALSE))</f>
        <v>#REF!</v>
      </c>
      <c r="AK68" s="283" t="e">
        <f t="shared" si="82"/>
        <v>#REF!</v>
      </c>
      <c r="AL68" s="284" t="e">
        <f t="shared" si="83"/>
        <v>#REF!</v>
      </c>
      <c r="AM68" s="285" t="e">
        <f t="shared" si="84"/>
        <v>#REF!</v>
      </c>
      <c r="AN68" s="282">
        <f t="shared" si="85"/>
        <v>0</v>
      </c>
      <c r="AO68" s="282">
        <f t="shared" si="86"/>
        <v>0</v>
      </c>
      <c r="AP68" s="282">
        <f t="shared" si="87"/>
        <v>0</v>
      </c>
      <c r="AQ68" s="282" t="e">
        <f>VLOOKUP(LEFT($A68,7)&amp;"1-00",MCP!#REF!,30,FALSE)</f>
        <v>#REF!</v>
      </c>
      <c r="AR68" s="282" t="e">
        <f>VLOOKUP(LEFT($A68,7)&amp;"1-00",MCP!#REF!,31,FALSE)</f>
        <v>#REF!</v>
      </c>
      <c r="AS68" s="282" t="e">
        <f>VLOOKUP($A68&amp;"-"&amp;$B68,MCP!#REF!,12,FALSE)</f>
        <v>#REF!</v>
      </c>
      <c r="AT68" s="282" t="e">
        <f t="shared" si="88"/>
        <v>#REF!</v>
      </c>
      <c r="AU68" s="282" t="e">
        <f t="shared" si="89"/>
        <v>#REF!</v>
      </c>
      <c r="AV68" s="282" t="e">
        <f t="shared" si="90"/>
        <v>#REF!</v>
      </c>
      <c r="AW68" s="282" t="e">
        <f>IF($U68="","",VLOOKUP(LEFT($A68,7)&amp;"1-00",MCP!#REF!,24,FALSE))</f>
        <v>#REF!</v>
      </c>
      <c r="AX68" s="282"/>
      <c r="AY68" s="282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2" t="str">
        <f t="shared" si="61"/>
        <v>2.1014.2</v>
      </c>
      <c r="B69" s="282" t="str">
        <f t="shared" si="62"/>
        <v>03</v>
      </c>
      <c r="C69" s="282" t="str">
        <f t="shared" si="63"/>
        <v>2.1014.2.03</v>
      </c>
      <c r="D69" s="161">
        <v>2.8923999999999999</v>
      </c>
      <c r="E69" s="161">
        <v>4.7999999999999996E-3</v>
      </c>
      <c r="F69" s="282">
        <f t="shared" si="64"/>
        <v>8.72E-2</v>
      </c>
      <c r="G69" s="161" t="s">
        <v>819</v>
      </c>
      <c r="H69" s="282">
        <f t="shared" si="65"/>
        <v>1.5540929497290144E-3</v>
      </c>
      <c r="I69" s="282" t="str">
        <f>A69&amp;"-"&amp;TEXT(MCP!$D$1,"00")</f>
        <v>2.1014.2-03</v>
      </c>
      <c r="J69" s="282">
        <f>IFERROR(VLOOKUP(I69,MCP!#REF!,10,FALSE),0)</f>
        <v>0</v>
      </c>
      <c r="K69" s="282">
        <f>IFERROR(VLOOKUP(I69,MCP!#REF!,19,FALSE),0)</f>
        <v>0</v>
      </c>
      <c r="N69" s="282" t="e">
        <f>IF($A69="","",VLOOKUP(LEFT($A69,7)&amp;"1-00",MCP!#REF!,N$1,FALSE))</f>
        <v>#REF!</v>
      </c>
      <c r="O69" s="282" t="e">
        <f>IF($A69="","",VLOOKUP(LEFT($A69,7)&amp;"1-00",MCP!#REF!,O$1,FALSE))</f>
        <v>#REF!</v>
      </c>
      <c r="P69" s="282" t="e">
        <f>IF($A69="","",VLOOKUP(LEFT($A69,7)&amp;"1-00",MCP!#REF!,P$1,FALSE))</f>
        <v>#REF!</v>
      </c>
      <c r="Q69" s="282" t="str">
        <f t="shared" si="66"/>
        <v/>
      </c>
      <c r="R69" s="282" t="str">
        <f t="shared" si="67"/>
        <v/>
      </c>
      <c r="S69" s="282" t="str">
        <f t="shared" si="68"/>
        <v/>
      </c>
      <c r="T69" s="282" t="e">
        <f>VLOOKUP(LEFT($A69,7)&amp;"1-00",MCP!#REF!,T$1,FALSE)</f>
        <v>#REF!</v>
      </c>
      <c r="U69" s="282" t="e">
        <f t="shared" si="69"/>
        <v>#REF!</v>
      </c>
      <c r="V69" s="282" t="e">
        <f t="shared" si="70"/>
        <v>#REF!</v>
      </c>
      <c r="W69" s="284" t="e">
        <f t="shared" si="71"/>
        <v>#REF!</v>
      </c>
      <c r="X69" s="161">
        <v>-1.0831999999999999</v>
      </c>
      <c r="Y69" s="282">
        <v>0.80500000000000005</v>
      </c>
      <c r="Z69" s="284" t="e">
        <f t="shared" si="72"/>
        <v>#REF!</v>
      </c>
      <c r="AA69" s="282" t="e">
        <f t="shared" si="73"/>
        <v>#REF!</v>
      </c>
      <c r="AB69" s="282" t="e">
        <f t="shared" si="74"/>
        <v>#REF!</v>
      </c>
      <c r="AC69" s="282" t="e">
        <f t="shared" si="75"/>
        <v>#REF!</v>
      </c>
      <c r="AD69" s="282" t="e">
        <f t="shared" si="76"/>
        <v>#REF!</v>
      </c>
      <c r="AE69" s="282" t="e">
        <f t="shared" si="77"/>
        <v>#REF!</v>
      </c>
      <c r="AF69" s="282" t="e">
        <f t="shared" si="78"/>
        <v>#REF!</v>
      </c>
      <c r="AG69" s="282" t="e">
        <f t="shared" si="79"/>
        <v>#REF!</v>
      </c>
      <c r="AH69" s="282" t="e">
        <f t="shared" si="80"/>
        <v>#REF!</v>
      </c>
      <c r="AI69" s="282" t="e">
        <f t="shared" si="81"/>
        <v>#REF!</v>
      </c>
      <c r="AJ69" s="282" t="e">
        <f>IF(U69="","",VLOOKUP(LEFT(I69,6)&amp;".1-00",MCP!$AK$9:$AL$464,21,FALSE))</f>
        <v>#REF!</v>
      </c>
      <c r="AK69" s="283" t="e">
        <f t="shared" si="82"/>
        <v>#REF!</v>
      </c>
      <c r="AL69" s="284" t="e">
        <f t="shared" si="83"/>
        <v>#REF!</v>
      </c>
      <c r="AM69" s="285" t="e">
        <f t="shared" si="84"/>
        <v>#REF!</v>
      </c>
      <c r="AN69" s="282">
        <f t="shared" si="85"/>
        <v>0</v>
      </c>
      <c r="AO69" s="282">
        <f t="shared" si="86"/>
        <v>0</v>
      </c>
      <c r="AP69" s="282">
        <f t="shared" si="87"/>
        <v>0</v>
      </c>
      <c r="AQ69" s="282" t="e">
        <f>VLOOKUP(LEFT($A69,7)&amp;"1-00",MCP!#REF!,30,FALSE)</f>
        <v>#REF!</v>
      </c>
      <c r="AR69" s="282" t="e">
        <f>VLOOKUP(LEFT($A69,7)&amp;"1-00",MCP!#REF!,31,FALSE)</f>
        <v>#REF!</v>
      </c>
      <c r="AS69" s="282" t="e">
        <f>VLOOKUP($A69&amp;"-"&amp;$B69,MCP!#REF!,12,FALSE)</f>
        <v>#REF!</v>
      </c>
      <c r="AT69" s="282" t="e">
        <f t="shared" si="88"/>
        <v>#REF!</v>
      </c>
      <c r="AU69" s="282" t="e">
        <f t="shared" si="89"/>
        <v>#REF!</v>
      </c>
      <c r="AV69" s="282" t="e">
        <f t="shared" si="90"/>
        <v>#REF!</v>
      </c>
      <c r="AW69" s="282" t="e">
        <f>IF($U69="","",VLOOKUP(LEFT($A69,7)&amp;"1-00",MCP!#REF!,24,FALSE))</f>
        <v>#REF!</v>
      </c>
      <c r="AX69" s="282"/>
      <c r="AY69" s="282"/>
      <c r="BF69" s="175" t="e">
        <f t="shared" si="91"/>
        <v>#REF!</v>
      </c>
    </row>
    <row r="70" spans="1:58" x14ac:dyDescent="0.2">
      <c r="A70" s="282" t="str">
        <f t="shared" si="61"/>
        <v>2.1020.2</v>
      </c>
      <c r="B70" s="282" t="str">
        <f t="shared" si="62"/>
        <v>03</v>
      </c>
      <c r="C70" s="282" t="str">
        <f t="shared" si="63"/>
        <v>2.1020.2.03</v>
      </c>
      <c r="D70" s="161">
        <v>3.7149000000000001</v>
      </c>
      <c r="E70" s="161">
        <v>4.7999999999999996E-3</v>
      </c>
      <c r="F70" s="282">
        <f t="shared" si="64"/>
        <v>0.112</v>
      </c>
      <c r="G70" s="161" t="s">
        <v>821</v>
      </c>
      <c r="H70" s="282">
        <f t="shared" si="65"/>
        <v>1.9960826877253395E-3</v>
      </c>
      <c r="I70" s="282" t="str">
        <f>A70&amp;"-"&amp;TEXT(MCP!$D$1,"00")</f>
        <v>2.1020.2-03</v>
      </c>
      <c r="J70" s="282">
        <f>IFERROR(VLOOKUP(I70,MCP!#REF!,10,FALSE),0)</f>
        <v>0</v>
      </c>
      <c r="K70" s="282">
        <f>IFERROR(VLOOKUP(I70,MCP!#REF!,19,FALSE),0)</f>
        <v>0</v>
      </c>
      <c r="N70" s="282" t="e">
        <f>IF($A70="","",VLOOKUP(LEFT($A70,7)&amp;"1-00",MCP!#REF!,N$1,FALSE))</f>
        <v>#REF!</v>
      </c>
      <c r="O70" s="282" t="e">
        <f>IF($A70="","",VLOOKUP(LEFT($A70,7)&amp;"1-00",MCP!#REF!,O$1,FALSE))</f>
        <v>#REF!</v>
      </c>
      <c r="P70" s="282" t="e">
        <f>IF($A70="","",VLOOKUP(LEFT($A70,7)&amp;"1-00",MCP!#REF!,P$1,FALSE))</f>
        <v>#REF!</v>
      </c>
      <c r="Q70" s="282" t="str">
        <f t="shared" si="66"/>
        <v/>
      </c>
      <c r="R70" s="282" t="str">
        <f t="shared" si="67"/>
        <v/>
      </c>
      <c r="S70" s="282" t="str">
        <f t="shared" si="68"/>
        <v/>
      </c>
      <c r="T70" s="282" t="e">
        <f>VLOOKUP(LEFT($A70,7)&amp;"1-00",MCP!#REF!,T$1,FALSE)</f>
        <v>#REF!</v>
      </c>
      <c r="U70" s="282" t="e">
        <f t="shared" si="69"/>
        <v>#REF!</v>
      </c>
      <c r="V70" s="282" t="e">
        <f t="shared" si="70"/>
        <v>#REF!</v>
      </c>
      <c r="W70" s="284" t="e">
        <f t="shared" si="71"/>
        <v>#REF!</v>
      </c>
      <c r="X70" s="161">
        <v>-1.0747</v>
      </c>
      <c r="Y70" s="280">
        <v>0.80959999999999999</v>
      </c>
      <c r="Z70" s="284" t="e">
        <f t="shared" si="72"/>
        <v>#REF!</v>
      </c>
      <c r="AA70" s="282" t="e">
        <f t="shared" si="73"/>
        <v>#REF!</v>
      </c>
      <c r="AB70" s="282" t="e">
        <f t="shared" si="74"/>
        <v>#REF!</v>
      </c>
      <c r="AC70" s="282" t="e">
        <f t="shared" si="75"/>
        <v>#REF!</v>
      </c>
      <c r="AD70" s="282" t="e">
        <f t="shared" si="76"/>
        <v>#REF!</v>
      </c>
      <c r="AE70" s="282" t="e">
        <f t="shared" si="77"/>
        <v>#REF!</v>
      </c>
      <c r="AF70" s="282" t="e">
        <f t="shared" si="78"/>
        <v>#REF!</v>
      </c>
      <c r="AG70" s="282" t="e">
        <f t="shared" si="79"/>
        <v>#REF!</v>
      </c>
      <c r="AH70" s="282" t="e">
        <f t="shared" si="80"/>
        <v>#REF!</v>
      </c>
      <c r="AI70" s="282" t="e">
        <f t="shared" si="81"/>
        <v>#REF!</v>
      </c>
      <c r="AJ70" s="282" t="e">
        <f>IF(U70="","",VLOOKUP(LEFT(I70,6)&amp;".1-00",MCP!$AK$9:$AL$464,21,FALSE))</f>
        <v>#REF!</v>
      </c>
      <c r="AK70" s="283" t="e">
        <f t="shared" si="82"/>
        <v>#REF!</v>
      </c>
      <c r="AL70" s="284" t="e">
        <f t="shared" si="83"/>
        <v>#REF!</v>
      </c>
      <c r="AM70" s="285" t="e">
        <f t="shared" si="84"/>
        <v>#REF!</v>
      </c>
      <c r="AN70" s="282">
        <f t="shared" si="85"/>
        <v>0</v>
      </c>
      <c r="AO70" s="282">
        <f t="shared" si="86"/>
        <v>0</v>
      </c>
      <c r="AP70" s="282">
        <f t="shared" si="87"/>
        <v>0</v>
      </c>
      <c r="AQ70" s="282" t="e">
        <f>VLOOKUP(LEFT($A70,7)&amp;"1-00",MCP!#REF!,30,FALSE)</f>
        <v>#REF!</v>
      </c>
      <c r="AR70" s="282" t="e">
        <f>VLOOKUP(LEFT($A70,7)&amp;"1-00",MCP!#REF!,31,FALSE)</f>
        <v>#REF!</v>
      </c>
      <c r="AS70" s="282" t="e">
        <f>VLOOKUP($A70&amp;"-"&amp;$B70,MCP!#REF!,12,FALSE)</f>
        <v>#REF!</v>
      </c>
      <c r="AT70" s="282" t="e">
        <f t="shared" si="88"/>
        <v>#REF!</v>
      </c>
      <c r="AU70" s="282" t="e">
        <f t="shared" si="89"/>
        <v>#REF!</v>
      </c>
      <c r="AV70" s="282" t="e">
        <f t="shared" si="90"/>
        <v>#REF!</v>
      </c>
      <c r="AW70" s="282" t="e">
        <f>IF($U70="","",VLOOKUP(LEFT($A70,7)&amp;"1-00",MCP!#REF!,24,FALSE))</f>
        <v>#REF!</v>
      </c>
      <c r="AX70" s="282"/>
      <c r="AY70" s="282"/>
      <c r="BF70" s="175" t="e">
        <f t="shared" si="91"/>
        <v>#REF!</v>
      </c>
    </row>
    <row r="71" spans="1:58" x14ac:dyDescent="0.2">
      <c r="A71" s="282" t="str">
        <f t="shared" si="61"/>
        <v>2.1026.2</v>
      </c>
      <c r="B71" s="282" t="str">
        <f t="shared" si="62"/>
        <v>03</v>
      </c>
      <c r="C71" s="282" t="str">
        <f t="shared" si="63"/>
        <v>2.1026.2.03</v>
      </c>
      <c r="D71" s="161">
        <v>4.5049999999999999</v>
      </c>
      <c r="E71" s="161">
        <v>4.7000000000000002E-3</v>
      </c>
      <c r="F71" s="282">
        <f t="shared" si="64"/>
        <v>0.13300000000000001</v>
      </c>
      <c r="G71" s="161" t="s">
        <v>823</v>
      </c>
      <c r="H71" s="282">
        <f t="shared" si="65"/>
        <v>2.3703481916738408E-3</v>
      </c>
      <c r="I71" s="282" t="str">
        <f>A71&amp;"-"&amp;TEXT(MCP!$D$1,"00")</f>
        <v>2.1026.2-03</v>
      </c>
      <c r="J71" s="282">
        <f>IFERROR(VLOOKUP(I71,MCP!#REF!,10,FALSE),0)</f>
        <v>0</v>
      </c>
      <c r="K71" s="282">
        <f>IFERROR(VLOOKUP(I71,MCP!#REF!,19,FALSE),0)</f>
        <v>0</v>
      </c>
      <c r="N71" s="282" t="e">
        <f>IF($A71="","",VLOOKUP(LEFT($A71,7)&amp;"1-00",MCP!#REF!,N$1,FALSE))</f>
        <v>#REF!</v>
      </c>
      <c r="O71" s="282" t="e">
        <f>IF($A71="","",VLOOKUP(LEFT($A71,7)&amp;"1-00",MCP!#REF!,O$1,FALSE))</f>
        <v>#REF!</v>
      </c>
      <c r="P71" s="282" t="e">
        <f>IF($A71="","",VLOOKUP(LEFT($A71,7)&amp;"1-00",MCP!#REF!,P$1,FALSE))</f>
        <v>#REF!</v>
      </c>
      <c r="Q71" s="282" t="str">
        <f t="shared" si="66"/>
        <v/>
      </c>
      <c r="R71" s="282" t="str">
        <f t="shared" si="67"/>
        <v/>
      </c>
      <c r="S71" s="282" t="str">
        <f t="shared" si="68"/>
        <v/>
      </c>
      <c r="T71" s="282" t="e">
        <f>VLOOKUP(LEFT($A71,7)&amp;"1-00",MCP!#REF!,T$1,FALSE)</f>
        <v>#REF!</v>
      </c>
      <c r="U71" s="282" t="e">
        <f t="shared" si="69"/>
        <v>#REF!</v>
      </c>
      <c r="V71" s="282" t="e">
        <f t="shared" si="70"/>
        <v>#REF!</v>
      </c>
      <c r="W71" s="284" t="e">
        <f t="shared" si="71"/>
        <v>#REF!</v>
      </c>
      <c r="X71" s="161">
        <v>-0.82240000000000002</v>
      </c>
      <c r="Y71" s="279">
        <v>0.80589999999999995</v>
      </c>
      <c r="Z71" s="284" t="e">
        <f t="shared" si="72"/>
        <v>#REF!</v>
      </c>
      <c r="AA71" s="282" t="e">
        <f t="shared" si="73"/>
        <v>#REF!</v>
      </c>
      <c r="AB71" s="282" t="e">
        <f t="shared" si="74"/>
        <v>#REF!</v>
      </c>
      <c r="AC71" s="282" t="e">
        <f t="shared" si="75"/>
        <v>#REF!</v>
      </c>
      <c r="AD71" s="282" t="e">
        <f t="shared" si="76"/>
        <v>#REF!</v>
      </c>
      <c r="AE71" s="282" t="e">
        <f t="shared" si="77"/>
        <v>#REF!</v>
      </c>
      <c r="AF71" s="282" t="e">
        <f t="shared" si="78"/>
        <v>#REF!</v>
      </c>
      <c r="AG71" s="282" t="e">
        <f t="shared" si="79"/>
        <v>#REF!</v>
      </c>
      <c r="AH71" s="282" t="e">
        <f t="shared" si="80"/>
        <v>#REF!</v>
      </c>
      <c r="AI71" s="282" t="e">
        <f t="shared" si="81"/>
        <v>#REF!</v>
      </c>
      <c r="AJ71" s="282" t="e">
        <f>IF(U71="","",VLOOKUP(LEFT(I71,6)&amp;".1-00",MCP!$AK$9:$AL$464,21,FALSE))</f>
        <v>#REF!</v>
      </c>
      <c r="AK71" s="283" t="e">
        <f t="shared" si="82"/>
        <v>#REF!</v>
      </c>
      <c r="AL71" s="284" t="e">
        <f t="shared" si="83"/>
        <v>#REF!</v>
      </c>
      <c r="AM71" s="285" t="e">
        <f t="shared" si="84"/>
        <v>#REF!</v>
      </c>
      <c r="AN71" s="282">
        <f t="shared" si="85"/>
        <v>0</v>
      </c>
      <c r="AO71" s="282">
        <f t="shared" si="86"/>
        <v>0</v>
      </c>
      <c r="AP71" s="282">
        <f t="shared" si="87"/>
        <v>0</v>
      </c>
      <c r="AQ71" s="282" t="e">
        <f>VLOOKUP(LEFT($A71,7)&amp;"1-00",MCP!#REF!,30,FALSE)</f>
        <v>#REF!</v>
      </c>
      <c r="AR71" s="282" t="e">
        <f>VLOOKUP(LEFT($A71,7)&amp;"1-00",MCP!#REF!,31,FALSE)</f>
        <v>#REF!</v>
      </c>
      <c r="AS71" s="282" t="e">
        <f>VLOOKUP($A71&amp;"-"&amp;$B71,MCP!#REF!,12,FALSE)</f>
        <v>#REF!</v>
      </c>
      <c r="AT71" s="282" t="e">
        <f t="shared" si="88"/>
        <v>#REF!</v>
      </c>
      <c r="AU71" s="282" t="e">
        <f t="shared" si="89"/>
        <v>#REF!</v>
      </c>
      <c r="AV71" s="282" t="e">
        <f t="shared" si="90"/>
        <v>#REF!</v>
      </c>
      <c r="AW71" s="282" t="e">
        <f>IF($U71="","",VLOOKUP(LEFT($A71,7)&amp;"1-00",MCP!#REF!,24,FALSE))</f>
        <v>#REF!</v>
      </c>
      <c r="AX71" s="282"/>
      <c r="AY71" s="282"/>
      <c r="BF71" s="175" t="e">
        <f t="shared" si="91"/>
        <v>#REF!</v>
      </c>
    </row>
    <row r="72" spans="1:58" x14ac:dyDescent="0.2">
      <c r="A72" s="282" t="str">
        <f t="shared" si="61"/>
        <v>2.1032.2</v>
      </c>
      <c r="B72" s="282" t="str">
        <f t="shared" si="62"/>
        <v>03</v>
      </c>
      <c r="C72" s="282" t="str">
        <f t="shared" si="63"/>
        <v>2.1032.2.03</v>
      </c>
      <c r="D72" s="161">
        <v>5.1863000000000001</v>
      </c>
      <c r="E72" s="161">
        <v>3.8999999999999998E-3</v>
      </c>
      <c r="F72" s="282">
        <f t="shared" si="64"/>
        <v>0.12709999999999999</v>
      </c>
      <c r="G72" s="161" t="s">
        <v>661</v>
      </c>
      <c r="H72" s="282">
        <f t="shared" si="65"/>
        <v>2.2651974072311664E-3</v>
      </c>
      <c r="I72" s="282" t="str">
        <f>A72&amp;"-"&amp;TEXT(MCP!$D$1,"00")</f>
        <v>2.1032.2-03</v>
      </c>
      <c r="J72" s="282">
        <f>IFERROR(VLOOKUP(I72,MCP!#REF!,10,FALSE),0)</f>
        <v>0</v>
      </c>
      <c r="K72" s="282">
        <f>IFERROR(VLOOKUP(I72,MCP!#REF!,19,FALSE),0)</f>
        <v>0</v>
      </c>
      <c r="N72" s="282" t="e">
        <f>IF($A72="","",VLOOKUP(LEFT($A72,7)&amp;"1-00",MCP!#REF!,N$1,FALSE))</f>
        <v>#REF!</v>
      </c>
      <c r="O72" s="282" t="e">
        <f>IF($A72="","",VLOOKUP(LEFT($A72,7)&amp;"1-00",MCP!#REF!,O$1,FALSE))</f>
        <v>#REF!</v>
      </c>
      <c r="P72" s="282" t="e">
        <f>IF($A72="","",VLOOKUP(LEFT($A72,7)&amp;"1-00",MCP!#REF!,P$1,FALSE))</f>
        <v>#REF!</v>
      </c>
      <c r="Q72" s="282" t="str">
        <f t="shared" si="66"/>
        <v/>
      </c>
      <c r="R72" s="282" t="str">
        <f t="shared" si="67"/>
        <v/>
      </c>
      <c r="S72" s="282" t="str">
        <f t="shared" si="68"/>
        <v/>
      </c>
      <c r="T72" s="282" t="e">
        <f>VLOOKUP(LEFT($A72,7)&amp;"1-00",MCP!#REF!,T$1,FALSE)</f>
        <v>#REF!</v>
      </c>
      <c r="U72" s="282" t="e">
        <f t="shared" si="69"/>
        <v>#REF!</v>
      </c>
      <c r="V72" s="282" t="e">
        <f t="shared" si="70"/>
        <v>#REF!</v>
      </c>
      <c r="W72" s="284" t="e">
        <f t="shared" si="71"/>
        <v>#REF!</v>
      </c>
      <c r="X72" s="161">
        <v>-0.3427</v>
      </c>
      <c r="Y72" s="284">
        <v>0.75729999999999997</v>
      </c>
      <c r="Z72" s="284" t="e">
        <f t="shared" si="72"/>
        <v>#REF!</v>
      </c>
      <c r="AA72" s="282" t="e">
        <f t="shared" si="73"/>
        <v>#REF!</v>
      </c>
      <c r="AB72" s="282" t="e">
        <f t="shared" si="74"/>
        <v>#REF!</v>
      </c>
      <c r="AC72" s="282" t="e">
        <f t="shared" si="75"/>
        <v>#REF!</v>
      </c>
      <c r="AD72" s="282" t="e">
        <f t="shared" si="76"/>
        <v>#REF!</v>
      </c>
      <c r="AE72" s="282" t="e">
        <f t="shared" si="77"/>
        <v>#REF!</v>
      </c>
      <c r="AF72" s="282" t="e">
        <f t="shared" si="78"/>
        <v>#REF!</v>
      </c>
      <c r="AG72" s="282" t="e">
        <f t="shared" si="79"/>
        <v>#REF!</v>
      </c>
      <c r="AH72" s="282" t="e">
        <f t="shared" si="80"/>
        <v>#REF!</v>
      </c>
      <c r="AI72" s="282" t="e">
        <f t="shared" si="81"/>
        <v>#REF!</v>
      </c>
      <c r="AJ72" s="282" t="e">
        <f>IF(U72="","",VLOOKUP(LEFT(I72,6)&amp;".1-00",MCP!$AK$9:$AL$464,21,FALSE))</f>
        <v>#REF!</v>
      </c>
      <c r="AK72" s="283" t="e">
        <f t="shared" si="82"/>
        <v>#REF!</v>
      </c>
      <c r="AL72" s="284" t="e">
        <f t="shared" si="83"/>
        <v>#REF!</v>
      </c>
      <c r="AM72" s="285" t="e">
        <f t="shared" si="84"/>
        <v>#REF!</v>
      </c>
      <c r="AN72" s="282">
        <f t="shared" si="85"/>
        <v>0</v>
      </c>
      <c r="AO72" s="282">
        <f t="shared" si="86"/>
        <v>0</v>
      </c>
      <c r="AP72" s="282">
        <f t="shared" si="87"/>
        <v>0</v>
      </c>
      <c r="AQ72" s="282" t="e">
        <f>VLOOKUP(LEFT($A72,7)&amp;"1-00",MCP!#REF!,30,FALSE)</f>
        <v>#REF!</v>
      </c>
      <c r="AR72" s="282" t="e">
        <f>VLOOKUP(LEFT($A72,7)&amp;"1-00",MCP!#REF!,31,FALSE)</f>
        <v>#REF!</v>
      </c>
      <c r="AS72" s="282" t="e">
        <f>VLOOKUP($A72&amp;"-"&amp;$B72,MCP!#REF!,12,FALSE)</f>
        <v>#REF!</v>
      </c>
      <c r="AT72" s="282" t="e">
        <f t="shared" si="88"/>
        <v>#REF!</v>
      </c>
      <c r="AU72" s="282" t="e">
        <f t="shared" si="89"/>
        <v>#REF!</v>
      </c>
      <c r="AV72" s="282" t="e">
        <f t="shared" si="90"/>
        <v>#REF!</v>
      </c>
      <c r="AW72" s="282" t="e">
        <f>IF($U72="","",VLOOKUP(LEFT($A72,7)&amp;"1-00",MCP!#REF!,24,FALSE))</f>
        <v>#REF!</v>
      </c>
      <c r="AX72" s="282"/>
      <c r="AY72" s="282"/>
      <c r="BF72" s="175" t="e">
        <f t="shared" si="91"/>
        <v>#REF!</v>
      </c>
    </row>
    <row r="73" spans="1:58" x14ac:dyDescent="0.2">
      <c r="A73" s="282" t="str">
        <f t="shared" si="61"/>
        <v>2.1038.2</v>
      </c>
      <c r="B73" s="282" t="str">
        <f t="shared" si="62"/>
        <v>03</v>
      </c>
      <c r="C73" s="282" t="str">
        <f t="shared" si="63"/>
        <v>2.1038.2.03</v>
      </c>
      <c r="D73" s="161">
        <v>5.7088999999999999</v>
      </c>
      <c r="E73" s="161">
        <v>3.0999999999999999E-3</v>
      </c>
      <c r="F73" s="282">
        <f t="shared" si="64"/>
        <v>0.11119999999999999</v>
      </c>
      <c r="G73" s="161" t="s">
        <v>825</v>
      </c>
      <c r="H73" s="282">
        <f t="shared" si="65"/>
        <v>1.9818249542415873E-3</v>
      </c>
      <c r="I73" s="282" t="str">
        <f>A73&amp;"-"&amp;TEXT(MCP!$D$1,"00")</f>
        <v>2.1038.2-03</v>
      </c>
      <c r="J73" s="282">
        <f>IFERROR(VLOOKUP(I73,MCP!#REF!,10,FALSE),0)</f>
        <v>0</v>
      </c>
      <c r="K73" s="282">
        <f>IFERROR(VLOOKUP(I73,MCP!#REF!,19,FALSE),0)</f>
        <v>0</v>
      </c>
      <c r="N73" s="282" t="e">
        <f>IF($A73="","",VLOOKUP(LEFT($A73,7)&amp;"1-00",MCP!#REF!,N$1,FALSE))</f>
        <v>#REF!</v>
      </c>
      <c r="O73" s="282" t="e">
        <f>IF($A73="","",VLOOKUP(LEFT($A73,7)&amp;"1-00",MCP!#REF!,O$1,FALSE))</f>
        <v>#REF!</v>
      </c>
      <c r="P73" s="282" t="e">
        <f>IF($A73="","",VLOOKUP(LEFT($A73,7)&amp;"1-00",MCP!#REF!,P$1,FALSE))</f>
        <v>#REF!</v>
      </c>
      <c r="Q73" s="282" t="str">
        <f t="shared" si="66"/>
        <v/>
      </c>
      <c r="R73" s="282" t="str">
        <f t="shared" si="67"/>
        <v/>
      </c>
      <c r="S73" s="282" t="str">
        <f t="shared" si="68"/>
        <v/>
      </c>
      <c r="T73" s="282" t="e">
        <f>VLOOKUP(LEFT($A73,7)&amp;"1-00",MCP!#REF!,T$1,FALSE)</f>
        <v>#REF!</v>
      </c>
      <c r="U73" s="282" t="e">
        <f t="shared" si="69"/>
        <v>#REF!</v>
      </c>
      <c r="V73" s="282" t="e">
        <f t="shared" si="70"/>
        <v>#REF!</v>
      </c>
      <c r="W73" s="284" t="e">
        <f t="shared" si="71"/>
        <v>#REF!</v>
      </c>
      <c r="X73" s="161">
        <v>0.33450000000000002</v>
      </c>
      <c r="Y73" s="282">
        <v>0.68969999999999998</v>
      </c>
      <c r="Z73" s="284" t="e">
        <f t="shared" si="72"/>
        <v>#REF!</v>
      </c>
      <c r="AA73" s="282" t="e">
        <f t="shared" si="73"/>
        <v>#REF!</v>
      </c>
      <c r="AB73" s="282" t="e">
        <f t="shared" si="74"/>
        <v>#REF!</v>
      </c>
      <c r="AC73" s="282" t="e">
        <f t="shared" si="75"/>
        <v>#REF!</v>
      </c>
      <c r="AD73" s="282" t="e">
        <f t="shared" si="76"/>
        <v>#REF!</v>
      </c>
      <c r="AE73" s="282" t="e">
        <f t="shared" si="77"/>
        <v>#REF!</v>
      </c>
      <c r="AF73" s="282" t="e">
        <f t="shared" si="78"/>
        <v>#REF!</v>
      </c>
      <c r="AG73" s="282" t="e">
        <f t="shared" si="79"/>
        <v>#REF!</v>
      </c>
      <c r="AH73" s="282" t="e">
        <f t="shared" si="80"/>
        <v>#REF!</v>
      </c>
      <c r="AI73" s="282" t="e">
        <f t="shared" si="81"/>
        <v>#REF!</v>
      </c>
      <c r="AJ73" s="282" t="e">
        <f>IF(U73="","",VLOOKUP(LEFT(I73,6)&amp;".1-00",MCP!$AK$9:$AL$464,21,FALSE))</f>
        <v>#REF!</v>
      </c>
      <c r="AK73" s="283" t="e">
        <f t="shared" si="82"/>
        <v>#REF!</v>
      </c>
      <c r="AL73" s="284" t="e">
        <f t="shared" si="83"/>
        <v>#REF!</v>
      </c>
      <c r="AM73" s="285" t="e">
        <f t="shared" si="84"/>
        <v>#REF!</v>
      </c>
      <c r="AN73" s="282">
        <f t="shared" si="85"/>
        <v>0</v>
      </c>
      <c r="AO73" s="282">
        <f t="shared" si="86"/>
        <v>0</v>
      </c>
      <c r="AP73" s="282">
        <f t="shared" si="87"/>
        <v>0</v>
      </c>
      <c r="AQ73" s="282" t="e">
        <f>VLOOKUP(LEFT($A73,7)&amp;"1-00",MCP!#REF!,30,FALSE)</f>
        <v>#REF!</v>
      </c>
      <c r="AR73" s="282" t="e">
        <f>VLOOKUP(LEFT($A73,7)&amp;"1-00",MCP!#REF!,31,FALSE)</f>
        <v>#REF!</v>
      </c>
      <c r="AS73" s="282" t="e">
        <f>VLOOKUP($A73&amp;"-"&amp;$B73,MCP!#REF!,12,FALSE)</f>
        <v>#REF!</v>
      </c>
      <c r="AT73" s="282" t="e">
        <f t="shared" si="88"/>
        <v>#REF!</v>
      </c>
      <c r="AU73" s="282" t="e">
        <f t="shared" si="89"/>
        <v>#REF!</v>
      </c>
      <c r="AV73" s="282" t="e">
        <f t="shared" si="90"/>
        <v>#REF!</v>
      </c>
      <c r="AW73" s="282" t="e">
        <f>IF($U73="","",VLOOKUP(LEFT($A73,7)&amp;"1-00",MCP!#REF!,24,FALSE))</f>
        <v>#REF!</v>
      </c>
      <c r="AX73" s="282"/>
      <c r="AY73" s="282"/>
      <c r="BF73" s="175" t="e">
        <f t="shared" si="91"/>
        <v>#REF!</v>
      </c>
    </row>
    <row r="74" spans="1:58" x14ac:dyDescent="0.2">
      <c r="A74" s="282" t="str">
        <f t="shared" si="61"/>
        <v>2.1044.2</v>
      </c>
      <c r="B74" s="282" t="str">
        <f t="shared" si="62"/>
        <v>03</v>
      </c>
      <c r="C74" s="282" t="str">
        <f t="shared" si="63"/>
        <v>2.1044.2.03</v>
      </c>
      <c r="D74" s="161">
        <v>6.0071000000000003</v>
      </c>
      <c r="E74" s="161">
        <v>1.4E-3</v>
      </c>
      <c r="F74" s="282">
        <f t="shared" si="64"/>
        <v>5.28E-2</v>
      </c>
      <c r="G74" s="161" t="s">
        <v>827</v>
      </c>
      <c r="H74" s="282">
        <f t="shared" si="65"/>
        <v>9.4101040992766011E-4</v>
      </c>
      <c r="I74" s="282" t="str">
        <f>A74&amp;"-"&amp;TEXT(MCP!$D$1,"00")</f>
        <v>2.1044.2-03</v>
      </c>
      <c r="J74" s="282">
        <f>IFERROR(VLOOKUP(I74,MCP!#REF!,10,FALSE),0)</f>
        <v>0</v>
      </c>
      <c r="K74" s="282">
        <f>IFERROR(VLOOKUP(I74,MCP!#REF!,19,FALSE),0)</f>
        <v>0</v>
      </c>
      <c r="N74" s="282" t="e">
        <f>IF($A74="","",VLOOKUP(LEFT($A74,7)&amp;"1-00",MCP!#REF!,N$1,FALSE))</f>
        <v>#REF!</v>
      </c>
      <c r="O74" s="282" t="e">
        <f>IF($A74="","",VLOOKUP(LEFT($A74,7)&amp;"1-00",MCP!#REF!,O$1,FALSE))</f>
        <v>#REF!</v>
      </c>
      <c r="P74" s="282" t="e">
        <f>IF($A74="","",VLOOKUP(LEFT($A74,7)&amp;"1-00",MCP!#REF!,P$1,FALSE))</f>
        <v>#REF!</v>
      </c>
      <c r="Q74" s="282" t="str">
        <f t="shared" si="66"/>
        <v/>
      </c>
      <c r="R74" s="282" t="str">
        <f t="shared" si="67"/>
        <v/>
      </c>
      <c r="S74" s="282" t="str">
        <f t="shared" si="68"/>
        <v/>
      </c>
      <c r="T74" s="282" t="e">
        <f>VLOOKUP(LEFT($A74,7)&amp;"1-00",MCP!#REF!,T$1,FALSE)</f>
        <v>#REF!</v>
      </c>
      <c r="U74" s="282" t="e">
        <f t="shared" si="69"/>
        <v>#REF!</v>
      </c>
      <c r="V74" s="282" t="e">
        <f t="shared" si="70"/>
        <v>#REF!</v>
      </c>
      <c r="W74" s="284" t="e">
        <f t="shared" si="71"/>
        <v>#REF!</v>
      </c>
      <c r="X74" s="161">
        <v>1.1677999999999999</v>
      </c>
      <c r="Y74" s="279">
        <v>0.45900000000000002</v>
      </c>
      <c r="Z74" s="284" t="e">
        <f t="shared" si="72"/>
        <v>#REF!</v>
      </c>
      <c r="AA74" s="282" t="e">
        <f t="shared" si="73"/>
        <v>#REF!</v>
      </c>
      <c r="AB74" s="282" t="e">
        <f t="shared" si="74"/>
        <v>#REF!</v>
      </c>
      <c r="AC74" s="282" t="e">
        <f t="shared" si="75"/>
        <v>#REF!</v>
      </c>
      <c r="AD74" s="282" t="e">
        <f t="shared" si="76"/>
        <v>#REF!</v>
      </c>
      <c r="AE74" s="282" t="e">
        <f t="shared" si="77"/>
        <v>#REF!</v>
      </c>
      <c r="AF74" s="282" t="e">
        <f t="shared" si="78"/>
        <v>#REF!</v>
      </c>
      <c r="AG74" s="282" t="e">
        <f t="shared" si="79"/>
        <v>#REF!</v>
      </c>
      <c r="AH74" s="282" t="e">
        <f t="shared" si="80"/>
        <v>#REF!</v>
      </c>
      <c r="AI74" s="282" t="e">
        <f t="shared" si="81"/>
        <v>#REF!</v>
      </c>
      <c r="AJ74" s="282" t="e">
        <f>IF(U74="","",VLOOKUP(LEFT(I74,6)&amp;".1-00",MCP!$AK$9:$AL$464,21,FALSE))</f>
        <v>#REF!</v>
      </c>
      <c r="AK74" s="283" t="e">
        <f t="shared" si="82"/>
        <v>#REF!</v>
      </c>
      <c r="AL74" s="284" t="e">
        <f t="shared" si="83"/>
        <v>#REF!</v>
      </c>
      <c r="AM74" s="285" t="e">
        <f t="shared" si="84"/>
        <v>#REF!</v>
      </c>
      <c r="AN74" s="282">
        <f t="shared" si="85"/>
        <v>0</v>
      </c>
      <c r="AO74" s="282">
        <f t="shared" si="86"/>
        <v>0</v>
      </c>
      <c r="AP74" s="282">
        <f t="shared" si="87"/>
        <v>0</v>
      </c>
      <c r="AQ74" s="282" t="e">
        <f>VLOOKUP(LEFT($A74,7)&amp;"1-00",MCP!#REF!,30,FALSE)</f>
        <v>#REF!</v>
      </c>
      <c r="AR74" s="282" t="e">
        <f>VLOOKUP(LEFT($A74,7)&amp;"1-00",MCP!#REF!,31,FALSE)</f>
        <v>#REF!</v>
      </c>
      <c r="AS74" s="282" t="e">
        <f>VLOOKUP($A74&amp;"-"&amp;$B74,MCP!#REF!,12,FALSE)</f>
        <v>#REF!</v>
      </c>
      <c r="AT74" s="282" t="e">
        <f t="shared" si="88"/>
        <v>#REF!</v>
      </c>
      <c r="AU74" s="282" t="e">
        <f t="shared" si="89"/>
        <v>#REF!</v>
      </c>
      <c r="AV74" s="282" t="e">
        <f t="shared" si="90"/>
        <v>#REF!</v>
      </c>
      <c r="AW74" s="282" t="e">
        <f>IF($U74="","",VLOOKUP(LEFT($A74,7)&amp;"1-00",MCP!#REF!,24,FALSE))</f>
        <v>#REF!</v>
      </c>
      <c r="AX74" s="282"/>
      <c r="AY74" s="282"/>
      <c r="BF74" s="175" t="e">
        <f t="shared" si="91"/>
        <v>#REF!</v>
      </c>
    </row>
    <row r="75" spans="1:58" x14ac:dyDescent="0.2">
      <c r="A75" s="282" t="str">
        <f t="shared" si="61"/>
        <v>2.1050.2</v>
      </c>
      <c r="B75" s="282" t="str">
        <f t="shared" si="62"/>
        <v>03</v>
      </c>
      <c r="C75" s="282" t="str">
        <f t="shared" si="63"/>
        <v>2.1050.2.03</v>
      </c>
      <c r="D75" s="161">
        <v>6.1097999999999999</v>
      </c>
      <c r="E75" s="161">
        <v>6.9999999999999999E-4</v>
      </c>
      <c r="F75" s="282">
        <f t="shared" si="64"/>
        <v>2.69E-2</v>
      </c>
      <c r="G75" s="161" t="s">
        <v>829</v>
      </c>
      <c r="H75" s="282">
        <f t="shared" si="65"/>
        <v>4.7941628839117534E-4</v>
      </c>
      <c r="I75" s="282" t="str">
        <f>A75&amp;"-"&amp;TEXT(MCP!$D$1,"00")</f>
        <v>2.1050.2-03</v>
      </c>
      <c r="J75" s="282">
        <f>IFERROR(VLOOKUP(I75,MCP!#REF!,10,FALSE),0)</f>
        <v>0</v>
      </c>
      <c r="K75" s="282">
        <f>IFERROR(VLOOKUP(I75,MCP!#REF!,19,FALSE),0)</f>
        <v>0</v>
      </c>
      <c r="N75" s="282" t="e">
        <f>IF($A75="","",VLOOKUP(LEFT($A75,7)&amp;"1-00",MCP!#REF!,N$1,FALSE))</f>
        <v>#REF!</v>
      </c>
      <c r="O75" s="282" t="e">
        <f>IF($A75="","",VLOOKUP(LEFT($A75,7)&amp;"1-00",MCP!#REF!,O$1,FALSE))</f>
        <v>#REF!</v>
      </c>
      <c r="P75" s="282" t="e">
        <f>IF($A75="","",VLOOKUP(LEFT($A75,7)&amp;"1-00",MCP!#REF!,P$1,FALSE))</f>
        <v>#REF!</v>
      </c>
      <c r="Q75" s="282" t="str">
        <f t="shared" si="66"/>
        <v/>
      </c>
      <c r="R75" s="282" t="str">
        <f t="shared" si="67"/>
        <v/>
      </c>
      <c r="S75" s="282" t="str">
        <f t="shared" si="68"/>
        <v/>
      </c>
      <c r="T75" s="282" t="e">
        <f>VLOOKUP(LEFT($A75,7)&amp;"1-00",MCP!#REF!,T$1,FALSE)</f>
        <v>#REF!</v>
      </c>
      <c r="U75" s="282" t="e">
        <f t="shared" si="69"/>
        <v>#REF!</v>
      </c>
      <c r="V75" s="282" t="e">
        <f t="shared" si="70"/>
        <v>#REF!</v>
      </c>
      <c r="W75" s="284" t="e">
        <f t="shared" si="71"/>
        <v>#REF!</v>
      </c>
      <c r="X75" s="161">
        <v>1.9912000000000001</v>
      </c>
      <c r="Y75" s="282">
        <v>0.31630000000000003</v>
      </c>
      <c r="Z75" s="284" t="e">
        <f t="shared" si="72"/>
        <v>#REF!</v>
      </c>
      <c r="AA75" s="282" t="e">
        <f t="shared" si="73"/>
        <v>#REF!</v>
      </c>
      <c r="AB75" s="282" t="e">
        <f t="shared" si="74"/>
        <v>#REF!</v>
      </c>
      <c r="AC75" s="282" t="e">
        <f t="shared" si="75"/>
        <v>#REF!</v>
      </c>
      <c r="AD75" s="282" t="e">
        <f t="shared" si="76"/>
        <v>#REF!</v>
      </c>
      <c r="AE75" s="282" t="e">
        <f t="shared" si="77"/>
        <v>#REF!</v>
      </c>
      <c r="AF75" s="282" t="e">
        <f t="shared" si="78"/>
        <v>#REF!</v>
      </c>
      <c r="AG75" s="282" t="e">
        <f t="shared" si="79"/>
        <v>#REF!</v>
      </c>
      <c r="AH75" s="282" t="e">
        <f t="shared" si="80"/>
        <v>#REF!</v>
      </c>
      <c r="AI75" s="282" t="e">
        <f t="shared" si="81"/>
        <v>#REF!</v>
      </c>
      <c r="AJ75" s="282" t="e">
        <f>IF(U75="","",VLOOKUP(LEFT(I75,6)&amp;".1-00",MCP!$AK$9:$AL$464,21,FALSE))</f>
        <v>#REF!</v>
      </c>
      <c r="AK75" s="283" t="e">
        <f t="shared" si="82"/>
        <v>#REF!</v>
      </c>
      <c r="AL75" s="284" t="e">
        <f t="shared" si="83"/>
        <v>#REF!</v>
      </c>
      <c r="AM75" s="285" t="e">
        <f t="shared" si="84"/>
        <v>#REF!</v>
      </c>
      <c r="AN75" s="282">
        <f t="shared" si="85"/>
        <v>0</v>
      </c>
      <c r="AO75" s="282">
        <f t="shared" si="86"/>
        <v>0</v>
      </c>
      <c r="AP75" s="282">
        <f t="shared" si="87"/>
        <v>0</v>
      </c>
      <c r="AQ75" s="282" t="e">
        <f>VLOOKUP(LEFT($A75,7)&amp;"1-00",MCP!#REF!,30,FALSE)</f>
        <v>#REF!</v>
      </c>
      <c r="AR75" s="282" t="e">
        <f>VLOOKUP(LEFT($A75,7)&amp;"1-00",MCP!#REF!,31,FALSE)</f>
        <v>#REF!</v>
      </c>
      <c r="AS75" s="282" t="e">
        <f>VLOOKUP($A75&amp;"-"&amp;$B75,MCP!#REF!,12,FALSE)</f>
        <v>#REF!</v>
      </c>
      <c r="AT75" s="282" t="e">
        <f t="shared" si="88"/>
        <v>#REF!</v>
      </c>
      <c r="AU75" s="282" t="e">
        <f t="shared" si="89"/>
        <v>#REF!</v>
      </c>
      <c r="AV75" s="282" t="e">
        <f t="shared" si="90"/>
        <v>#REF!</v>
      </c>
      <c r="AW75" s="282" t="e">
        <f>IF($U75="","",VLOOKUP(LEFT($A75,7)&amp;"1-00",MCP!#REF!,24,FALSE))</f>
        <v>#REF!</v>
      </c>
      <c r="AX75" s="282"/>
      <c r="AY75" s="282"/>
      <c r="BF75" s="175" t="e">
        <f t="shared" si="91"/>
        <v>#REF!</v>
      </c>
    </row>
    <row r="76" spans="1:58" x14ac:dyDescent="0.2">
      <c r="A76" s="282" t="str">
        <f t="shared" si="61"/>
        <v>3.1002.2</v>
      </c>
      <c r="B76" s="282" t="str">
        <f t="shared" si="62"/>
        <v>03</v>
      </c>
      <c r="C76" s="282" t="str">
        <f t="shared" si="63"/>
        <v>3.1002.2.03</v>
      </c>
      <c r="D76" s="161">
        <v>0.48859999999999998</v>
      </c>
      <c r="E76" s="161">
        <v>8.0000000000000002E-3</v>
      </c>
      <c r="F76" s="282">
        <f t="shared" si="64"/>
        <v>2.46E-2</v>
      </c>
      <c r="G76" s="161" t="s">
        <v>831</v>
      </c>
      <c r="H76" s="282">
        <f t="shared" si="65"/>
        <v>4.3842530462538713E-4</v>
      </c>
      <c r="I76" s="282" t="str">
        <f>A76&amp;"-"&amp;TEXT(MCP!$D$1,"00")</f>
        <v>3.1002.2-03</v>
      </c>
      <c r="J76" s="282">
        <f>IFERROR(VLOOKUP(I76,MCP!#REF!,10,FALSE),0)</f>
        <v>0</v>
      </c>
      <c r="K76" s="282">
        <f>IFERROR(VLOOKUP(I76,MCP!#REF!,19,FALSE),0)</f>
        <v>0</v>
      </c>
      <c r="N76" s="282" t="e">
        <f>IF($A76="","",VLOOKUP(LEFT($A76,7)&amp;"1-00",MCP!#REF!,N$1,FALSE))</f>
        <v>#REF!</v>
      </c>
      <c r="O76" s="282" t="e">
        <f>IF($A76="","",VLOOKUP(LEFT($A76,7)&amp;"1-00",MCP!#REF!,O$1,FALSE))</f>
        <v>#REF!</v>
      </c>
      <c r="P76" s="282" t="e">
        <f>IF($A76="","",VLOOKUP(LEFT($A76,7)&amp;"1-00",MCP!#REF!,P$1,FALSE))</f>
        <v>#REF!</v>
      </c>
      <c r="Q76" s="282" t="str">
        <f t="shared" si="66"/>
        <v/>
      </c>
      <c r="R76" s="282" t="str">
        <f t="shared" si="67"/>
        <v/>
      </c>
      <c r="S76" s="282" t="str">
        <f t="shared" si="68"/>
        <v/>
      </c>
      <c r="T76" s="282" t="e">
        <f>VLOOKUP(LEFT($A76,7)&amp;"1-00",MCP!#REF!,T$1,FALSE)</f>
        <v>#REF!</v>
      </c>
      <c r="U76" s="282" t="e">
        <f t="shared" si="69"/>
        <v>#REF!</v>
      </c>
      <c r="V76" s="282" t="e">
        <f t="shared" si="70"/>
        <v>#REF!</v>
      </c>
      <c r="W76" s="284" t="e">
        <f t="shared" si="71"/>
        <v>#REF!</v>
      </c>
      <c r="X76" s="161">
        <v>-0.61480000000000001</v>
      </c>
      <c r="Y76" s="282">
        <v>1.4076</v>
      </c>
      <c r="Z76" s="284" t="e">
        <f t="shared" si="72"/>
        <v>#REF!</v>
      </c>
      <c r="AA76" s="282" t="e">
        <f t="shared" si="73"/>
        <v>#REF!</v>
      </c>
      <c r="AB76" s="282" t="e">
        <f t="shared" si="74"/>
        <v>#REF!</v>
      </c>
      <c r="AC76" s="282" t="e">
        <f t="shared" si="75"/>
        <v>#REF!</v>
      </c>
      <c r="AD76" s="282" t="e">
        <f t="shared" si="76"/>
        <v>#REF!</v>
      </c>
      <c r="AE76" s="282" t="e">
        <f t="shared" si="77"/>
        <v>#REF!</v>
      </c>
      <c r="AF76" s="282" t="e">
        <f t="shared" si="78"/>
        <v>#REF!</v>
      </c>
      <c r="AG76" s="282" t="e">
        <f t="shared" si="79"/>
        <v>#REF!</v>
      </c>
      <c r="AH76" s="282" t="e">
        <f t="shared" si="80"/>
        <v>#REF!</v>
      </c>
      <c r="AI76" s="282" t="e">
        <f t="shared" si="81"/>
        <v>#REF!</v>
      </c>
      <c r="AJ76" s="282" t="e">
        <f>IF(U76="","",VLOOKUP(LEFT(I76,6)&amp;".1-00",MCP!$AK$9:$AL$464,21,FALSE))</f>
        <v>#REF!</v>
      </c>
      <c r="AK76" s="283" t="e">
        <f t="shared" si="82"/>
        <v>#REF!</v>
      </c>
      <c r="AL76" s="284" t="e">
        <f t="shared" si="83"/>
        <v>#REF!</v>
      </c>
      <c r="AM76" s="285" t="e">
        <f t="shared" si="84"/>
        <v>#REF!</v>
      </c>
      <c r="AN76" s="282">
        <f t="shared" si="85"/>
        <v>0</v>
      </c>
      <c r="AO76" s="282">
        <f t="shared" si="86"/>
        <v>0</v>
      </c>
      <c r="AP76" s="282">
        <f t="shared" si="87"/>
        <v>0</v>
      </c>
      <c r="AQ76" s="282" t="e">
        <f>VLOOKUP(LEFT($A76,7)&amp;"1-00",MCP!#REF!,30,FALSE)</f>
        <v>#REF!</v>
      </c>
      <c r="AR76" s="282" t="e">
        <f>VLOOKUP(LEFT($A76,7)&amp;"1-00",MCP!#REF!,31,FALSE)</f>
        <v>#REF!</v>
      </c>
      <c r="AS76" s="282" t="e">
        <f>VLOOKUP($A76&amp;"-"&amp;$B76,MCP!#REF!,12,FALSE)</f>
        <v>#REF!</v>
      </c>
      <c r="AT76" s="282" t="e">
        <f t="shared" si="88"/>
        <v>#REF!</v>
      </c>
      <c r="AU76" s="282" t="e">
        <f t="shared" si="89"/>
        <v>#REF!</v>
      </c>
      <c r="AV76" s="282" t="e">
        <f t="shared" si="90"/>
        <v>#REF!</v>
      </c>
      <c r="AW76" s="282" t="e">
        <f>IF($U76="","",VLOOKUP(LEFT($A76,7)&amp;"1-00",MCP!#REF!,24,FALSE))</f>
        <v>#REF!</v>
      </c>
      <c r="AX76" s="282"/>
      <c r="AY76" s="282"/>
      <c r="BF76" s="175" t="e">
        <f t="shared" si="91"/>
        <v>#REF!</v>
      </c>
    </row>
    <row r="77" spans="1:58" x14ac:dyDescent="0.2">
      <c r="A77" s="282" t="str">
        <f t="shared" si="61"/>
        <v>3.1005.2</v>
      </c>
      <c r="B77" s="282" t="str">
        <f t="shared" si="62"/>
        <v>03</v>
      </c>
      <c r="C77" s="282" t="str">
        <f t="shared" si="63"/>
        <v>3.1005.2.03</v>
      </c>
      <c r="D77" s="161">
        <v>1.1943999999999999</v>
      </c>
      <c r="E77" s="161">
        <v>8.6999999999999994E-3</v>
      </c>
      <c r="F77" s="282">
        <f t="shared" si="64"/>
        <v>6.5299999999999997E-2</v>
      </c>
      <c r="G77" s="161" t="s">
        <v>833</v>
      </c>
      <c r="H77" s="282">
        <f t="shared" si="65"/>
        <v>1.1637874956112917E-3</v>
      </c>
      <c r="I77" s="282" t="str">
        <f>A77&amp;"-"&amp;TEXT(MCP!$D$1,"00")</f>
        <v>3.1005.2-03</v>
      </c>
      <c r="J77" s="282">
        <f>IFERROR(VLOOKUP(I77,MCP!#REF!,10,FALSE),0)</f>
        <v>0</v>
      </c>
      <c r="K77" s="282">
        <f>IFERROR(VLOOKUP(I77,MCP!#REF!,19,FALSE),0)</f>
        <v>0</v>
      </c>
      <c r="N77" s="282" t="e">
        <f>IF($A77="","",VLOOKUP(LEFT($A77,7)&amp;"1-00",MCP!#REF!,N$1,FALSE))</f>
        <v>#REF!</v>
      </c>
      <c r="O77" s="282" t="e">
        <f>IF($A77="","",VLOOKUP(LEFT($A77,7)&amp;"1-00",MCP!#REF!,O$1,FALSE))</f>
        <v>#REF!</v>
      </c>
      <c r="P77" s="282" t="e">
        <f>IF($A77="","",VLOOKUP(LEFT($A77,7)&amp;"1-00",MCP!#REF!,P$1,FALSE))</f>
        <v>#REF!</v>
      </c>
      <c r="Q77" s="282" t="str">
        <f t="shared" si="66"/>
        <v/>
      </c>
      <c r="R77" s="282" t="str">
        <f t="shared" si="67"/>
        <v/>
      </c>
      <c r="S77" s="282" t="str">
        <f t="shared" si="68"/>
        <v/>
      </c>
      <c r="T77" s="282" t="e">
        <f>VLOOKUP(LEFT($A77,7)&amp;"1-00",MCP!#REF!,T$1,FALSE)</f>
        <v>#REF!</v>
      </c>
      <c r="U77" s="282" t="e">
        <f t="shared" si="69"/>
        <v>#REF!</v>
      </c>
      <c r="V77" s="282" t="e">
        <f t="shared" si="70"/>
        <v>#REF!</v>
      </c>
      <c r="W77" s="284" t="e">
        <f t="shared" si="71"/>
        <v>#REF!</v>
      </c>
      <c r="X77" s="161">
        <v>-0.80159999999999998</v>
      </c>
      <c r="Y77" s="279">
        <v>1.4339999999999999</v>
      </c>
      <c r="Z77" s="284" t="e">
        <f t="shared" si="72"/>
        <v>#REF!</v>
      </c>
      <c r="AA77" s="282" t="e">
        <f t="shared" si="73"/>
        <v>#REF!</v>
      </c>
      <c r="AB77" s="282" t="e">
        <f t="shared" si="74"/>
        <v>#REF!</v>
      </c>
      <c r="AC77" s="282" t="e">
        <f t="shared" si="75"/>
        <v>#REF!</v>
      </c>
      <c r="AD77" s="282" t="e">
        <f t="shared" si="76"/>
        <v>#REF!</v>
      </c>
      <c r="AE77" s="282" t="e">
        <f t="shared" si="77"/>
        <v>#REF!</v>
      </c>
      <c r="AF77" s="282" t="e">
        <f t="shared" si="78"/>
        <v>#REF!</v>
      </c>
      <c r="AG77" s="282" t="e">
        <f t="shared" si="79"/>
        <v>#REF!</v>
      </c>
      <c r="AH77" s="282" t="e">
        <f t="shared" si="80"/>
        <v>#REF!</v>
      </c>
      <c r="AI77" s="282" t="e">
        <f t="shared" si="81"/>
        <v>#REF!</v>
      </c>
      <c r="AJ77" s="282" t="e">
        <f>IF(U77="","",VLOOKUP(LEFT(I77,6)&amp;".1-00",MCP!$AK$9:$AL$464,21,FALSE))</f>
        <v>#REF!</v>
      </c>
      <c r="AK77" s="283" t="e">
        <f t="shared" si="82"/>
        <v>#REF!</v>
      </c>
      <c r="AL77" s="284" t="e">
        <f t="shared" si="83"/>
        <v>#REF!</v>
      </c>
      <c r="AM77" s="285" t="e">
        <f t="shared" si="84"/>
        <v>#REF!</v>
      </c>
      <c r="AN77" s="282">
        <f t="shared" si="85"/>
        <v>0</v>
      </c>
      <c r="AO77" s="282">
        <f t="shared" si="86"/>
        <v>0</v>
      </c>
      <c r="AP77" s="282">
        <f t="shared" si="87"/>
        <v>0</v>
      </c>
      <c r="AQ77" s="282" t="e">
        <f>VLOOKUP(LEFT($A77,7)&amp;"1-00",MCP!#REF!,30,FALSE)</f>
        <v>#REF!</v>
      </c>
      <c r="AR77" s="282" t="e">
        <f>VLOOKUP(LEFT($A77,7)&amp;"1-00",MCP!#REF!,31,FALSE)</f>
        <v>#REF!</v>
      </c>
      <c r="AS77" s="282" t="e">
        <f>VLOOKUP($A77&amp;"-"&amp;$B77,MCP!#REF!,12,FALSE)</f>
        <v>#REF!</v>
      </c>
      <c r="AT77" s="282" t="e">
        <f t="shared" si="88"/>
        <v>#REF!</v>
      </c>
      <c r="AU77" s="282" t="e">
        <f t="shared" si="89"/>
        <v>#REF!</v>
      </c>
      <c r="AV77" s="282" t="e">
        <f t="shared" si="90"/>
        <v>#REF!</v>
      </c>
      <c r="AW77" s="282" t="e">
        <f>IF($U77="","",VLOOKUP(LEFT($A77,7)&amp;"1-00",MCP!#REF!,24,FALSE))</f>
        <v>#REF!</v>
      </c>
      <c r="AX77" s="282"/>
      <c r="AY77" s="282"/>
      <c r="BF77" s="175" t="e">
        <f t="shared" si="91"/>
        <v>#REF!</v>
      </c>
    </row>
    <row r="78" spans="1:58" x14ac:dyDescent="0.2">
      <c r="A78" s="282" t="str">
        <f t="shared" si="61"/>
        <v>3.1008.2</v>
      </c>
      <c r="B78" s="282" t="str">
        <f t="shared" si="62"/>
        <v>03</v>
      </c>
      <c r="C78" s="282" t="str">
        <f t="shared" si="63"/>
        <v>3.1008.2.03</v>
      </c>
      <c r="D78" s="161">
        <v>1.9218</v>
      </c>
      <c r="E78" s="161">
        <v>8.6999999999999994E-3</v>
      </c>
      <c r="F78" s="282">
        <f t="shared" si="64"/>
        <v>0.1051</v>
      </c>
      <c r="G78" s="161" t="s">
        <v>835</v>
      </c>
      <c r="H78" s="282">
        <f t="shared" si="65"/>
        <v>1.873109736427975E-3</v>
      </c>
      <c r="I78" s="282" t="str">
        <f>A78&amp;"-"&amp;TEXT(MCP!$D$1,"00")</f>
        <v>3.1008.2-03</v>
      </c>
      <c r="J78" s="282">
        <f>IFERROR(VLOOKUP(I78,MCP!#REF!,10,FALSE),0)</f>
        <v>0</v>
      </c>
      <c r="K78" s="282">
        <f>IFERROR(VLOOKUP(I78,MCP!#REF!,19,FALSE),0)</f>
        <v>0</v>
      </c>
      <c r="N78" s="282" t="e">
        <f>IF($A78="","",VLOOKUP(LEFT($A78,7)&amp;"1-00",MCP!#REF!,N$1,FALSE))</f>
        <v>#REF!</v>
      </c>
      <c r="O78" s="282" t="e">
        <f>IF($A78="","",VLOOKUP(LEFT($A78,7)&amp;"1-00",MCP!#REF!,O$1,FALSE))</f>
        <v>#REF!</v>
      </c>
      <c r="P78" s="282" t="e">
        <f>IF($A78="","",VLOOKUP(LEFT($A78,7)&amp;"1-00",MCP!#REF!,P$1,FALSE))</f>
        <v>#REF!</v>
      </c>
      <c r="Q78" s="282" t="str">
        <f t="shared" si="66"/>
        <v/>
      </c>
      <c r="R78" s="282" t="str">
        <f t="shared" si="67"/>
        <v/>
      </c>
      <c r="S78" s="282" t="str">
        <f t="shared" si="68"/>
        <v/>
      </c>
      <c r="T78" s="282" t="e">
        <f>VLOOKUP(LEFT($A78,7)&amp;"1-00",MCP!#REF!,T$1,FALSE)</f>
        <v>#REF!</v>
      </c>
      <c r="U78" s="282" t="e">
        <f t="shared" si="69"/>
        <v>#REF!</v>
      </c>
      <c r="V78" s="282" t="e">
        <f t="shared" si="70"/>
        <v>#REF!</v>
      </c>
      <c r="W78" s="284" t="e">
        <f t="shared" si="71"/>
        <v>#REF!</v>
      </c>
      <c r="X78" s="161">
        <v>-0.99660000000000004</v>
      </c>
      <c r="Y78" s="284">
        <v>1.4336</v>
      </c>
      <c r="Z78" s="284" t="e">
        <f t="shared" si="72"/>
        <v>#REF!</v>
      </c>
      <c r="AA78" s="282" t="e">
        <f t="shared" si="73"/>
        <v>#REF!</v>
      </c>
      <c r="AB78" s="282" t="e">
        <f t="shared" si="74"/>
        <v>#REF!</v>
      </c>
      <c r="AC78" s="282" t="e">
        <f t="shared" si="75"/>
        <v>#REF!</v>
      </c>
      <c r="AD78" s="282" t="e">
        <f t="shared" si="76"/>
        <v>#REF!</v>
      </c>
      <c r="AE78" s="282" t="e">
        <f t="shared" si="77"/>
        <v>#REF!</v>
      </c>
      <c r="AF78" s="282" t="e">
        <f t="shared" si="78"/>
        <v>#REF!</v>
      </c>
      <c r="AG78" s="282" t="e">
        <f t="shared" si="79"/>
        <v>#REF!</v>
      </c>
      <c r="AH78" s="282" t="e">
        <f t="shared" si="80"/>
        <v>#REF!</v>
      </c>
      <c r="AI78" s="282" t="e">
        <f t="shared" si="81"/>
        <v>#REF!</v>
      </c>
      <c r="AJ78" s="282" t="e">
        <f>IF(U78="","",VLOOKUP(LEFT(I78,6)&amp;".1-00",MCP!$AK$9:$AL$464,21,FALSE))</f>
        <v>#REF!</v>
      </c>
      <c r="AK78" s="283" t="e">
        <f t="shared" si="82"/>
        <v>#REF!</v>
      </c>
      <c r="AL78" s="284" t="e">
        <f t="shared" si="83"/>
        <v>#REF!</v>
      </c>
      <c r="AM78" s="285" t="e">
        <f t="shared" si="84"/>
        <v>#REF!</v>
      </c>
      <c r="AN78" s="282">
        <f t="shared" si="85"/>
        <v>0</v>
      </c>
      <c r="AO78" s="282">
        <f t="shared" si="86"/>
        <v>0</v>
      </c>
      <c r="AP78" s="282">
        <f t="shared" si="87"/>
        <v>0</v>
      </c>
      <c r="AQ78" s="282" t="e">
        <f>VLOOKUP(LEFT($A78,7)&amp;"1-00",MCP!#REF!,30,FALSE)</f>
        <v>#REF!</v>
      </c>
      <c r="AR78" s="282" t="e">
        <f>VLOOKUP(LEFT($A78,7)&amp;"1-00",MCP!#REF!,31,FALSE)</f>
        <v>#REF!</v>
      </c>
      <c r="AS78" s="282" t="e">
        <f>VLOOKUP($A78&amp;"-"&amp;$B78,MCP!#REF!,12,FALSE)</f>
        <v>#REF!</v>
      </c>
      <c r="AT78" s="282" t="e">
        <f t="shared" si="88"/>
        <v>#REF!</v>
      </c>
      <c r="AU78" s="282" t="e">
        <f t="shared" si="89"/>
        <v>#REF!</v>
      </c>
      <c r="AV78" s="282" t="e">
        <f t="shared" si="90"/>
        <v>#REF!</v>
      </c>
      <c r="AW78" s="282" t="e">
        <f>IF($U78="","",VLOOKUP(LEFT($A78,7)&amp;"1-00",MCP!#REF!,24,FALSE))</f>
        <v>#REF!</v>
      </c>
      <c r="AX78" s="282"/>
      <c r="AY78" s="282"/>
      <c r="BF78" s="175" t="e">
        <f t="shared" si="91"/>
        <v>#REF!</v>
      </c>
    </row>
    <row r="79" spans="1:58" x14ac:dyDescent="0.2">
      <c r="A79" s="282" t="str">
        <f t="shared" si="61"/>
        <v>3.1011.2</v>
      </c>
      <c r="B79" s="282" t="str">
        <f t="shared" si="62"/>
        <v>03</v>
      </c>
      <c r="C79" s="282" t="str">
        <f t="shared" si="63"/>
        <v>3.1011.2.03</v>
      </c>
      <c r="D79" s="161">
        <v>2.6377000000000002</v>
      </c>
      <c r="E79" s="161">
        <v>8.6E-3</v>
      </c>
      <c r="F79" s="282">
        <f t="shared" si="64"/>
        <v>0.14249999999999999</v>
      </c>
      <c r="G79" s="161" t="s">
        <v>837</v>
      </c>
      <c r="H79" s="282">
        <f t="shared" si="65"/>
        <v>2.5396587767934006E-3</v>
      </c>
      <c r="I79" s="282" t="str">
        <f>A79&amp;"-"&amp;TEXT(MCP!$D$1,"00")</f>
        <v>3.1011.2-03</v>
      </c>
      <c r="J79" s="282">
        <f>IFERROR(VLOOKUP(I79,MCP!#REF!,10,FALSE),0)</f>
        <v>0</v>
      </c>
      <c r="K79" s="282">
        <f>IFERROR(VLOOKUP(I79,MCP!#REF!,19,FALSE),0)</f>
        <v>0</v>
      </c>
      <c r="N79" s="282" t="e">
        <f>IF($A79="","",VLOOKUP(LEFT($A79,7)&amp;"1-00",MCP!#REF!,N$1,FALSE))</f>
        <v>#REF!</v>
      </c>
      <c r="O79" s="282" t="e">
        <f>IF($A79="","",VLOOKUP(LEFT($A79,7)&amp;"1-00",MCP!#REF!,O$1,FALSE))</f>
        <v>#REF!</v>
      </c>
      <c r="P79" s="282" t="e">
        <f>IF($A79="","",VLOOKUP(LEFT($A79,7)&amp;"1-00",MCP!#REF!,P$1,FALSE))</f>
        <v>#REF!</v>
      </c>
      <c r="Q79" s="282" t="str">
        <f t="shared" si="66"/>
        <v/>
      </c>
      <c r="R79" s="282" t="str">
        <f t="shared" si="67"/>
        <v/>
      </c>
      <c r="S79" s="282" t="str">
        <f t="shared" si="68"/>
        <v/>
      </c>
      <c r="T79" s="282" t="e">
        <f>VLOOKUP(LEFT($A79,7)&amp;"1-00",MCP!#REF!,T$1,FALSE)</f>
        <v>#REF!</v>
      </c>
      <c r="U79" s="282" t="e">
        <f t="shared" si="69"/>
        <v>#REF!</v>
      </c>
      <c r="V79" s="282" t="e">
        <f t="shared" si="70"/>
        <v>#REF!</v>
      </c>
      <c r="W79" s="284" t="e">
        <f t="shared" si="71"/>
        <v>#REF!</v>
      </c>
      <c r="X79" s="161">
        <v>-1.1901999999999999</v>
      </c>
      <c r="Y79" s="282">
        <v>1.4177</v>
      </c>
      <c r="Z79" s="284" t="e">
        <f t="shared" si="72"/>
        <v>#REF!</v>
      </c>
      <c r="AA79" s="282" t="e">
        <f t="shared" si="73"/>
        <v>#REF!</v>
      </c>
      <c r="AB79" s="282" t="e">
        <f t="shared" si="74"/>
        <v>#REF!</v>
      </c>
      <c r="AC79" s="282" t="e">
        <f t="shared" si="75"/>
        <v>#REF!</v>
      </c>
      <c r="AD79" s="282" t="e">
        <f t="shared" si="76"/>
        <v>#REF!</v>
      </c>
      <c r="AE79" s="282" t="e">
        <f t="shared" si="77"/>
        <v>#REF!</v>
      </c>
      <c r="AF79" s="282" t="e">
        <f t="shared" si="78"/>
        <v>#REF!</v>
      </c>
      <c r="AG79" s="282" t="e">
        <f t="shared" si="79"/>
        <v>#REF!</v>
      </c>
      <c r="AH79" s="282" t="e">
        <f t="shared" si="80"/>
        <v>#REF!</v>
      </c>
      <c r="AI79" s="282" t="e">
        <f t="shared" si="81"/>
        <v>#REF!</v>
      </c>
      <c r="AJ79" s="282" t="e">
        <f>IF(U79="","",VLOOKUP(LEFT(I79,6)&amp;".1-00",MCP!$AK$9:$AL$464,21,FALSE))</f>
        <v>#REF!</v>
      </c>
      <c r="AK79" s="283" t="e">
        <f t="shared" si="82"/>
        <v>#REF!</v>
      </c>
      <c r="AL79" s="284" t="e">
        <f t="shared" si="83"/>
        <v>#REF!</v>
      </c>
      <c r="AM79" s="285" t="e">
        <f t="shared" si="84"/>
        <v>#REF!</v>
      </c>
      <c r="AN79" s="282">
        <f t="shared" si="85"/>
        <v>0</v>
      </c>
      <c r="AO79" s="282">
        <f t="shared" si="86"/>
        <v>0</v>
      </c>
      <c r="AP79" s="282">
        <f t="shared" si="87"/>
        <v>0</v>
      </c>
      <c r="AQ79" s="282" t="e">
        <f>VLOOKUP(LEFT($A79,7)&amp;"1-00",MCP!#REF!,30,FALSE)</f>
        <v>#REF!</v>
      </c>
      <c r="AR79" s="282" t="e">
        <f>VLOOKUP(LEFT($A79,7)&amp;"1-00",MCP!#REF!,31,FALSE)</f>
        <v>#REF!</v>
      </c>
      <c r="AS79" s="282" t="e">
        <f>VLOOKUP($A79&amp;"-"&amp;$B79,MCP!#REF!,12,FALSE)</f>
        <v>#REF!</v>
      </c>
      <c r="AT79" s="282" t="e">
        <f t="shared" si="88"/>
        <v>#REF!</v>
      </c>
      <c r="AU79" s="282" t="e">
        <f t="shared" si="89"/>
        <v>#REF!</v>
      </c>
      <c r="AV79" s="282" t="e">
        <f t="shared" si="90"/>
        <v>#REF!</v>
      </c>
      <c r="AW79" s="282" t="e">
        <f>IF($U79="","",VLOOKUP(LEFT($A79,7)&amp;"1-00",MCP!#REF!,24,FALSE))</f>
        <v>#REF!</v>
      </c>
      <c r="AX79" s="282"/>
      <c r="AY79" s="282"/>
      <c r="BF79" s="175" t="e">
        <f t="shared" si="91"/>
        <v>#REF!</v>
      </c>
    </row>
    <row r="80" spans="1:58" x14ac:dyDescent="0.2">
      <c r="A80" s="282" t="str">
        <f t="shared" si="61"/>
        <v>3.1017.2</v>
      </c>
      <c r="B80" s="282" t="str">
        <f t="shared" si="62"/>
        <v>03</v>
      </c>
      <c r="C80" s="282" t="str">
        <f t="shared" si="63"/>
        <v>3.1017.2.03</v>
      </c>
      <c r="D80" s="161">
        <v>3.4466999999999999</v>
      </c>
      <c r="E80" s="161">
        <v>8.9999999999999993E-3</v>
      </c>
      <c r="F80" s="282">
        <f t="shared" si="64"/>
        <v>0.19489999999999999</v>
      </c>
      <c r="G80" s="161" t="s">
        <v>663</v>
      </c>
      <c r="H80" s="282">
        <f t="shared" si="65"/>
        <v>3.4735403199791849E-3</v>
      </c>
      <c r="I80" s="282" t="str">
        <f>A80&amp;"-"&amp;TEXT(MCP!$D$1,"00")</f>
        <v>3.1017.2-03</v>
      </c>
      <c r="J80" s="282">
        <f>IFERROR(VLOOKUP(I80,MCP!#REF!,10,FALSE),0)</f>
        <v>0</v>
      </c>
      <c r="K80" s="282">
        <f>IFERROR(VLOOKUP(I80,MCP!#REF!,19,FALSE),0)</f>
        <v>0</v>
      </c>
      <c r="N80" s="282" t="e">
        <f>IF($A80="","",VLOOKUP(LEFT($A80,7)&amp;"1-00",MCP!#REF!,N$1,FALSE))</f>
        <v>#REF!</v>
      </c>
      <c r="O80" s="282" t="e">
        <f>IF($A80="","",VLOOKUP(LEFT($A80,7)&amp;"1-00",MCP!#REF!,O$1,FALSE))</f>
        <v>#REF!</v>
      </c>
      <c r="P80" s="282" t="e">
        <f>IF($A80="","",VLOOKUP(LEFT($A80,7)&amp;"1-00",MCP!#REF!,P$1,FALSE))</f>
        <v>#REF!</v>
      </c>
      <c r="Q80" s="282" t="str">
        <f t="shared" si="66"/>
        <v/>
      </c>
      <c r="R80" s="282" t="str">
        <f t="shared" si="67"/>
        <v/>
      </c>
      <c r="S80" s="282" t="str">
        <f t="shared" si="68"/>
        <v/>
      </c>
      <c r="T80" s="282" t="e">
        <f>VLOOKUP(LEFT($A80,7)&amp;"1-00",MCP!#REF!,T$1,FALSE)</f>
        <v>#REF!</v>
      </c>
      <c r="U80" s="282" t="e">
        <f t="shared" si="69"/>
        <v>#REF!</v>
      </c>
      <c r="V80" s="282" t="e">
        <f t="shared" si="70"/>
        <v>#REF!</v>
      </c>
      <c r="W80" s="284" t="e">
        <f t="shared" si="71"/>
        <v>#REF!</v>
      </c>
      <c r="X80" s="161">
        <v>-1.2563</v>
      </c>
      <c r="Y80" s="282">
        <v>1.4792000000000001</v>
      </c>
      <c r="Z80" s="284" t="e">
        <f t="shared" si="72"/>
        <v>#REF!</v>
      </c>
      <c r="AA80" s="282" t="e">
        <f t="shared" si="73"/>
        <v>#REF!</v>
      </c>
      <c r="AB80" s="282" t="e">
        <f t="shared" si="74"/>
        <v>#REF!</v>
      </c>
      <c r="AC80" s="282" t="e">
        <f t="shared" si="75"/>
        <v>#REF!</v>
      </c>
      <c r="AD80" s="282" t="e">
        <f t="shared" si="76"/>
        <v>#REF!</v>
      </c>
      <c r="AE80" s="282" t="e">
        <f t="shared" si="77"/>
        <v>#REF!</v>
      </c>
      <c r="AF80" s="282" t="e">
        <f t="shared" si="78"/>
        <v>#REF!</v>
      </c>
      <c r="AG80" s="282" t="e">
        <f t="shared" si="79"/>
        <v>#REF!</v>
      </c>
      <c r="AH80" s="282" t="e">
        <f t="shared" si="80"/>
        <v>#REF!</v>
      </c>
      <c r="AI80" s="282" t="e">
        <f t="shared" si="81"/>
        <v>#REF!</v>
      </c>
      <c r="AJ80" s="282" t="e">
        <f>IF(U80="","",VLOOKUP(LEFT(I80,6)&amp;".1-00",MCP!$AK$9:$AL$464,21,FALSE))</f>
        <v>#REF!</v>
      </c>
      <c r="AK80" s="283" t="e">
        <f t="shared" si="82"/>
        <v>#REF!</v>
      </c>
      <c r="AL80" s="284" t="e">
        <f t="shared" si="83"/>
        <v>#REF!</v>
      </c>
      <c r="AM80" s="285" t="e">
        <f t="shared" si="84"/>
        <v>#REF!</v>
      </c>
      <c r="AN80" s="282">
        <f t="shared" si="85"/>
        <v>0</v>
      </c>
      <c r="AO80" s="282">
        <f t="shared" si="86"/>
        <v>0</v>
      </c>
      <c r="AP80" s="282">
        <f t="shared" si="87"/>
        <v>0</v>
      </c>
      <c r="AQ80" s="282" t="e">
        <f>VLOOKUP(LEFT($A80,7)&amp;"1-00",MCP!#REF!,30,FALSE)</f>
        <v>#REF!</v>
      </c>
      <c r="AR80" s="282" t="e">
        <f>VLOOKUP(LEFT($A80,7)&amp;"1-00",MCP!#REF!,31,FALSE)</f>
        <v>#REF!</v>
      </c>
      <c r="AS80" s="282" t="e">
        <f>VLOOKUP($A80&amp;"-"&amp;$B80,MCP!#REF!,12,FALSE)</f>
        <v>#REF!</v>
      </c>
      <c r="AT80" s="282" t="e">
        <f t="shared" si="88"/>
        <v>#REF!</v>
      </c>
      <c r="AU80" s="282" t="e">
        <f t="shared" si="89"/>
        <v>#REF!</v>
      </c>
      <c r="AV80" s="282" t="e">
        <f t="shared" si="90"/>
        <v>#REF!</v>
      </c>
      <c r="AW80" s="282" t="e">
        <f>IF($U80="","",VLOOKUP(LEFT($A80,7)&amp;"1-00",MCP!#REF!,24,FALSE))</f>
        <v>#REF!</v>
      </c>
      <c r="AX80" s="282"/>
      <c r="AY80" s="282"/>
      <c r="BF80" s="175" t="e">
        <f t="shared" si="91"/>
        <v>#REF!</v>
      </c>
    </row>
    <row r="81" spans="1:58" x14ac:dyDescent="0.2">
      <c r="A81" s="282" t="str">
        <f t="shared" si="61"/>
        <v>3.1023.2</v>
      </c>
      <c r="B81" s="282" t="str">
        <f t="shared" si="62"/>
        <v>03</v>
      </c>
      <c r="C81" s="282" t="str">
        <f t="shared" si="63"/>
        <v>3.1023.2.03</v>
      </c>
      <c r="D81" s="161">
        <v>4.2487000000000004</v>
      </c>
      <c r="E81" s="161">
        <v>8.8000000000000005E-3</v>
      </c>
      <c r="F81" s="282">
        <f t="shared" si="64"/>
        <v>0.2349</v>
      </c>
      <c r="G81" s="161" t="s">
        <v>839</v>
      </c>
      <c r="H81" s="282">
        <f t="shared" si="65"/>
        <v>4.1864269941668062E-3</v>
      </c>
      <c r="I81" s="282" t="str">
        <f>A81&amp;"-"&amp;TEXT(MCP!$D$1,"00")</f>
        <v>3.1023.2-03</v>
      </c>
      <c r="J81" s="282">
        <f>IFERROR(VLOOKUP(I81,MCP!#REF!,10,FALSE),0)</f>
        <v>0</v>
      </c>
      <c r="K81" s="282">
        <f>IFERROR(VLOOKUP(I81,MCP!#REF!,19,FALSE),0)</f>
        <v>0</v>
      </c>
      <c r="N81" s="282" t="e">
        <f>IF($A81="","",VLOOKUP(LEFT($A81,7)&amp;"1-00",MCP!#REF!,N$1,FALSE))</f>
        <v>#REF!</v>
      </c>
      <c r="O81" s="282" t="e">
        <f>IF($A81="","",VLOOKUP(LEFT($A81,7)&amp;"1-00",MCP!#REF!,O$1,FALSE))</f>
        <v>#REF!</v>
      </c>
      <c r="P81" s="282" t="e">
        <f>IF($A81="","",VLOOKUP(LEFT($A81,7)&amp;"1-00",MCP!#REF!,P$1,FALSE))</f>
        <v>#REF!</v>
      </c>
      <c r="Q81" s="282" t="str">
        <f t="shared" si="66"/>
        <v/>
      </c>
      <c r="R81" s="282" t="str">
        <f t="shared" si="67"/>
        <v/>
      </c>
      <c r="S81" s="282" t="str">
        <f t="shared" si="68"/>
        <v/>
      </c>
      <c r="T81" s="282" t="e">
        <f>VLOOKUP(LEFT($A81,7)&amp;"1-00",MCP!#REF!,T$1,FALSE)</f>
        <v>#REF!</v>
      </c>
      <c r="U81" s="282" t="e">
        <f t="shared" si="69"/>
        <v>#REF!</v>
      </c>
      <c r="V81" s="282" t="e">
        <f t="shared" si="70"/>
        <v>#REF!</v>
      </c>
      <c r="W81" s="284" t="e">
        <f t="shared" si="71"/>
        <v>#REF!</v>
      </c>
      <c r="X81" s="161">
        <v>-1.0813999999999999</v>
      </c>
      <c r="Y81" s="284">
        <v>1.4966999999999999</v>
      </c>
      <c r="Z81" s="284" t="e">
        <f t="shared" si="72"/>
        <v>#REF!</v>
      </c>
      <c r="AA81" s="282" t="e">
        <f t="shared" si="73"/>
        <v>#REF!</v>
      </c>
      <c r="AB81" s="282" t="e">
        <f t="shared" si="74"/>
        <v>#REF!</v>
      </c>
      <c r="AC81" s="282" t="e">
        <f t="shared" si="75"/>
        <v>#REF!</v>
      </c>
      <c r="AD81" s="282" t="e">
        <f t="shared" si="76"/>
        <v>#REF!</v>
      </c>
      <c r="AE81" s="282" t="e">
        <f t="shared" si="77"/>
        <v>#REF!</v>
      </c>
      <c r="AF81" s="282" t="e">
        <f t="shared" si="78"/>
        <v>#REF!</v>
      </c>
      <c r="AG81" s="282" t="e">
        <f t="shared" si="79"/>
        <v>#REF!</v>
      </c>
      <c r="AH81" s="282" t="e">
        <f t="shared" si="80"/>
        <v>#REF!</v>
      </c>
      <c r="AI81" s="282" t="e">
        <f t="shared" si="81"/>
        <v>#REF!</v>
      </c>
      <c r="AJ81" s="282" t="e">
        <f>IF(U81="","",VLOOKUP(LEFT(I81,6)&amp;".1-00",MCP!$AK$9:$AL$464,21,FALSE))</f>
        <v>#REF!</v>
      </c>
      <c r="AK81" s="283" t="e">
        <f t="shared" si="82"/>
        <v>#REF!</v>
      </c>
      <c r="AL81" s="284" t="e">
        <f t="shared" si="83"/>
        <v>#REF!</v>
      </c>
      <c r="AM81" s="285" t="e">
        <f t="shared" si="84"/>
        <v>#REF!</v>
      </c>
      <c r="AN81" s="282">
        <f t="shared" si="85"/>
        <v>0</v>
      </c>
      <c r="AO81" s="282">
        <f t="shared" si="86"/>
        <v>0</v>
      </c>
      <c r="AP81" s="282">
        <f t="shared" si="87"/>
        <v>0</v>
      </c>
      <c r="AQ81" s="282" t="e">
        <f>VLOOKUP(LEFT($A81,7)&amp;"1-00",MCP!#REF!,30,FALSE)</f>
        <v>#REF!</v>
      </c>
      <c r="AR81" s="282" t="e">
        <f>VLOOKUP(LEFT($A81,7)&amp;"1-00",MCP!#REF!,31,FALSE)</f>
        <v>#REF!</v>
      </c>
      <c r="AS81" s="282" t="e">
        <f>VLOOKUP($A81&amp;"-"&amp;$B81,MCP!#REF!,12,FALSE)</f>
        <v>#REF!</v>
      </c>
      <c r="AT81" s="282" t="e">
        <f t="shared" si="88"/>
        <v>#REF!</v>
      </c>
      <c r="AU81" s="282" t="e">
        <f t="shared" si="89"/>
        <v>#REF!</v>
      </c>
      <c r="AV81" s="282" t="e">
        <f t="shared" si="90"/>
        <v>#REF!</v>
      </c>
      <c r="AW81" s="282" t="e">
        <f>IF($U81="","",VLOOKUP(LEFT($A81,7)&amp;"1-00",MCP!#REF!,24,FALSE))</f>
        <v>#REF!</v>
      </c>
      <c r="AX81" s="282"/>
      <c r="AY81" s="282"/>
      <c r="BF81" s="175" t="e">
        <f t="shared" si="91"/>
        <v>#REF!</v>
      </c>
    </row>
    <row r="82" spans="1:58" x14ac:dyDescent="0.2">
      <c r="A82" s="282" t="str">
        <f t="shared" si="61"/>
        <v>3.1029.2</v>
      </c>
      <c r="B82" s="282" t="str">
        <f t="shared" si="62"/>
        <v>03</v>
      </c>
      <c r="C82" s="282" t="str">
        <f t="shared" si="63"/>
        <v>3.1029.2.03</v>
      </c>
      <c r="D82" s="161">
        <v>4.9688999999999997</v>
      </c>
      <c r="E82" s="161">
        <v>8.0999999999999996E-3</v>
      </c>
      <c r="F82" s="282">
        <f t="shared" si="64"/>
        <v>0.25290000000000001</v>
      </c>
      <c r="G82" s="161" t="s">
        <v>841</v>
      </c>
      <c r="H82" s="282">
        <f t="shared" si="65"/>
        <v>4.5072259975512362E-3</v>
      </c>
      <c r="I82" s="282" t="str">
        <f>A82&amp;"-"&amp;TEXT(MCP!$D$1,"00")</f>
        <v>3.1029.2-03</v>
      </c>
      <c r="J82" s="282">
        <f>IFERROR(VLOOKUP(I82,MCP!#REF!,10,FALSE),0)</f>
        <v>0</v>
      </c>
      <c r="K82" s="282">
        <f>IFERROR(VLOOKUP(I82,MCP!#REF!,19,FALSE),0)</f>
        <v>0</v>
      </c>
      <c r="N82" s="282" t="e">
        <f>IF($A82="","",VLOOKUP(LEFT($A82,7)&amp;"1-00",MCP!#REF!,N$1,FALSE))</f>
        <v>#REF!</v>
      </c>
      <c r="O82" s="282" t="e">
        <f>IF($A82="","",VLOOKUP(LEFT($A82,7)&amp;"1-00",MCP!#REF!,O$1,FALSE))</f>
        <v>#REF!</v>
      </c>
      <c r="P82" s="282" t="e">
        <f>IF($A82="","",VLOOKUP(LEFT($A82,7)&amp;"1-00",MCP!#REF!,P$1,FALSE))</f>
        <v>#REF!</v>
      </c>
      <c r="Q82" s="282" t="str">
        <f t="shared" si="66"/>
        <v/>
      </c>
      <c r="R82" s="282" t="str">
        <f t="shared" si="67"/>
        <v/>
      </c>
      <c r="S82" s="282" t="str">
        <f t="shared" si="68"/>
        <v/>
      </c>
      <c r="T82" s="282" t="e">
        <f>VLOOKUP(LEFT($A82,7)&amp;"1-00",MCP!#REF!,T$1,FALSE)</f>
        <v>#REF!</v>
      </c>
      <c r="U82" s="282" t="e">
        <f t="shared" si="69"/>
        <v>#REF!</v>
      </c>
      <c r="V82" s="282" t="e">
        <f t="shared" si="70"/>
        <v>#REF!</v>
      </c>
      <c r="W82" s="284" t="e">
        <f t="shared" si="71"/>
        <v>#REF!</v>
      </c>
      <c r="X82" s="161">
        <v>-0.67090000000000005</v>
      </c>
      <c r="Y82" s="284">
        <v>1.4581</v>
      </c>
      <c r="Z82" s="284" t="e">
        <f t="shared" si="72"/>
        <v>#REF!</v>
      </c>
      <c r="AA82" s="282" t="e">
        <f t="shared" si="73"/>
        <v>#REF!</v>
      </c>
      <c r="AB82" s="282" t="e">
        <f t="shared" si="74"/>
        <v>#REF!</v>
      </c>
      <c r="AC82" s="282" t="e">
        <f t="shared" si="75"/>
        <v>#REF!</v>
      </c>
      <c r="AD82" s="282" t="e">
        <f t="shared" si="76"/>
        <v>#REF!</v>
      </c>
      <c r="AE82" s="282" t="e">
        <f t="shared" si="77"/>
        <v>#REF!</v>
      </c>
      <c r="AF82" s="282" t="e">
        <f t="shared" si="78"/>
        <v>#REF!</v>
      </c>
      <c r="AG82" s="282" t="e">
        <f t="shared" si="79"/>
        <v>#REF!</v>
      </c>
      <c r="AH82" s="282" t="e">
        <f t="shared" si="80"/>
        <v>#REF!</v>
      </c>
      <c r="AI82" s="282" t="e">
        <f t="shared" si="81"/>
        <v>#REF!</v>
      </c>
      <c r="AJ82" s="282" t="e">
        <f>IF(U82="","",VLOOKUP(LEFT(I82,6)&amp;".1-00",MCP!$AK$9:$AL$464,21,FALSE))</f>
        <v>#REF!</v>
      </c>
      <c r="AK82" s="283" t="e">
        <f t="shared" si="82"/>
        <v>#REF!</v>
      </c>
      <c r="AL82" s="284" t="e">
        <f t="shared" si="83"/>
        <v>#REF!</v>
      </c>
      <c r="AM82" s="285" t="e">
        <f t="shared" si="84"/>
        <v>#REF!</v>
      </c>
      <c r="AN82" s="282">
        <f t="shared" si="85"/>
        <v>0</v>
      </c>
      <c r="AO82" s="282">
        <f t="shared" si="86"/>
        <v>0</v>
      </c>
      <c r="AP82" s="282">
        <f t="shared" si="87"/>
        <v>0</v>
      </c>
      <c r="AQ82" s="282" t="e">
        <f>VLOOKUP(LEFT($A82,7)&amp;"1-00",MCP!#REF!,30,FALSE)</f>
        <v>#REF!</v>
      </c>
      <c r="AR82" s="282" t="e">
        <f>VLOOKUP(LEFT($A82,7)&amp;"1-00",MCP!#REF!,31,FALSE)</f>
        <v>#REF!</v>
      </c>
      <c r="AS82" s="282" t="e">
        <f>VLOOKUP($A82&amp;"-"&amp;$B82,MCP!#REF!,12,FALSE)</f>
        <v>#REF!</v>
      </c>
      <c r="AT82" s="282" t="e">
        <f t="shared" si="88"/>
        <v>#REF!</v>
      </c>
      <c r="AU82" s="282" t="e">
        <f t="shared" si="89"/>
        <v>#REF!</v>
      </c>
      <c r="AV82" s="282" t="e">
        <f t="shared" si="90"/>
        <v>#REF!</v>
      </c>
      <c r="AW82" s="282" t="e">
        <f>IF($U82="","",VLOOKUP(LEFT($A82,7)&amp;"1-00",MCP!#REF!,24,FALSE))</f>
        <v>#REF!</v>
      </c>
      <c r="AX82" s="282"/>
      <c r="AY82" s="282"/>
      <c r="BF82" s="175" t="e">
        <f t="shared" si="91"/>
        <v>#REF!</v>
      </c>
    </row>
    <row r="83" spans="1:58" x14ac:dyDescent="0.2">
      <c r="A83" s="282" t="str">
        <f t="shared" si="61"/>
        <v>3.1035.2</v>
      </c>
      <c r="B83" s="282" t="str">
        <f t="shared" si="62"/>
        <v>03</v>
      </c>
      <c r="C83" s="282" t="str">
        <f t="shared" si="63"/>
        <v>3.1035.2.03</v>
      </c>
      <c r="D83" s="161">
        <v>5.5420999999999996</v>
      </c>
      <c r="E83" s="161">
        <v>6.8999999999999999E-3</v>
      </c>
      <c r="F83" s="282">
        <f t="shared" si="64"/>
        <v>0.24030000000000001</v>
      </c>
      <c r="G83" s="161" t="s">
        <v>843</v>
      </c>
      <c r="H83" s="282">
        <f t="shared" si="65"/>
        <v>4.282666695182135E-3</v>
      </c>
      <c r="I83" s="282" t="str">
        <f>A83&amp;"-"&amp;TEXT(MCP!$D$1,"00")</f>
        <v>3.1035.2-03</v>
      </c>
      <c r="J83" s="282">
        <f>IFERROR(VLOOKUP(I83,MCP!#REF!,10,FALSE),0)</f>
        <v>0</v>
      </c>
      <c r="K83" s="282">
        <f>IFERROR(VLOOKUP(I83,MCP!#REF!,19,FALSE),0)</f>
        <v>0</v>
      </c>
      <c r="N83" s="282" t="e">
        <f>IF($A83="","",VLOOKUP(LEFT($A83,7)&amp;"1-00",MCP!#REF!,N$1,FALSE))</f>
        <v>#REF!</v>
      </c>
      <c r="O83" s="282" t="e">
        <f>IF($A83="","",VLOOKUP(LEFT($A83,7)&amp;"1-00",MCP!#REF!,O$1,FALSE))</f>
        <v>#REF!</v>
      </c>
      <c r="P83" s="282" t="e">
        <f>IF($A83="","",VLOOKUP(LEFT($A83,7)&amp;"1-00",MCP!#REF!,P$1,FALSE))</f>
        <v>#REF!</v>
      </c>
      <c r="Q83" s="282" t="str">
        <f t="shared" si="66"/>
        <v/>
      </c>
      <c r="R83" s="282" t="str">
        <f t="shared" si="67"/>
        <v/>
      </c>
      <c r="S83" s="282" t="str">
        <f t="shared" si="68"/>
        <v/>
      </c>
      <c r="T83" s="282" t="e">
        <f>VLOOKUP(LEFT($A83,7)&amp;"1-00",MCP!#REF!,T$1,FALSE)</f>
        <v>#REF!</v>
      </c>
      <c r="U83" s="282" t="e">
        <f t="shared" si="69"/>
        <v>#REF!</v>
      </c>
      <c r="V83" s="282" t="e">
        <f t="shared" si="70"/>
        <v>#REF!</v>
      </c>
      <c r="W83" s="284" t="e">
        <f t="shared" si="71"/>
        <v>#REF!</v>
      </c>
      <c r="X83" s="161">
        <v>-5.5500000000000001E-2</v>
      </c>
      <c r="Y83" s="268">
        <v>1.3547</v>
      </c>
      <c r="Z83" s="284" t="e">
        <f t="shared" si="72"/>
        <v>#REF!</v>
      </c>
      <c r="AA83" s="282" t="e">
        <f t="shared" si="73"/>
        <v>#REF!</v>
      </c>
      <c r="AB83" s="282" t="e">
        <f t="shared" si="74"/>
        <v>#REF!</v>
      </c>
      <c r="AC83" s="282" t="e">
        <f t="shared" si="75"/>
        <v>#REF!</v>
      </c>
      <c r="AD83" s="282" t="e">
        <f t="shared" si="76"/>
        <v>#REF!</v>
      </c>
      <c r="AE83" s="282" t="e">
        <f t="shared" si="77"/>
        <v>#REF!</v>
      </c>
      <c r="AF83" s="282" t="e">
        <f t="shared" si="78"/>
        <v>#REF!</v>
      </c>
      <c r="AG83" s="282" t="e">
        <f t="shared" si="79"/>
        <v>#REF!</v>
      </c>
      <c r="AH83" s="282" t="e">
        <f t="shared" si="80"/>
        <v>#REF!</v>
      </c>
      <c r="AI83" s="282" t="e">
        <f t="shared" si="81"/>
        <v>#REF!</v>
      </c>
      <c r="AJ83" s="282" t="e">
        <f>IF(U83="","",VLOOKUP(LEFT(I83,6)&amp;".1-00",MCP!$AK$9:$AL$464,21,FALSE))</f>
        <v>#REF!</v>
      </c>
      <c r="AK83" s="283" t="e">
        <f t="shared" si="82"/>
        <v>#REF!</v>
      </c>
      <c r="AL83" s="284" t="e">
        <f t="shared" si="83"/>
        <v>#REF!</v>
      </c>
      <c r="AM83" s="285" t="e">
        <f t="shared" si="84"/>
        <v>#REF!</v>
      </c>
      <c r="AN83" s="282">
        <f t="shared" si="85"/>
        <v>0</v>
      </c>
      <c r="AO83" s="282">
        <f t="shared" si="86"/>
        <v>0</v>
      </c>
      <c r="AP83" s="282">
        <f t="shared" si="87"/>
        <v>0</v>
      </c>
      <c r="AQ83" s="282" t="e">
        <f>VLOOKUP(LEFT($A83,7)&amp;"1-00",MCP!#REF!,30,FALSE)</f>
        <v>#REF!</v>
      </c>
      <c r="AR83" s="282" t="e">
        <f>VLOOKUP(LEFT($A83,7)&amp;"1-00",MCP!#REF!,31,FALSE)</f>
        <v>#REF!</v>
      </c>
      <c r="AS83" s="282" t="e">
        <f>VLOOKUP($A83&amp;"-"&amp;$B83,MCP!#REF!,12,FALSE)</f>
        <v>#REF!</v>
      </c>
      <c r="AT83" s="282" t="e">
        <f t="shared" si="88"/>
        <v>#REF!</v>
      </c>
      <c r="AU83" s="282" t="e">
        <f t="shared" si="89"/>
        <v>#REF!</v>
      </c>
      <c r="AV83" s="282" t="e">
        <f t="shared" si="90"/>
        <v>#REF!</v>
      </c>
      <c r="AW83" s="282" t="e">
        <f>IF($U83="","",VLOOKUP(LEFT($A83,7)&amp;"1-00",MCP!#REF!,24,FALSE))</f>
        <v>#REF!</v>
      </c>
      <c r="AX83" s="282"/>
      <c r="AY83" s="282"/>
      <c r="BF83" s="175" t="e">
        <f t="shared" si="91"/>
        <v>#REF!</v>
      </c>
    </row>
    <row r="84" spans="1:58" x14ac:dyDescent="0.2">
      <c r="A84" s="282" t="str">
        <f t="shared" si="61"/>
        <v>3.1041.2</v>
      </c>
      <c r="B84" s="282" t="str">
        <f t="shared" si="62"/>
        <v>03</v>
      </c>
      <c r="C84" s="282" t="str">
        <f t="shared" si="63"/>
        <v>3.1041.2.03</v>
      </c>
      <c r="D84" s="161">
        <v>5.9078999999999997</v>
      </c>
      <c r="E84" s="161">
        <v>4.7999999999999996E-3</v>
      </c>
      <c r="F84" s="282">
        <f t="shared" si="64"/>
        <v>0.1782</v>
      </c>
      <c r="G84" s="161" t="s">
        <v>845</v>
      </c>
      <c r="H84" s="282">
        <f t="shared" si="65"/>
        <v>3.1759101335058527E-3</v>
      </c>
      <c r="I84" s="282" t="str">
        <f>A84&amp;"-"&amp;TEXT(MCP!$D$1,"00")</f>
        <v>3.1041.2-03</v>
      </c>
      <c r="J84" s="282">
        <f>IFERROR(VLOOKUP(I84,MCP!#REF!,10,FALSE),0)</f>
        <v>0</v>
      </c>
      <c r="K84" s="282">
        <f>IFERROR(VLOOKUP(I84,MCP!#REF!,19,FALSE),0)</f>
        <v>0</v>
      </c>
      <c r="N84" s="282" t="e">
        <f>IF($A84="","",VLOOKUP(LEFT($A84,7)&amp;"1-00",MCP!#REF!,N$1,FALSE))</f>
        <v>#REF!</v>
      </c>
      <c r="O84" s="282" t="e">
        <f>IF($A84="","",VLOOKUP(LEFT($A84,7)&amp;"1-00",MCP!#REF!,O$1,FALSE))</f>
        <v>#REF!</v>
      </c>
      <c r="P84" s="282" t="e">
        <f>IF($A84="","",VLOOKUP(LEFT($A84,7)&amp;"1-00",MCP!#REF!,P$1,FALSE))</f>
        <v>#REF!</v>
      </c>
      <c r="Q84" s="282" t="str">
        <f t="shared" si="66"/>
        <v/>
      </c>
      <c r="R84" s="282" t="str">
        <f t="shared" si="67"/>
        <v/>
      </c>
      <c r="S84" s="282" t="str">
        <f t="shared" si="68"/>
        <v/>
      </c>
      <c r="T84" s="282" t="e">
        <f>VLOOKUP(LEFT($A84,7)&amp;"1-00",MCP!#REF!,T$1,FALSE)</f>
        <v>#REF!</v>
      </c>
      <c r="U84" s="282" t="e">
        <f t="shared" si="69"/>
        <v>#REF!</v>
      </c>
      <c r="V84" s="282" t="e">
        <f t="shared" si="70"/>
        <v>#REF!</v>
      </c>
      <c r="W84" s="284" t="e">
        <f t="shared" si="71"/>
        <v>#REF!</v>
      </c>
      <c r="X84" s="161">
        <v>0.70279999999999998</v>
      </c>
      <c r="Y84" s="284">
        <v>1.0939000000000001</v>
      </c>
      <c r="Z84" s="284" t="e">
        <f t="shared" si="72"/>
        <v>#REF!</v>
      </c>
      <c r="AA84" s="282" t="e">
        <f t="shared" si="73"/>
        <v>#REF!</v>
      </c>
      <c r="AB84" s="282" t="e">
        <f t="shared" si="74"/>
        <v>#REF!</v>
      </c>
      <c r="AC84" s="282" t="e">
        <f t="shared" si="75"/>
        <v>#REF!</v>
      </c>
      <c r="AD84" s="282" t="e">
        <f t="shared" si="76"/>
        <v>#REF!</v>
      </c>
      <c r="AE84" s="282" t="e">
        <f t="shared" si="77"/>
        <v>#REF!</v>
      </c>
      <c r="AF84" s="282" t="e">
        <f t="shared" si="78"/>
        <v>#REF!</v>
      </c>
      <c r="AG84" s="282" t="e">
        <f t="shared" si="79"/>
        <v>#REF!</v>
      </c>
      <c r="AH84" s="282" t="e">
        <f t="shared" si="80"/>
        <v>#REF!</v>
      </c>
      <c r="AI84" s="282" t="e">
        <f t="shared" si="81"/>
        <v>#REF!</v>
      </c>
      <c r="AJ84" s="282" t="e">
        <f>IF(U84="","",VLOOKUP(LEFT(I84,6)&amp;".1-00",MCP!$AK$9:$AL$464,21,FALSE))</f>
        <v>#REF!</v>
      </c>
      <c r="AK84" s="283" t="e">
        <f t="shared" si="82"/>
        <v>#REF!</v>
      </c>
      <c r="AL84" s="284" t="e">
        <f t="shared" si="83"/>
        <v>#REF!</v>
      </c>
      <c r="AM84" s="285" t="e">
        <f t="shared" si="84"/>
        <v>#REF!</v>
      </c>
      <c r="AN84" s="282">
        <f t="shared" si="85"/>
        <v>0</v>
      </c>
      <c r="AO84" s="282">
        <f t="shared" si="86"/>
        <v>0</v>
      </c>
      <c r="AP84" s="282">
        <f t="shared" si="87"/>
        <v>0</v>
      </c>
      <c r="AQ84" s="282" t="e">
        <f>VLOOKUP(LEFT($A84,7)&amp;"1-00",MCP!#REF!,30,FALSE)</f>
        <v>#REF!</v>
      </c>
      <c r="AR84" s="282" t="e">
        <f>VLOOKUP(LEFT($A84,7)&amp;"1-00",MCP!#REF!,31,FALSE)</f>
        <v>#REF!</v>
      </c>
      <c r="AS84" s="282" t="e">
        <f>VLOOKUP($A84&amp;"-"&amp;$B84,MCP!#REF!,12,FALSE)</f>
        <v>#REF!</v>
      </c>
      <c r="AT84" s="282" t="e">
        <f t="shared" si="88"/>
        <v>#REF!</v>
      </c>
      <c r="AU84" s="282" t="e">
        <f t="shared" si="89"/>
        <v>#REF!</v>
      </c>
      <c r="AV84" s="282" t="e">
        <f t="shared" si="90"/>
        <v>#REF!</v>
      </c>
      <c r="AW84" s="282" t="e">
        <f>IF($U84="","",VLOOKUP(LEFT($A84,7)&amp;"1-00",MCP!#REF!,24,FALSE))</f>
        <v>#REF!</v>
      </c>
      <c r="AX84" s="282"/>
      <c r="AY84" s="282"/>
      <c r="BF84" s="175" t="e">
        <f t="shared" si="91"/>
        <v>#REF!</v>
      </c>
    </row>
    <row r="85" spans="1:58" x14ac:dyDescent="0.2">
      <c r="A85" s="282" t="str">
        <f t="shared" si="61"/>
        <v>3.1047.2</v>
      </c>
      <c r="B85" s="282" t="str">
        <f t="shared" si="62"/>
        <v>03</v>
      </c>
      <c r="C85" s="282" t="str">
        <f t="shared" si="63"/>
        <v>3.1047.2.03</v>
      </c>
      <c r="D85" s="161">
        <v>6.0660999999999996</v>
      </c>
      <c r="E85" s="161">
        <v>2.3999999999999998E-3</v>
      </c>
      <c r="F85" s="282">
        <f t="shared" si="64"/>
        <v>9.1499999999999998E-2</v>
      </c>
      <c r="G85" s="161" t="s">
        <v>847</v>
      </c>
      <c r="H85" s="282">
        <f t="shared" si="65"/>
        <v>1.6307282672041838E-3</v>
      </c>
      <c r="I85" s="282" t="str">
        <f>A85&amp;"-"&amp;TEXT(MCP!$D$1,"00")</f>
        <v>3.1047.2-03</v>
      </c>
      <c r="J85" s="282">
        <f>IFERROR(VLOOKUP(I85,MCP!#REF!,10,FALSE),0)</f>
        <v>0</v>
      </c>
      <c r="K85" s="282">
        <f>IFERROR(VLOOKUP(I85,MCP!#REF!,19,FALSE),0)</f>
        <v>0</v>
      </c>
      <c r="N85" s="282" t="e">
        <f>IF($A85="","",VLOOKUP(LEFT($A85,7)&amp;"1-00",MCP!#REF!,N$1,FALSE))</f>
        <v>#REF!</v>
      </c>
      <c r="O85" s="282" t="e">
        <f>IF($A85="","",VLOOKUP(LEFT($A85,7)&amp;"1-00",MCP!#REF!,O$1,FALSE))</f>
        <v>#REF!</v>
      </c>
      <c r="P85" s="282" t="e">
        <f>IF($A85="","",VLOOKUP(LEFT($A85,7)&amp;"1-00",MCP!#REF!,P$1,FALSE))</f>
        <v>#REF!</v>
      </c>
      <c r="Q85" s="282" t="str">
        <f t="shared" si="66"/>
        <v/>
      </c>
      <c r="R85" s="282" t="str">
        <f t="shared" si="67"/>
        <v/>
      </c>
      <c r="S85" s="282" t="str">
        <f t="shared" si="68"/>
        <v/>
      </c>
      <c r="T85" s="282" t="e">
        <f>VLOOKUP(LEFT($A85,7)&amp;"1-00",MCP!#REF!,T$1,FALSE)</f>
        <v>#REF!</v>
      </c>
      <c r="U85" s="282" t="e">
        <f t="shared" si="69"/>
        <v>#REF!</v>
      </c>
      <c r="V85" s="282" t="e">
        <f t="shared" si="70"/>
        <v>#REF!</v>
      </c>
      <c r="W85" s="284" t="e">
        <f t="shared" si="71"/>
        <v>#REF!</v>
      </c>
      <c r="X85" s="161">
        <v>1.5056</v>
      </c>
      <c r="Y85" s="282">
        <v>0.75539999999999996</v>
      </c>
      <c r="Z85" s="284" t="e">
        <f t="shared" si="72"/>
        <v>#REF!</v>
      </c>
      <c r="AA85" s="282" t="e">
        <f t="shared" si="73"/>
        <v>#REF!</v>
      </c>
      <c r="AB85" s="282" t="e">
        <f t="shared" si="74"/>
        <v>#REF!</v>
      </c>
      <c r="AC85" s="282" t="e">
        <f t="shared" si="75"/>
        <v>#REF!</v>
      </c>
      <c r="AD85" s="282" t="e">
        <f t="shared" si="76"/>
        <v>#REF!</v>
      </c>
      <c r="AE85" s="282" t="e">
        <f t="shared" si="77"/>
        <v>#REF!</v>
      </c>
      <c r="AF85" s="282" t="e">
        <f t="shared" si="78"/>
        <v>#REF!</v>
      </c>
      <c r="AG85" s="282" t="e">
        <f t="shared" si="79"/>
        <v>#REF!</v>
      </c>
      <c r="AH85" s="282" t="e">
        <f t="shared" si="80"/>
        <v>#REF!</v>
      </c>
      <c r="AI85" s="282" t="e">
        <f t="shared" si="81"/>
        <v>#REF!</v>
      </c>
      <c r="AJ85" s="282" t="e">
        <f>IF(U85="","",VLOOKUP(LEFT(I85,6)&amp;".1-00",MCP!$AK$9:$AL$464,21,FALSE))</f>
        <v>#REF!</v>
      </c>
      <c r="AK85" s="283" t="e">
        <f t="shared" si="82"/>
        <v>#REF!</v>
      </c>
      <c r="AL85" s="284" t="e">
        <f t="shared" si="83"/>
        <v>#REF!</v>
      </c>
      <c r="AM85" s="285" t="e">
        <f t="shared" si="84"/>
        <v>#REF!</v>
      </c>
      <c r="AN85" s="282">
        <f t="shared" si="85"/>
        <v>0</v>
      </c>
      <c r="AO85" s="282">
        <f t="shared" si="86"/>
        <v>0</v>
      </c>
      <c r="AP85" s="282">
        <f t="shared" si="87"/>
        <v>0</v>
      </c>
      <c r="AQ85" s="282" t="e">
        <f>VLOOKUP(LEFT($A85,7)&amp;"1-00",MCP!#REF!,30,FALSE)</f>
        <v>#REF!</v>
      </c>
      <c r="AR85" s="282" t="e">
        <f>VLOOKUP(LEFT($A85,7)&amp;"1-00",MCP!#REF!,31,FALSE)</f>
        <v>#REF!</v>
      </c>
      <c r="AS85" s="282" t="e">
        <f>VLOOKUP($A85&amp;"-"&amp;$B85,MCP!#REF!,12,FALSE)</f>
        <v>#REF!</v>
      </c>
      <c r="AT85" s="282" t="e">
        <f t="shared" si="88"/>
        <v>#REF!</v>
      </c>
      <c r="AU85" s="282" t="e">
        <f t="shared" si="89"/>
        <v>#REF!</v>
      </c>
      <c r="AV85" s="282" t="e">
        <f t="shared" si="90"/>
        <v>#REF!</v>
      </c>
      <c r="AW85" s="282" t="e">
        <f>IF($U85="","",VLOOKUP(LEFT($A85,7)&amp;"1-00",MCP!#REF!,24,FALSE))</f>
        <v>#REF!</v>
      </c>
      <c r="AX85" s="282"/>
      <c r="AY85" s="282"/>
      <c r="BF85" s="175" t="e">
        <f t="shared" si="91"/>
        <v>#REF!</v>
      </c>
    </row>
    <row r="86" spans="1:58" x14ac:dyDescent="0.2">
      <c r="A86" s="282" t="str">
        <f t="shared" si="61"/>
        <v>3.1053.2</v>
      </c>
      <c r="B86" s="282" t="str">
        <f t="shared" si="62"/>
        <v>03</v>
      </c>
      <c r="C86" s="282" t="str">
        <f t="shared" si="63"/>
        <v>3.1053.2.03</v>
      </c>
      <c r="D86" s="161">
        <v>6.1125999999999996</v>
      </c>
      <c r="E86" s="161">
        <v>4.0000000000000002E-4</v>
      </c>
      <c r="F86" s="282">
        <f t="shared" si="64"/>
        <v>1.54E-2</v>
      </c>
      <c r="G86" s="161" t="s">
        <v>849</v>
      </c>
      <c r="H86" s="282">
        <f t="shared" si="65"/>
        <v>2.7446136956223421E-4</v>
      </c>
      <c r="I86" s="282" t="str">
        <f>A86&amp;"-"&amp;TEXT(MCP!$D$1,"00")</f>
        <v>3.1053.2-03</v>
      </c>
      <c r="J86" s="282">
        <f>IFERROR(VLOOKUP(I86,MCP!#REF!,10,FALSE),0)</f>
        <v>0</v>
      </c>
      <c r="K86" s="282">
        <f>IFERROR(VLOOKUP(I86,MCP!#REF!,19,FALSE),0)</f>
        <v>0</v>
      </c>
      <c r="N86" s="282" t="e">
        <f>IF($A86="","",VLOOKUP(LEFT($A86,7)&amp;"1-00",MCP!#REF!,N$1,FALSE))</f>
        <v>#REF!</v>
      </c>
      <c r="O86" s="282" t="e">
        <f>IF($A86="","",VLOOKUP(LEFT($A86,7)&amp;"1-00",MCP!#REF!,O$1,FALSE))</f>
        <v>#REF!</v>
      </c>
      <c r="P86" s="282" t="e">
        <f>IF($A86="","",VLOOKUP(LEFT($A86,7)&amp;"1-00",MCP!#REF!,P$1,FALSE))</f>
        <v>#REF!</v>
      </c>
      <c r="Q86" s="282" t="str">
        <f t="shared" si="66"/>
        <v/>
      </c>
      <c r="R86" s="282" t="str">
        <f t="shared" si="67"/>
        <v/>
      </c>
      <c r="S86" s="282" t="str">
        <f t="shared" si="68"/>
        <v/>
      </c>
      <c r="T86" s="282" t="e">
        <f>VLOOKUP(LEFT($A86,7)&amp;"1-00",MCP!#REF!,T$1,FALSE)</f>
        <v>#REF!</v>
      </c>
      <c r="U86" s="282" t="e">
        <f t="shared" si="69"/>
        <v>#REF!</v>
      </c>
      <c r="V86" s="282" t="e">
        <f t="shared" si="70"/>
        <v>#REF!</v>
      </c>
      <c r="W86" s="284" t="e">
        <f t="shared" si="71"/>
        <v>#REF!</v>
      </c>
      <c r="X86" s="161">
        <v>2.2534999999999998</v>
      </c>
      <c r="Y86" s="284">
        <v>0.2228</v>
      </c>
      <c r="Z86" s="284" t="e">
        <f t="shared" si="72"/>
        <v>#REF!</v>
      </c>
      <c r="AA86" s="282" t="e">
        <f t="shared" si="73"/>
        <v>#REF!</v>
      </c>
      <c r="AB86" s="282" t="e">
        <f t="shared" si="74"/>
        <v>#REF!</v>
      </c>
      <c r="AC86" s="282" t="e">
        <f t="shared" si="75"/>
        <v>#REF!</v>
      </c>
      <c r="AD86" s="282" t="e">
        <f t="shared" si="76"/>
        <v>#REF!</v>
      </c>
      <c r="AE86" s="282" t="e">
        <f t="shared" si="77"/>
        <v>#REF!</v>
      </c>
      <c r="AF86" s="282" t="e">
        <f t="shared" si="78"/>
        <v>#REF!</v>
      </c>
      <c r="AG86" s="282" t="e">
        <f t="shared" si="79"/>
        <v>#REF!</v>
      </c>
      <c r="AH86" s="282" t="e">
        <f t="shared" si="80"/>
        <v>#REF!</v>
      </c>
      <c r="AI86" s="282" t="e">
        <f t="shared" si="81"/>
        <v>#REF!</v>
      </c>
      <c r="AJ86" s="282" t="e">
        <f>IF(U86="","",VLOOKUP(LEFT(I86,6)&amp;".1-00",MCP!$AK$9:$AL$464,21,FALSE))</f>
        <v>#REF!</v>
      </c>
      <c r="AK86" s="283" t="e">
        <f t="shared" si="82"/>
        <v>#REF!</v>
      </c>
      <c r="AL86" s="284" t="e">
        <f t="shared" si="83"/>
        <v>#REF!</v>
      </c>
      <c r="AM86" s="285" t="e">
        <f t="shared" si="84"/>
        <v>#REF!</v>
      </c>
      <c r="AN86" s="282">
        <f t="shared" si="85"/>
        <v>0</v>
      </c>
      <c r="AO86" s="282">
        <f t="shared" si="86"/>
        <v>0</v>
      </c>
      <c r="AP86" s="282">
        <f t="shared" si="87"/>
        <v>0</v>
      </c>
      <c r="AQ86" s="282" t="e">
        <f>VLOOKUP(LEFT($A86,7)&amp;"1-00",MCP!#REF!,30,FALSE)</f>
        <v>#REF!</v>
      </c>
      <c r="AR86" s="282" t="e">
        <f>VLOOKUP(LEFT($A86,7)&amp;"1-00",MCP!#REF!,31,FALSE)</f>
        <v>#REF!</v>
      </c>
      <c r="AS86" s="282" t="e">
        <f>VLOOKUP($A86&amp;"-"&amp;$B86,MCP!#REF!,12,FALSE)</f>
        <v>#REF!</v>
      </c>
      <c r="AT86" s="282" t="e">
        <f t="shared" si="88"/>
        <v>#REF!</v>
      </c>
      <c r="AU86" s="282" t="e">
        <f t="shared" si="89"/>
        <v>#REF!</v>
      </c>
      <c r="AV86" s="282" t="e">
        <f t="shared" si="90"/>
        <v>#REF!</v>
      </c>
      <c r="AW86" s="282" t="e">
        <f>IF($U86="","",VLOOKUP(LEFT($A86,7)&amp;"1-00",MCP!#REF!,24,FALSE))</f>
        <v>#REF!</v>
      </c>
      <c r="AX86" s="282"/>
      <c r="AY86" s="282"/>
      <c r="BF86" s="175" t="e">
        <f t="shared" si="91"/>
        <v>#REF!</v>
      </c>
    </row>
    <row r="87" spans="1:58" x14ac:dyDescent="0.2">
      <c r="A87" s="282" t="str">
        <f t="shared" si="61"/>
        <v>4.1016.2</v>
      </c>
      <c r="B87" s="282" t="str">
        <f t="shared" si="62"/>
        <v>03</v>
      </c>
      <c r="C87" s="282" t="str">
        <f t="shared" si="63"/>
        <v>4.1016.2.03</v>
      </c>
      <c r="D87" s="161">
        <v>3.1627000000000001</v>
      </c>
      <c r="E87" s="161">
        <v>5.0000000000000001E-3</v>
      </c>
      <c r="F87" s="282">
        <f t="shared" si="64"/>
        <v>9.9400000000000002E-2</v>
      </c>
      <c r="G87" s="161" t="s">
        <v>665</v>
      </c>
      <c r="H87" s="282">
        <f t="shared" si="65"/>
        <v>1.771523385356239E-3</v>
      </c>
      <c r="I87" s="282" t="str">
        <f>A87&amp;"-"&amp;TEXT(MCP!$D$1,"00")</f>
        <v>4.1016.2-03</v>
      </c>
      <c r="J87" s="282">
        <f>IFERROR(VLOOKUP(I87,MCP!#REF!,10,FALSE),0)</f>
        <v>0</v>
      </c>
      <c r="K87" s="282">
        <f>IFERROR(VLOOKUP(I87,MCP!#REF!,19,FALSE),0)</f>
        <v>0</v>
      </c>
      <c r="N87" s="282" t="e">
        <f>IF($A87="","",VLOOKUP(LEFT($A87,7)&amp;"1-00",MCP!#REF!,N$1,FALSE))</f>
        <v>#REF!</v>
      </c>
      <c r="O87" s="282" t="e">
        <f>IF($A87="","",VLOOKUP(LEFT($A87,7)&amp;"1-00",MCP!#REF!,O$1,FALSE))</f>
        <v>#REF!</v>
      </c>
      <c r="P87" s="282" t="e">
        <f>IF($A87="","",VLOOKUP(LEFT($A87,7)&amp;"1-00",MCP!#REF!,P$1,FALSE))</f>
        <v>#REF!</v>
      </c>
      <c r="Q87" s="282" t="str">
        <f t="shared" si="66"/>
        <v/>
      </c>
      <c r="R87" s="282" t="str">
        <f t="shared" si="67"/>
        <v/>
      </c>
      <c r="S87" s="282" t="str">
        <f t="shared" si="68"/>
        <v/>
      </c>
      <c r="T87" s="282" t="e">
        <f>VLOOKUP(LEFT($A87,7)&amp;"1-00",MCP!#REF!,T$1,FALSE)</f>
        <v>#REF!</v>
      </c>
      <c r="U87" s="282" t="e">
        <f t="shared" si="69"/>
        <v>#REF!</v>
      </c>
      <c r="V87" s="282" t="e">
        <f t="shared" si="70"/>
        <v>#REF!</v>
      </c>
      <c r="W87" s="284" t="e">
        <f t="shared" si="71"/>
        <v>#REF!</v>
      </c>
      <c r="X87" s="161">
        <v>-1.2703</v>
      </c>
      <c r="Y87" s="284">
        <v>0.82330000000000003</v>
      </c>
      <c r="Z87" s="284" t="e">
        <f t="shared" si="72"/>
        <v>#REF!</v>
      </c>
      <c r="AA87" s="282" t="e">
        <f t="shared" si="73"/>
        <v>#REF!</v>
      </c>
      <c r="AB87" s="282" t="e">
        <f t="shared" si="74"/>
        <v>#REF!</v>
      </c>
      <c r="AC87" s="282" t="e">
        <f t="shared" si="75"/>
        <v>#REF!</v>
      </c>
      <c r="AD87" s="282" t="e">
        <f t="shared" si="76"/>
        <v>#REF!</v>
      </c>
      <c r="AE87" s="282" t="e">
        <f t="shared" si="77"/>
        <v>#REF!</v>
      </c>
      <c r="AF87" s="282" t="e">
        <f t="shared" si="78"/>
        <v>#REF!</v>
      </c>
      <c r="AG87" s="282" t="e">
        <f t="shared" si="79"/>
        <v>#REF!</v>
      </c>
      <c r="AH87" s="282" t="e">
        <f t="shared" si="80"/>
        <v>#REF!</v>
      </c>
      <c r="AI87" s="282" t="e">
        <f t="shared" si="81"/>
        <v>#REF!</v>
      </c>
      <c r="AJ87" s="282" t="e">
        <f>IF(U87="","",VLOOKUP(LEFT(I87,6)&amp;".1-00",MCP!$AK$9:$AL$464,21,FALSE))</f>
        <v>#REF!</v>
      </c>
      <c r="AK87" s="283" t="e">
        <f t="shared" si="82"/>
        <v>#REF!</v>
      </c>
      <c r="AL87" s="284" t="e">
        <f t="shared" si="83"/>
        <v>#REF!</v>
      </c>
      <c r="AM87" s="285" t="e">
        <f t="shared" si="84"/>
        <v>#REF!</v>
      </c>
      <c r="AN87" s="282">
        <f t="shared" si="85"/>
        <v>0</v>
      </c>
      <c r="AO87" s="282">
        <f t="shared" si="86"/>
        <v>0</v>
      </c>
      <c r="AP87" s="282">
        <f t="shared" si="87"/>
        <v>0</v>
      </c>
      <c r="AQ87" s="282" t="e">
        <f>VLOOKUP(LEFT($A87,7)&amp;"1-00",MCP!#REF!,30,FALSE)</f>
        <v>#REF!</v>
      </c>
      <c r="AR87" s="282" t="e">
        <f>VLOOKUP(LEFT($A87,7)&amp;"1-00",MCP!#REF!,31,FALSE)</f>
        <v>#REF!</v>
      </c>
      <c r="AS87" s="282" t="e">
        <f>VLOOKUP($A87&amp;"-"&amp;$B87,MCP!#REF!,12,FALSE)</f>
        <v>#REF!</v>
      </c>
      <c r="AT87" s="282" t="e">
        <f t="shared" si="88"/>
        <v>#REF!</v>
      </c>
      <c r="AU87" s="282" t="e">
        <f t="shared" si="89"/>
        <v>#REF!</v>
      </c>
      <c r="AV87" s="282" t="e">
        <f t="shared" si="90"/>
        <v>#REF!</v>
      </c>
      <c r="AW87" s="282" t="e">
        <f>IF($U87="","",VLOOKUP(LEFT($A87,7)&amp;"1-00",MCP!#REF!,24,FALSE))</f>
        <v>#REF!</v>
      </c>
      <c r="AX87" s="282"/>
      <c r="AY87" s="282"/>
      <c r="BF87" s="175" t="e">
        <f t="shared" si="91"/>
        <v>#REF!</v>
      </c>
    </row>
    <row r="88" spans="1:58" x14ac:dyDescent="0.2">
      <c r="A88" s="282" t="str">
        <f t="shared" si="61"/>
        <v>4.1022.2</v>
      </c>
      <c r="B88" s="282" t="str">
        <f t="shared" si="62"/>
        <v>03</v>
      </c>
      <c r="C88" s="282" t="str">
        <f t="shared" si="63"/>
        <v>4.1022.2.03</v>
      </c>
      <c r="D88" s="161">
        <v>3.9807999999999999</v>
      </c>
      <c r="E88" s="161">
        <v>4.8999999999999998E-3</v>
      </c>
      <c r="F88" s="282">
        <f t="shared" si="64"/>
        <v>0.1226</v>
      </c>
      <c r="G88" s="161" t="s">
        <v>851</v>
      </c>
      <c r="H88" s="282">
        <f t="shared" si="65"/>
        <v>2.1849976563850593E-3</v>
      </c>
      <c r="I88" s="282" t="str">
        <f>A88&amp;"-"&amp;TEXT(MCP!$D$1,"00")</f>
        <v>4.1022.2-03</v>
      </c>
      <c r="J88" s="282">
        <f>IFERROR(VLOOKUP(I88,MCP!#REF!,10,FALSE),0)</f>
        <v>0</v>
      </c>
      <c r="K88" s="282">
        <f>IFERROR(VLOOKUP(I88,MCP!#REF!,19,FALSE),0)</f>
        <v>0</v>
      </c>
      <c r="N88" s="282" t="e">
        <f>IF($A88="","",VLOOKUP(LEFT($A88,7)&amp;"1-00",MCP!#REF!,N$1,FALSE))</f>
        <v>#REF!</v>
      </c>
      <c r="O88" s="282" t="e">
        <f>IF($A88="","",VLOOKUP(LEFT($A88,7)&amp;"1-00",MCP!#REF!,O$1,FALSE))</f>
        <v>#REF!</v>
      </c>
      <c r="P88" s="282" t="e">
        <f>IF($A88="","",VLOOKUP(LEFT($A88,7)&amp;"1-00",MCP!#REF!,P$1,FALSE))</f>
        <v>#REF!</v>
      </c>
      <c r="Q88" s="282" t="str">
        <f t="shared" si="66"/>
        <v/>
      </c>
      <c r="R88" s="282" t="str">
        <f t="shared" si="67"/>
        <v/>
      </c>
      <c r="S88" s="282" t="str">
        <f t="shared" si="68"/>
        <v/>
      </c>
      <c r="T88" s="282" t="e">
        <f>VLOOKUP(LEFT($A88,7)&amp;"1-00",MCP!#REF!,T$1,FALSE)</f>
        <v>#REF!</v>
      </c>
      <c r="U88" s="282" t="e">
        <f t="shared" si="69"/>
        <v>#REF!</v>
      </c>
      <c r="V88" s="282" t="e">
        <f t="shared" si="70"/>
        <v>#REF!</v>
      </c>
      <c r="W88" s="284" t="e">
        <f t="shared" si="71"/>
        <v>#REF!</v>
      </c>
      <c r="X88" s="161">
        <v>-1.1808000000000001</v>
      </c>
      <c r="Y88" s="282">
        <v>0.82110000000000005</v>
      </c>
      <c r="Z88" s="284" t="e">
        <f t="shared" si="72"/>
        <v>#REF!</v>
      </c>
      <c r="AA88" s="282" t="e">
        <f t="shared" si="73"/>
        <v>#REF!</v>
      </c>
      <c r="AB88" s="282" t="e">
        <f t="shared" si="74"/>
        <v>#REF!</v>
      </c>
      <c r="AC88" s="282" t="e">
        <f t="shared" si="75"/>
        <v>#REF!</v>
      </c>
      <c r="AD88" s="282" t="e">
        <f t="shared" si="76"/>
        <v>#REF!</v>
      </c>
      <c r="AE88" s="282" t="e">
        <f t="shared" si="77"/>
        <v>#REF!</v>
      </c>
      <c r="AF88" s="282" t="e">
        <f t="shared" si="78"/>
        <v>#REF!</v>
      </c>
      <c r="AG88" s="282" t="e">
        <f t="shared" si="79"/>
        <v>#REF!</v>
      </c>
      <c r="AH88" s="282" t="e">
        <f t="shared" si="80"/>
        <v>#REF!</v>
      </c>
      <c r="AI88" s="282" t="e">
        <f t="shared" si="81"/>
        <v>#REF!</v>
      </c>
      <c r="AJ88" s="282" t="e">
        <f>IF(U88="","",VLOOKUP(LEFT(I88,6)&amp;".1-00",MCP!$AK$9:$AL$464,21,FALSE))</f>
        <v>#REF!</v>
      </c>
      <c r="AK88" s="283" t="e">
        <f t="shared" si="82"/>
        <v>#REF!</v>
      </c>
      <c r="AL88" s="284" t="e">
        <f t="shared" si="83"/>
        <v>#REF!</v>
      </c>
      <c r="AM88" s="285" t="e">
        <f t="shared" si="84"/>
        <v>#REF!</v>
      </c>
      <c r="AN88" s="282">
        <f t="shared" si="85"/>
        <v>0</v>
      </c>
      <c r="AO88" s="282">
        <f t="shared" si="86"/>
        <v>0</v>
      </c>
      <c r="AP88" s="282">
        <f t="shared" si="87"/>
        <v>0</v>
      </c>
      <c r="AQ88" s="282" t="e">
        <f>VLOOKUP(LEFT($A88,7)&amp;"1-00",MCP!#REF!,30,FALSE)</f>
        <v>#REF!</v>
      </c>
      <c r="AR88" s="282" t="e">
        <f>VLOOKUP(LEFT($A88,7)&amp;"1-00",MCP!#REF!,31,FALSE)</f>
        <v>#REF!</v>
      </c>
      <c r="AS88" s="282" t="e">
        <f>VLOOKUP($A88&amp;"-"&amp;$B88,MCP!#REF!,12,FALSE)</f>
        <v>#REF!</v>
      </c>
      <c r="AT88" s="282" t="e">
        <f t="shared" si="88"/>
        <v>#REF!</v>
      </c>
      <c r="AU88" s="282" t="e">
        <f t="shared" si="89"/>
        <v>#REF!</v>
      </c>
      <c r="AV88" s="282" t="e">
        <f t="shared" si="90"/>
        <v>#REF!</v>
      </c>
      <c r="AW88" s="282" t="e">
        <f>IF($U88="","",VLOOKUP(LEFT($A88,7)&amp;"1-00",MCP!#REF!,24,FALSE))</f>
        <v>#REF!</v>
      </c>
      <c r="AX88" s="282"/>
      <c r="AY88" s="282"/>
      <c r="BF88" s="175" t="e">
        <f t="shared" si="91"/>
        <v>#REF!</v>
      </c>
    </row>
    <row r="89" spans="1:58" x14ac:dyDescent="0.2">
      <c r="A89" s="282" t="str">
        <f t="shared" si="61"/>
        <v>4.1028.2</v>
      </c>
      <c r="B89" s="282" t="str">
        <f t="shared" si="62"/>
        <v>03</v>
      </c>
      <c r="C89" s="282" t="str">
        <f t="shared" si="63"/>
        <v>4.1028.2.03</v>
      </c>
      <c r="D89" s="161">
        <v>4.7397999999999998</v>
      </c>
      <c r="E89" s="161">
        <v>4.4999999999999997E-3</v>
      </c>
      <c r="F89" s="282">
        <f t="shared" si="64"/>
        <v>0.13400000000000001</v>
      </c>
      <c r="G89" s="161" t="s">
        <v>853</v>
      </c>
      <c r="H89" s="282">
        <f t="shared" si="65"/>
        <v>2.3881703585285317E-3</v>
      </c>
      <c r="I89" s="282" t="str">
        <f>A89&amp;"-"&amp;TEXT(MCP!$D$1,"00")</f>
        <v>4.1028.2-03</v>
      </c>
      <c r="J89" s="282">
        <f>IFERROR(VLOOKUP(I89,MCP!#REF!,10,FALSE),0)</f>
        <v>0</v>
      </c>
      <c r="K89" s="282">
        <f>IFERROR(VLOOKUP(I89,MCP!#REF!,19,FALSE),0)</f>
        <v>0</v>
      </c>
      <c r="N89" s="282" t="e">
        <f>IF($A89="","",VLOOKUP(LEFT($A89,7)&amp;"1-00",MCP!#REF!,N$1,FALSE))</f>
        <v>#REF!</v>
      </c>
      <c r="O89" s="282" t="e">
        <f>IF($A89="","",VLOOKUP(LEFT($A89,7)&amp;"1-00",MCP!#REF!,O$1,FALSE))</f>
        <v>#REF!</v>
      </c>
      <c r="P89" s="282" t="e">
        <f>IF($A89="","",VLOOKUP(LEFT($A89,7)&amp;"1-00",MCP!#REF!,P$1,FALSE))</f>
        <v>#REF!</v>
      </c>
      <c r="Q89" s="282" t="str">
        <f t="shared" si="66"/>
        <v/>
      </c>
      <c r="R89" s="282" t="str">
        <f t="shared" si="67"/>
        <v/>
      </c>
      <c r="S89" s="282" t="str">
        <f t="shared" si="68"/>
        <v/>
      </c>
      <c r="T89" s="282" t="e">
        <f>VLOOKUP(LEFT($A89,7)&amp;"1-00",MCP!#REF!,T$1,FALSE)</f>
        <v>#REF!</v>
      </c>
      <c r="U89" s="282" t="e">
        <f t="shared" si="69"/>
        <v>#REF!</v>
      </c>
      <c r="V89" s="282" t="e">
        <f t="shared" si="70"/>
        <v>#REF!</v>
      </c>
      <c r="W89" s="284" t="e">
        <f t="shared" si="71"/>
        <v>#REF!</v>
      </c>
      <c r="X89" s="161">
        <v>-0.85140000000000005</v>
      </c>
      <c r="Y89" s="284">
        <v>0.8034</v>
      </c>
      <c r="Z89" s="284" t="e">
        <f t="shared" si="72"/>
        <v>#REF!</v>
      </c>
      <c r="AA89" s="282" t="e">
        <f t="shared" si="73"/>
        <v>#REF!</v>
      </c>
      <c r="AB89" s="282" t="e">
        <f t="shared" si="74"/>
        <v>#REF!</v>
      </c>
      <c r="AC89" s="282" t="e">
        <f t="shared" si="75"/>
        <v>#REF!</v>
      </c>
      <c r="AD89" s="282" t="e">
        <f t="shared" si="76"/>
        <v>#REF!</v>
      </c>
      <c r="AE89" s="282" t="e">
        <f t="shared" si="77"/>
        <v>#REF!</v>
      </c>
      <c r="AF89" s="282" t="e">
        <f t="shared" si="78"/>
        <v>#REF!</v>
      </c>
      <c r="AG89" s="282" t="e">
        <f t="shared" si="79"/>
        <v>#REF!</v>
      </c>
      <c r="AH89" s="282" t="e">
        <f t="shared" si="80"/>
        <v>#REF!</v>
      </c>
      <c r="AI89" s="282" t="e">
        <f t="shared" si="81"/>
        <v>#REF!</v>
      </c>
      <c r="AJ89" s="282" t="e">
        <f>IF(U89="","",VLOOKUP(LEFT(I89,6)&amp;".1-00",MCP!$AK$9:$AL$464,21,FALSE))</f>
        <v>#REF!</v>
      </c>
      <c r="AK89" s="283" t="e">
        <f t="shared" si="82"/>
        <v>#REF!</v>
      </c>
      <c r="AL89" s="284" t="e">
        <f t="shared" si="83"/>
        <v>#REF!</v>
      </c>
      <c r="AM89" s="285" t="e">
        <f t="shared" si="84"/>
        <v>#REF!</v>
      </c>
      <c r="AN89" s="282">
        <f t="shared" si="85"/>
        <v>0</v>
      </c>
      <c r="AO89" s="282">
        <f t="shared" si="86"/>
        <v>0</v>
      </c>
      <c r="AP89" s="282">
        <f t="shared" si="87"/>
        <v>0</v>
      </c>
      <c r="AQ89" s="282" t="e">
        <f>VLOOKUP(LEFT($A89,7)&amp;"1-00",MCP!#REF!,30,FALSE)</f>
        <v>#REF!</v>
      </c>
      <c r="AR89" s="282" t="e">
        <f>VLOOKUP(LEFT($A89,7)&amp;"1-00",MCP!#REF!,31,FALSE)</f>
        <v>#REF!</v>
      </c>
      <c r="AS89" s="282" t="e">
        <f>VLOOKUP($A89&amp;"-"&amp;$B89,MCP!#REF!,12,FALSE)</f>
        <v>#REF!</v>
      </c>
      <c r="AT89" s="282" t="e">
        <f t="shared" si="88"/>
        <v>#REF!</v>
      </c>
      <c r="AU89" s="282" t="e">
        <f t="shared" si="89"/>
        <v>#REF!</v>
      </c>
      <c r="AV89" s="282" t="e">
        <f t="shared" si="90"/>
        <v>#REF!</v>
      </c>
      <c r="AW89" s="282" t="e">
        <f>IF($U89="","",VLOOKUP(LEFT($A89,7)&amp;"1-00",MCP!#REF!,24,FALSE))</f>
        <v>#REF!</v>
      </c>
      <c r="AX89" s="282"/>
      <c r="AY89" s="282"/>
      <c r="BF89" s="175" t="e">
        <f t="shared" si="91"/>
        <v>#REF!</v>
      </c>
    </row>
    <row r="90" spans="1:58" x14ac:dyDescent="0.2">
      <c r="A90" s="282" t="str">
        <f t="shared" si="61"/>
        <v>4.1034.2</v>
      </c>
      <c r="B90" s="282" t="str">
        <f t="shared" si="62"/>
        <v>03</v>
      </c>
      <c r="C90" s="282" t="str">
        <f t="shared" si="63"/>
        <v>4.1034.2.03</v>
      </c>
      <c r="D90" s="161">
        <v>5.3741000000000003</v>
      </c>
      <c r="E90" s="161">
        <v>3.8999999999999998E-3</v>
      </c>
      <c r="F90" s="282">
        <f t="shared" si="64"/>
        <v>0.13170000000000001</v>
      </c>
      <c r="G90" s="161" t="s">
        <v>855</v>
      </c>
      <c r="H90" s="282">
        <f t="shared" si="65"/>
        <v>2.3471793747627434E-3</v>
      </c>
      <c r="I90" s="282" t="str">
        <f>A90&amp;"-"&amp;TEXT(MCP!$D$1,"00")</f>
        <v>4.1034.2-03</v>
      </c>
      <c r="J90" s="282">
        <f>IFERROR(VLOOKUP(I90,MCP!#REF!,10,FALSE),0)</f>
        <v>0</v>
      </c>
      <c r="K90" s="282">
        <f>IFERROR(VLOOKUP(I90,MCP!#REF!,19,FALSE),0)</f>
        <v>0</v>
      </c>
      <c r="N90" s="282" t="e">
        <f>IF($A90="","",VLOOKUP(LEFT($A90,7)&amp;"1-00",MCP!#REF!,N$1,FALSE))</f>
        <v>#REF!</v>
      </c>
      <c r="O90" s="282" t="e">
        <f>IF($A90="","",VLOOKUP(LEFT($A90,7)&amp;"1-00",MCP!#REF!,O$1,FALSE))</f>
        <v>#REF!</v>
      </c>
      <c r="P90" s="282" t="e">
        <f>IF($A90="","",VLOOKUP(LEFT($A90,7)&amp;"1-00",MCP!#REF!,P$1,FALSE))</f>
        <v>#REF!</v>
      </c>
      <c r="Q90" s="282" t="str">
        <f t="shared" si="66"/>
        <v/>
      </c>
      <c r="R90" s="282" t="str">
        <f t="shared" si="67"/>
        <v/>
      </c>
      <c r="S90" s="282" t="str">
        <f t="shared" si="68"/>
        <v/>
      </c>
      <c r="T90" s="282" t="e">
        <f>VLOOKUP(LEFT($A90,7)&amp;"1-00",MCP!#REF!,T$1,FALSE)</f>
        <v>#REF!</v>
      </c>
      <c r="U90" s="282" t="e">
        <f t="shared" si="69"/>
        <v>#REF!</v>
      </c>
      <c r="V90" s="282" t="e">
        <f t="shared" si="70"/>
        <v>#REF!</v>
      </c>
      <c r="W90" s="284" t="e">
        <f t="shared" si="71"/>
        <v>#REF!</v>
      </c>
      <c r="X90" s="161">
        <v>-0.30570000000000003</v>
      </c>
      <c r="Y90" s="282">
        <v>0.76349999999999996</v>
      </c>
      <c r="Z90" s="284" t="e">
        <f t="shared" si="72"/>
        <v>#REF!</v>
      </c>
      <c r="AA90" s="282" t="e">
        <f t="shared" si="73"/>
        <v>#REF!</v>
      </c>
      <c r="AB90" s="282" t="e">
        <f t="shared" si="74"/>
        <v>#REF!</v>
      </c>
      <c r="AC90" s="282" t="e">
        <f t="shared" si="75"/>
        <v>#REF!</v>
      </c>
      <c r="AD90" s="282" t="e">
        <f t="shared" si="76"/>
        <v>#REF!</v>
      </c>
      <c r="AE90" s="282" t="e">
        <f t="shared" si="77"/>
        <v>#REF!</v>
      </c>
      <c r="AF90" s="282" t="e">
        <f t="shared" si="78"/>
        <v>#REF!</v>
      </c>
      <c r="AG90" s="282" t="e">
        <f t="shared" si="79"/>
        <v>#REF!</v>
      </c>
      <c r="AH90" s="282" t="e">
        <f t="shared" si="80"/>
        <v>#REF!</v>
      </c>
      <c r="AI90" s="282" t="e">
        <f t="shared" si="81"/>
        <v>#REF!</v>
      </c>
      <c r="AJ90" s="282" t="e">
        <f>IF(U90="","",VLOOKUP(LEFT(I90,6)&amp;".1-00",MCP!$AK$9:$AL$464,21,FALSE))</f>
        <v>#REF!</v>
      </c>
      <c r="AK90" s="283" t="e">
        <f t="shared" si="82"/>
        <v>#REF!</v>
      </c>
      <c r="AL90" s="284" t="e">
        <f t="shared" si="83"/>
        <v>#REF!</v>
      </c>
      <c r="AM90" s="285" t="e">
        <f t="shared" si="84"/>
        <v>#REF!</v>
      </c>
      <c r="AN90" s="282">
        <f t="shared" si="85"/>
        <v>0</v>
      </c>
      <c r="AO90" s="282">
        <f t="shared" si="86"/>
        <v>0</v>
      </c>
      <c r="AP90" s="282">
        <f t="shared" si="87"/>
        <v>0</v>
      </c>
      <c r="AQ90" s="282" t="e">
        <f>VLOOKUP(LEFT($A90,7)&amp;"1-00",MCP!#REF!,30,FALSE)</f>
        <v>#REF!</v>
      </c>
      <c r="AR90" s="282" t="e">
        <f>VLOOKUP(LEFT($A90,7)&amp;"1-00",MCP!#REF!,31,FALSE)</f>
        <v>#REF!</v>
      </c>
      <c r="AS90" s="282" t="e">
        <f>VLOOKUP($A90&amp;"-"&amp;$B90,MCP!#REF!,12,FALSE)</f>
        <v>#REF!</v>
      </c>
      <c r="AT90" s="282" t="e">
        <f t="shared" si="88"/>
        <v>#REF!</v>
      </c>
      <c r="AU90" s="282" t="e">
        <f t="shared" si="89"/>
        <v>#REF!</v>
      </c>
      <c r="AV90" s="282" t="e">
        <f t="shared" si="90"/>
        <v>#REF!</v>
      </c>
      <c r="AW90" s="282" t="e">
        <f>IF($U90="","",VLOOKUP(LEFT($A90,7)&amp;"1-00",MCP!#REF!,24,FALSE))</f>
        <v>#REF!</v>
      </c>
      <c r="AX90" s="282"/>
      <c r="AY90" s="282"/>
      <c r="BF90" s="175" t="e">
        <f t="shared" si="91"/>
        <v>#REF!</v>
      </c>
    </row>
    <row r="91" spans="1:58" x14ac:dyDescent="0.2">
      <c r="A91" s="282" t="str">
        <f t="shared" si="61"/>
        <v>4.1040.2</v>
      </c>
      <c r="B91" s="282" t="str">
        <f t="shared" si="62"/>
        <v>03</v>
      </c>
      <c r="C91" s="282" t="str">
        <f t="shared" si="63"/>
        <v>4.1040.2.03</v>
      </c>
      <c r="D91" s="161">
        <v>5.8338000000000001</v>
      </c>
      <c r="E91" s="161">
        <v>2.7000000000000001E-3</v>
      </c>
      <c r="F91" s="282">
        <f t="shared" si="64"/>
        <v>9.9000000000000005E-2</v>
      </c>
      <c r="G91" s="161" t="s">
        <v>857</v>
      </c>
      <c r="H91" s="282">
        <f t="shared" si="65"/>
        <v>1.7643945186143629E-3</v>
      </c>
      <c r="I91" s="282" t="str">
        <f>A91&amp;"-"&amp;TEXT(MCP!$D$1,"00")</f>
        <v>4.1040.2-03</v>
      </c>
      <c r="J91" s="282">
        <f>IFERROR(VLOOKUP(I91,MCP!#REF!,10,FALSE),0)</f>
        <v>0</v>
      </c>
      <c r="K91" s="282">
        <f>IFERROR(VLOOKUP(I91,MCP!#REF!,19,FALSE),0)</f>
        <v>0</v>
      </c>
      <c r="N91" s="282" t="e">
        <f>IF($A91="","",VLOOKUP(LEFT($A91,7)&amp;"1-00",MCP!#REF!,N$1,FALSE))</f>
        <v>#REF!</v>
      </c>
      <c r="O91" s="282" t="e">
        <f>IF($A91="","",VLOOKUP(LEFT($A91,7)&amp;"1-00",MCP!#REF!,O$1,FALSE))</f>
        <v>#REF!</v>
      </c>
      <c r="P91" s="282" t="e">
        <f>IF($A91="","",VLOOKUP(LEFT($A91,7)&amp;"1-00",MCP!#REF!,P$1,FALSE))</f>
        <v>#REF!</v>
      </c>
      <c r="Q91" s="282" t="str">
        <f t="shared" si="66"/>
        <v/>
      </c>
      <c r="R91" s="282" t="str">
        <f t="shared" si="67"/>
        <v/>
      </c>
      <c r="S91" s="282" t="str">
        <f t="shared" si="68"/>
        <v/>
      </c>
      <c r="T91" s="282" t="e">
        <f>VLOOKUP(LEFT($A91,7)&amp;"1-00",MCP!#REF!,T$1,FALSE)</f>
        <v>#REF!</v>
      </c>
      <c r="U91" s="282" t="e">
        <f t="shared" si="69"/>
        <v>#REF!</v>
      </c>
      <c r="V91" s="282" t="e">
        <f t="shared" si="70"/>
        <v>#REF!</v>
      </c>
      <c r="W91" s="284" t="e">
        <f t="shared" si="71"/>
        <v>#REF!</v>
      </c>
      <c r="X91" s="161">
        <v>0.43070000000000003</v>
      </c>
      <c r="Y91" s="282">
        <v>0.65720000000000001</v>
      </c>
      <c r="Z91" s="284" t="e">
        <f t="shared" si="72"/>
        <v>#REF!</v>
      </c>
      <c r="AA91" s="282" t="e">
        <f t="shared" si="73"/>
        <v>#REF!</v>
      </c>
      <c r="AB91" s="282" t="e">
        <f t="shared" si="74"/>
        <v>#REF!</v>
      </c>
      <c r="AC91" s="282" t="e">
        <f t="shared" si="75"/>
        <v>#REF!</v>
      </c>
      <c r="AD91" s="282" t="e">
        <f t="shared" si="76"/>
        <v>#REF!</v>
      </c>
      <c r="AE91" s="282" t="e">
        <f t="shared" si="77"/>
        <v>#REF!</v>
      </c>
      <c r="AF91" s="282" t="e">
        <f t="shared" si="78"/>
        <v>#REF!</v>
      </c>
      <c r="AG91" s="282" t="e">
        <f t="shared" si="79"/>
        <v>#REF!</v>
      </c>
      <c r="AH91" s="282" t="e">
        <f t="shared" si="80"/>
        <v>#REF!</v>
      </c>
      <c r="AI91" s="282" t="e">
        <f t="shared" si="81"/>
        <v>#REF!</v>
      </c>
      <c r="AJ91" s="282" t="e">
        <f>IF(U91="","",VLOOKUP(LEFT(I91,6)&amp;".1-00",MCP!$AK$9:$AL$464,21,FALSE))</f>
        <v>#REF!</v>
      </c>
      <c r="AK91" s="283" t="e">
        <f t="shared" si="82"/>
        <v>#REF!</v>
      </c>
      <c r="AL91" s="284" t="e">
        <f t="shared" si="83"/>
        <v>#REF!</v>
      </c>
      <c r="AM91" s="285" t="e">
        <f t="shared" si="84"/>
        <v>#REF!</v>
      </c>
      <c r="AN91" s="282">
        <f t="shared" si="85"/>
        <v>0</v>
      </c>
      <c r="AO91" s="282">
        <f t="shared" si="86"/>
        <v>0</v>
      </c>
      <c r="AP91" s="282">
        <f t="shared" si="87"/>
        <v>0</v>
      </c>
      <c r="AQ91" s="282" t="e">
        <f>VLOOKUP(LEFT($A91,7)&amp;"1-00",MCP!#REF!,30,FALSE)</f>
        <v>#REF!</v>
      </c>
      <c r="AR91" s="282" t="e">
        <f>VLOOKUP(LEFT($A91,7)&amp;"1-00",MCP!#REF!,31,FALSE)</f>
        <v>#REF!</v>
      </c>
      <c r="AS91" s="282" t="e">
        <f>VLOOKUP($A91&amp;"-"&amp;$B91,MCP!#REF!,12,FALSE)</f>
        <v>#REF!</v>
      </c>
      <c r="AT91" s="282" t="e">
        <f t="shared" si="88"/>
        <v>#REF!</v>
      </c>
      <c r="AU91" s="282" t="e">
        <f t="shared" si="89"/>
        <v>#REF!</v>
      </c>
      <c r="AV91" s="282" t="e">
        <f t="shared" si="90"/>
        <v>#REF!</v>
      </c>
      <c r="AW91" s="282" t="e">
        <f>IF($U91="","",VLOOKUP(LEFT($A91,7)&amp;"1-00",MCP!#REF!,24,FALSE))</f>
        <v>#REF!</v>
      </c>
      <c r="AX91" s="282"/>
      <c r="AY91" s="282"/>
      <c r="BF91" s="175" t="e">
        <f t="shared" si="91"/>
        <v>#REF!</v>
      </c>
    </row>
    <row r="92" spans="1:58" x14ac:dyDescent="0.2">
      <c r="A92" s="282" t="str">
        <f t="shared" si="61"/>
        <v>4.1046.2</v>
      </c>
      <c r="B92" s="282" t="str">
        <f t="shared" si="62"/>
        <v>03</v>
      </c>
      <c r="C92" s="282" t="str">
        <f t="shared" si="63"/>
        <v>4.1046.2.03</v>
      </c>
      <c r="D92" s="161">
        <v>6.0533000000000001</v>
      </c>
      <c r="E92" s="161">
        <v>1.1999999999999999E-3</v>
      </c>
      <c r="F92" s="282">
        <f t="shared" si="64"/>
        <v>4.5600000000000002E-2</v>
      </c>
      <c r="G92" s="161" t="s">
        <v>859</v>
      </c>
      <c r="H92" s="282">
        <f t="shared" si="65"/>
        <v>8.1269080857388832E-4</v>
      </c>
      <c r="I92" s="282" t="str">
        <f>A92&amp;"-"&amp;TEXT(MCP!$D$1,"00")</f>
        <v>4.1046.2-03</v>
      </c>
      <c r="J92" s="282">
        <f>IFERROR(VLOOKUP(I92,MCP!#REF!,10,FALSE),0)</f>
        <v>0</v>
      </c>
      <c r="K92" s="282">
        <f>IFERROR(VLOOKUP(I92,MCP!#REF!,19,FALSE),0)</f>
        <v>0</v>
      </c>
      <c r="N92" s="282" t="e">
        <f>IF($A92="","",VLOOKUP(LEFT($A92,7)&amp;"1-00",MCP!#REF!,N$1,FALSE))</f>
        <v>#REF!</v>
      </c>
      <c r="O92" s="282" t="e">
        <f>IF($A92="","",VLOOKUP(LEFT($A92,7)&amp;"1-00",MCP!#REF!,O$1,FALSE))</f>
        <v>#REF!</v>
      </c>
      <c r="P92" s="282" t="e">
        <f>IF($A92="","",VLOOKUP(LEFT($A92,7)&amp;"1-00",MCP!#REF!,P$1,FALSE))</f>
        <v>#REF!</v>
      </c>
      <c r="Q92" s="282" t="str">
        <f t="shared" si="66"/>
        <v/>
      </c>
      <c r="R92" s="282" t="str">
        <f t="shared" si="67"/>
        <v/>
      </c>
      <c r="S92" s="282" t="str">
        <f t="shared" si="68"/>
        <v/>
      </c>
      <c r="T92" s="282" t="e">
        <f>VLOOKUP(LEFT($A92,7)&amp;"1-00",MCP!#REF!,T$1,FALSE)</f>
        <v>#REF!</v>
      </c>
      <c r="U92" s="282" t="e">
        <f t="shared" si="69"/>
        <v>#REF!</v>
      </c>
      <c r="V92" s="282" t="e">
        <f t="shared" si="70"/>
        <v>#REF!</v>
      </c>
      <c r="W92" s="284" t="e">
        <f t="shared" si="71"/>
        <v>#REF!</v>
      </c>
      <c r="X92" s="161">
        <v>1.2713000000000001</v>
      </c>
      <c r="Y92" s="279">
        <v>0.42880000000000001</v>
      </c>
      <c r="Z92" s="284" t="e">
        <f t="shared" si="72"/>
        <v>#REF!</v>
      </c>
      <c r="AA92" s="282" t="e">
        <f t="shared" si="73"/>
        <v>#REF!</v>
      </c>
      <c r="AB92" s="282" t="e">
        <f t="shared" si="74"/>
        <v>#REF!</v>
      </c>
      <c r="AC92" s="282" t="e">
        <f t="shared" si="75"/>
        <v>#REF!</v>
      </c>
      <c r="AD92" s="282" t="e">
        <f t="shared" si="76"/>
        <v>#REF!</v>
      </c>
      <c r="AE92" s="282" t="e">
        <f t="shared" si="77"/>
        <v>#REF!</v>
      </c>
      <c r="AF92" s="282" t="e">
        <f t="shared" si="78"/>
        <v>#REF!</v>
      </c>
      <c r="AG92" s="282" t="e">
        <f t="shared" si="79"/>
        <v>#REF!</v>
      </c>
      <c r="AH92" s="282" t="e">
        <f t="shared" si="80"/>
        <v>#REF!</v>
      </c>
      <c r="AI92" s="282" t="e">
        <f t="shared" si="81"/>
        <v>#REF!</v>
      </c>
      <c r="AJ92" s="282" t="e">
        <f>IF(U92="","",VLOOKUP(LEFT(I92,6)&amp;".1-00",MCP!$AK$9:$AL$464,21,FALSE))</f>
        <v>#REF!</v>
      </c>
      <c r="AK92" s="283" t="e">
        <f t="shared" si="82"/>
        <v>#REF!</v>
      </c>
      <c r="AL92" s="284" t="e">
        <f t="shared" si="83"/>
        <v>#REF!</v>
      </c>
      <c r="AM92" s="285" t="e">
        <f t="shared" si="84"/>
        <v>#REF!</v>
      </c>
      <c r="AN92" s="282">
        <f t="shared" si="85"/>
        <v>0</v>
      </c>
      <c r="AO92" s="282">
        <f t="shared" si="86"/>
        <v>0</v>
      </c>
      <c r="AP92" s="282">
        <f t="shared" si="87"/>
        <v>0</v>
      </c>
      <c r="AQ92" s="282" t="e">
        <f>VLOOKUP(LEFT($A92,7)&amp;"1-00",MCP!#REF!,30,FALSE)</f>
        <v>#REF!</v>
      </c>
      <c r="AR92" s="282" t="e">
        <f>VLOOKUP(LEFT($A92,7)&amp;"1-00",MCP!#REF!,31,FALSE)</f>
        <v>#REF!</v>
      </c>
      <c r="AS92" s="282" t="e">
        <f>VLOOKUP($A92&amp;"-"&amp;$B92,MCP!#REF!,12,FALSE)</f>
        <v>#REF!</v>
      </c>
      <c r="AT92" s="282" t="e">
        <f t="shared" si="88"/>
        <v>#REF!</v>
      </c>
      <c r="AU92" s="282" t="e">
        <f t="shared" si="89"/>
        <v>#REF!</v>
      </c>
      <c r="AV92" s="282" t="e">
        <f t="shared" si="90"/>
        <v>#REF!</v>
      </c>
      <c r="AW92" s="282" t="e">
        <f>IF($U92="","",VLOOKUP(LEFT($A92,7)&amp;"1-00",MCP!#REF!,24,FALSE))</f>
        <v>#REF!</v>
      </c>
      <c r="AX92" s="282"/>
      <c r="AY92" s="282"/>
      <c r="BF92" s="175" t="e">
        <f t="shared" si="91"/>
        <v>#REF!</v>
      </c>
    </row>
    <row r="93" spans="1:58" x14ac:dyDescent="0.2">
      <c r="A93" s="282" t="str">
        <f t="shared" si="61"/>
        <v>4.1052.2</v>
      </c>
      <c r="B93" s="282" t="str">
        <f t="shared" si="62"/>
        <v>03</v>
      </c>
      <c r="C93" s="282" t="str">
        <f t="shared" si="63"/>
        <v>4.1052.2.03</v>
      </c>
      <c r="D93" s="161">
        <v>6.1116000000000001</v>
      </c>
      <c r="E93" s="161">
        <v>2.9999999999999997E-4</v>
      </c>
      <c r="F93" s="282">
        <f t="shared" si="64"/>
        <v>1.15E-2</v>
      </c>
      <c r="G93" s="161" t="s">
        <v>861</v>
      </c>
      <c r="H93" s="282">
        <f t="shared" si="65"/>
        <v>2.0495491882894113E-4</v>
      </c>
      <c r="I93" s="282" t="str">
        <f>A93&amp;"-"&amp;TEXT(MCP!$D$1,"00")</f>
        <v>4.1052.2-03</v>
      </c>
      <c r="J93" s="282">
        <f>IFERROR(VLOOKUP(I93,MCP!#REF!,10,FALSE),0)</f>
        <v>0</v>
      </c>
      <c r="K93" s="282">
        <f>IFERROR(VLOOKUP(I93,MCP!#REF!,19,FALSE),0)</f>
        <v>0</v>
      </c>
      <c r="N93" s="282" t="e">
        <f>IF($A93="","",VLOOKUP(LEFT($A93,7)&amp;"1-00",MCP!#REF!,N$1,FALSE))</f>
        <v>#REF!</v>
      </c>
      <c r="O93" s="282" t="e">
        <f>IF($A93="","",VLOOKUP(LEFT($A93,7)&amp;"1-00",MCP!#REF!,O$1,FALSE))</f>
        <v>#REF!</v>
      </c>
      <c r="P93" s="282" t="e">
        <f>IF($A93="","",VLOOKUP(LEFT($A93,7)&amp;"1-00",MCP!#REF!,P$1,FALSE))</f>
        <v>#REF!</v>
      </c>
      <c r="Q93" s="282" t="str">
        <f t="shared" si="66"/>
        <v/>
      </c>
      <c r="R93" s="282" t="str">
        <f t="shared" si="67"/>
        <v/>
      </c>
      <c r="S93" s="282" t="str">
        <f t="shared" si="68"/>
        <v/>
      </c>
      <c r="T93" s="282" t="e">
        <f>VLOOKUP(LEFT($A93,7)&amp;"1-00",MCP!#REF!,T$1,FALSE)</f>
        <v>#REF!</v>
      </c>
      <c r="U93" s="282" t="e">
        <f t="shared" si="69"/>
        <v>#REF!</v>
      </c>
      <c r="V93" s="282" t="e">
        <f t="shared" si="70"/>
        <v>#REF!</v>
      </c>
      <c r="W93" s="284" t="e">
        <f t="shared" si="71"/>
        <v>#REF!</v>
      </c>
      <c r="X93" s="161">
        <v>1.921</v>
      </c>
      <c r="Y93" s="282">
        <v>0.1426</v>
      </c>
      <c r="Z93" s="284" t="e">
        <f t="shared" si="72"/>
        <v>#REF!</v>
      </c>
      <c r="AA93" s="282" t="e">
        <f t="shared" si="73"/>
        <v>#REF!</v>
      </c>
      <c r="AB93" s="282" t="e">
        <f t="shared" si="74"/>
        <v>#REF!</v>
      </c>
      <c r="AC93" s="282" t="e">
        <f t="shared" si="75"/>
        <v>#REF!</v>
      </c>
      <c r="AD93" s="282" t="e">
        <f t="shared" si="76"/>
        <v>#REF!</v>
      </c>
      <c r="AE93" s="282" t="e">
        <f t="shared" si="77"/>
        <v>#REF!</v>
      </c>
      <c r="AF93" s="282" t="e">
        <f t="shared" si="78"/>
        <v>#REF!</v>
      </c>
      <c r="AG93" s="282" t="e">
        <f t="shared" si="79"/>
        <v>#REF!</v>
      </c>
      <c r="AH93" s="282" t="e">
        <f t="shared" si="80"/>
        <v>#REF!</v>
      </c>
      <c r="AI93" s="282" t="e">
        <f t="shared" si="81"/>
        <v>#REF!</v>
      </c>
      <c r="AJ93" s="282" t="e">
        <f>IF(U93="","",VLOOKUP(LEFT(I93,6)&amp;".1-00",MCP!$AK$9:$AL$464,21,FALSE))</f>
        <v>#REF!</v>
      </c>
      <c r="AK93" s="283" t="e">
        <f t="shared" si="82"/>
        <v>#REF!</v>
      </c>
      <c r="AL93" s="284" t="e">
        <f t="shared" si="83"/>
        <v>#REF!</v>
      </c>
      <c r="AM93" s="285" t="e">
        <f t="shared" si="84"/>
        <v>#REF!</v>
      </c>
      <c r="AN93" s="282">
        <f t="shared" si="85"/>
        <v>0</v>
      </c>
      <c r="AO93" s="282">
        <f t="shared" si="86"/>
        <v>0</v>
      </c>
      <c r="AP93" s="282">
        <f t="shared" si="87"/>
        <v>0</v>
      </c>
      <c r="AQ93" s="282" t="e">
        <f>VLOOKUP(LEFT($A93,7)&amp;"1-00",MCP!#REF!,30,FALSE)</f>
        <v>#REF!</v>
      </c>
      <c r="AR93" s="282" t="e">
        <f>VLOOKUP(LEFT($A93,7)&amp;"1-00",MCP!#REF!,31,FALSE)</f>
        <v>#REF!</v>
      </c>
      <c r="AS93" s="282" t="e">
        <f>VLOOKUP($A93&amp;"-"&amp;$B93,MCP!#REF!,12,FALSE)</f>
        <v>#REF!</v>
      </c>
      <c r="AT93" s="282" t="e">
        <f t="shared" si="88"/>
        <v>#REF!</v>
      </c>
      <c r="AU93" s="282" t="e">
        <f t="shared" si="89"/>
        <v>#REF!</v>
      </c>
      <c r="AV93" s="282" t="e">
        <f t="shared" si="90"/>
        <v>#REF!</v>
      </c>
      <c r="AW93" s="282" t="e">
        <f>IF($U93="","",VLOOKUP(LEFT($A93,7)&amp;"1-00",MCP!#REF!,24,FALSE))</f>
        <v>#REF!</v>
      </c>
      <c r="AX93" s="282"/>
      <c r="AY93" s="282"/>
      <c r="BF93" s="175" t="e">
        <f t="shared" si="91"/>
        <v>#REF!</v>
      </c>
    </row>
    <row r="94" spans="1:58" x14ac:dyDescent="0.2">
      <c r="A94" s="282" t="str">
        <f t="shared" si="61"/>
        <v>5.1003.2</v>
      </c>
      <c r="B94" s="282" t="str">
        <f t="shared" si="62"/>
        <v>03</v>
      </c>
      <c r="C94" s="282" t="str">
        <f t="shared" si="63"/>
        <v>5.1003.2.03</v>
      </c>
      <c r="D94" s="161">
        <v>0.72089999999999999</v>
      </c>
      <c r="E94" s="161">
        <v>8.3999999999999995E-3</v>
      </c>
      <c r="F94" s="282">
        <f t="shared" si="64"/>
        <v>3.7999999999999999E-2</v>
      </c>
      <c r="G94" s="161" t="s">
        <v>863</v>
      </c>
      <c r="H94" s="282">
        <f t="shared" si="65"/>
        <v>6.7724234047824021E-4</v>
      </c>
      <c r="I94" s="282" t="str">
        <f>A94&amp;"-"&amp;TEXT(MCP!$D$1,"00")</f>
        <v>5.1003.2-03</v>
      </c>
      <c r="J94" s="282">
        <f>IFERROR(VLOOKUP(I94,MCP!#REF!,10,FALSE),0)</f>
        <v>0</v>
      </c>
      <c r="K94" s="282">
        <f>IFERROR(VLOOKUP(I94,MCP!#REF!,19,FALSE),0)</f>
        <v>0</v>
      </c>
      <c r="N94" s="282" t="e">
        <f>IF($A94="","",VLOOKUP(LEFT($A94,7)&amp;"1-00",MCP!#REF!,N$1,FALSE))</f>
        <v>#REF!</v>
      </c>
      <c r="O94" s="282" t="e">
        <f>IF($A94="","",VLOOKUP(LEFT($A94,7)&amp;"1-00",MCP!#REF!,O$1,FALSE))</f>
        <v>#REF!</v>
      </c>
      <c r="P94" s="282" t="e">
        <f>IF($A94="","",VLOOKUP(LEFT($A94,7)&amp;"1-00",MCP!#REF!,P$1,FALSE))</f>
        <v>#REF!</v>
      </c>
      <c r="Q94" s="282" t="str">
        <f t="shared" si="66"/>
        <v/>
      </c>
      <c r="R94" s="282" t="str">
        <f t="shared" si="67"/>
        <v/>
      </c>
      <c r="S94" s="282" t="str">
        <f t="shared" si="68"/>
        <v/>
      </c>
      <c r="T94" s="282" t="e">
        <f>VLOOKUP(LEFT($A94,7)&amp;"1-00",MCP!#REF!,T$1,FALSE)</f>
        <v>#REF!</v>
      </c>
      <c r="U94" s="282" t="e">
        <f t="shared" si="69"/>
        <v>#REF!</v>
      </c>
      <c r="V94" s="282" t="e">
        <f t="shared" si="70"/>
        <v>#REF!</v>
      </c>
      <c r="W94" s="284" t="e">
        <f t="shared" si="71"/>
        <v>#REF!</v>
      </c>
      <c r="X94" s="161">
        <v>-0.83750000000000002</v>
      </c>
      <c r="Y94" s="282">
        <v>1.3947000000000001</v>
      </c>
      <c r="Z94" s="284" t="e">
        <f t="shared" si="72"/>
        <v>#REF!</v>
      </c>
      <c r="AA94" s="282" t="e">
        <f t="shared" si="73"/>
        <v>#REF!</v>
      </c>
      <c r="AB94" s="282" t="e">
        <f t="shared" si="74"/>
        <v>#REF!</v>
      </c>
      <c r="AC94" s="282" t="e">
        <f t="shared" si="75"/>
        <v>#REF!</v>
      </c>
      <c r="AD94" s="282" t="e">
        <f t="shared" si="76"/>
        <v>#REF!</v>
      </c>
      <c r="AE94" s="282" t="e">
        <f t="shared" si="77"/>
        <v>#REF!</v>
      </c>
      <c r="AF94" s="282" t="e">
        <f t="shared" si="78"/>
        <v>#REF!</v>
      </c>
      <c r="AG94" s="282" t="e">
        <f t="shared" si="79"/>
        <v>#REF!</v>
      </c>
      <c r="AH94" s="282" t="e">
        <f t="shared" si="80"/>
        <v>#REF!</v>
      </c>
      <c r="AI94" s="282" t="e">
        <f t="shared" si="81"/>
        <v>#REF!</v>
      </c>
      <c r="AJ94" s="282" t="e">
        <f>IF(U94="","",VLOOKUP(LEFT(I94,6)&amp;".1-00",MCP!$AK$9:$AL$464,21,FALSE))</f>
        <v>#REF!</v>
      </c>
      <c r="AK94" s="283" t="e">
        <f t="shared" si="82"/>
        <v>#REF!</v>
      </c>
      <c r="AL94" s="284" t="e">
        <f t="shared" si="83"/>
        <v>#REF!</v>
      </c>
      <c r="AM94" s="285" t="e">
        <f t="shared" si="84"/>
        <v>#REF!</v>
      </c>
      <c r="AN94" s="282">
        <f t="shared" si="85"/>
        <v>0</v>
      </c>
      <c r="AO94" s="282">
        <f t="shared" si="86"/>
        <v>0</v>
      </c>
      <c r="AP94" s="282">
        <f t="shared" si="87"/>
        <v>0</v>
      </c>
      <c r="AQ94" s="282" t="e">
        <f>VLOOKUP(LEFT($A94,7)&amp;"1-00",MCP!#REF!,30,FALSE)</f>
        <v>#REF!</v>
      </c>
      <c r="AR94" s="282" t="e">
        <f>VLOOKUP(LEFT($A94,7)&amp;"1-00",MCP!#REF!,31,FALSE)</f>
        <v>#REF!</v>
      </c>
      <c r="AS94" s="282" t="e">
        <f>VLOOKUP($A94&amp;"-"&amp;$B94,MCP!#REF!,12,FALSE)</f>
        <v>#REF!</v>
      </c>
      <c r="AT94" s="282" t="e">
        <f t="shared" si="88"/>
        <v>#REF!</v>
      </c>
      <c r="AU94" s="282" t="e">
        <f t="shared" si="89"/>
        <v>#REF!</v>
      </c>
      <c r="AV94" s="282" t="e">
        <f t="shared" si="90"/>
        <v>#REF!</v>
      </c>
      <c r="AW94" s="282" t="e">
        <f>IF($U94="","",VLOOKUP(LEFT($A94,7)&amp;"1-00",MCP!#REF!,24,FALSE))</f>
        <v>#REF!</v>
      </c>
      <c r="AX94" s="282"/>
      <c r="AY94" s="282"/>
      <c r="BF94" s="175" t="e">
        <f t="shared" si="91"/>
        <v>#REF!</v>
      </c>
    </row>
    <row r="95" spans="1:58" x14ac:dyDescent="0.2">
      <c r="A95" s="282" t="str">
        <f t="shared" si="61"/>
        <v>5.1006.2</v>
      </c>
      <c r="B95" s="282" t="str">
        <f t="shared" si="62"/>
        <v>03</v>
      </c>
      <c r="C95" s="282" t="str">
        <f t="shared" si="63"/>
        <v>5.1006.2.03</v>
      </c>
      <c r="D95" s="161">
        <v>1.4376</v>
      </c>
      <c r="E95" s="161">
        <v>8.5000000000000006E-3</v>
      </c>
      <c r="F95" s="282">
        <f t="shared" si="64"/>
        <v>7.6799999999999993E-2</v>
      </c>
      <c r="G95" s="161" t="s">
        <v>865</v>
      </c>
      <c r="H95" s="282">
        <f t="shared" si="65"/>
        <v>1.3687424144402328E-3</v>
      </c>
      <c r="I95" s="282" t="str">
        <f>A95&amp;"-"&amp;TEXT(MCP!$D$1,"00")</f>
        <v>5.1006.2-03</v>
      </c>
      <c r="J95" s="282">
        <f>IFERROR(VLOOKUP(I95,MCP!#REF!,10,FALSE),0)</f>
        <v>0</v>
      </c>
      <c r="K95" s="282">
        <f>IFERROR(VLOOKUP(I95,MCP!#REF!,19,FALSE),0)</f>
        <v>0</v>
      </c>
      <c r="N95" s="282" t="e">
        <f>IF($A95="","",VLOOKUP(LEFT($A95,7)&amp;"1-00",MCP!#REF!,N$1,FALSE))</f>
        <v>#REF!</v>
      </c>
      <c r="O95" s="282" t="e">
        <f>IF($A95="","",VLOOKUP(LEFT($A95,7)&amp;"1-00",MCP!#REF!,O$1,FALSE))</f>
        <v>#REF!</v>
      </c>
      <c r="P95" s="282" t="e">
        <f>IF($A95="","",VLOOKUP(LEFT($A95,7)&amp;"1-00",MCP!#REF!,P$1,FALSE))</f>
        <v>#REF!</v>
      </c>
      <c r="Q95" s="282" t="str">
        <f t="shared" si="66"/>
        <v/>
      </c>
      <c r="R95" s="282" t="str">
        <f t="shared" si="67"/>
        <v/>
      </c>
      <c r="S95" s="282" t="str">
        <f t="shared" si="68"/>
        <v/>
      </c>
      <c r="T95" s="282" t="e">
        <f>VLOOKUP(LEFT($A95,7)&amp;"1-00",MCP!#REF!,T$1,FALSE)</f>
        <v>#REF!</v>
      </c>
      <c r="U95" s="282" t="e">
        <f t="shared" si="69"/>
        <v>#REF!</v>
      </c>
      <c r="V95" s="282" t="e">
        <f t="shared" si="70"/>
        <v>#REF!</v>
      </c>
      <c r="W95" s="284" t="e">
        <f t="shared" si="71"/>
        <v>#REF!</v>
      </c>
      <c r="X95" s="161">
        <v>-1.0277000000000001</v>
      </c>
      <c r="Y95" s="282">
        <v>1.4111</v>
      </c>
      <c r="Z95" s="284" t="e">
        <f t="shared" si="72"/>
        <v>#REF!</v>
      </c>
      <c r="AA95" s="282" t="e">
        <f t="shared" si="73"/>
        <v>#REF!</v>
      </c>
      <c r="AB95" s="282" t="e">
        <f t="shared" si="74"/>
        <v>#REF!</v>
      </c>
      <c r="AC95" s="282" t="e">
        <f t="shared" si="75"/>
        <v>#REF!</v>
      </c>
      <c r="AD95" s="282" t="e">
        <f t="shared" si="76"/>
        <v>#REF!</v>
      </c>
      <c r="AE95" s="282" t="e">
        <f t="shared" si="77"/>
        <v>#REF!</v>
      </c>
      <c r="AF95" s="282" t="e">
        <f t="shared" si="78"/>
        <v>#REF!</v>
      </c>
      <c r="AG95" s="282" t="e">
        <f t="shared" si="79"/>
        <v>#REF!</v>
      </c>
      <c r="AH95" s="282" t="e">
        <f t="shared" si="80"/>
        <v>#REF!</v>
      </c>
      <c r="AI95" s="282" t="e">
        <f t="shared" si="81"/>
        <v>#REF!</v>
      </c>
      <c r="AJ95" s="282" t="e">
        <f>IF(U95="","",VLOOKUP(LEFT(I95,6)&amp;".1-00",MCP!$AK$9:$AL$464,21,FALSE))</f>
        <v>#REF!</v>
      </c>
      <c r="AK95" s="283" t="e">
        <f t="shared" si="82"/>
        <v>#REF!</v>
      </c>
      <c r="AL95" s="284" t="e">
        <f t="shared" si="83"/>
        <v>#REF!</v>
      </c>
      <c r="AM95" s="285" t="e">
        <f t="shared" si="84"/>
        <v>#REF!</v>
      </c>
      <c r="AN95" s="282">
        <f t="shared" si="85"/>
        <v>0</v>
      </c>
      <c r="AO95" s="282">
        <f t="shared" si="86"/>
        <v>0</v>
      </c>
      <c r="AP95" s="282">
        <f t="shared" si="87"/>
        <v>0</v>
      </c>
      <c r="AQ95" s="282" t="e">
        <f>VLOOKUP(LEFT($A95,7)&amp;"1-00",MCP!#REF!,30,FALSE)</f>
        <v>#REF!</v>
      </c>
      <c r="AR95" s="282" t="e">
        <f>VLOOKUP(LEFT($A95,7)&amp;"1-00",MCP!#REF!,31,FALSE)</f>
        <v>#REF!</v>
      </c>
      <c r="AS95" s="282" t="e">
        <f>VLOOKUP($A95&amp;"-"&amp;$B95,MCP!#REF!,12,FALSE)</f>
        <v>#REF!</v>
      </c>
      <c r="AT95" s="282" t="e">
        <f t="shared" si="88"/>
        <v>#REF!</v>
      </c>
      <c r="AU95" s="282" t="e">
        <f t="shared" si="89"/>
        <v>#REF!</v>
      </c>
      <c r="AV95" s="282" t="e">
        <f t="shared" si="90"/>
        <v>#REF!</v>
      </c>
      <c r="AW95" s="282" t="e">
        <f>IF($U95="","",VLOOKUP(LEFT($A95,7)&amp;"1-00",MCP!#REF!,24,FALSE))</f>
        <v>#REF!</v>
      </c>
      <c r="AX95" s="282"/>
      <c r="AY95" s="282"/>
      <c r="BF95" s="175" t="e">
        <f t="shared" si="91"/>
        <v>#REF!</v>
      </c>
    </row>
    <row r="96" spans="1:58" x14ac:dyDescent="0.2">
      <c r="A96" s="282" t="str">
        <f t="shared" si="61"/>
        <v>5.1009.2</v>
      </c>
      <c r="B96" s="282" t="str">
        <f t="shared" si="62"/>
        <v>03</v>
      </c>
      <c r="C96" s="282" t="str">
        <f t="shared" si="63"/>
        <v>5.1009.2.03</v>
      </c>
      <c r="D96" s="161">
        <v>2.1642000000000001</v>
      </c>
      <c r="E96" s="161">
        <v>8.5000000000000006E-3</v>
      </c>
      <c r="F96" s="282">
        <f t="shared" si="64"/>
        <v>0.11559999999999999</v>
      </c>
      <c r="G96" s="161" t="s">
        <v>867</v>
      </c>
      <c r="H96" s="282">
        <f t="shared" si="65"/>
        <v>2.0602424884022257E-3</v>
      </c>
      <c r="I96" s="282" t="str">
        <f>A96&amp;"-"&amp;TEXT(MCP!$D$1,"00")</f>
        <v>5.1009.2-03</v>
      </c>
      <c r="J96" s="282">
        <f>IFERROR(VLOOKUP(I96,MCP!#REF!,10,FALSE),0)</f>
        <v>0</v>
      </c>
      <c r="K96" s="282">
        <f>IFERROR(VLOOKUP(I96,MCP!#REF!,19,FALSE),0)</f>
        <v>0</v>
      </c>
      <c r="N96" s="282" t="e">
        <f>IF($A96="","",VLOOKUP(LEFT($A96,7)&amp;"1-00",MCP!#REF!,N$1,FALSE))</f>
        <v>#REF!</v>
      </c>
      <c r="O96" s="282" t="e">
        <f>IF($A96="","",VLOOKUP(LEFT($A96,7)&amp;"1-00",MCP!#REF!,O$1,FALSE))</f>
        <v>#REF!</v>
      </c>
      <c r="P96" s="282" t="e">
        <f>IF($A96="","",VLOOKUP(LEFT($A96,7)&amp;"1-00",MCP!#REF!,P$1,FALSE))</f>
        <v>#REF!</v>
      </c>
      <c r="Q96" s="282" t="str">
        <f t="shared" si="66"/>
        <v/>
      </c>
      <c r="R96" s="282" t="str">
        <f t="shared" si="67"/>
        <v/>
      </c>
      <c r="S96" s="282" t="str">
        <f t="shared" si="68"/>
        <v/>
      </c>
      <c r="T96" s="282" t="e">
        <f>VLOOKUP(LEFT($A96,7)&amp;"1-00",MCP!#REF!,T$1,FALSE)</f>
        <v>#REF!</v>
      </c>
      <c r="U96" s="282" t="e">
        <f t="shared" si="69"/>
        <v>#REF!</v>
      </c>
      <c r="V96" s="282" t="e">
        <f t="shared" si="70"/>
        <v>#REF!</v>
      </c>
      <c r="W96" s="284" t="e">
        <f t="shared" si="71"/>
        <v>#REF!</v>
      </c>
      <c r="X96" s="161">
        <v>-1.2226999999999999</v>
      </c>
      <c r="Y96" s="282">
        <v>1.4080999999999999</v>
      </c>
      <c r="Z96" s="284" t="e">
        <f t="shared" si="72"/>
        <v>#REF!</v>
      </c>
      <c r="AA96" s="282" t="e">
        <f t="shared" si="73"/>
        <v>#REF!</v>
      </c>
      <c r="AB96" s="282" t="e">
        <f t="shared" si="74"/>
        <v>#REF!</v>
      </c>
      <c r="AC96" s="282" t="e">
        <f t="shared" si="75"/>
        <v>#REF!</v>
      </c>
      <c r="AD96" s="282" t="e">
        <f t="shared" si="76"/>
        <v>#REF!</v>
      </c>
      <c r="AE96" s="282" t="e">
        <f t="shared" si="77"/>
        <v>#REF!</v>
      </c>
      <c r="AF96" s="282" t="e">
        <f t="shared" si="78"/>
        <v>#REF!</v>
      </c>
      <c r="AG96" s="282" t="e">
        <f t="shared" si="79"/>
        <v>#REF!</v>
      </c>
      <c r="AH96" s="282" t="e">
        <f t="shared" si="80"/>
        <v>#REF!</v>
      </c>
      <c r="AI96" s="282" t="e">
        <f t="shared" si="81"/>
        <v>#REF!</v>
      </c>
      <c r="AJ96" s="282" t="e">
        <f>IF(U96="","",VLOOKUP(LEFT(I96,6)&amp;".1-00",MCP!$AK$9:$AL$464,21,FALSE))</f>
        <v>#REF!</v>
      </c>
      <c r="AK96" s="283" t="e">
        <f t="shared" si="82"/>
        <v>#REF!</v>
      </c>
      <c r="AL96" s="284" t="e">
        <f t="shared" si="83"/>
        <v>#REF!</v>
      </c>
      <c r="AM96" s="285" t="e">
        <f t="shared" si="84"/>
        <v>#REF!</v>
      </c>
      <c r="AN96" s="282">
        <f t="shared" si="85"/>
        <v>0</v>
      </c>
      <c r="AO96" s="282">
        <f t="shared" si="86"/>
        <v>0</v>
      </c>
      <c r="AP96" s="282">
        <f t="shared" si="87"/>
        <v>0</v>
      </c>
      <c r="AQ96" s="282" t="e">
        <f>VLOOKUP(LEFT($A96,7)&amp;"1-00",MCP!#REF!,30,FALSE)</f>
        <v>#REF!</v>
      </c>
      <c r="AR96" s="282" t="e">
        <f>VLOOKUP(LEFT($A96,7)&amp;"1-00",MCP!#REF!,31,FALSE)</f>
        <v>#REF!</v>
      </c>
      <c r="AS96" s="282" t="e">
        <f>VLOOKUP($A96&amp;"-"&amp;$B96,MCP!#REF!,12,FALSE)</f>
        <v>#REF!</v>
      </c>
      <c r="AT96" s="282" t="e">
        <f t="shared" si="88"/>
        <v>#REF!</v>
      </c>
      <c r="AU96" s="282" t="e">
        <f t="shared" si="89"/>
        <v>#REF!</v>
      </c>
      <c r="AV96" s="282" t="e">
        <f t="shared" si="90"/>
        <v>#REF!</v>
      </c>
      <c r="AW96" s="282" t="e">
        <f>IF($U96="","",VLOOKUP(LEFT($A96,7)&amp;"1-00",MCP!#REF!,24,FALSE))</f>
        <v>#REF!</v>
      </c>
      <c r="AX96" s="282"/>
      <c r="AY96" s="282"/>
      <c r="BF96" s="175" t="e">
        <f t="shared" si="91"/>
        <v>#REF!</v>
      </c>
    </row>
    <row r="97" spans="1:58" x14ac:dyDescent="0.2">
      <c r="A97" s="282" t="str">
        <f t="shared" si="61"/>
        <v>5.1013.2</v>
      </c>
      <c r="B97" s="282" t="str">
        <f t="shared" si="62"/>
        <v>03</v>
      </c>
      <c r="C97" s="282" t="str">
        <f t="shared" si="63"/>
        <v>5.1013.2.03</v>
      </c>
      <c r="D97" s="161">
        <v>2.9020000000000001</v>
      </c>
      <c r="E97" s="161">
        <v>8.6E-3</v>
      </c>
      <c r="F97" s="282">
        <f t="shared" si="64"/>
        <v>0.15679999999999999</v>
      </c>
      <c r="G97" s="161" t="s">
        <v>869</v>
      </c>
      <c r="H97" s="282">
        <f t="shared" si="65"/>
        <v>2.7945157628154753E-3</v>
      </c>
      <c r="I97" s="282" t="str">
        <f>A97&amp;"-"&amp;TEXT(MCP!$D$1,"00")</f>
        <v>5.1013.2-03</v>
      </c>
      <c r="J97" s="282">
        <f>IFERROR(VLOOKUP(I97,MCP!#REF!,10,FALSE),0)</f>
        <v>0</v>
      </c>
      <c r="K97" s="282">
        <f>IFERROR(VLOOKUP(I97,MCP!#REF!,19,FALSE),0)</f>
        <v>0</v>
      </c>
      <c r="N97" s="282" t="e">
        <f>IF($A97="","",VLOOKUP(LEFT($A97,7)&amp;"1-00",MCP!#REF!,N$1,FALSE))</f>
        <v>#REF!</v>
      </c>
      <c r="O97" s="282" t="e">
        <f>IF($A97="","",VLOOKUP(LEFT($A97,7)&amp;"1-00",MCP!#REF!,O$1,FALSE))</f>
        <v>#REF!</v>
      </c>
      <c r="P97" s="282" t="e">
        <f>IF($A97="","",VLOOKUP(LEFT($A97,7)&amp;"1-00",MCP!#REF!,P$1,FALSE))</f>
        <v>#REF!</v>
      </c>
      <c r="Q97" s="282" t="str">
        <f t="shared" si="66"/>
        <v/>
      </c>
      <c r="R97" s="282" t="str">
        <f t="shared" si="67"/>
        <v/>
      </c>
      <c r="S97" s="282" t="str">
        <f t="shared" si="68"/>
        <v/>
      </c>
      <c r="T97" s="282" t="e">
        <f>VLOOKUP(LEFT($A97,7)&amp;"1-00",MCP!#REF!,T$1,FALSE)</f>
        <v>#REF!</v>
      </c>
      <c r="U97" s="282" t="e">
        <f t="shared" si="69"/>
        <v>#REF!</v>
      </c>
      <c r="V97" s="282" t="e">
        <f t="shared" si="70"/>
        <v>#REF!</v>
      </c>
      <c r="W97" s="284" t="e">
        <f t="shared" si="71"/>
        <v>#REF!</v>
      </c>
      <c r="X97" s="161">
        <v>-1.3986000000000001</v>
      </c>
      <c r="Y97" s="280">
        <v>1.4259999999999999</v>
      </c>
      <c r="Z97" s="284" t="e">
        <f t="shared" si="72"/>
        <v>#REF!</v>
      </c>
      <c r="AA97" s="282" t="e">
        <f t="shared" si="73"/>
        <v>#REF!</v>
      </c>
      <c r="AB97" s="282" t="e">
        <f t="shared" si="74"/>
        <v>#REF!</v>
      </c>
      <c r="AC97" s="282" t="e">
        <f t="shared" si="75"/>
        <v>#REF!</v>
      </c>
      <c r="AD97" s="282" t="e">
        <f t="shared" si="76"/>
        <v>#REF!</v>
      </c>
      <c r="AE97" s="282" t="e">
        <f t="shared" si="77"/>
        <v>#REF!</v>
      </c>
      <c r="AF97" s="282" t="e">
        <f t="shared" si="78"/>
        <v>#REF!</v>
      </c>
      <c r="AG97" s="282" t="e">
        <f t="shared" si="79"/>
        <v>#REF!</v>
      </c>
      <c r="AH97" s="282" t="e">
        <f t="shared" si="80"/>
        <v>#REF!</v>
      </c>
      <c r="AI97" s="282" t="e">
        <f t="shared" si="81"/>
        <v>#REF!</v>
      </c>
      <c r="AJ97" s="282" t="e">
        <f>IF(U97="","",VLOOKUP(LEFT(I97,6)&amp;".1-00",MCP!$AK$9:$AL$464,21,FALSE))</f>
        <v>#REF!</v>
      </c>
      <c r="AK97" s="283" t="e">
        <f t="shared" si="82"/>
        <v>#REF!</v>
      </c>
      <c r="AL97" s="284" t="e">
        <f t="shared" si="83"/>
        <v>#REF!</v>
      </c>
      <c r="AM97" s="285" t="e">
        <f t="shared" si="84"/>
        <v>#REF!</v>
      </c>
      <c r="AN97" s="282">
        <f t="shared" si="85"/>
        <v>0</v>
      </c>
      <c r="AO97" s="282">
        <f t="shared" si="86"/>
        <v>0</v>
      </c>
      <c r="AP97" s="282">
        <f t="shared" si="87"/>
        <v>0</v>
      </c>
      <c r="AQ97" s="282" t="e">
        <f>VLOOKUP(LEFT($A97,7)&amp;"1-00",MCP!#REF!,30,FALSE)</f>
        <v>#REF!</v>
      </c>
      <c r="AR97" s="282" t="e">
        <f>VLOOKUP(LEFT($A97,7)&amp;"1-00",MCP!#REF!,31,FALSE)</f>
        <v>#REF!</v>
      </c>
      <c r="AS97" s="282" t="e">
        <f>VLOOKUP($A97&amp;"-"&amp;$B97,MCP!#REF!,12,FALSE)</f>
        <v>#REF!</v>
      </c>
      <c r="AT97" s="282" t="e">
        <f t="shared" si="88"/>
        <v>#REF!</v>
      </c>
      <c r="AU97" s="282" t="e">
        <f t="shared" si="89"/>
        <v>#REF!</v>
      </c>
      <c r="AV97" s="282" t="e">
        <f t="shared" si="90"/>
        <v>#REF!</v>
      </c>
      <c r="AW97" s="282" t="e">
        <f>IF($U97="","",VLOOKUP(LEFT($A97,7)&amp;"1-00",MCP!#REF!,24,FALSE))</f>
        <v>#REF!</v>
      </c>
      <c r="AX97" s="282"/>
      <c r="AY97" s="282"/>
      <c r="BF97" s="175" t="e">
        <f t="shared" si="91"/>
        <v>#REF!</v>
      </c>
    </row>
    <row r="98" spans="1:58" x14ac:dyDescent="0.2">
      <c r="A98" s="282" t="str">
        <f t="shared" si="61"/>
        <v>5.1019.2</v>
      </c>
      <c r="B98" s="282" t="str">
        <f t="shared" si="62"/>
        <v>03</v>
      </c>
      <c r="C98" s="282" t="str">
        <f t="shared" si="63"/>
        <v>5.1019.2.03</v>
      </c>
      <c r="D98" s="161">
        <v>3.7210000000000001</v>
      </c>
      <c r="E98" s="161">
        <v>8.6999999999999994E-3</v>
      </c>
      <c r="F98" s="282">
        <f t="shared" si="64"/>
        <v>0.2034</v>
      </c>
      <c r="G98" s="161" t="s">
        <v>871</v>
      </c>
      <c r="H98" s="282">
        <f t="shared" si="65"/>
        <v>3.6250287382440542E-3</v>
      </c>
      <c r="I98" s="282" t="str">
        <f>A98&amp;"-"&amp;TEXT(MCP!$D$1,"00")</f>
        <v>5.1019.2-03</v>
      </c>
      <c r="J98" s="282">
        <f>IFERROR(VLOOKUP(I98,MCP!#REF!,10,FALSE),0)</f>
        <v>0</v>
      </c>
      <c r="K98" s="282">
        <f>IFERROR(VLOOKUP(I98,MCP!#REF!,19,FALSE),0)</f>
        <v>0</v>
      </c>
      <c r="N98" s="282" t="e">
        <f>IF($A98="","",VLOOKUP(LEFT($A98,7)&amp;"1-00",MCP!#REF!,N$1,FALSE))</f>
        <v>#REF!</v>
      </c>
      <c r="O98" s="282" t="e">
        <f>IF($A98="","",VLOOKUP(LEFT($A98,7)&amp;"1-00",MCP!#REF!,O$1,FALSE))</f>
        <v>#REF!</v>
      </c>
      <c r="P98" s="282" t="e">
        <f>IF($A98="","",VLOOKUP(LEFT($A98,7)&amp;"1-00",MCP!#REF!,P$1,FALSE))</f>
        <v>#REF!</v>
      </c>
      <c r="Q98" s="282" t="str">
        <f t="shared" si="66"/>
        <v/>
      </c>
      <c r="R98" s="282" t="str">
        <f t="shared" si="67"/>
        <v/>
      </c>
      <c r="S98" s="282" t="str">
        <f t="shared" si="68"/>
        <v/>
      </c>
      <c r="T98" s="282" t="e">
        <f>VLOOKUP(LEFT($A98,7)&amp;"1-00",MCP!#REF!,T$1,FALSE)</f>
        <v>#REF!</v>
      </c>
      <c r="U98" s="282" t="e">
        <f t="shared" si="69"/>
        <v>#REF!</v>
      </c>
      <c r="V98" s="282" t="e">
        <f t="shared" si="70"/>
        <v>#REF!</v>
      </c>
      <c r="W98" s="284" t="e">
        <f t="shared" si="71"/>
        <v>#REF!</v>
      </c>
      <c r="X98" s="161">
        <v>-1.3858999999999999</v>
      </c>
      <c r="Y98" s="280">
        <v>1.4598</v>
      </c>
      <c r="Z98" s="284" t="e">
        <f t="shared" si="72"/>
        <v>#REF!</v>
      </c>
      <c r="AA98" s="282" t="e">
        <f t="shared" si="73"/>
        <v>#REF!</v>
      </c>
      <c r="AB98" s="282" t="e">
        <f t="shared" si="74"/>
        <v>#REF!</v>
      </c>
      <c r="AC98" s="282" t="e">
        <f t="shared" si="75"/>
        <v>#REF!</v>
      </c>
      <c r="AD98" s="282" t="e">
        <f t="shared" si="76"/>
        <v>#REF!</v>
      </c>
      <c r="AE98" s="282" t="e">
        <f t="shared" si="77"/>
        <v>#REF!</v>
      </c>
      <c r="AF98" s="282" t="e">
        <f t="shared" si="78"/>
        <v>#REF!</v>
      </c>
      <c r="AG98" s="282" t="e">
        <f t="shared" si="79"/>
        <v>#REF!</v>
      </c>
      <c r="AH98" s="282" t="e">
        <f t="shared" si="80"/>
        <v>#REF!</v>
      </c>
      <c r="AI98" s="282" t="e">
        <f t="shared" si="81"/>
        <v>#REF!</v>
      </c>
      <c r="AJ98" s="282" t="e">
        <f>IF(U98="","",VLOOKUP(LEFT(I98,6)&amp;".1-00",MCP!$AK$9:$AL$464,21,FALSE))</f>
        <v>#REF!</v>
      </c>
      <c r="AK98" s="283" t="e">
        <f t="shared" si="82"/>
        <v>#REF!</v>
      </c>
      <c r="AL98" s="284" t="e">
        <f t="shared" si="83"/>
        <v>#REF!</v>
      </c>
      <c r="AM98" s="285" t="e">
        <f t="shared" si="84"/>
        <v>#REF!</v>
      </c>
      <c r="AN98" s="282">
        <f t="shared" si="85"/>
        <v>0</v>
      </c>
      <c r="AO98" s="282">
        <f t="shared" si="86"/>
        <v>0</v>
      </c>
      <c r="AP98" s="282">
        <f t="shared" si="87"/>
        <v>0</v>
      </c>
      <c r="AQ98" s="282" t="e">
        <f>VLOOKUP(LEFT($A98,7)&amp;"1-00",MCP!#REF!,30,FALSE)</f>
        <v>#REF!</v>
      </c>
      <c r="AR98" s="282" t="e">
        <f>VLOOKUP(LEFT($A98,7)&amp;"1-00",MCP!#REF!,31,FALSE)</f>
        <v>#REF!</v>
      </c>
      <c r="AS98" s="282" t="e">
        <f>VLOOKUP($A98&amp;"-"&amp;$B98,MCP!#REF!,12,FALSE)</f>
        <v>#REF!</v>
      </c>
      <c r="AT98" s="282" t="e">
        <f t="shared" si="88"/>
        <v>#REF!</v>
      </c>
      <c r="AU98" s="282" t="e">
        <f t="shared" si="89"/>
        <v>#REF!</v>
      </c>
      <c r="AV98" s="282" t="e">
        <f t="shared" si="90"/>
        <v>#REF!</v>
      </c>
      <c r="AW98" s="282" t="e">
        <f>IF($U98="","",VLOOKUP(LEFT($A98,7)&amp;"1-00",MCP!#REF!,24,FALSE))</f>
        <v>#REF!</v>
      </c>
      <c r="AX98" s="282"/>
      <c r="AY98" s="282"/>
      <c r="BF98" s="175" t="e">
        <f t="shared" si="91"/>
        <v>#REF!</v>
      </c>
    </row>
    <row r="99" spans="1:58" x14ac:dyDescent="0.2">
      <c r="A99" s="282" t="str">
        <f t="shared" ref="A99:A111" si="92">LEFT(C99,8)</f>
        <v>5.1025.2</v>
      </c>
      <c r="B99" s="282" t="str">
        <f t="shared" ref="B99:B111" si="93">RIGHT(C99,2)</f>
        <v>03</v>
      </c>
      <c r="C99" s="282" t="str">
        <f t="shared" ref="C99:C111" si="94">LEFT(G99,11)</f>
        <v>5.1025.2.03</v>
      </c>
      <c r="D99" s="161">
        <v>4.5031999999999996</v>
      </c>
      <c r="E99" s="161">
        <v>8.5000000000000006E-3</v>
      </c>
      <c r="F99" s="282">
        <f t="shared" ref="F99:F111" si="95">ROUND(PI()*2*D99*E99,4)</f>
        <v>0.24049999999999999</v>
      </c>
      <c r="G99" s="161" t="s">
        <v>873</v>
      </c>
      <c r="H99" s="282">
        <f t="shared" ref="H99:H111" si="96">F99/SUM($F$3:$F$116)</f>
        <v>4.2862311285530733E-3</v>
      </c>
      <c r="I99" s="282" t="str">
        <f>A99&amp;"-"&amp;TEXT(MCP!$D$1,"00")</f>
        <v>5.1025.2-03</v>
      </c>
      <c r="J99" s="282">
        <f>IFERROR(VLOOKUP(I99,MCP!#REF!,10,FALSE),0)</f>
        <v>0</v>
      </c>
      <c r="K99" s="282">
        <f>IFERROR(VLOOKUP(I99,MCP!#REF!,19,FALSE),0)</f>
        <v>0</v>
      </c>
      <c r="N99" s="282" t="e">
        <f>IF($A99="","",VLOOKUP(LEFT($A99,7)&amp;"1-00",MCP!#REF!,N$1,FALSE))</f>
        <v>#REF!</v>
      </c>
      <c r="O99" s="282" t="e">
        <f>IF($A99="","",VLOOKUP(LEFT($A99,7)&amp;"1-00",MCP!#REF!,O$1,FALSE))</f>
        <v>#REF!</v>
      </c>
      <c r="P99" s="282" t="e">
        <f>IF($A99="","",VLOOKUP(LEFT($A99,7)&amp;"1-00",MCP!#REF!,P$1,FALSE))</f>
        <v>#REF!</v>
      </c>
      <c r="Q99" s="282" t="str">
        <f t="shared" ref="Q99:Q116" si="97">IF(RIGHT($A99,1)="1",(LOG10($AR$1*$J99+$AT$1)*$AV$1*$E99*$AP$1+$AX$1)*N99,"")</f>
        <v/>
      </c>
      <c r="R99" s="282" t="str">
        <f t="shared" ref="R99:R116" si="98">IF(RIGHT($A99,1)="1",(LOG10($AR$1*$J99+$AT$1)*$AV$1*$E99*$AP$1+$AX$1)*O99,"")</f>
        <v/>
      </c>
      <c r="S99" s="282" t="str">
        <f t="shared" ref="S99:S116" si="99">IF(RIGHT($A99,1)="1",(LOG10($AR$1*$J99+$AT$1)*$AV$1*$E99*$AP$1+$AX$1)*P99,"")</f>
        <v/>
      </c>
      <c r="T99" s="282" t="e">
        <f>VLOOKUP(LEFT($A99,7)&amp;"1-00",MCP!#REF!,T$1,FALSE)</f>
        <v>#REF!</v>
      </c>
      <c r="U99" s="282" t="e">
        <f t="shared" ref="U99:U116" si="100">IF(RIGHT($A99,1)="2",(LOG10($AR$1*$J99+$AT$1)*$AV$1*$E99*$AP$1+$AX$1)*N99,"")</f>
        <v>#REF!</v>
      </c>
      <c r="V99" s="282" t="e">
        <f t="shared" ref="V99:V116" si="101">IF(RIGHT($A99,1)="2",(LOG10($AR$1*$J99+$AT$1)*$AV$1*$E99*$AP$1+$AX$1)*O99,"")</f>
        <v>#REF!</v>
      </c>
      <c r="W99" s="284" t="e">
        <f t="shared" ref="W99:W116" si="102">IF(RIGHT(A99,1)="2",(T99*$AZ$1*2*K99*SIN((Y99)/(K99*4))),"")</f>
        <v>#REF!</v>
      </c>
      <c r="X99" s="161">
        <v>-1.1307</v>
      </c>
      <c r="Y99" s="282">
        <v>1.462</v>
      </c>
      <c r="Z99" s="284" t="e">
        <f t="shared" ref="Z99:Z116" si="103">IF(U99="","",SQRT((J99-D99)^2+(X99-AS99)^2))</f>
        <v>#REF!</v>
      </c>
      <c r="AA99" s="282" t="e">
        <f t="shared" ref="AA99:AA116" si="104">IF(U99="","",$Z99*N99+AQ99)</f>
        <v>#REF!</v>
      </c>
      <c r="AB99" s="282" t="e">
        <f t="shared" ref="AB99:AB116" si="105">IF(V99="","",$Z99*O99+AR99)</f>
        <v>#REF!</v>
      </c>
      <c r="AC99" s="282" t="e">
        <f t="shared" ref="AC99:AC116" si="106">IF(W99="","",$Z99*P99+AS99)</f>
        <v>#REF!</v>
      </c>
      <c r="AD99" s="282" t="e">
        <f t="shared" ref="AD99:AD116" si="107">IF(V99="","",AA99-AT99)</f>
        <v>#REF!</v>
      </c>
      <c r="AE99" s="282" t="e">
        <f t="shared" ref="AE99:AE116" si="108">IF(V99="","",AB99-AU99)</f>
        <v>#REF!</v>
      </c>
      <c r="AF99" s="282" t="e">
        <f t="shared" ref="AF99:AF116" si="109">IF(V99="","",AC99-AV99)</f>
        <v>#REF!</v>
      </c>
      <c r="AG99" s="282" t="e">
        <f t="shared" ref="AG99:AG116" si="110">IF(V99="","",AD99/SQRT($AD99^2+$AE99^2+$AF99^2))</f>
        <v>#REF!</v>
      </c>
      <c r="AH99" s="282" t="e">
        <f t="shared" ref="AH99:AH116" si="111">IF(W99="","",AE99/SQRT($AD99^2+$AE99^2+$AF99^2))</f>
        <v>#REF!</v>
      </c>
      <c r="AI99" s="282" t="e">
        <f t="shared" ref="AI99:AI116" si="112">IF(U99="","",AF99/SQRT($AD99^2+$AE99^2+$AF99^2))</f>
        <v>#REF!</v>
      </c>
      <c r="AJ99" s="282" t="e">
        <f>IF(U99="","",VLOOKUP(LEFT(I99,6)&amp;".1-00",MCP!$AK$9:$AL$464,21,FALSE))</f>
        <v>#REF!</v>
      </c>
      <c r="AK99" s="283" t="e">
        <f t="shared" ref="AK99:AK116" si="113">IF(RIGHT($A99,1)="2",(LOG10($AR$1*$J99+$AT$1)*$AV$1*$W99*$AP$1+$AX$1)*AG99,"")</f>
        <v>#REF!</v>
      </c>
      <c r="AL99" s="284" t="e">
        <f t="shared" ref="AL99:AL116" si="114">IF(RIGHT($A99,1)="2",(LOG10($AR$1*$J99+$AT$1)*$AV$1*$W99*$AP$1+$AX$1)*AH99,"")</f>
        <v>#REF!</v>
      </c>
      <c r="AM99" s="285" t="e">
        <f t="shared" ref="AM99:AM116" si="115">IF(RIGHT($A99,1)="2",(LOG10($AR$1*$J99+$AT$1)*$AV$1*$W99*$AP$1+$AX$1)*AI99,"")</f>
        <v>#REF!</v>
      </c>
      <c r="AN99" s="282">
        <f t="shared" ref="AN99:AN116" si="116">IFERROR((AR99*N(AM99)+AR99*N(S99)),0)</f>
        <v>0</v>
      </c>
      <c r="AO99" s="282">
        <f t="shared" ref="AO99:AO116" si="117">IFERROR(-(AQ99*N(AM99)+AQ99*N(S99)),0)</f>
        <v>0</v>
      </c>
      <c r="AP99" s="282">
        <f t="shared" ref="AP99:AP116" si="118">IFERROR((AQ99*N(AL99)+AQ99*N(R99))-(AR99*N(AK99)+AR99*N(Q99)),0)</f>
        <v>0</v>
      </c>
      <c r="AQ99" s="282" t="e">
        <f>VLOOKUP(LEFT($A99,7)&amp;"1-00",MCP!#REF!,30,FALSE)</f>
        <v>#REF!</v>
      </c>
      <c r="AR99" s="282" t="e">
        <f>VLOOKUP(LEFT($A99,7)&amp;"1-00",MCP!#REF!,31,FALSE)</f>
        <v>#REF!</v>
      </c>
      <c r="AS99" s="282" t="e">
        <f>VLOOKUP($A99&amp;"-"&amp;$B99,MCP!#REF!,12,FALSE)</f>
        <v>#REF!</v>
      </c>
      <c r="AT99" s="282" t="e">
        <f t="shared" ref="AT99:AT116" si="119">IF($U99="","",((D99*COS(RADIANS(AW99)))-(0*SIN(RADIANS(AW99)))))</f>
        <v>#REF!</v>
      </c>
      <c r="AU99" s="282" t="e">
        <f t="shared" ref="AU99:AU116" si="120">IF($U99="","",((0*COS(RADIANS(AW99)))+(D99*SIN(RADIANS(AW99)))))</f>
        <v>#REF!</v>
      </c>
      <c r="AV99" s="282" t="e">
        <f t="shared" ref="AV99:AV116" si="121">IF($U99="","",X99)</f>
        <v>#REF!</v>
      </c>
      <c r="AW99" s="282" t="e">
        <f>IF($U99="","",VLOOKUP(LEFT($A99,7)&amp;"1-00",MCP!#REF!,24,FALSE))</f>
        <v>#REF!</v>
      </c>
      <c r="AX99" s="282"/>
      <c r="AY99" s="282"/>
      <c r="BF99" s="175" t="e">
        <f t="shared" si="91"/>
        <v>#REF!</v>
      </c>
    </row>
    <row r="100" spans="1:58" x14ac:dyDescent="0.2">
      <c r="A100" s="282" t="str">
        <f t="shared" si="92"/>
        <v>5.1031.2</v>
      </c>
      <c r="B100" s="282" t="str">
        <f t="shared" si="93"/>
        <v>03</v>
      </c>
      <c r="C100" s="282" t="str">
        <f t="shared" si="94"/>
        <v>5.1031.2.03</v>
      </c>
      <c r="D100" s="161">
        <v>5.181</v>
      </c>
      <c r="E100" s="161">
        <v>7.6E-3</v>
      </c>
      <c r="F100" s="282">
        <f t="shared" si="95"/>
        <v>0.24740000000000001</v>
      </c>
      <c r="G100" s="161" t="s">
        <v>875</v>
      </c>
      <c r="H100" s="282">
        <f t="shared" si="96"/>
        <v>4.4092040798504378E-3</v>
      </c>
      <c r="I100" s="282" t="str">
        <f>A100&amp;"-"&amp;TEXT(MCP!$D$1,"00")</f>
        <v>5.1031.2-03</v>
      </c>
      <c r="J100" s="282">
        <f>IFERROR(VLOOKUP(I100,MCP!#REF!,10,FALSE),0)</f>
        <v>0</v>
      </c>
      <c r="K100" s="282">
        <f>IFERROR(VLOOKUP(I100,MCP!#REF!,19,FALSE),0)</f>
        <v>0</v>
      </c>
      <c r="N100" s="282" t="e">
        <f>IF($A100="","",VLOOKUP(LEFT($A100,7)&amp;"1-00",MCP!#REF!,N$1,FALSE))</f>
        <v>#REF!</v>
      </c>
      <c r="O100" s="282" t="e">
        <f>IF($A100="","",VLOOKUP(LEFT($A100,7)&amp;"1-00",MCP!#REF!,O$1,FALSE))</f>
        <v>#REF!</v>
      </c>
      <c r="P100" s="282" t="e">
        <f>IF($A100="","",VLOOKUP(LEFT($A100,7)&amp;"1-00",MCP!#REF!,P$1,FALSE))</f>
        <v>#REF!</v>
      </c>
      <c r="Q100" s="282" t="str">
        <f t="shared" si="97"/>
        <v/>
      </c>
      <c r="R100" s="282" t="str">
        <f t="shared" si="98"/>
        <v/>
      </c>
      <c r="S100" s="282" t="str">
        <f t="shared" si="99"/>
        <v/>
      </c>
      <c r="T100" s="282" t="e">
        <f>VLOOKUP(LEFT($A100,7)&amp;"1-00",MCP!#REF!,T$1,FALSE)</f>
        <v>#REF!</v>
      </c>
      <c r="U100" s="282" t="e">
        <f t="shared" si="100"/>
        <v>#REF!</v>
      </c>
      <c r="V100" s="282" t="e">
        <f t="shared" si="101"/>
        <v>#REF!</v>
      </c>
      <c r="W100" s="284" t="e">
        <f t="shared" si="102"/>
        <v>#REF!</v>
      </c>
      <c r="X100" s="161">
        <v>-0.64790000000000003</v>
      </c>
      <c r="Y100" s="282">
        <v>1.4097</v>
      </c>
      <c r="Z100" s="284" t="e">
        <f t="shared" si="103"/>
        <v>#REF!</v>
      </c>
      <c r="AA100" s="282" t="e">
        <f t="shared" si="104"/>
        <v>#REF!</v>
      </c>
      <c r="AB100" s="282" t="e">
        <f t="shared" si="105"/>
        <v>#REF!</v>
      </c>
      <c r="AC100" s="282" t="e">
        <f t="shared" si="106"/>
        <v>#REF!</v>
      </c>
      <c r="AD100" s="282" t="e">
        <f t="shared" si="107"/>
        <v>#REF!</v>
      </c>
      <c r="AE100" s="282" t="e">
        <f t="shared" si="108"/>
        <v>#REF!</v>
      </c>
      <c r="AF100" s="282" t="e">
        <f t="shared" si="109"/>
        <v>#REF!</v>
      </c>
      <c r="AG100" s="282" t="e">
        <f t="shared" si="110"/>
        <v>#REF!</v>
      </c>
      <c r="AH100" s="282" t="e">
        <f t="shared" si="111"/>
        <v>#REF!</v>
      </c>
      <c r="AI100" s="282" t="e">
        <f t="shared" si="112"/>
        <v>#REF!</v>
      </c>
      <c r="AJ100" s="282" t="e">
        <f>IF(U100="","",VLOOKUP(LEFT(I100,6)&amp;".1-00",MCP!$AK$9:$AL$464,21,FALSE))</f>
        <v>#REF!</v>
      </c>
      <c r="AK100" s="283" t="e">
        <f t="shared" si="113"/>
        <v>#REF!</v>
      </c>
      <c r="AL100" s="284" t="e">
        <f t="shared" si="114"/>
        <v>#REF!</v>
      </c>
      <c r="AM100" s="285" t="e">
        <f t="shared" si="115"/>
        <v>#REF!</v>
      </c>
      <c r="AN100" s="282">
        <f t="shared" si="116"/>
        <v>0</v>
      </c>
      <c r="AO100" s="282">
        <f t="shared" si="117"/>
        <v>0</v>
      </c>
      <c r="AP100" s="282">
        <f t="shared" si="118"/>
        <v>0</v>
      </c>
      <c r="AQ100" s="282" t="e">
        <f>VLOOKUP(LEFT($A100,7)&amp;"1-00",MCP!#REF!,30,FALSE)</f>
        <v>#REF!</v>
      </c>
      <c r="AR100" s="282" t="e">
        <f>VLOOKUP(LEFT($A100,7)&amp;"1-00",MCP!#REF!,31,FALSE)</f>
        <v>#REF!</v>
      </c>
      <c r="AS100" s="282" t="e">
        <f>VLOOKUP($A100&amp;"-"&amp;$B100,MCP!#REF!,12,FALSE)</f>
        <v>#REF!</v>
      </c>
      <c r="AT100" s="282" t="e">
        <f t="shared" si="119"/>
        <v>#REF!</v>
      </c>
      <c r="AU100" s="282" t="e">
        <f t="shared" si="120"/>
        <v>#REF!</v>
      </c>
      <c r="AV100" s="282" t="e">
        <f t="shared" si="121"/>
        <v>#REF!</v>
      </c>
      <c r="AW100" s="282" t="e">
        <f>IF($U100="","",VLOOKUP(LEFT($A100,7)&amp;"1-00",MCP!#REF!,24,FALSE))</f>
        <v>#REF!</v>
      </c>
      <c r="AX100" s="282"/>
      <c r="AY100" s="282"/>
      <c r="BF100" s="175" t="e">
        <f t="shared" si="91"/>
        <v>#REF!</v>
      </c>
    </row>
    <row r="101" spans="1:58" x14ac:dyDescent="0.2">
      <c r="A101" s="282" t="str">
        <f t="shared" si="92"/>
        <v>5.1037.2</v>
      </c>
      <c r="B101" s="282" t="str">
        <f t="shared" si="93"/>
        <v>03</v>
      </c>
      <c r="C101" s="282" t="str">
        <f t="shared" si="94"/>
        <v>5.1037.2.03</v>
      </c>
      <c r="D101" s="161">
        <v>5.6906999999999996</v>
      </c>
      <c r="E101" s="161">
        <v>6.1000000000000004E-3</v>
      </c>
      <c r="F101" s="282">
        <f t="shared" si="95"/>
        <v>0.21809999999999999</v>
      </c>
      <c r="G101" s="161" t="s">
        <v>877</v>
      </c>
      <c r="H101" s="282">
        <f t="shared" si="96"/>
        <v>3.887014591008005E-3</v>
      </c>
      <c r="I101" s="282" t="str">
        <f>A101&amp;"-"&amp;TEXT(MCP!$D$1,"00")</f>
        <v>5.1037.2-03</v>
      </c>
      <c r="J101" s="282">
        <f>IFERROR(VLOOKUP(I101,MCP!#REF!,10,FALSE),0)</f>
        <v>0</v>
      </c>
      <c r="K101" s="282">
        <f>IFERROR(VLOOKUP(I101,MCP!#REF!,19,FALSE),0)</f>
        <v>0</v>
      </c>
      <c r="N101" s="282" t="e">
        <f>IF($A101="","",VLOOKUP(LEFT($A101,7)&amp;"1-00",MCP!#REF!,N$1,FALSE))</f>
        <v>#REF!</v>
      </c>
      <c r="O101" s="282" t="e">
        <f>IF($A101="","",VLOOKUP(LEFT($A101,7)&amp;"1-00",MCP!#REF!,O$1,FALSE))</f>
        <v>#REF!</v>
      </c>
      <c r="P101" s="282" t="e">
        <f>IF($A101="","",VLOOKUP(LEFT($A101,7)&amp;"1-00",MCP!#REF!,P$1,FALSE))</f>
        <v>#REF!</v>
      </c>
      <c r="Q101" s="282" t="str">
        <f t="shared" si="97"/>
        <v/>
      </c>
      <c r="R101" s="282" t="str">
        <f t="shared" si="98"/>
        <v/>
      </c>
      <c r="S101" s="282" t="str">
        <f t="shared" si="99"/>
        <v/>
      </c>
      <c r="T101" s="282" t="e">
        <f>VLOOKUP(LEFT($A101,7)&amp;"1-00",MCP!#REF!,T$1,FALSE)</f>
        <v>#REF!</v>
      </c>
      <c r="U101" s="282" t="e">
        <f t="shared" si="100"/>
        <v>#REF!</v>
      </c>
      <c r="V101" s="282" t="e">
        <f t="shared" si="101"/>
        <v>#REF!</v>
      </c>
      <c r="W101" s="284" t="e">
        <f t="shared" si="102"/>
        <v>#REF!</v>
      </c>
      <c r="X101" s="161">
        <v>2.4899999999999999E-2</v>
      </c>
      <c r="Y101" s="284">
        <v>1.2614000000000001</v>
      </c>
      <c r="Z101" s="284" t="e">
        <f t="shared" si="103"/>
        <v>#REF!</v>
      </c>
      <c r="AA101" s="282" t="e">
        <f t="shared" si="104"/>
        <v>#REF!</v>
      </c>
      <c r="AB101" s="282" t="e">
        <f t="shared" si="105"/>
        <v>#REF!</v>
      </c>
      <c r="AC101" s="282" t="e">
        <f t="shared" si="106"/>
        <v>#REF!</v>
      </c>
      <c r="AD101" s="282" t="e">
        <f t="shared" si="107"/>
        <v>#REF!</v>
      </c>
      <c r="AE101" s="282" t="e">
        <f t="shared" si="108"/>
        <v>#REF!</v>
      </c>
      <c r="AF101" s="282" t="e">
        <f t="shared" si="109"/>
        <v>#REF!</v>
      </c>
      <c r="AG101" s="282" t="e">
        <f t="shared" si="110"/>
        <v>#REF!</v>
      </c>
      <c r="AH101" s="282" t="e">
        <f t="shared" si="111"/>
        <v>#REF!</v>
      </c>
      <c r="AI101" s="282" t="e">
        <f t="shared" si="112"/>
        <v>#REF!</v>
      </c>
      <c r="AJ101" s="282" t="e">
        <f>IF(U101="","",VLOOKUP(LEFT(I101,6)&amp;".1-00",MCP!$AK$9:$AL$464,21,FALSE))</f>
        <v>#REF!</v>
      </c>
      <c r="AK101" s="283" t="e">
        <f t="shared" si="113"/>
        <v>#REF!</v>
      </c>
      <c r="AL101" s="284" t="e">
        <f t="shared" si="114"/>
        <v>#REF!</v>
      </c>
      <c r="AM101" s="285" t="e">
        <f t="shared" si="115"/>
        <v>#REF!</v>
      </c>
      <c r="AN101" s="282">
        <f t="shared" si="116"/>
        <v>0</v>
      </c>
      <c r="AO101" s="282">
        <f t="shared" si="117"/>
        <v>0</v>
      </c>
      <c r="AP101" s="282">
        <f t="shared" si="118"/>
        <v>0</v>
      </c>
      <c r="AQ101" s="282" t="e">
        <f>VLOOKUP(LEFT($A101,7)&amp;"1-00",MCP!#REF!,30,FALSE)</f>
        <v>#REF!</v>
      </c>
      <c r="AR101" s="282" t="e">
        <f>VLOOKUP(LEFT($A101,7)&amp;"1-00",MCP!#REF!,31,FALSE)</f>
        <v>#REF!</v>
      </c>
      <c r="AS101" s="282" t="e">
        <f>VLOOKUP($A101&amp;"-"&amp;$B101,MCP!#REF!,12,FALSE)</f>
        <v>#REF!</v>
      </c>
      <c r="AT101" s="282" t="e">
        <f t="shared" si="119"/>
        <v>#REF!</v>
      </c>
      <c r="AU101" s="282" t="e">
        <f t="shared" si="120"/>
        <v>#REF!</v>
      </c>
      <c r="AV101" s="282" t="e">
        <f t="shared" si="121"/>
        <v>#REF!</v>
      </c>
      <c r="AW101" s="282" t="e">
        <f>IF($U101="","",VLOOKUP(LEFT($A101,7)&amp;"1-00",MCP!#REF!,24,FALSE))</f>
        <v>#REF!</v>
      </c>
      <c r="AX101" s="282"/>
      <c r="AY101" s="282"/>
      <c r="BF101" s="175" t="e">
        <f t="shared" si="91"/>
        <v>#REF!</v>
      </c>
    </row>
    <row r="102" spans="1:58" x14ac:dyDescent="0.2">
      <c r="A102" s="282" t="str">
        <f t="shared" si="92"/>
        <v>5.1043.2</v>
      </c>
      <c r="B102" s="282" t="str">
        <f t="shared" si="93"/>
        <v>03</v>
      </c>
      <c r="C102" s="282" t="str">
        <f t="shared" si="94"/>
        <v>5.1043.2.03</v>
      </c>
      <c r="D102" s="161">
        <v>5.98</v>
      </c>
      <c r="E102" s="161">
        <v>3.5999999999999999E-3</v>
      </c>
      <c r="F102" s="282">
        <f t="shared" si="95"/>
        <v>0.1353</v>
      </c>
      <c r="G102" s="161" t="s">
        <v>667</v>
      </c>
      <c r="H102" s="282">
        <f t="shared" si="96"/>
        <v>2.4113391754396292E-3</v>
      </c>
      <c r="I102" s="282" t="str">
        <f>A102&amp;"-"&amp;TEXT(MCP!$D$1,"00")</f>
        <v>5.1043.2-03</v>
      </c>
      <c r="J102" s="282">
        <f>IFERROR(VLOOKUP(I102,MCP!#REF!,10,FALSE),0)</f>
        <v>0</v>
      </c>
      <c r="K102" s="282">
        <f>IFERROR(VLOOKUP(I102,MCP!#REF!,19,FALSE),0)</f>
        <v>0</v>
      </c>
      <c r="N102" s="282" t="e">
        <f>IF($A102="","",VLOOKUP(LEFT($A102,7)&amp;"1-00",MCP!#REF!,N$1,FALSE))</f>
        <v>#REF!</v>
      </c>
      <c r="O102" s="282" t="e">
        <f>IF($A102="","",VLOOKUP(LEFT($A102,7)&amp;"1-00",MCP!#REF!,O$1,FALSE))</f>
        <v>#REF!</v>
      </c>
      <c r="P102" s="282" t="e">
        <f>IF($A102="","",VLOOKUP(LEFT($A102,7)&amp;"1-00",MCP!#REF!,P$1,FALSE))</f>
        <v>#REF!</v>
      </c>
      <c r="Q102" s="282" t="str">
        <f t="shared" si="97"/>
        <v/>
      </c>
      <c r="R102" s="282" t="str">
        <f t="shared" si="98"/>
        <v/>
      </c>
      <c r="S102" s="282" t="str">
        <f t="shared" si="99"/>
        <v/>
      </c>
      <c r="T102" s="282" t="e">
        <f>VLOOKUP(LEFT($A102,7)&amp;"1-00",MCP!#REF!,T$1,FALSE)</f>
        <v>#REF!</v>
      </c>
      <c r="U102" s="282" t="e">
        <f t="shared" si="100"/>
        <v>#REF!</v>
      </c>
      <c r="V102" s="282" t="e">
        <f t="shared" si="101"/>
        <v>#REF!</v>
      </c>
      <c r="W102" s="284" t="e">
        <f t="shared" si="102"/>
        <v>#REF!</v>
      </c>
      <c r="X102" s="161">
        <v>0.82310000000000005</v>
      </c>
      <c r="Y102" s="266">
        <v>0.93520000000000003</v>
      </c>
      <c r="Z102" s="284" t="e">
        <f t="shared" si="103"/>
        <v>#REF!</v>
      </c>
      <c r="AA102" s="282" t="e">
        <f t="shared" si="104"/>
        <v>#REF!</v>
      </c>
      <c r="AB102" s="282" t="e">
        <f t="shared" si="105"/>
        <v>#REF!</v>
      </c>
      <c r="AC102" s="282" t="e">
        <f t="shared" si="106"/>
        <v>#REF!</v>
      </c>
      <c r="AD102" s="282" t="e">
        <f t="shared" si="107"/>
        <v>#REF!</v>
      </c>
      <c r="AE102" s="282" t="e">
        <f t="shared" si="108"/>
        <v>#REF!</v>
      </c>
      <c r="AF102" s="282" t="e">
        <f t="shared" si="109"/>
        <v>#REF!</v>
      </c>
      <c r="AG102" s="282" t="e">
        <f t="shared" si="110"/>
        <v>#REF!</v>
      </c>
      <c r="AH102" s="282" t="e">
        <f t="shared" si="111"/>
        <v>#REF!</v>
      </c>
      <c r="AI102" s="282" t="e">
        <f t="shared" si="112"/>
        <v>#REF!</v>
      </c>
      <c r="AJ102" s="282" t="e">
        <f>IF(U102="","",VLOOKUP(LEFT(I102,6)&amp;".1-00",MCP!$AK$9:$AL$464,21,FALSE))</f>
        <v>#REF!</v>
      </c>
      <c r="AK102" s="283" t="e">
        <f t="shared" si="113"/>
        <v>#REF!</v>
      </c>
      <c r="AL102" s="284" t="e">
        <f t="shared" si="114"/>
        <v>#REF!</v>
      </c>
      <c r="AM102" s="285" t="e">
        <f t="shared" si="115"/>
        <v>#REF!</v>
      </c>
      <c r="AN102" s="282">
        <f t="shared" si="116"/>
        <v>0</v>
      </c>
      <c r="AO102" s="282">
        <f t="shared" si="117"/>
        <v>0</v>
      </c>
      <c r="AP102" s="282">
        <f t="shared" si="118"/>
        <v>0</v>
      </c>
      <c r="AQ102" s="282" t="e">
        <f>VLOOKUP(LEFT($A102,7)&amp;"1-00",MCP!#REF!,30,FALSE)</f>
        <v>#REF!</v>
      </c>
      <c r="AR102" s="282" t="e">
        <f>VLOOKUP(LEFT($A102,7)&amp;"1-00",MCP!#REF!,31,FALSE)</f>
        <v>#REF!</v>
      </c>
      <c r="AS102" s="282" t="e">
        <f>VLOOKUP($A102&amp;"-"&amp;$B102,MCP!#REF!,12,FALSE)</f>
        <v>#REF!</v>
      </c>
      <c r="AT102" s="282" t="e">
        <f t="shared" si="119"/>
        <v>#REF!</v>
      </c>
      <c r="AU102" s="282" t="e">
        <f t="shared" si="120"/>
        <v>#REF!</v>
      </c>
      <c r="AV102" s="282" t="e">
        <f t="shared" si="121"/>
        <v>#REF!</v>
      </c>
      <c r="AW102" s="282" t="e">
        <f>IF($U102="","",VLOOKUP(LEFT($A102,7)&amp;"1-00",MCP!#REF!,24,FALSE))</f>
        <v>#REF!</v>
      </c>
      <c r="AX102" s="282"/>
      <c r="AY102" s="282"/>
      <c r="BF102" s="175" t="e">
        <f t="shared" si="91"/>
        <v>#REF!</v>
      </c>
    </row>
    <row r="103" spans="1:58" x14ac:dyDescent="0.2">
      <c r="A103" s="282" t="str">
        <f t="shared" si="92"/>
        <v>5.1049.2</v>
      </c>
      <c r="B103" s="282" t="str">
        <f t="shared" si="93"/>
        <v>03</v>
      </c>
      <c r="C103" s="282" t="str">
        <f t="shared" si="94"/>
        <v>5.1049.2.03</v>
      </c>
      <c r="D103" s="161">
        <v>6.0923999999999996</v>
      </c>
      <c r="E103" s="161">
        <v>1.6999999999999999E-3</v>
      </c>
      <c r="F103" s="282">
        <f t="shared" si="95"/>
        <v>6.5100000000000005E-2</v>
      </c>
      <c r="G103" s="161" t="s">
        <v>879</v>
      </c>
      <c r="H103" s="282">
        <f t="shared" si="96"/>
        <v>1.1602230622403539E-3</v>
      </c>
      <c r="I103" s="282" t="str">
        <f>A103&amp;"-"&amp;TEXT(MCP!$D$1,"00")</f>
        <v>5.1049.2-03</v>
      </c>
      <c r="J103" s="282">
        <f>IFERROR(VLOOKUP(I103,MCP!#REF!,10,FALSE),0)</f>
        <v>0</v>
      </c>
      <c r="K103" s="282">
        <f>IFERROR(VLOOKUP(I103,MCP!#REF!,19,FALSE),0)</f>
        <v>0</v>
      </c>
      <c r="N103" s="282" t="e">
        <f>IF($A103="","",VLOOKUP(LEFT($A103,7)&amp;"1-00",MCP!#REF!,N$1,FALSE))</f>
        <v>#REF!</v>
      </c>
      <c r="O103" s="282" t="e">
        <f>IF($A103="","",VLOOKUP(LEFT($A103,7)&amp;"1-00",MCP!#REF!,O$1,FALSE))</f>
        <v>#REF!</v>
      </c>
      <c r="P103" s="282" t="e">
        <f>IF($A103="","",VLOOKUP(LEFT($A103,7)&amp;"1-00",MCP!#REF!,P$1,FALSE))</f>
        <v>#REF!</v>
      </c>
      <c r="Q103" s="282" t="str">
        <f t="shared" si="97"/>
        <v/>
      </c>
      <c r="R103" s="282" t="str">
        <f t="shared" si="98"/>
        <v/>
      </c>
      <c r="S103" s="282" t="str">
        <f t="shared" si="99"/>
        <v/>
      </c>
      <c r="T103" s="282" t="e">
        <f>VLOOKUP(LEFT($A103,7)&amp;"1-00",MCP!#REF!,T$1,FALSE)</f>
        <v>#REF!</v>
      </c>
      <c r="U103" s="282" t="e">
        <f t="shared" si="100"/>
        <v>#REF!</v>
      </c>
      <c r="V103" s="282" t="e">
        <f t="shared" si="101"/>
        <v>#REF!</v>
      </c>
      <c r="W103" s="284" t="e">
        <f t="shared" si="102"/>
        <v>#REF!</v>
      </c>
      <c r="X103" s="161">
        <v>1.6073999999999999</v>
      </c>
      <c r="Y103" s="284">
        <v>0.63029999999999997</v>
      </c>
      <c r="Z103" s="284" t="e">
        <f t="shared" si="103"/>
        <v>#REF!</v>
      </c>
      <c r="AA103" s="282" t="e">
        <f t="shared" si="104"/>
        <v>#REF!</v>
      </c>
      <c r="AB103" s="282" t="e">
        <f t="shared" si="105"/>
        <v>#REF!</v>
      </c>
      <c r="AC103" s="282" t="e">
        <f t="shared" si="106"/>
        <v>#REF!</v>
      </c>
      <c r="AD103" s="282" t="e">
        <f t="shared" si="107"/>
        <v>#REF!</v>
      </c>
      <c r="AE103" s="282" t="e">
        <f t="shared" si="108"/>
        <v>#REF!</v>
      </c>
      <c r="AF103" s="282" t="e">
        <f t="shared" si="109"/>
        <v>#REF!</v>
      </c>
      <c r="AG103" s="282" t="e">
        <f t="shared" si="110"/>
        <v>#REF!</v>
      </c>
      <c r="AH103" s="282" t="e">
        <f t="shared" si="111"/>
        <v>#REF!</v>
      </c>
      <c r="AI103" s="282" t="e">
        <f t="shared" si="112"/>
        <v>#REF!</v>
      </c>
      <c r="AJ103" s="282" t="e">
        <f>IF(U103="","",VLOOKUP(LEFT(I103,6)&amp;".1-00",MCP!$AK$9:$AL$464,21,FALSE))</f>
        <v>#REF!</v>
      </c>
      <c r="AK103" s="283" t="e">
        <f t="shared" si="113"/>
        <v>#REF!</v>
      </c>
      <c r="AL103" s="284" t="e">
        <f t="shared" si="114"/>
        <v>#REF!</v>
      </c>
      <c r="AM103" s="285" t="e">
        <f t="shared" si="115"/>
        <v>#REF!</v>
      </c>
      <c r="AN103" s="282">
        <f t="shared" si="116"/>
        <v>0</v>
      </c>
      <c r="AO103" s="282">
        <f t="shared" si="117"/>
        <v>0</v>
      </c>
      <c r="AP103" s="282">
        <f t="shared" si="118"/>
        <v>0</v>
      </c>
      <c r="AQ103" s="282" t="e">
        <f>VLOOKUP(LEFT($A103,7)&amp;"1-00",MCP!#REF!,30,FALSE)</f>
        <v>#REF!</v>
      </c>
      <c r="AR103" s="282" t="e">
        <f>VLOOKUP(LEFT($A103,7)&amp;"1-00",MCP!#REF!,31,FALSE)</f>
        <v>#REF!</v>
      </c>
      <c r="AS103" s="282" t="e">
        <f>VLOOKUP($A103&amp;"-"&amp;$B103,MCP!#REF!,12,FALSE)</f>
        <v>#REF!</v>
      </c>
      <c r="AT103" s="282" t="e">
        <f t="shared" si="119"/>
        <v>#REF!</v>
      </c>
      <c r="AU103" s="282" t="e">
        <f t="shared" si="120"/>
        <v>#REF!</v>
      </c>
      <c r="AV103" s="282" t="e">
        <f t="shared" si="121"/>
        <v>#REF!</v>
      </c>
      <c r="AW103" s="282" t="e">
        <f>IF($U103="","",VLOOKUP(LEFT($A103,7)&amp;"1-00",MCP!#REF!,24,FALSE))</f>
        <v>#REF!</v>
      </c>
      <c r="AX103" s="282"/>
      <c r="AY103" s="282"/>
      <c r="BF103" s="175" t="e">
        <f t="shared" si="91"/>
        <v>#REF!</v>
      </c>
    </row>
    <row r="104" spans="1:58" x14ac:dyDescent="0.2">
      <c r="A104" s="282" t="str">
        <f t="shared" si="92"/>
        <v>5.1055.2</v>
      </c>
      <c r="B104" s="282" t="str">
        <f t="shared" si="93"/>
        <v>03</v>
      </c>
      <c r="C104" s="282" t="str">
        <f t="shared" si="94"/>
        <v>5.1055.2.03</v>
      </c>
      <c r="D104" s="161">
        <v>6.1215000000000002</v>
      </c>
      <c r="E104" s="161">
        <v>1E-4</v>
      </c>
      <c r="F104" s="282">
        <f t="shared" si="95"/>
        <v>3.8E-3</v>
      </c>
      <c r="G104" s="161" t="s">
        <v>894</v>
      </c>
      <c r="H104" s="282">
        <f t="shared" si="96"/>
        <v>6.7724234047824027E-5</v>
      </c>
      <c r="I104" s="282" t="str">
        <f>A104&amp;"-"&amp;TEXT(MCP!$D$1,"00")</f>
        <v>5.1055.2-03</v>
      </c>
      <c r="J104" s="282">
        <f>IFERROR(VLOOKUP(I104,MCP!#REF!,10,FALSE),0)</f>
        <v>0</v>
      </c>
      <c r="K104" s="282">
        <f>IFERROR(VLOOKUP(I104,MCP!#REF!,19,FALSE),0)</f>
        <v>0</v>
      </c>
      <c r="N104" s="282" t="e">
        <f>IF($A104="","",VLOOKUP(LEFT($A104,7)&amp;"1-00",MCP!#REF!,N$1,FALSE))</f>
        <v>#REF!</v>
      </c>
      <c r="O104" s="282" t="e">
        <f>IF($A104="","",VLOOKUP(LEFT($A104,7)&amp;"1-00",MCP!#REF!,O$1,FALSE))</f>
        <v>#REF!</v>
      </c>
      <c r="P104" s="282" t="e">
        <f>IF($A104="","",VLOOKUP(LEFT($A104,7)&amp;"1-00",MCP!#REF!,P$1,FALSE))</f>
        <v>#REF!</v>
      </c>
      <c r="Q104" s="282" t="str">
        <f t="shared" si="97"/>
        <v/>
      </c>
      <c r="R104" s="282" t="str">
        <f t="shared" si="98"/>
        <v/>
      </c>
      <c r="S104" s="282" t="str">
        <f t="shared" si="99"/>
        <v/>
      </c>
      <c r="T104" s="282" t="e">
        <f>VLOOKUP(LEFT($A104,7)&amp;"1-00",MCP!#REF!,T$1,FALSE)</f>
        <v>#REF!</v>
      </c>
      <c r="U104" s="282" t="e">
        <f t="shared" si="100"/>
        <v>#REF!</v>
      </c>
      <c r="V104" s="282" t="e">
        <f t="shared" si="101"/>
        <v>#REF!</v>
      </c>
      <c r="W104" s="284" t="e">
        <f t="shared" si="102"/>
        <v>#REF!</v>
      </c>
      <c r="X104" s="161">
        <v>2.3953000000000002</v>
      </c>
      <c r="Y104" s="284">
        <v>5.33E-2</v>
      </c>
      <c r="Z104" s="284" t="e">
        <f t="shared" si="103"/>
        <v>#REF!</v>
      </c>
      <c r="AA104" s="282" t="e">
        <f t="shared" si="104"/>
        <v>#REF!</v>
      </c>
      <c r="AB104" s="282" t="e">
        <f t="shared" si="105"/>
        <v>#REF!</v>
      </c>
      <c r="AC104" s="282" t="e">
        <f t="shared" si="106"/>
        <v>#REF!</v>
      </c>
      <c r="AD104" s="282" t="e">
        <f t="shared" si="107"/>
        <v>#REF!</v>
      </c>
      <c r="AE104" s="282" t="e">
        <f t="shared" si="108"/>
        <v>#REF!</v>
      </c>
      <c r="AF104" s="282" t="e">
        <f t="shared" si="109"/>
        <v>#REF!</v>
      </c>
      <c r="AG104" s="282" t="e">
        <f t="shared" si="110"/>
        <v>#REF!</v>
      </c>
      <c r="AH104" s="282" t="e">
        <f t="shared" si="111"/>
        <v>#REF!</v>
      </c>
      <c r="AI104" s="282" t="e">
        <f t="shared" si="112"/>
        <v>#REF!</v>
      </c>
      <c r="AJ104" s="282" t="e">
        <f>IF(U104="","",VLOOKUP(LEFT(I104,6)&amp;".1-00",MCP!$AK$9:$AL$464,21,FALSE))</f>
        <v>#REF!</v>
      </c>
      <c r="AK104" s="283" t="e">
        <f t="shared" si="113"/>
        <v>#REF!</v>
      </c>
      <c r="AL104" s="284" t="e">
        <f t="shared" si="114"/>
        <v>#REF!</v>
      </c>
      <c r="AM104" s="285" t="e">
        <f t="shared" si="115"/>
        <v>#REF!</v>
      </c>
      <c r="AN104" s="282">
        <f t="shared" si="116"/>
        <v>0</v>
      </c>
      <c r="AO104" s="282">
        <f t="shared" si="117"/>
        <v>0</v>
      </c>
      <c r="AP104" s="282">
        <f t="shared" si="118"/>
        <v>0</v>
      </c>
      <c r="AQ104" s="282" t="e">
        <f>VLOOKUP(LEFT($A104,7)&amp;"1-00",MCP!#REF!,30,FALSE)</f>
        <v>#REF!</v>
      </c>
      <c r="AR104" s="282" t="e">
        <f>VLOOKUP(LEFT($A104,7)&amp;"1-00",MCP!#REF!,31,FALSE)</f>
        <v>#REF!</v>
      </c>
      <c r="AS104" s="282" t="e">
        <f>VLOOKUP($A104&amp;"-"&amp;$B104,MCP!#REF!,12,FALSE)</f>
        <v>#REF!</v>
      </c>
      <c r="AT104" s="282" t="e">
        <f t="shared" si="119"/>
        <v>#REF!</v>
      </c>
      <c r="AU104" s="282" t="e">
        <f t="shared" si="120"/>
        <v>#REF!</v>
      </c>
      <c r="AV104" s="282" t="e">
        <f t="shared" si="121"/>
        <v>#REF!</v>
      </c>
      <c r="AW104" s="282" t="e">
        <f>IF($U104="","",VLOOKUP(LEFT($A104,7)&amp;"1-00",MCP!#REF!,24,FALSE))</f>
        <v>#REF!</v>
      </c>
      <c r="AX104" s="282"/>
      <c r="AY104" s="282"/>
      <c r="BF104" s="175" t="e">
        <f t="shared" si="91"/>
        <v>#REF!</v>
      </c>
    </row>
    <row r="105" spans="1:58" x14ac:dyDescent="0.2">
      <c r="A105" s="282" t="str">
        <f t="shared" si="92"/>
        <v>6.1012.2</v>
      </c>
      <c r="B105" s="282" t="str">
        <f t="shared" si="93"/>
        <v>03</v>
      </c>
      <c r="C105" s="282" t="str">
        <f t="shared" si="94"/>
        <v>6.1012.2.03</v>
      </c>
      <c r="D105" s="161">
        <v>2.6164000000000001</v>
      </c>
      <c r="E105" s="161">
        <v>4.5999999999999999E-3</v>
      </c>
      <c r="F105" s="282">
        <f t="shared" si="95"/>
        <v>7.5600000000000001E-2</v>
      </c>
      <c r="G105" s="161" t="s">
        <v>881</v>
      </c>
      <c r="H105" s="282">
        <f t="shared" si="96"/>
        <v>1.3473558142146043E-3</v>
      </c>
      <c r="I105" s="282" t="str">
        <f>A105&amp;"-"&amp;TEXT(MCP!$D$1,"00")</f>
        <v>6.1012.2-03</v>
      </c>
      <c r="J105" s="282">
        <f>IFERROR(VLOOKUP(I105,MCP!#REF!,10,FALSE),0)</f>
        <v>0</v>
      </c>
      <c r="K105" s="282">
        <f>IFERROR(VLOOKUP(I105,MCP!#REF!,19,FALSE),0)</f>
        <v>0</v>
      </c>
      <c r="N105" s="282" t="e">
        <f>IF($A105="","",VLOOKUP(LEFT($A105,7)&amp;"1-00",MCP!#REF!,N$1,FALSE))</f>
        <v>#REF!</v>
      </c>
      <c r="O105" s="282" t="e">
        <f>IF($A105="","",VLOOKUP(LEFT($A105,7)&amp;"1-00",MCP!#REF!,O$1,FALSE))</f>
        <v>#REF!</v>
      </c>
      <c r="P105" s="282" t="e">
        <f>IF($A105="","",VLOOKUP(LEFT($A105,7)&amp;"1-00",MCP!#REF!,P$1,FALSE))</f>
        <v>#REF!</v>
      </c>
      <c r="Q105" s="282" t="str">
        <f t="shared" si="97"/>
        <v/>
      </c>
      <c r="R105" s="282" t="str">
        <f t="shared" si="98"/>
        <v/>
      </c>
      <c r="S105" s="282" t="str">
        <f t="shared" si="99"/>
        <v/>
      </c>
      <c r="T105" s="282" t="e">
        <f>VLOOKUP(LEFT($A105,7)&amp;"1-00",MCP!#REF!,T$1,FALSE)</f>
        <v>#REF!</v>
      </c>
      <c r="U105" s="282" t="e">
        <f t="shared" si="100"/>
        <v>#REF!</v>
      </c>
      <c r="V105" s="282" t="e">
        <f t="shared" si="101"/>
        <v>#REF!</v>
      </c>
      <c r="W105" s="284" t="e">
        <f t="shared" si="102"/>
        <v>#REF!</v>
      </c>
      <c r="X105" s="161">
        <v>-1.345</v>
      </c>
      <c r="Y105" s="161">
        <v>0.78439999999999999</v>
      </c>
      <c r="Z105" s="284" t="e">
        <f t="shared" si="103"/>
        <v>#REF!</v>
      </c>
      <c r="AA105" s="282" t="e">
        <f t="shared" si="104"/>
        <v>#REF!</v>
      </c>
      <c r="AB105" s="282" t="e">
        <f t="shared" si="105"/>
        <v>#REF!</v>
      </c>
      <c r="AC105" s="282" t="e">
        <f t="shared" si="106"/>
        <v>#REF!</v>
      </c>
      <c r="AD105" s="282" t="e">
        <f t="shared" si="107"/>
        <v>#REF!</v>
      </c>
      <c r="AE105" s="282" t="e">
        <f t="shared" si="108"/>
        <v>#REF!</v>
      </c>
      <c r="AF105" s="282" t="e">
        <f t="shared" si="109"/>
        <v>#REF!</v>
      </c>
      <c r="AG105" s="282" t="e">
        <f t="shared" si="110"/>
        <v>#REF!</v>
      </c>
      <c r="AH105" s="282" t="e">
        <f t="shared" si="111"/>
        <v>#REF!</v>
      </c>
      <c r="AI105" s="282" t="e">
        <f t="shared" si="112"/>
        <v>#REF!</v>
      </c>
      <c r="AJ105" s="282" t="e">
        <f>IF(U105="","",VLOOKUP(LEFT(I105,6)&amp;".1-00",MCP!$AK$9:$AL$464,21,FALSE))</f>
        <v>#REF!</v>
      </c>
      <c r="AK105" s="283" t="e">
        <f t="shared" si="113"/>
        <v>#REF!</v>
      </c>
      <c r="AL105" s="284" t="e">
        <f t="shared" si="114"/>
        <v>#REF!</v>
      </c>
      <c r="AM105" s="285" t="e">
        <f t="shared" si="115"/>
        <v>#REF!</v>
      </c>
      <c r="AN105" s="282">
        <f t="shared" si="116"/>
        <v>0</v>
      </c>
      <c r="AO105" s="282">
        <f t="shared" si="117"/>
        <v>0</v>
      </c>
      <c r="AP105" s="282">
        <f t="shared" si="118"/>
        <v>0</v>
      </c>
      <c r="AQ105" s="282" t="e">
        <f>VLOOKUP(LEFT($A105,7)&amp;"1-00",MCP!#REF!,30,FALSE)</f>
        <v>#REF!</v>
      </c>
      <c r="AR105" s="282" t="e">
        <f>VLOOKUP(LEFT($A105,7)&amp;"1-00",MCP!#REF!,31,FALSE)</f>
        <v>#REF!</v>
      </c>
      <c r="AS105" s="282" t="e">
        <f>VLOOKUP($A105&amp;"-"&amp;$B105,MCP!#REF!,12,FALSE)</f>
        <v>#REF!</v>
      </c>
      <c r="AT105" s="282" t="e">
        <f t="shared" si="119"/>
        <v>#REF!</v>
      </c>
      <c r="AU105" s="282" t="e">
        <f t="shared" si="120"/>
        <v>#REF!</v>
      </c>
      <c r="AV105" s="282" t="e">
        <f t="shared" si="121"/>
        <v>#REF!</v>
      </c>
      <c r="AW105" s="282" t="e">
        <f>IF($U105="","",VLOOKUP(LEFT($A105,7)&amp;"1-00",MCP!#REF!,24,FALSE))</f>
        <v>#REF!</v>
      </c>
      <c r="AX105" s="282"/>
      <c r="AY105" s="282"/>
      <c r="BF105" s="175" t="e">
        <f t="shared" si="91"/>
        <v>#REF!</v>
      </c>
    </row>
    <row r="106" spans="1:58" x14ac:dyDescent="0.2">
      <c r="A106" s="282" t="str">
        <f t="shared" si="92"/>
        <v>6.1018.2</v>
      </c>
      <c r="B106" s="282" t="str">
        <f t="shared" si="93"/>
        <v>03</v>
      </c>
      <c r="C106" s="282" t="str">
        <f t="shared" si="94"/>
        <v>6.1018.2.03</v>
      </c>
      <c r="D106" s="161">
        <v>3.4369999999999998</v>
      </c>
      <c r="E106" s="161">
        <v>4.5999999999999999E-3</v>
      </c>
      <c r="F106" s="282">
        <f t="shared" si="95"/>
        <v>9.9299999999999999E-2</v>
      </c>
      <c r="G106" s="161" t="s">
        <v>883</v>
      </c>
      <c r="H106" s="282">
        <f t="shared" si="96"/>
        <v>1.7697411686707699E-3</v>
      </c>
      <c r="I106" s="282" t="str">
        <f>A106&amp;"-"&amp;TEXT(MCP!$D$1,"00")</f>
        <v>6.1018.2-03</v>
      </c>
      <c r="J106" s="282">
        <f>IFERROR(VLOOKUP(I106,MCP!#REF!,10,FALSE),0)</f>
        <v>0</v>
      </c>
      <c r="K106" s="282">
        <f>IFERROR(VLOOKUP(I106,MCP!#REF!,19,FALSE),0)</f>
        <v>0</v>
      </c>
      <c r="N106" s="282" t="e">
        <f>IF($A106="","",VLOOKUP(LEFT($A106,7)&amp;"1-00",MCP!#REF!,N$1,FALSE))</f>
        <v>#REF!</v>
      </c>
      <c r="O106" s="282" t="e">
        <f>IF($A106="","",VLOOKUP(LEFT($A106,7)&amp;"1-00",MCP!#REF!,O$1,FALSE))</f>
        <v>#REF!</v>
      </c>
      <c r="P106" s="282" t="e">
        <f>IF($A106="","",VLOOKUP(LEFT($A106,7)&amp;"1-00",MCP!#REF!,P$1,FALSE))</f>
        <v>#REF!</v>
      </c>
      <c r="Q106" s="282" t="str">
        <f t="shared" si="97"/>
        <v/>
      </c>
      <c r="R106" s="282" t="str">
        <f t="shared" si="98"/>
        <v/>
      </c>
      <c r="S106" s="282" t="str">
        <f t="shared" si="99"/>
        <v/>
      </c>
      <c r="T106" s="282" t="e">
        <f>VLOOKUP(LEFT($A106,7)&amp;"1-00",MCP!#REF!,T$1,FALSE)</f>
        <v>#REF!</v>
      </c>
      <c r="U106" s="282" t="e">
        <f t="shared" si="100"/>
        <v>#REF!</v>
      </c>
      <c r="V106" s="282" t="e">
        <f t="shared" si="101"/>
        <v>#REF!</v>
      </c>
      <c r="W106" s="284" t="e">
        <f t="shared" si="102"/>
        <v>#REF!</v>
      </c>
      <c r="X106" s="161">
        <v>-1.4234</v>
      </c>
      <c r="Y106" s="282">
        <v>0.76039999999999996</v>
      </c>
      <c r="Z106" s="284" t="e">
        <f t="shared" si="103"/>
        <v>#REF!</v>
      </c>
      <c r="AA106" s="282" t="e">
        <f t="shared" si="104"/>
        <v>#REF!</v>
      </c>
      <c r="AB106" s="282" t="e">
        <f t="shared" si="105"/>
        <v>#REF!</v>
      </c>
      <c r="AC106" s="282" t="e">
        <f t="shared" si="106"/>
        <v>#REF!</v>
      </c>
      <c r="AD106" s="282" t="e">
        <f t="shared" si="107"/>
        <v>#REF!</v>
      </c>
      <c r="AE106" s="282" t="e">
        <f t="shared" si="108"/>
        <v>#REF!</v>
      </c>
      <c r="AF106" s="282" t="e">
        <f t="shared" si="109"/>
        <v>#REF!</v>
      </c>
      <c r="AG106" s="282" t="e">
        <f t="shared" si="110"/>
        <v>#REF!</v>
      </c>
      <c r="AH106" s="282" t="e">
        <f t="shared" si="111"/>
        <v>#REF!</v>
      </c>
      <c r="AI106" s="282" t="e">
        <f t="shared" si="112"/>
        <v>#REF!</v>
      </c>
      <c r="AJ106" s="282" t="e">
        <f>IF(U106="","",VLOOKUP(LEFT(I106,6)&amp;".1-00",MCP!$AK$9:$AL$464,21,FALSE))</f>
        <v>#REF!</v>
      </c>
      <c r="AK106" s="283" t="e">
        <f t="shared" si="113"/>
        <v>#REF!</v>
      </c>
      <c r="AL106" s="284" t="e">
        <f t="shared" si="114"/>
        <v>#REF!</v>
      </c>
      <c r="AM106" s="285" t="e">
        <f t="shared" si="115"/>
        <v>#REF!</v>
      </c>
      <c r="AN106" s="282">
        <f t="shared" si="116"/>
        <v>0</v>
      </c>
      <c r="AO106" s="282">
        <f t="shared" si="117"/>
        <v>0</v>
      </c>
      <c r="AP106" s="282">
        <f t="shared" si="118"/>
        <v>0</v>
      </c>
      <c r="AQ106" s="282" t="e">
        <f>VLOOKUP(LEFT($A106,7)&amp;"1-00",MCP!#REF!,30,FALSE)</f>
        <v>#REF!</v>
      </c>
      <c r="AR106" s="282" t="e">
        <f>VLOOKUP(LEFT($A106,7)&amp;"1-00",MCP!#REF!,31,FALSE)</f>
        <v>#REF!</v>
      </c>
      <c r="AS106" s="282" t="e">
        <f>VLOOKUP($A106&amp;"-"&amp;$B106,MCP!#REF!,12,FALSE)</f>
        <v>#REF!</v>
      </c>
      <c r="AT106" s="282" t="e">
        <f t="shared" si="119"/>
        <v>#REF!</v>
      </c>
      <c r="AU106" s="282" t="e">
        <f t="shared" si="120"/>
        <v>#REF!</v>
      </c>
      <c r="AV106" s="282" t="e">
        <f t="shared" si="121"/>
        <v>#REF!</v>
      </c>
      <c r="AW106" s="282" t="e">
        <f>IF($U106="","",VLOOKUP(LEFT($A106,7)&amp;"1-00",MCP!#REF!,24,FALSE))</f>
        <v>#REF!</v>
      </c>
      <c r="AX106" s="282"/>
      <c r="AY106" s="282"/>
      <c r="BF106" s="175" t="e">
        <f t="shared" si="91"/>
        <v>#REF!</v>
      </c>
    </row>
    <row r="107" spans="1:58" x14ac:dyDescent="0.2">
      <c r="A107" s="282" t="str">
        <f t="shared" si="92"/>
        <v>6.1024.2</v>
      </c>
      <c r="B107" s="282" t="str">
        <f t="shared" si="93"/>
        <v>03</v>
      </c>
      <c r="C107" s="282" t="str">
        <f t="shared" si="94"/>
        <v>6.1024.2.03</v>
      </c>
      <c r="D107" s="161">
        <v>4.2454999999999998</v>
      </c>
      <c r="E107" s="161">
        <v>4.4000000000000003E-3</v>
      </c>
      <c r="F107" s="282">
        <f t="shared" si="95"/>
        <v>0.1174</v>
      </c>
      <c r="G107" s="161" t="s">
        <v>885</v>
      </c>
      <c r="H107" s="282">
        <f t="shared" si="96"/>
        <v>2.0923223887406688E-3</v>
      </c>
      <c r="I107" s="282" t="str">
        <f>A107&amp;"-"&amp;TEXT(MCP!$D$1,"00")</f>
        <v>6.1024.2-03</v>
      </c>
      <c r="J107" s="282">
        <f>IFERROR(VLOOKUP(I107,MCP!#REF!,10,FALSE),0)</f>
        <v>0</v>
      </c>
      <c r="K107" s="282">
        <f>IFERROR(VLOOKUP(I107,MCP!#REF!,19,FALSE),0)</f>
        <v>0</v>
      </c>
      <c r="N107" s="282" t="e">
        <f>IF($A107="","",VLOOKUP(LEFT($A107,7)&amp;"1-00",MCP!#REF!,N$1,FALSE))</f>
        <v>#REF!</v>
      </c>
      <c r="O107" s="282" t="e">
        <f>IF($A107="","",VLOOKUP(LEFT($A107,7)&amp;"1-00",MCP!#REF!,O$1,FALSE))</f>
        <v>#REF!</v>
      </c>
      <c r="P107" s="282" t="e">
        <f>IF($A107="","",VLOOKUP(LEFT($A107,7)&amp;"1-00",MCP!#REF!,P$1,FALSE))</f>
        <v>#REF!</v>
      </c>
      <c r="Q107" s="282" t="str">
        <f t="shared" si="97"/>
        <v/>
      </c>
      <c r="R107" s="282" t="str">
        <f t="shared" si="98"/>
        <v/>
      </c>
      <c r="S107" s="282" t="str">
        <f t="shared" si="99"/>
        <v/>
      </c>
      <c r="T107" s="282" t="e">
        <f>VLOOKUP(LEFT($A107,7)&amp;"1-00",MCP!#REF!,T$1,FALSE)</f>
        <v>#REF!</v>
      </c>
      <c r="U107" s="282" t="e">
        <f t="shared" si="100"/>
        <v>#REF!</v>
      </c>
      <c r="V107" s="282" t="e">
        <f t="shared" si="101"/>
        <v>#REF!</v>
      </c>
      <c r="W107" s="284" t="e">
        <f t="shared" si="102"/>
        <v>#REF!</v>
      </c>
      <c r="X107" s="161">
        <v>-1.2528999999999999</v>
      </c>
      <c r="Y107" s="161">
        <v>0.75239999999999996</v>
      </c>
      <c r="Z107" s="284" t="e">
        <f t="shared" si="103"/>
        <v>#REF!</v>
      </c>
      <c r="AA107" s="282" t="e">
        <f t="shared" si="104"/>
        <v>#REF!</v>
      </c>
      <c r="AB107" s="282" t="e">
        <f t="shared" si="105"/>
        <v>#REF!</v>
      </c>
      <c r="AC107" s="282" t="e">
        <f t="shared" si="106"/>
        <v>#REF!</v>
      </c>
      <c r="AD107" s="282" t="e">
        <f t="shared" si="107"/>
        <v>#REF!</v>
      </c>
      <c r="AE107" s="282" t="e">
        <f t="shared" si="108"/>
        <v>#REF!</v>
      </c>
      <c r="AF107" s="282" t="e">
        <f t="shared" si="109"/>
        <v>#REF!</v>
      </c>
      <c r="AG107" s="282" t="e">
        <f t="shared" si="110"/>
        <v>#REF!</v>
      </c>
      <c r="AH107" s="282" t="e">
        <f t="shared" si="111"/>
        <v>#REF!</v>
      </c>
      <c r="AI107" s="282" t="e">
        <f t="shared" si="112"/>
        <v>#REF!</v>
      </c>
      <c r="AJ107" s="282" t="e">
        <f>IF(U107="","",VLOOKUP(LEFT(I107,6)&amp;".1-00",MCP!$AK$9:$AL$464,21,FALSE))</f>
        <v>#REF!</v>
      </c>
      <c r="AK107" s="283" t="e">
        <f t="shared" si="113"/>
        <v>#REF!</v>
      </c>
      <c r="AL107" s="284" t="e">
        <f t="shared" si="114"/>
        <v>#REF!</v>
      </c>
      <c r="AM107" s="285" t="e">
        <f t="shared" si="115"/>
        <v>#REF!</v>
      </c>
      <c r="AN107" s="282">
        <f t="shared" si="116"/>
        <v>0</v>
      </c>
      <c r="AO107" s="282">
        <f t="shared" si="117"/>
        <v>0</v>
      </c>
      <c r="AP107" s="282">
        <f t="shared" si="118"/>
        <v>0</v>
      </c>
      <c r="AQ107" s="282" t="e">
        <f>VLOOKUP(LEFT($A107,7)&amp;"1-00",MCP!#REF!,30,FALSE)</f>
        <v>#REF!</v>
      </c>
      <c r="AR107" s="282" t="e">
        <f>VLOOKUP(LEFT($A107,7)&amp;"1-00",MCP!#REF!,31,FALSE)</f>
        <v>#REF!</v>
      </c>
      <c r="AS107" s="282" t="e">
        <f>VLOOKUP($A107&amp;"-"&amp;$B107,MCP!#REF!,12,FALSE)</f>
        <v>#REF!</v>
      </c>
      <c r="AT107" s="282" t="e">
        <f t="shared" si="119"/>
        <v>#REF!</v>
      </c>
      <c r="AU107" s="282" t="e">
        <f t="shared" si="120"/>
        <v>#REF!</v>
      </c>
      <c r="AV107" s="282" t="e">
        <f t="shared" si="121"/>
        <v>#REF!</v>
      </c>
      <c r="AW107" s="282" t="e">
        <f>IF($U107="","",VLOOKUP(LEFT($A107,7)&amp;"1-00",MCP!#REF!,24,FALSE))</f>
        <v>#REF!</v>
      </c>
      <c r="AX107" s="282"/>
      <c r="AY107" s="282"/>
      <c r="BF107" s="175" t="e">
        <f t="shared" si="91"/>
        <v>#REF!</v>
      </c>
    </row>
    <row r="108" spans="1:58" x14ac:dyDescent="0.2">
      <c r="A108" s="282" t="str">
        <f t="shared" si="92"/>
        <v>6.1030.2</v>
      </c>
      <c r="B108" s="282" t="str">
        <f t="shared" si="93"/>
        <v>03</v>
      </c>
      <c r="C108" s="282" t="str">
        <f t="shared" si="94"/>
        <v>6.1030.2.03</v>
      </c>
      <c r="D108" s="161">
        <v>4.9722999999999997</v>
      </c>
      <c r="E108" s="161">
        <v>4.0000000000000001E-3</v>
      </c>
      <c r="F108" s="282">
        <f t="shared" si="95"/>
        <v>0.125</v>
      </c>
      <c r="G108" s="161" t="s">
        <v>887</v>
      </c>
      <c r="H108" s="282">
        <f t="shared" si="96"/>
        <v>2.2277708568363168E-3</v>
      </c>
      <c r="I108" s="282" t="str">
        <f>A108&amp;"-"&amp;TEXT(MCP!$D$1,"00")</f>
        <v>6.1030.2-03</v>
      </c>
      <c r="J108" s="282">
        <f>IFERROR(VLOOKUP(I108,MCP!#REF!,10,FALSE),0)</f>
        <v>0</v>
      </c>
      <c r="K108" s="282">
        <f>IFERROR(VLOOKUP(I108,MCP!#REF!,19,FALSE),0)</f>
        <v>0</v>
      </c>
      <c r="N108" s="282" t="e">
        <f>IF($A108="","",VLOOKUP(LEFT($A108,7)&amp;"1-00",MCP!#REF!,N$1,FALSE))</f>
        <v>#REF!</v>
      </c>
      <c r="O108" s="282" t="e">
        <f>IF($A108="","",VLOOKUP(LEFT($A108,7)&amp;"1-00",MCP!#REF!,O$1,FALSE))</f>
        <v>#REF!</v>
      </c>
      <c r="P108" s="282" t="e">
        <f>IF($A108="","",VLOOKUP(LEFT($A108,7)&amp;"1-00",MCP!#REF!,P$1,FALSE))</f>
        <v>#REF!</v>
      </c>
      <c r="Q108" s="282" t="str">
        <f t="shared" si="97"/>
        <v/>
      </c>
      <c r="R108" s="282" t="str">
        <f t="shared" si="98"/>
        <v/>
      </c>
      <c r="S108" s="282" t="str">
        <f t="shared" si="99"/>
        <v/>
      </c>
      <c r="T108" s="282" t="e">
        <f>VLOOKUP(LEFT($A108,7)&amp;"1-00",MCP!#REF!,T$1,FALSE)</f>
        <v>#REF!</v>
      </c>
      <c r="U108" s="282" t="e">
        <f t="shared" si="100"/>
        <v>#REF!</v>
      </c>
      <c r="V108" s="282" t="e">
        <f t="shared" si="101"/>
        <v>#REF!</v>
      </c>
      <c r="W108" s="284" t="e">
        <f t="shared" si="102"/>
        <v>#REF!</v>
      </c>
      <c r="X108" s="161">
        <v>-0.84689999999999999</v>
      </c>
      <c r="Y108" s="161">
        <v>0.72689999999999999</v>
      </c>
      <c r="Z108" s="284" t="e">
        <f t="shared" si="103"/>
        <v>#REF!</v>
      </c>
      <c r="AA108" s="282" t="e">
        <f t="shared" si="104"/>
        <v>#REF!</v>
      </c>
      <c r="AB108" s="282" t="e">
        <f t="shared" si="105"/>
        <v>#REF!</v>
      </c>
      <c r="AC108" s="282" t="e">
        <f t="shared" si="106"/>
        <v>#REF!</v>
      </c>
      <c r="AD108" s="282" t="e">
        <f t="shared" si="107"/>
        <v>#REF!</v>
      </c>
      <c r="AE108" s="282" t="e">
        <f t="shared" si="108"/>
        <v>#REF!</v>
      </c>
      <c r="AF108" s="282" t="e">
        <f t="shared" si="109"/>
        <v>#REF!</v>
      </c>
      <c r="AG108" s="282" t="e">
        <f t="shared" si="110"/>
        <v>#REF!</v>
      </c>
      <c r="AH108" s="282" t="e">
        <f t="shared" si="111"/>
        <v>#REF!</v>
      </c>
      <c r="AI108" s="282" t="e">
        <f t="shared" si="112"/>
        <v>#REF!</v>
      </c>
      <c r="AJ108" s="282" t="e">
        <f>IF(U108="","",VLOOKUP(LEFT(I108,6)&amp;".1-00",MCP!$AK$9:$AL$464,21,FALSE))</f>
        <v>#REF!</v>
      </c>
      <c r="AK108" s="283" t="e">
        <f t="shared" si="113"/>
        <v>#REF!</v>
      </c>
      <c r="AL108" s="284" t="e">
        <f t="shared" si="114"/>
        <v>#REF!</v>
      </c>
      <c r="AM108" s="285" t="e">
        <f t="shared" si="115"/>
        <v>#REF!</v>
      </c>
      <c r="AN108" s="282">
        <f t="shared" si="116"/>
        <v>0</v>
      </c>
      <c r="AO108" s="282">
        <f t="shared" si="117"/>
        <v>0</v>
      </c>
      <c r="AP108" s="282">
        <f t="shared" si="118"/>
        <v>0</v>
      </c>
      <c r="AQ108" s="282" t="e">
        <f>VLOOKUP(LEFT($A108,7)&amp;"1-00",MCP!#REF!,30,FALSE)</f>
        <v>#REF!</v>
      </c>
      <c r="AR108" s="282" t="e">
        <f>VLOOKUP(LEFT($A108,7)&amp;"1-00",MCP!#REF!,31,FALSE)</f>
        <v>#REF!</v>
      </c>
      <c r="AS108" s="282" t="e">
        <f>VLOOKUP($A108&amp;"-"&amp;$B108,MCP!#REF!,12,FALSE)</f>
        <v>#REF!</v>
      </c>
      <c r="AT108" s="282" t="e">
        <f t="shared" si="119"/>
        <v>#REF!</v>
      </c>
      <c r="AU108" s="282" t="e">
        <f t="shared" si="120"/>
        <v>#REF!</v>
      </c>
      <c r="AV108" s="282" t="e">
        <f t="shared" si="121"/>
        <v>#REF!</v>
      </c>
      <c r="AW108" s="282" t="e">
        <f>IF($U108="","",VLOOKUP(LEFT($A108,7)&amp;"1-00",MCP!#REF!,24,FALSE))</f>
        <v>#REF!</v>
      </c>
      <c r="AX108" s="282"/>
      <c r="AY108" s="282"/>
      <c r="BF108" s="175" t="e">
        <f t="shared" si="91"/>
        <v>#REF!</v>
      </c>
    </row>
    <row r="109" spans="1:58" x14ac:dyDescent="0.2">
      <c r="A109" s="282" t="str">
        <f t="shared" si="92"/>
        <v>6.1036.2</v>
      </c>
      <c r="B109" s="282" t="str">
        <f t="shared" si="93"/>
        <v>03</v>
      </c>
      <c r="C109" s="282" t="str">
        <f t="shared" si="94"/>
        <v>6.1036.2.03</v>
      </c>
      <c r="D109" s="161">
        <v>5.5570000000000004</v>
      </c>
      <c r="E109" s="161">
        <v>3.0999999999999999E-3</v>
      </c>
      <c r="F109" s="282">
        <f t="shared" si="95"/>
        <v>0.1082</v>
      </c>
      <c r="G109" s="161" t="s">
        <v>889</v>
      </c>
      <c r="H109" s="282">
        <f t="shared" si="96"/>
        <v>1.9283584536775157E-3</v>
      </c>
      <c r="I109" s="282" t="str">
        <f>A109&amp;"-"&amp;TEXT(MCP!$D$1,"00")</f>
        <v>6.1036.2-03</v>
      </c>
      <c r="J109" s="282">
        <f>IFERROR(VLOOKUP(I109,MCP!#REF!,10,FALSE),0)</f>
        <v>0</v>
      </c>
      <c r="K109" s="282">
        <f>IFERROR(VLOOKUP(I109,MCP!#REF!,19,FALSE),0)</f>
        <v>0</v>
      </c>
      <c r="N109" s="282" t="e">
        <f>IF($A109="","",VLOOKUP(LEFT($A109,7)&amp;"1-00",MCP!#REF!,N$1,FALSE))</f>
        <v>#REF!</v>
      </c>
      <c r="O109" s="282" t="e">
        <f>IF($A109="","",VLOOKUP(LEFT($A109,7)&amp;"1-00",MCP!#REF!,O$1,FALSE))</f>
        <v>#REF!</v>
      </c>
      <c r="P109" s="282" t="e">
        <f>IF($A109="","",VLOOKUP(LEFT($A109,7)&amp;"1-00",MCP!#REF!,P$1,FALSE))</f>
        <v>#REF!</v>
      </c>
      <c r="Q109" s="282" t="str">
        <f t="shared" si="97"/>
        <v/>
      </c>
      <c r="R109" s="282" t="str">
        <f t="shared" si="98"/>
        <v/>
      </c>
      <c r="S109" s="282" t="str">
        <f t="shared" si="99"/>
        <v/>
      </c>
      <c r="T109" s="282" t="e">
        <f>VLOOKUP(LEFT($A109,7)&amp;"1-00",MCP!#REF!,T$1,FALSE)</f>
        <v>#REF!</v>
      </c>
      <c r="U109" s="282" t="e">
        <f t="shared" si="100"/>
        <v>#REF!</v>
      </c>
      <c r="V109" s="282" t="e">
        <f t="shared" si="101"/>
        <v>#REF!</v>
      </c>
      <c r="W109" s="284" t="e">
        <f t="shared" si="102"/>
        <v>#REF!</v>
      </c>
      <c r="X109" s="161">
        <v>-0.23050000000000001</v>
      </c>
      <c r="Y109" s="282">
        <v>0.66190000000000004</v>
      </c>
      <c r="Z109" s="284" t="e">
        <f t="shared" si="103"/>
        <v>#REF!</v>
      </c>
      <c r="AA109" s="282" t="e">
        <f t="shared" si="104"/>
        <v>#REF!</v>
      </c>
      <c r="AB109" s="282" t="e">
        <f t="shared" si="105"/>
        <v>#REF!</v>
      </c>
      <c r="AC109" s="282" t="e">
        <f t="shared" si="106"/>
        <v>#REF!</v>
      </c>
      <c r="AD109" s="282" t="e">
        <f t="shared" si="107"/>
        <v>#REF!</v>
      </c>
      <c r="AE109" s="282" t="e">
        <f t="shared" si="108"/>
        <v>#REF!</v>
      </c>
      <c r="AF109" s="282" t="e">
        <f t="shared" si="109"/>
        <v>#REF!</v>
      </c>
      <c r="AG109" s="282" t="e">
        <f t="shared" si="110"/>
        <v>#REF!</v>
      </c>
      <c r="AH109" s="282" t="e">
        <f t="shared" si="111"/>
        <v>#REF!</v>
      </c>
      <c r="AI109" s="282" t="e">
        <f t="shared" si="112"/>
        <v>#REF!</v>
      </c>
      <c r="AJ109" s="282" t="e">
        <f>IF(U109="","",VLOOKUP(LEFT(I109,6)&amp;".1-00",MCP!$AK$9:$AL$464,21,FALSE))</f>
        <v>#REF!</v>
      </c>
      <c r="AK109" s="283" t="e">
        <f t="shared" si="113"/>
        <v>#REF!</v>
      </c>
      <c r="AL109" s="284" t="e">
        <f t="shared" si="114"/>
        <v>#REF!</v>
      </c>
      <c r="AM109" s="285" t="e">
        <f t="shared" si="115"/>
        <v>#REF!</v>
      </c>
      <c r="AN109" s="282">
        <f t="shared" si="116"/>
        <v>0</v>
      </c>
      <c r="AO109" s="282">
        <f t="shared" si="117"/>
        <v>0</v>
      </c>
      <c r="AP109" s="282">
        <f t="shared" si="118"/>
        <v>0</v>
      </c>
      <c r="AQ109" s="282" t="e">
        <f>VLOOKUP(LEFT($A109,7)&amp;"1-00",MCP!#REF!,30,FALSE)</f>
        <v>#REF!</v>
      </c>
      <c r="AR109" s="282" t="e">
        <f>VLOOKUP(LEFT($A109,7)&amp;"1-00",MCP!#REF!,31,FALSE)</f>
        <v>#REF!</v>
      </c>
      <c r="AS109" s="282" t="e">
        <f>VLOOKUP($A109&amp;"-"&amp;$B109,MCP!#REF!,12,FALSE)</f>
        <v>#REF!</v>
      </c>
      <c r="AT109" s="282" t="e">
        <f t="shared" si="119"/>
        <v>#REF!</v>
      </c>
      <c r="AU109" s="282" t="e">
        <f t="shared" si="120"/>
        <v>#REF!</v>
      </c>
      <c r="AV109" s="282" t="e">
        <f t="shared" si="121"/>
        <v>#REF!</v>
      </c>
      <c r="AW109" s="282" t="e">
        <f>IF($U109="","",VLOOKUP(LEFT($A109,7)&amp;"1-00",MCP!#REF!,24,FALSE))</f>
        <v>#REF!</v>
      </c>
      <c r="AX109" s="282"/>
      <c r="AY109" s="282"/>
      <c r="BF109" s="175" t="e">
        <f t="shared" si="91"/>
        <v>#REF!</v>
      </c>
    </row>
    <row r="110" spans="1:58" x14ac:dyDescent="0.2">
      <c r="A110" s="282" t="str">
        <f t="shared" si="92"/>
        <v>6.1042.2</v>
      </c>
      <c r="B110" s="282" t="str">
        <f t="shared" si="93"/>
        <v>03</v>
      </c>
      <c r="C110" s="282" t="str">
        <f t="shared" si="94"/>
        <v>6.1042.2.03</v>
      </c>
      <c r="D110" s="161">
        <v>5.9406999999999996</v>
      </c>
      <c r="E110" s="161">
        <v>1.8E-3</v>
      </c>
      <c r="F110" s="282">
        <f t="shared" si="95"/>
        <v>6.7199999999999996E-2</v>
      </c>
      <c r="G110" s="161" t="s">
        <v>669</v>
      </c>
      <c r="H110" s="282">
        <f t="shared" si="96"/>
        <v>1.1976496126352037E-3</v>
      </c>
      <c r="I110" s="282" t="str">
        <f>A110&amp;"-"&amp;TEXT(MCP!$D$1,"00")</f>
        <v>6.1042.2-03</v>
      </c>
      <c r="J110" s="282">
        <f>IFERROR(VLOOKUP(I110,MCP!#REF!,10,FALSE),0)</f>
        <v>0</v>
      </c>
      <c r="K110" s="282">
        <f>IFERROR(VLOOKUP(I110,MCP!#REF!,19,FALSE),0)</f>
        <v>0</v>
      </c>
      <c r="N110" s="282" t="e">
        <f>IF($A110="","",VLOOKUP(LEFT($A110,7)&amp;"1-00",MCP!#REF!,N$1,FALSE))</f>
        <v>#REF!</v>
      </c>
      <c r="O110" s="282" t="e">
        <f>IF($A110="","",VLOOKUP(LEFT($A110,7)&amp;"1-00",MCP!#REF!,O$1,FALSE))</f>
        <v>#REF!</v>
      </c>
      <c r="P110" s="282" t="e">
        <f>IF($A110="","",VLOOKUP(LEFT($A110,7)&amp;"1-00",MCP!#REF!,P$1,FALSE))</f>
        <v>#REF!</v>
      </c>
      <c r="Q110" s="282" t="str">
        <f t="shared" si="97"/>
        <v/>
      </c>
      <c r="R110" s="282" t="str">
        <f t="shared" si="98"/>
        <v/>
      </c>
      <c r="S110" s="282" t="str">
        <f t="shared" si="99"/>
        <v/>
      </c>
      <c r="T110" s="282" t="e">
        <f>VLOOKUP(LEFT($A110,7)&amp;"1-00",MCP!#REF!,T$1,FALSE)</f>
        <v>#REF!</v>
      </c>
      <c r="U110" s="282" t="e">
        <f t="shared" si="100"/>
        <v>#REF!</v>
      </c>
      <c r="V110" s="282" t="e">
        <f t="shared" si="101"/>
        <v>#REF!</v>
      </c>
      <c r="W110" s="284" t="e">
        <f t="shared" si="102"/>
        <v>#REF!</v>
      </c>
      <c r="X110" s="161">
        <v>0.56940000000000002</v>
      </c>
      <c r="Y110" s="161">
        <v>0.51619999999999999</v>
      </c>
      <c r="Z110" s="284" t="e">
        <f t="shared" si="103"/>
        <v>#REF!</v>
      </c>
      <c r="AA110" s="282" t="e">
        <f t="shared" si="104"/>
        <v>#REF!</v>
      </c>
      <c r="AB110" s="282" t="e">
        <f t="shared" si="105"/>
        <v>#REF!</v>
      </c>
      <c r="AC110" s="282" t="e">
        <f t="shared" si="106"/>
        <v>#REF!</v>
      </c>
      <c r="AD110" s="282" t="e">
        <f t="shared" si="107"/>
        <v>#REF!</v>
      </c>
      <c r="AE110" s="282" t="e">
        <f t="shared" si="108"/>
        <v>#REF!</v>
      </c>
      <c r="AF110" s="282" t="e">
        <f t="shared" si="109"/>
        <v>#REF!</v>
      </c>
      <c r="AG110" s="282" t="e">
        <f t="shared" si="110"/>
        <v>#REF!</v>
      </c>
      <c r="AH110" s="282" t="e">
        <f t="shared" si="111"/>
        <v>#REF!</v>
      </c>
      <c r="AI110" s="282" t="e">
        <f t="shared" si="112"/>
        <v>#REF!</v>
      </c>
      <c r="AJ110" s="282" t="e">
        <f>IF(U110="","",VLOOKUP(LEFT(I110,6)&amp;".1-00",MCP!$AK$9:$AL$464,21,FALSE))</f>
        <v>#REF!</v>
      </c>
      <c r="AK110" s="283" t="e">
        <f t="shared" si="113"/>
        <v>#REF!</v>
      </c>
      <c r="AL110" s="284" t="e">
        <f t="shared" si="114"/>
        <v>#REF!</v>
      </c>
      <c r="AM110" s="285" t="e">
        <f t="shared" si="115"/>
        <v>#REF!</v>
      </c>
      <c r="AN110" s="282">
        <f t="shared" si="116"/>
        <v>0</v>
      </c>
      <c r="AO110" s="282">
        <f t="shared" si="117"/>
        <v>0</v>
      </c>
      <c r="AP110" s="282">
        <f t="shared" si="118"/>
        <v>0</v>
      </c>
      <c r="AQ110" s="282" t="e">
        <f>VLOOKUP(LEFT($A110,7)&amp;"1-00",MCP!#REF!,30,FALSE)</f>
        <v>#REF!</v>
      </c>
      <c r="AR110" s="282" t="e">
        <f>VLOOKUP(LEFT($A110,7)&amp;"1-00",MCP!#REF!,31,FALSE)</f>
        <v>#REF!</v>
      </c>
      <c r="AS110" s="282" t="e">
        <f>VLOOKUP($A110&amp;"-"&amp;$B110,MCP!#REF!,12,FALSE)</f>
        <v>#REF!</v>
      </c>
      <c r="AT110" s="282" t="e">
        <f t="shared" si="119"/>
        <v>#REF!</v>
      </c>
      <c r="AU110" s="282" t="e">
        <f t="shared" si="120"/>
        <v>#REF!</v>
      </c>
      <c r="AV110" s="282" t="e">
        <f t="shared" si="121"/>
        <v>#REF!</v>
      </c>
      <c r="AW110" s="282" t="e">
        <f>IF($U110="","",VLOOKUP(LEFT($A110,7)&amp;"1-00",MCP!#REF!,24,FALSE))</f>
        <v>#REF!</v>
      </c>
      <c r="AX110" s="282"/>
      <c r="AY110" s="282"/>
      <c r="BF110" s="175" t="e">
        <f t="shared" si="91"/>
        <v>#REF!</v>
      </c>
    </row>
    <row r="111" spans="1:58" x14ac:dyDescent="0.2">
      <c r="A111" s="282" t="str">
        <f t="shared" si="92"/>
        <v>6.1048.2</v>
      </c>
      <c r="B111" s="282" t="str">
        <f t="shared" si="93"/>
        <v>03</v>
      </c>
      <c r="C111" s="282" t="str">
        <f t="shared" si="94"/>
        <v>6.1048.2.03</v>
      </c>
      <c r="D111" s="161">
        <v>6.0888999999999998</v>
      </c>
      <c r="E111" s="161">
        <v>8.0000000000000004E-4</v>
      </c>
      <c r="F111" s="282">
        <f t="shared" si="95"/>
        <v>3.0599999999999999E-2</v>
      </c>
      <c r="G111" s="161" t="s">
        <v>891</v>
      </c>
      <c r="H111" s="282">
        <f t="shared" si="96"/>
        <v>5.4535830575353026E-4</v>
      </c>
      <c r="I111" s="282" t="str">
        <f>A111&amp;"-"&amp;TEXT(MCP!$D$1,"00")</f>
        <v>6.1048.2-03</v>
      </c>
      <c r="J111" s="282">
        <f>IFERROR(VLOOKUP(I111,MCP!#REF!,10,FALSE),0)</f>
        <v>0</v>
      </c>
      <c r="K111" s="282">
        <f>IFERROR(VLOOKUP(I111,MCP!#REF!,19,FALSE),0)</f>
        <v>0</v>
      </c>
      <c r="N111" s="282" t="e">
        <f>IF($A111="","",VLOOKUP(LEFT($A111,7)&amp;"1-00",MCP!#REF!,N$1,FALSE))</f>
        <v>#REF!</v>
      </c>
      <c r="O111" s="282" t="e">
        <f>IF($A111="","",VLOOKUP(LEFT($A111,7)&amp;"1-00",MCP!#REF!,O$1,FALSE))</f>
        <v>#REF!</v>
      </c>
      <c r="P111" s="282" t="e">
        <f>IF($A111="","",VLOOKUP(LEFT($A111,7)&amp;"1-00",MCP!#REF!,P$1,FALSE))</f>
        <v>#REF!</v>
      </c>
      <c r="Q111" s="282" t="str">
        <f t="shared" si="97"/>
        <v/>
      </c>
      <c r="R111" s="282" t="str">
        <f t="shared" si="98"/>
        <v/>
      </c>
      <c r="S111" s="282" t="str">
        <f t="shared" si="99"/>
        <v/>
      </c>
      <c r="T111" s="282" t="e">
        <f>VLOOKUP(LEFT($A111,7)&amp;"1-00",MCP!#REF!,T$1,FALSE)</f>
        <v>#REF!</v>
      </c>
      <c r="U111" s="282" t="e">
        <f t="shared" si="100"/>
        <v>#REF!</v>
      </c>
      <c r="V111" s="282" t="e">
        <f t="shared" si="101"/>
        <v>#REF!</v>
      </c>
      <c r="W111" s="284" t="e">
        <f t="shared" si="102"/>
        <v>#REF!</v>
      </c>
      <c r="X111" s="161">
        <v>1.3957999999999999</v>
      </c>
      <c r="Y111" s="161">
        <v>0.3508</v>
      </c>
      <c r="Z111" s="284" t="e">
        <f t="shared" si="103"/>
        <v>#REF!</v>
      </c>
      <c r="AA111" s="282" t="e">
        <f t="shared" si="104"/>
        <v>#REF!</v>
      </c>
      <c r="AB111" s="282" t="e">
        <f t="shared" si="105"/>
        <v>#REF!</v>
      </c>
      <c r="AC111" s="282" t="e">
        <f t="shared" si="106"/>
        <v>#REF!</v>
      </c>
      <c r="AD111" s="282" t="e">
        <f t="shared" si="107"/>
        <v>#REF!</v>
      </c>
      <c r="AE111" s="282" t="e">
        <f t="shared" si="108"/>
        <v>#REF!</v>
      </c>
      <c r="AF111" s="282" t="e">
        <f t="shared" si="109"/>
        <v>#REF!</v>
      </c>
      <c r="AG111" s="282" t="e">
        <f t="shared" si="110"/>
        <v>#REF!</v>
      </c>
      <c r="AH111" s="282" t="e">
        <f t="shared" si="111"/>
        <v>#REF!</v>
      </c>
      <c r="AI111" s="282" t="e">
        <f t="shared" si="112"/>
        <v>#REF!</v>
      </c>
      <c r="AJ111" s="282" t="e">
        <f>IF(U111="","",VLOOKUP(LEFT(I111,6)&amp;".1-00",MCP!$AK$9:$AL$464,21,FALSE))</f>
        <v>#REF!</v>
      </c>
      <c r="AK111" s="283" t="e">
        <f t="shared" si="113"/>
        <v>#REF!</v>
      </c>
      <c r="AL111" s="284" t="e">
        <f t="shared" si="114"/>
        <v>#REF!</v>
      </c>
      <c r="AM111" s="285" t="e">
        <f t="shared" si="115"/>
        <v>#REF!</v>
      </c>
      <c r="AN111" s="282">
        <f t="shared" si="116"/>
        <v>0</v>
      </c>
      <c r="AO111" s="282">
        <f t="shared" si="117"/>
        <v>0</v>
      </c>
      <c r="AP111" s="282">
        <f t="shared" si="118"/>
        <v>0</v>
      </c>
      <c r="AQ111" s="282" t="e">
        <f>VLOOKUP(LEFT($A111,7)&amp;"1-00",MCP!#REF!,30,FALSE)</f>
        <v>#REF!</v>
      </c>
      <c r="AR111" s="282" t="e">
        <f>VLOOKUP(LEFT($A111,7)&amp;"1-00",MCP!#REF!,31,FALSE)</f>
        <v>#REF!</v>
      </c>
      <c r="AS111" s="282" t="e">
        <f>VLOOKUP($A111&amp;"-"&amp;$B111,MCP!#REF!,12,FALSE)</f>
        <v>#REF!</v>
      </c>
      <c r="AT111" s="282" t="e">
        <f t="shared" si="119"/>
        <v>#REF!</v>
      </c>
      <c r="AU111" s="282" t="e">
        <f t="shared" si="120"/>
        <v>#REF!</v>
      </c>
      <c r="AV111" s="282" t="e">
        <f t="shared" si="121"/>
        <v>#REF!</v>
      </c>
      <c r="AW111" s="282" t="e">
        <f>IF($U111="","",VLOOKUP(LEFT($A111,7)&amp;"1-00",MCP!#REF!,24,FALSE))</f>
        <v>#REF!</v>
      </c>
      <c r="AX111" s="282"/>
      <c r="AY111" s="282"/>
      <c r="BF111" s="175" t="e">
        <f t="shared" si="91"/>
        <v>#REF!</v>
      </c>
    </row>
    <row r="112" spans="1:58" x14ac:dyDescent="0.2">
      <c r="A112" s="282"/>
      <c r="B112" s="282"/>
      <c r="C112" s="282"/>
      <c r="F112" s="282"/>
      <c r="H112" s="282"/>
      <c r="I112" s="282"/>
      <c r="J112" s="282"/>
      <c r="K112" s="282"/>
      <c r="M112" s="161">
        <v>0</v>
      </c>
      <c r="N112" s="282" t="str">
        <f>IF($A112="","",VLOOKUP(LEFT($A112,7)&amp;"1-00",MCP!#REF!,N$1,FALSE))</f>
        <v/>
      </c>
      <c r="O112" s="282" t="str">
        <f>IF($A112="","",VLOOKUP(LEFT($A112,7)&amp;"1-00",MCP!#REF!,O$1,FALSE))</f>
        <v/>
      </c>
      <c r="P112" s="282" t="str">
        <f>IF($A112="","",VLOOKUP(LEFT($A112,7)&amp;"1-00",MCP!#REF!,P$1,FALSE))</f>
        <v/>
      </c>
      <c r="Q112" s="282" t="str">
        <f t="shared" si="97"/>
        <v/>
      </c>
      <c r="R112" s="282" t="str">
        <f t="shared" si="98"/>
        <v/>
      </c>
      <c r="S112" s="282" t="str">
        <f t="shared" si="99"/>
        <v/>
      </c>
      <c r="T112" s="282" t="e">
        <f>VLOOKUP(LEFT($A112,7)&amp;"1-00",MCP!#REF!,T$1,FALSE)</f>
        <v>#REF!</v>
      </c>
      <c r="U112" s="282" t="str">
        <f t="shared" si="100"/>
        <v/>
      </c>
      <c r="V112" s="282" t="str">
        <f t="shared" si="101"/>
        <v/>
      </c>
      <c r="W112" s="284" t="str">
        <f t="shared" si="102"/>
        <v/>
      </c>
      <c r="X112" s="161">
        <v>0.13350000000000001</v>
      </c>
      <c r="Y112" s="161">
        <v>0.75729999999999997</v>
      </c>
      <c r="Z112" s="284" t="str">
        <f t="shared" si="103"/>
        <v/>
      </c>
      <c r="AA112" s="282" t="str">
        <f t="shared" si="104"/>
        <v/>
      </c>
      <c r="AB112" s="282" t="str">
        <f t="shared" si="105"/>
        <v/>
      </c>
      <c r="AC112" s="282" t="str">
        <f t="shared" si="106"/>
        <v/>
      </c>
      <c r="AD112" s="282" t="str">
        <f t="shared" si="107"/>
        <v/>
      </c>
      <c r="AE112" s="282" t="str">
        <f t="shared" si="108"/>
        <v/>
      </c>
      <c r="AF112" s="282" t="str">
        <f t="shared" si="109"/>
        <v/>
      </c>
      <c r="AG112" s="282" t="str">
        <f t="shared" si="110"/>
        <v/>
      </c>
      <c r="AH112" s="282" t="str">
        <f t="shared" si="111"/>
        <v/>
      </c>
      <c r="AI112" s="282" t="str">
        <f t="shared" si="112"/>
        <v/>
      </c>
      <c r="AJ112" s="282" t="str">
        <f>IF(U112="","",VLOOKUP(LEFT(I112,6)&amp;".1-00",MCP!$AK$9:$AL$464,21,FALSE))</f>
        <v/>
      </c>
      <c r="AK112" s="283" t="str">
        <f t="shared" si="113"/>
        <v/>
      </c>
      <c r="AL112" s="284" t="str">
        <f t="shared" si="114"/>
        <v/>
      </c>
      <c r="AM112" s="285" t="str">
        <f t="shared" si="115"/>
        <v/>
      </c>
      <c r="AN112" s="282">
        <f t="shared" si="116"/>
        <v>0</v>
      </c>
      <c r="AO112" s="282">
        <f t="shared" si="117"/>
        <v>0</v>
      </c>
      <c r="AP112" s="282">
        <f t="shared" si="118"/>
        <v>0</v>
      </c>
      <c r="AQ112" s="282" t="e">
        <f>VLOOKUP(LEFT($A112,7)&amp;"1-00",MCP!#REF!,30,FALSE)</f>
        <v>#REF!</v>
      </c>
      <c r="AR112" s="282" t="e">
        <f>VLOOKUP(LEFT($A112,7)&amp;"1-00",MCP!#REF!,31,FALSE)</f>
        <v>#REF!</v>
      </c>
      <c r="AS112" s="282" t="e">
        <f>VLOOKUP($A112&amp;"-"&amp;$B112,MCP!#REF!,12,FALSE)</f>
        <v>#REF!</v>
      </c>
      <c r="AT112" s="282" t="str">
        <f t="shared" si="119"/>
        <v/>
      </c>
      <c r="AU112" s="282" t="str">
        <f t="shared" si="120"/>
        <v/>
      </c>
      <c r="AV112" s="282" t="str">
        <f t="shared" si="121"/>
        <v/>
      </c>
      <c r="AW112" s="282" t="str">
        <f>IF($U112="","",VLOOKUP(LEFT($A112,7)&amp;"1-00",MCP!#REF!,24,FALSE))</f>
        <v/>
      </c>
      <c r="AX112" s="282">
        <v>0</v>
      </c>
      <c r="AY112" s="282">
        <v>0</v>
      </c>
      <c r="BF112" s="175" t="str">
        <f t="shared" si="91"/>
        <v/>
      </c>
    </row>
    <row r="113" spans="1:58" x14ac:dyDescent="0.2">
      <c r="A113" s="282"/>
      <c r="B113" s="282"/>
      <c r="C113" s="282"/>
      <c r="F113" s="282"/>
      <c r="H113" s="282"/>
      <c r="I113" s="282"/>
      <c r="J113" s="282"/>
      <c r="K113" s="282"/>
      <c r="N113" s="282" t="str">
        <f>IF($A113="","",VLOOKUP(LEFT($A113,7)&amp;"1-00",MCP!#REF!,N$1,FALSE))</f>
        <v/>
      </c>
      <c r="O113" s="282" t="str">
        <f>IF($A113="","",VLOOKUP(LEFT($A113,7)&amp;"1-00",MCP!#REF!,O$1,FALSE))</f>
        <v/>
      </c>
      <c r="P113" s="282" t="str">
        <f>IF($A113="","",VLOOKUP(LEFT($A113,7)&amp;"1-00",MCP!#REF!,P$1,FALSE))</f>
        <v/>
      </c>
      <c r="Q113" s="282" t="str">
        <f t="shared" si="97"/>
        <v/>
      </c>
      <c r="R113" s="282" t="str">
        <f t="shared" si="98"/>
        <v/>
      </c>
      <c r="S113" s="282" t="str">
        <f t="shared" si="99"/>
        <v/>
      </c>
      <c r="T113" s="282" t="e">
        <f>VLOOKUP(LEFT($A113,7)&amp;"1-00",MCP!#REF!,T$1,FALSE)</f>
        <v>#REF!</v>
      </c>
      <c r="U113" s="282" t="str">
        <f t="shared" si="100"/>
        <v/>
      </c>
      <c r="V113" s="282" t="str">
        <f t="shared" si="101"/>
        <v/>
      </c>
      <c r="W113" s="284" t="str">
        <f t="shared" si="102"/>
        <v/>
      </c>
      <c r="X113" s="161">
        <v>0.72960000000000003</v>
      </c>
      <c r="Y113" s="284">
        <v>1.6980999999999999</v>
      </c>
      <c r="Z113" s="284" t="str">
        <f t="shared" si="103"/>
        <v/>
      </c>
      <c r="AA113" s="282" t="str">
        <f t="shared" si="104"/>
        <v/>
      </c>
      <c r="AB113" s="282" t="str">
        <f t="shared" si="105"/>
        <v/>
      </c>
      <c r="AC113" s="282" t="str">
        <f t="shared" si="106"/>
        <v/>
      </c>
      <c r="AD113" s="282" t="str">
        <f t="shared" si="107"/>
        <v/>
      </c>
      <c r="AE113" s="282" t="str">
        <f t="shared" si="108"/>
        <v/>
      </c>
      <c r="AF113" s="282" t="str">
        <f t="shared" si="109"/>
        <v/>
      </c>
      <c r="AG113" s="282" t="str">
        <f t="shared" si="110"/>
        <v/>
      </c>
      <c r="AH113" s="282" t="str">
        <f t="shared" si="111"/>
        <v/>
      </c>
      <c r="AI113" s="282" t="str">
        <f t="shared" si="112"/>
        <v/>
      </c>
      <c r="AJ113" s="282" t="str">
        <f>IF(U113="","",VLOOKUP(LEFT(I113,6)&amp;".1-00",MCP!$AK$9:$AL$464,21,FALSE))</f>
        <v/>
      </c>
      <c r="AK113" s="283" t="str">
        <f t="shared" si="113"/>
        <v/>
      </c>
      <c r="AL113" s="284" t="str">
        <f t="shared" si="114"/>
        <v/>
      </c>
      <c r="AM113" s="285" t="str">
        <f t="shared" si="115"/>
        <v/>
      </c>
      <c r="AN113" s="282">
        <f t="shared" si="116"/>
        <v>0</v>
      </c>
      <c r="AO113" s="282">
        <f t="shared" si="117"/>
        <v>0</v>
      </c>
      <c r="AP113" s="282">
        <f t="shared" si="118"/>
        <v>0</v>
      </c>
      <c r="AQ113" s="282" t="e">
        <f>VLOOKUP(LEFT($A113,7)&amp;"1-00",MCP!#REF!,30,FALSE)</f>
        <v>#REF!</v>
      </c>
      <c r="AR113" s="282" t="e">
        <f>VLOOKUP(LEFT($A113,7)&amp;"1-00",MCP!#REF!,31,FALSE)</f>
        <v>#REF!</v>
      </c>
      <c r="AS113" s="282" t="e">
        <f>VLOOKUP($A113&amp;"-"&amp;$B113,MCP!#REF!,12,FALSE)</f>
        <v>#REF!</v>
      </c>
      <c r="AT113" s="282" t="str">
        <f t="shared" si="119"/>
        <v/>
      </c>
      <c r="AU113" s="282" t="str">
        <f t="shared" si="120"/>
        <v/>
      </c>
      <c r="AV113" s="282" t="str">
        <f t="shared" si="121"/>
        <v/>
      </c>
      <c r="AW113" s="282" t="str">
        <f>IF($U113="","",VLOOKUP(LEFT($A113,7)&amp;"1-00",MCP!#REF!,24,FALSE))</f>
        <v/>
      </c>
      <c r="AX113" s="282"/>
      <c r="AY113" s="282"/>
      <c r="BF113" s="175" t="str">
        <f t="shared" si="91"/>
        <v/>
      </c>
    </row>
    <row r="114" spans="1:58" x14ac:dyDescent="0.2">
      <c r="A114" s="282"/>
      <c r="B114" s="282"/>
      <c r="C114" s="282"/>
      <c r="F114" s="282"/>
      <c r="H114" s="282"/>
      <c r="I114" s="282"/>
      <c r="J114" s="282"/>
      <c r="K114" s="282"/>
      <c r="M114" s="161">
        <v>0</v>
      </c>
      <c r="N114" s="282" t="str">
        <f>IF($A114="","",VLOOKUP(LEFT($A114,7)&amp;"1-00",MCP!#REF!,N$1,FALSE))</f>
        <v/>
      </c>
      <c r="O114" s="282" t="str">
        <f>IF($A114="","",VLOOKUP(LEFT($A114,7)&amp;"1-00",MCP!#REF!,O$1,FALSE))</f>
        <v/>
      </c>
      <c r="P114" s="282" t="str">
        <f>IF($A114="","",VLOOKUP(LEFT($A114,7)&amp;"1-00",MCP!#REF!,P$1,FALSE))</f>
        <v/>
      </c>
      <c r="Q114" s="282" t="str">
        <f t="shared" si="97"/>
        <v/>
      </c>
      <c r="R114" s="282" t="str">
        <f t="shared" si="98"/>
        <v/>
      </c>
      <c r="S114" s="282" t="str">
        <f t="shared" si="99"/>
        <v/>
      </c>
      <c r="T114" s="282" t="e">
        <f>VLOOKUP(LEFT($A114,7)&amp;"1-00",MCP!#REF!,T$1,FALSE)</f>
        <v>#REF!</v>
      </c>
      <c r="U114" s="282" t="str">
        <f t="shared" si="100"/>
        <v/>
      </c>
      <c r="V114" s="282" t="str">
        <f t="shared" si="101"/>
        <v/>
      </c>
      <c r="W114" s="284" t="str">
        <f t="shared" si="102"/>
        <v/>
      </c>
      <c r="X114" s="161">
        <v>0.3795</v>
      </c>
      <c r="Y114" s="161">
        <v>1.3212999999999999</v>
      </c>
      <c r="Z114" s="284" t="str">
        <f t="shared" si="103"/>
        <v/>
      </c>
      <c r="AA114" s="282" t="str">
        <f t="shared" si="104"/>
        <v/>
      </c>
      <c r="AB114" s="282" t="str">
        <f t="shared" si="105"/>
        <v/>
      </c>
      <c r="AC114" s="282" t="str">
        <f t="shared" si="106"/>
        <v/>
      </c>
      <c r="AD114" s="282" t="str">
        <f t="shared" si="107"/>
        <v/>
      </c>
      <c r="AE114" s="282" t="str">
        <f t="shared" si="108"/>
        <v/>
      </c>
      <c r="AF114" s="282" t="str">
        <f t="shared" si="109"/>
        <v/>
      </c>
      <c r="AG114" s="282" t="str">
        <f t="shared" si="110"/>
        <v/>
      </c>
      <c r="AH114" s="282" t="str">
        <f t="shared" si="111"/>
        <v/>
      </c>
      <c r="AI114" s="282" t="str">
        <f t="shared" si="112"/>
        <v/>
      </c>
      <c r="AJ114" s="282" t="str">
        <f>IF(U114="","",VLOOKUP(LEFT(I114,6)&amp;".1-00",MCP!$AK$9:$AL$464,21,FALSE))</f>
        <v/>
      </c>
      <c r="AK114" s="283" t="str">
        <f t="shared" si="113"/>
        <v/>
      </c>
      <c r="AL114" s="284" t="str">
        <f t="shared" si="114"/>
        <v/>
      </c>
      <c r="AM114" s="285" t="str">
        <f t="shared" si="115"/>
        <v/>
      </c>
      <c r="AN114" s="282">
        <f t="shared" si="116"/>
        <v>0</v>
      </c>
      <c r="AO114" s="282">
        <f t="shared" si="117"/>
        <v>0</v>
      </c>
      <c r="AP114" s="282">
        <f t="shared" si="118"/>
        <v>0</v>
      </c>
      <c r="AQ114" s="282" t="e">
        <f>VLOOKUP(LEFT($A114,7)&amp;"1-00",MCP!#REF!,30,FALSE)</f>
        <v>#REF!</v>
      </c>
      <c r="AR114" s="282" t="e">
        <f>VLOOKUP(LEFT($A114,7)&amp;"1-00",MCP!#REF!,31,FALSE)</f>
        <v>#REF!</v>
      </c>
      <c r="AS114" s="282" t="e">
        <f>VLOOKUP($A114&amp;"-"&amp;$B114,MCP!#REF!,12,FALSE)</f>
        <v>#REF!</v>
      </c>
      <c r="AT114" s="282" t="str">
        <f t="shared" si="119"/>
        <v/>
      </c>
      <c r="AU114" s="282" t="str">
        <f t="shared" si="120"/>
        <v/>
      </c>
      <c r="AV114" s="282" t="str">
        <f t="shared" si="121"/>
        <v/>
      </c>
      <c r="AW114" s="282" t="str">
        <f>IF($U114="","",VLOOKUP(LEFT($A114,7)&amp;"1-00",MCP!#REF!,24,FALSE))</f>
        <v/>
      </c>
      <c r="AX114" s="282">
        <v>0</v>
      </c>
      <c r="AY114" s="282">
        <v>0</v>
      </c>
      <c r="BF114" s="175" t="str">
        <f t="shared" si="91"/>
        <v/>
      </c>
    </row>
    <row r="115" spans="1:58" x14ac:dyDescent="0.2">
      <c r="A115" s="282"/>
      <c r="B115" s="282"/>
      <c r="C115" s="282"/>
      <c r="F115" s="282"/>
      <c r="H115" s="282"/>
      <c r="I115" s="282"/>
      <c r="J115" s="282"/>
      <c r="K115" s="282"/>
      <c r="N115" s="282" t="str">
        <f>IF($A115="","",VLOOKUP(LEFT($A115,7)&amp;"1-00",MCP!#REF!,N$1,FALSE))</f>
        <v/>
      </c>
      <c r="O115" s="282" t="str">
        <f>IF($A115="","",VLOOKUP(LEFT($A115,7)&amp;"1-00",MCP!#REF!,O$1,FALSE))</f>
        <v/>
      </c>
      <c r="P115" s="282" t="str">
        <f>IF($A115="","",VLOOKUP(LEFT($A115,7)&amp;"1-00",MCP!#REF!,P$1,FALSE))</f>
        <v/>
      </c>
      <c r="Q115" s="282" t="str">
        <f t="shared" si="97"/>
        <v/>
      </c>
      <c r="R115" s="282" t="str">
        <f t="shared" si="98"/>
        <v/>
      </c>
      <c r="S115" s="282" t="str">
        <f t="shared" si="99"/>
        <v/>
      </c>
      <c r="T115" s="282" t="e">
        <f>VLOOKUP(LEFT($A115,7)&amp;"1-00",MCP!#REF!,T$1,FALSE)</f>
        <v>#REF!</v>
      </c>
      <c r="U115" s="282" t="str">
        <f t="shared" si="100"/>
        <v/>
      </c>
      <c r="V115" s="282" t="str">
        <f t="shared" si="101"/>
        <v/>
      </c>
      <c r="W115" s="284" t="str">
        <f t="shared" si="102"/>
        <v/>
      </c>
      <c r="X115" s="161">
        <v>0.72960000000000003</v>
      </c>
      <c r="Y115" s="161">
        <v>1.6980999999999999</v>
      </c>
      <c r="Z115" s="284" t="str">
        <f t="shared" si="103"/>
        <v/>
      </c>
      <c r="AA115" s="282" t="str">
        <f t="shared" si="104"/>
        <v/>
      </c>
      <c r="AB115" s="282" t="str">
        <f t="shared" si="105"/>
        <v/>
      </c>
      <c r="AC115" s="282" t="str">
        <f t="shared" si="106"/>
        <v/>
      </c>
      <c r="AD115" s="282" t="str">
        <f t="shared" si="107"/>
        <v/>
      </c>
      <c r="AE115" s="282" t="str">
        <f t="shared" si="108"/>
        <v/>
      </c>
      <c r="AF115" s="282" t="str">
        <f t="shared" si="109"/>
        <v/>
      </c>
      <c r="AG115" s="282" t="str">
        <f t="shared" si="110"/>
        <v/>
      </c>
      <c r="AH115" s="282" t="str">
        <f t="shared" si="111"/>
        <v/>
      </c>
      <c r="AI115" s="282" t="str">
        <f t="shared" si="112"/>
        <v/>
      </c>
      <c r="AJ115" s="282" t="str">
        <f>IF(U115="","",VLOOKUP(LEFT(I115,6)&amp;".1-00",MCP!$AK$9:$AL$464,21,FALSE))</f>
        <v/>
      </c>
      <c r="AK115" s="283" t="str">
        <f t="shared" si="113"/>
        <v/>
      </c>
      <c r="AL115" s="284" t="str">
        <f t="shared" si="114"/>
        <v/>
      </c>
      <c r="AM115" s="285" t="str">
        <f t="shared" si="115"/>
        <v/>
      </c>
      <c r="AN115" s="282">
        <f t="shared" si="116"/>
        <v>0</v>
      </c>
      <c r="AO115" s="282">
        <f t="shared" si="117"/>
        <v>0</v>
      </c>
      <c r="AP115" s="282">
        <f t="shared" si="118"/>
        <v>0</v>
      </c>
      <c r="AQ115" s="282" t="e">
        <f>VLOOKUP(LEFT($A115,7)&amp;"1-00",MCP!#REF!,30,FALSE)</f>
        <v>#REF!</v>
      </c>
      <c r="AR115" s="282" t="e">
        <f>VLOOKUP(LEFT($A115,7)&amp;"1-00",MCP!#REF!,31,FALSE)</f>
        <v>#REF!</v>
      </c>
      <c r="AS115" s="282" t="e">
        <f>VLOOKUP($A115&amp;"-"&amp;$B115,MCP!#REF!,12,FALSE)</f>
        <v>#REF!</v>
      </c>
      <c r="AT115" s="282" t="str">
        <f t="shared" si="119"/>
        <v/>
      </c>
      <c r="AU115" s="282" t="str">
        <f t="shared" si="120"/>
        <v/>
      </c>
      <c r="AV115" s="282" t="str">
        <f t="shared" si="121"/>
        <v/>
      </c>
      <c r="AW115" s="282" t="str">
        <f>IF($U115="","",VLOOKUP(LEFT($A115,7)&amp;"1-00",MCP!#REF!,24,FALSE))</f>
        <v/>
      </c>
      <c r="AX115" s="282"/>
      <c r="AY115" s="282"/>
      <c r="BF115" s="175" t="str">
        <f t="shared" si="91"/>
        <v/>
      </c>
    </row>
    <row r="116" spans="1:58" x14ac:dyDescent="0.2">
      <c r="A116" s="282"/>
      <c r="B116" s="282"/>
      <c r="C116" s="282"/>
      <c r="F116" s="282"/>
      <c r="H116" s="282"/>
      <c r="I116" s="282"/>
      <c r="J116" s="282"/>
      <c r="K116" s="282"/>
      <c r="M116" s="161">
        <v>0</v>
      </c>
      <c r="N116" s="282" t="str">
        <f>IF($A116="","",VLOOKUP(LEFT($A116,7)&amp;"1-00",MCP!#REF!,N$1,FALSE))</f>
        <v/>
      </c>
      <c r="O116" s="282" t="str">
        <f>IF($A116="","",VLOOKUP(LEFT($A116,7)&amp;"1-00",MCP!#REF!,O$1,FALSE))</f>
        <v/>
      </c>
      <c r="P116" s="282" t="str">
        <f>IF($A116="","",VLOOKUP(LEFT($A116,7)&amp;"1-00",MCP!#REF!,P$1,FALSE))</f>
        <v/>
      </c>
      <c r="Q116" s="282" t="str">
        <f t="shared" si="97"/>
        <v/>
      </c>
      <c r="R116" s="282" t="str">
        <f t="shared" si="98"/>
        <v/>
      </c>
      <c r="S116" s="282" t="str">
        <f t="shared" si="99"/>
        <v/>
      </c>
      <c r="T116" s="282" t="e">
        <f>VLOOKUP(LEFT($A116,7)&amp;"1-00",MCP!#REF!,T$1,FALSE)</f>
        <v>#REF!</v>
      </c>
      <c r="U116" s="282" t="str">
        <f t="shared" si="100"/>
        <v/>
      </c>
      <c r="V116" s="282" t="str">
        <f t="shared" si="101"/>
        <v/>
      </c>
      <c r="W116" s="284" t="str">
        <f t="shared" si="102"/>
        <v/>
      </c>
      <c r="X116" s="161">
        <v>0.3795</v>
      </c>
      <c r="Y116" s="268">
        <v>1.3212999999999999</v>
      </c>
      <c r="Z116" s="284" t="str">
        <f t="shared" si="103"/>
        <v/>
      </c>
      <c r="AA116" s="282" t="str">
        <f t="shared" si="104"/>
        <v/>
      </c>
      <c r="AB116" s="282" t="str">
        <f t="shared" si="105"/>
        <v/>
      </c>
      <c r="AC116" s="282" t="str">
        <f t="shared" si="106"/>
        <v/>
      </c>
      <c r="AD116" s="282" t="str">
        <f t="shared" si="107"/>
        <v/>
      </c>
      <c r="AE116" s="282" t="str">
        <f t="shared" si="108"/>
        <v/>
      </c>
      <c r="AF116" s="282" t="str">
        <f t="shared" si="109"/>
        <v/>
      </c>
      <c r="AG116" s="282" t="str">
        <f t="shared" si="110"/>
        <v/>
      </c>
      <c r="AH116" s="282" t="str">
        <f t="shared" si="111"/>
        <v/>
      </c>
      <c r="AI116" s="282" t="str">
        <f t="shared" si="112"/>
        <v/>
      </c>
      <c r="AJ116" s="282" t="str">
        <f>IF(U116="","",VLOOKUP(LEFT(I116,6)&amp;".1-00",MCP!$AK$9:$AL$464,21,FALSE))</f>
        <v/>
      </c>
      <c r="AK116" s="283" t="str">
        <f t="shared" si="113"/>
        <v/>
      </c>
      <c r="AL116" s="284" t="str">
        <f t="shared" si="114"/>
        <v/>
      </c>
      <c r="AM116" s="285" t="str">
        <f t="shared" si="115"/>
        <v/>
      </c>
      <c r="AN116" s="282">
        <f t="shared" si="116"/>
        <v>0</v>
      </c>
      <c r="AO116" s="282">
        <f t="shared" si="117"/>
        <v>0</v>
      </c>
      <c r="AP116" s="282">
        <f t="shared" si="118"/>
        <v>0</v>
      </c>
      <c r="AQ116" s="282" t="e">
        <f>VLOOKUP(LEFT($A116,7)&amp;"1-00",MCP!#REF!,30,FALSE)</f>
        <v>#REF!</v>
      </c>
      <c r="AR116" s="282" t="e">
        <f>VLOOKUP(LEFT($A116,7)&amp;"1-00",MCP!#REF!,31,FALSE)</f>
        <v>#REF!</v>
      </c>
      <c r="AS116" s="282" t="e">
        <f>VLOOKUP($A116&amp;"-"&amp;$B116,MCP!#REF!,12,FALSE)</f>
        <v>#REF!</v>
      </c>
      <c r="AT116" s="282" t="str">
        <f t="shared" si="119"/>
        <v/>
      </c>
      <c r="AU116" s="282" t="str">
        <f t="shared" si="120"/>
        <v/>
      </c>
      <c r="AV116" s="282" t="str">
        <f t="shared" si="121"/>
        <v/>
      </c>
      <c r="AW116" s="282" t="str">
        <f>IF($U116="","",VLOOKUP(LEFT($A116,7)&amp;"1-00",MCP!#REF!,24,FALSE))</f>
        <v/>
      </c>
      <c r="AX116" s="282">
        <v>0</v>
      </c>
      <c r="AY116" s="282">
        <v>0</v>
      </c>
      <c r="BF116" s="175" t="str">
        <f t="shared" si="91"/>
        <v/>
      </c>
    </row>
    <row r="117" spans="1:58" x14ac:dyDescent="0.2">
      <c r="A117" s="266"/>
      <c r="B117" s="266"/>
      <c r="C117" s="266"/>
      <c r="F117" s="266"/>
      <c r="H117" s="266"/>
      <c r="I117" s="266"/>
      <c r="J117" s="266"/>
      <c r="K117" s="266"/>
      <c r="N117" s="266"/>
      <c r="O117" s="266"/>
      <c r="P117" s="266"/>
      <c r="Q117" s="266"/>
      <c r="R117" s="266"/>
      <c r="S117" s="266"/>
      <c r="T117" s="266"/>
      <c r="U117" s="266"/>
      <c r="V117" s="266"/>
      <c r="W117" s="268"/>
      <c r="Y117" s="190"/>
      <c r="Z117" s="268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7"/>
      <c r="AL117" s="268"/>
      <c r="AM117" s="269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BF117" s="175" t="str">
        <f t="shared" si="91"/>
        <v/>
      </c>
    </row>
    <row r="118" spans="1:58" x14ac:dyDescent="0.2">
      <c r="A118" s="266"/>
      <c r="B118" s="266"/>
      <c r="C118" s="266"/>
      <c r="F118" s="266"/>
      <c r="H118" s="266"/>
      <c r="I118" s="266"/>
      <c r="J118" s="266"/>
      <c r="K118" s="266"/>
      <c r="N118" s="266"/>
      <c r="O118" s="266"/>
      <c r="P118" s="266"/>
      <c r="Q118" s="266"/>
      <c r="R118" s="266"/>
      <c r="S118" s="266"/>
      <c r="T118" s="266"/>
      <c r="U118" s="266"/>
      <c r="V118" s="266"/>
      <c r="W118" s="268"/>
      <c r="Y118" s="190"/>
      <c r="Z118" s="268"/>
      <c r="AA118" s="266"/>
      <c r="AB118" s="266"/>
      <c r="AC118" s="266"/>
      <c r="AD118" s="266"/>
      <c r="AE118" s="266"/>
      <c r="AF118" s="266"/>
      <c r="AG118" s="266"/>
      <c r="AH118" s="266"/>
      <c r="AI118" s="266"/>
      <c r="AJ118" s="266"/>
      <c r="AK118" s="267"/>
      <c r="AL118" s="268"/>
      <c r="AM118" s="269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>
        <v>0</v>
      </c>
      <c r="AY118" s="266">
        <v>0</v>
      </c>
      <c r="BF118" s="175" t="str">
        <f t="shared" si="91"/>
        <v/>
      </c>
    </row>
    <row r="119" spans="1:58" x14ac:dyDescent="0.2">
      <c r="A119" s="266"/>
      <c r="B119" s="266"/>
      <c r="C119" s="266"/>
      <c r="F119" s="266"/>
      <c r="H119" s="266"/>
      <c r="I119" s="266"/>
      <c r="J119" s="266"/>
      <c r="K119" s="266"/>
      <c r="N119" s="266"/>
      <c r="O119" s="266"/>
      <c r="P119" s="266"/>
      <c r="Q119" s="266"/>
      <c r="R119" s="266"/>
      <c r="S119" s="266"/>
      <c r="T119" s="266"/>
      <c r="U119" s="266"/>
      <c r="V119" s="266"/>
      <c r="W119" s="268"/>
      <c r="Y119" s="190"/>
      <c r="Z119" s="268"/>
      <c r="AA119" s="266"/>
      <c r="AB119" s="266"/>
      <c r="AC119" s="266"/>
      <c r="AD119" s="266"/>
      <c r="AE119" s="266"/>
      <c r="AF119" s="266"/>
      <c r="AG119" s="266"/>
      <c r="AH119" s="266"/>
      <c r="AI119" s="266"/>
      <c r="AJ119" s="266"/>
      <c r="AK119" s="267"/>
      <c r="AL119" s="268"/>
      <c r="AM119" s="269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BF119" s="175" t="str">
        <f t="shared" si="91"/>
        <v/>
      </c>
    </row>
    <row r="120" spans="1:58" x14ac:dyDescent="0.2">
      <c r="A120" s="266"/>
      <c r="B120" s="266"/>
      <c r="C120" s="266"/>
      <c r="F120" s="266"/>
      <c r="H120" s="266"/>
      <c r="I120" s="266"/>
      <c r="J120" s="266"/>
      <c r="K120" s="266"/>
      <c r="N120" s="266"/>
      <c r="O120" s="266"/>
      <c r="P120" s="266"/>
      <c r="Q120" s="266"/>
      <c r="R120" s="266"/>
      <c r="S120" s="266"/>
      <c r="T120" s="266"/>
      <c r="U120" s="266"/>
      <c r="V120" s="266"/>
      <c r="W120" s="268"/>
      <c r="Y120" s="266"/>
      <c r="Z120" s="268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7"/>
      <c r="AL120" s="268"/>
      <c r="AM120" s="269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>
        <v>0</v>
      </c>
      <c r="AY120" s="266">
        <v>0</v>
      </c>
      <c r="BF120" s="175" t="str">
        <f t="shared" si="91"/>
        <v/>
      </c>
    </row>
    <row r="121" spans="1:58" x14ac:dyDescent="0.2">
      <c r="A121" s="266"/>
      <c r="B121" s="266"/>
      <c r="C121" s="266"/>
      <c r="F121" s="266"/>
      <c r="H121" s="266"/>
      <c r="I121" s="266"/>
      <c r="J121" s="266"/>
      <c r="K121" s="266"/>
      <c r="N121" s="266"/>
      <c r="O121" s="266"/>
      <c r="P121" s="266"/>
      <c r="Q121" s="266"/>
      <c r="R121" s="266"/>
      <c r="S121" s="266"/>
      <c r="T121" s="266"/>
      <c r="U121" s="266"/>
      <c r="V121" s="266"/>
      <c r="W121" s="268"/>
      <c r="Y121" s="266"/>
      <c r="Z121" s="268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7"/>
      <c r="AL121" s="268"/>
      <c r="AM121" s="269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BF121" s="175" t="str">
        <f t="shared" si="91"/>
        <v/>
      </c>
    </row>
    <row r="122" spans="1:58" x14ac:dyDescent="0.2">
      <c r="A122" s="266"/>
      <c r="B122" s="266"/>
      <c r="C122" s="266"/>
      <c r="F122" s="266"/>
      <c r="H122" s="266"/>
      <c r="I122" s="266"/>
      <c r="J122" s="266"/>
      <c r="K122" s="266"/>
      <c r="N122" s="266"/>
      <c r="O122" s="266"/>
      <c r="P122" s="266"/>
      <c r="Q122" s="266"/>
      <c r="R122" s="266"/>
      <c r="S122" s="266"/>
      <c r="T122" s="266"/>
      <c r="U122" s="266"/>
      <c r="V122" s="266"/>
      <c r="W122" s="268"/>
      <c r="Y122" s="266"/>
      <c r="Z122" s="268"/>
      <c r="AA122" s="266"/>
      <c r="AB122" s="266"/>
      <c r="AC122" s="266"/>
      <c r="AD122" s="266"/>
      <c r="AE122" s="266"/>
      <c r="AF122" s="266"/>
      <c r="AG122" s="266"/>
      <c r="AH122" s="266"/>
      <c r="AI122" s="266"/>
      <c r="AJ122" s="266"/>
      <c r="AK122" s="267"/>
      <c r="AL122" s="268"/>
      <c r="AM122" s="269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>
        <v>0</v>
      </c>
      <c r="AY122" s="266">
        <v>0</v>
      </c>
      <c r="BF122" s="175" t="str">
        <f t="shared" si="91"/>
        <v/>
      </c>
    </row>
    <row r="123" spans="1:58" x14ac:dyDescent="0.2">
      <c r="A123" s="266"/>
      <c r="B123" s="266"/>
      <c r="C123" s="266"/>
      <c r="F123" s="266"/>
      <c r="H123" s="266"/>
      <c r="I123" s="266"/>
      <c r="J123" s="266"/>
      <c r="K123" s="266"/>
      <c r="N123" s="266"/>
      <c r="O123" s="266"/>
      <c r="P123" s="266"/>
      <c r="Q123" s="266"/>
      <c r="R123" s="266"/>
      <c r="S123" s="266"/>
      <c r="T123" s="266"/>
      <c r="U123" s="266"/>
      <c r="V123" s="266"/>
      <c r="W123" s="268"/>
      <c r="Y123" s="268"/>
      <c r="Z123" s="268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7"/>
      <c r="AL123" s="268"/>
      <c r="AM123" s="269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BF123" s="175" t="str">
        <f t="shared" si="91"/>
        <v/>
      </c>
    </row>
    <row r="124" spans="1:58" x14ac:dyDescent="0.2">
      <c r="A124" s="266"/>
      <c r="B124" s="266"/>
      <c r="C124" s="266"/>
      <c r="F124" s="266"/>
      <c r="H124" s="266"/>
      <c r="I124" s="266"/>
      <c r="J124" s="266"/>
      <c r="K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8"/>
      <c r="Y124" s="190"/>
      <c r="Z124" s="268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7"/>
      <c r="AL124" s="268"/>
      <c r="AM124" s="269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>
        <v>0</v>
      </c>
      <c r="AY124" s="266">
        <v>0</v>
      </c>
      <c r="BF124" s="175" t="str">
        <f t="shared" si="91"/>
        <v/>
      </c>
    </row>
    <row r="125" spans="1:58" x14ac:dyDescent="0.2">
      <c r="A125" s="266"/>
      <c r="B125" s="266"/>
      <c r="C125" s="266"/>
      <c r="F125" s="266"/>
      <c r="H125" s="266"/>
      <c r="I125" s="266"/>
      <c r="J125" s="266"/>
      <c r="K125" s="266"/>
      <c r="N125" s="266"/>
      <c r="O125" s="266"/>
      <c r="P125" s="266"/>
      <c r="Q125" s="266"/>
      <c r="R125" s="266"/>
      <c r="S125" s="266"/>
      <c r="T125" s="266"/>
      <c r="U125" s="266"/>
      <c r="V125" s="266"/>
      <c r="W125" s="268"/>
      <c r="Y125" s="190"/>
      <c r="Z125" s="268"/>
      <c r="AA125" s="266"/>
      <c r="AB125" s="266"/>
      <c r="AC125" s="266"/>
      <c r="AD125" s="266"/>
      <c r="AE125" s="266"/>
      <c r="AF125" s="266"/>
      <c r="AG125" s="266"/>
      <c r="AH125" s="266"/>
      <c r="AI125" s="266"/>
      <c r="AJ125" s="266"/>
      <c r="AK125" s="267"/>
      <c r="AL125" s="268"/>
      <c r="AM125" s="269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BF125" s="175" t="str">
        <f t="shared" si="91"/>
        <v/>
      </c>
    </row>
    <row r="126" spans="1:58" x14ac:dyDescent="0.2">
      <c r="A126" s="266"/>
      <c r="B126" s="266"/>
      <c r="C126" s="266"/>
      <c r="F126" s="266"/>
      <c r="H126" s="266"/>
      <c r="I126" s="266"/>
      <c r="J126" s="266"/>
      <c r="K126" s="266"/>
      <c r="N126" s="266"/>
      <c r="O126" s="266"/>
      <c r="P126" s="266"/>
      <c r="Q126" s="266"/>
      <c r="R126" s="266"/>
      <c r="S126" s="266"/>
      <c r="T126" s="266"/>
      <c r="U126" s="266"/>
      <c r="V126" s="266"/>
      <c r="W126" s="268"/>
      <c r="Y126" s="190"/>
      <c r="Z126" s="268"/>
      <c r="AA126" s="266"/>
      <c r="AB126" s="266"/>
      <c r="AC126" s="266"/>
      <c r="AD126" s="266"/>
      <c r="AE126" s="266"/>
      <c r="AF126" s="266"/>
      <c r="AG126" s="266"/>
      <c r="AH126" s="266"/>
      <c r="AI126" s="266"/>
      <c r="AJ126" s="266"/>
      <c r="AK126" s="267"/>
      <c r="AL126" s="268"/>
      <c r="AM126" s="269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>
        <v>0</v>
      </c>
      <c r="AY126" s="266">
        <v>0</v>
      </c>
      <c r="BF126" s="175" t="str">
        <f t="shared" si="91"/>
        <v/>
      </c>
    </row>
    <row r="127" spans="1:58" x14ac:dyDescent="0.2">
      <c r="A127" s="266"/>
      <c r="B127" s="266"/>
      <c r="C127" s="266"/>
      <c r="F127" s="266"/>
      <c r="H127" s="266"/>
      <c r="I127" s="266"/>
      <c r="J127" s="266"/>
      <c r="K127" s="266"/>
      <c r="N127" s="266"/>
      <c r="O127" s="266"/>
      <c r="P127" s="266"/>
      <c r="Q127" s="266"/>
      <c r="R127" s="266"/>
      <c r="S127" s="266"/>
      <c r="T127" s="266"/>
      <c r="U127" s="266"/>
      <c r="V127" s="266"/>
      <c r="W127" s="268"/>
      <c r="Y127" s="190"/>
      <c r="Z127" s="268"/>
      <c r="AA127" s="266"/>
      <c r="AB127" s="266"/>
      <c r="AC127" s="266"/>
      <c r="AD127" s="266"/>
      <c r="AE127" s="266"/>
      <c r="AF127" s="266"/>
      <c r="AG127" s="266"/>
      <c r="AH127" s="266"/>
      <c r="AI127" s="266"/>
      <c r="AJ127" s="266"/>
      <c r="AK127" s="267"/>
      <c r="AL127" s="268"/>
      <c r="AM127" s="269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BF127" s="175" t="str">
        <f t="shared" si="91"/>
        <v/>
      </c>
    </row>
    <row r="128" spans="1:58" x14ac:dyDescent="0.2">
      <c r="A128" s="266"/>
      <c r="B128" s="266"/>
      <c r="C128" s="266"/>
      <c r="F128" s="266"/>
      <c r="H128" s="266"/>
      <c r="I128" s="266"/>
      <c r="J128" s="266"/>
      <c r="K128" s="266"/>
      <c r="N128" s="266"/>
      <c r="O128" s="266"/>
      <c r="P128" s="266"/>
      <c r="Q128" s="266"/>
      <c r="R128" s="266"/>
      <c r="S128" s="266"/>
      <c r="T128" s="266"/>
      <c r="U128" s="266"/>
      <c r="V128" s="266"/>
      <c r="W128" s="268"/>
      <c r="Y128" s="266"/>
      <c r="Z128" s="268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7"/>
      <c r="AL128" s="268"/>
      <c r="AM128" s="269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>
        <v>0</v>
      </c>
      <c r="AY128" s="266">
        <v>0</v>
      </c>
      <c r="BF128" s="175" t="str">
        <f t="shared" si="91"/>
        <v/>
      </c>
    </row>
    <row r="129" spans="1:58" x14ac:dyDescent="0.2">
      <c r="A129" s="266"/>
      <c r="B129" s="266"/>
      <c r="C129" s="266"/>
      <c r="F129" s="266"/>
      <c r="H129" s="266"/>
      <c r="I129" s="266"/>
      <c r="J129" s="266"/>
      <c r="K129" s="266"/>
      <c r="N129" s="266"/>
      <c r="O129" s="266"/>
      <c r="P129" s="266"/>
      <c r="Q129" s="266"/>
      <c r="R129" s="266"/>
      <c r="S129" s="266"/>
      <c r="T129" s="266"/>
      <c r="U129" s="266"/>
      <c r="V129" s="266"/>
      <c r="W129" s="268"/>
      <c r="Z129" s="268"/>
      <c r="AA129" s="266"/>
      <c r="AB129" s="266"/>
      <c r="AC129" s="266"/>
      <c r="AD129" s="266"/>
      <c r="AE129" s="266"/>
      <c r="AF129" s="266"/>
      <c r="AG129" s="266"/>
      <c r="AH129" s="266"/>
      <c r="AI129" s="266"/>
      <c r="AJ129" s="266"/>
      <c r="AK129" s="267"/>
      <c r="AL129" s="268"/>
      <c r="AM129" s="269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BF129" s="175" t="str">
        <f t="shared" si="91"/>
        <v/>
      </c>
    </row>
    <row r="130" spans="1:58" x14ac:dyDescent="0.2">
      <c r="A130" s="266"/>
      <c r="B130" s="266"/>
      <c r="C130" s="266"/>
      <c r="F130" s="266"/>
      <c r="H130" s="266"/>
      <c r="I130" s="266"/>
      <c r="J130" s="266"/>
      <c r="K130" s="266"/>
      <c r="N130" s="266"/>
      <c r="O130" s="266"/>
      <c r="P130" s="266"/>
      <c r="Q130" s="266"/>
      <c r="R130" s="266"/>
      <c r="S130" s="266"/>
      <c r="T130" s="266"/>
      <c r="U130" s="266"/>
      <c r="V130" s="266"/>
      <c r="W130" s="268"/>
      <c r="Y130" s="268"/>
      <c r="Z130" s="268"/>
      <c r="AA130" s="266"/>
      <c r="AB130" s="266"/>
      <c r="AC130" s="266"/>
      <c r="AD130" s="266"/>
      <c r="AE130" s="266"/>
      <c r="AF130" s="266"/>
      <c r="AG130" s="266"/>
      <c r="AH130" s="266"/>
      <c r="AI130" s="266"/>
      <c r="AJ130" s="266"/>
      <c r="AK130" s="267"/>
      <c r="AL130" s="268"/>
      <c r="AM130" s="269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>
        <v>0</v>
      </c>
      <c r="AY130" s="266">
        <v>0</v>
      </c>
      <c r="BF130" s="175" t="str">
        <f t="shared" si="91"/>
        <v/>
      </c>
    </row>
    <row r="131" spans="1:58" x14ac:dyDescent="0.2">
      <c r="A131" s="266"/>
      <c r="B131" s="266"/>
      <c r="C131" s="266"/>
      <c r="F131" s="266"/>
      <c r="H131" s="266"/>
      <c r="I131" s="266"/>
      <c r="J131" s="266"/>
      <c r="K131" s="266"/>
      <c r="N131" s="266"/>
      <c r="O131" s="266"/>
      <c r="P131" s="266"/>
      <c r="Q131" s="266"/>
      <c r="R131" s="266"/>
      <c r="S131" s="266"/>
      <c r="T131" s="266"/>
      <c r="U131" s="266"/>
      <c r="V131" s="266"/>
      <c r="W131" s="268"/>
      <c r="Y131" s="268"/>
      <c r="Z131" s="268"/>
      <c r="AA131" s="266"/>
      <c r="AB131" s="266"/>
      <c r="AC131" s="266"/>
      <c r="AD131" s="266"/>
      <c r="AE131" s="266"/>
      <c r="AF131" s="266"/>
      <c r="AG131" s="266"/>
      <c r="AH131" s="266"/>
      <c r="AI131" s="266"/>
      <c r="AJ131" s="266"/>
      <c r="AK131" s="267"/>
      <c r="AL131" s="268"/>
      <c r="AM131" s="269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BF131" s="175" t="str">
        <f t="shared" si="91"/>
        <v/>
      </c>
    </row>
    <row r="132" spans="1:58" x14ac:dyDescent="0.2">
      <c r="A132" s="266"/>
      <c r="B132" s="266"/>
      <c r="C132" s="266"/>
      <c r="F132" s="266"/>
      <c r="H132" s="266"/>
      <c r="I132" s="266"/>
      <c r="J132" s="266"/>
      <c r="K132" s="266"/>
      <c r="N132" s="266"/>
      <c r="O132" s="266"/>
      <c r="P132" s="266"/>
      <c r="Q132" s="266"/>
      <c r="R132" s="266"/>
      <c r="S132" s="266"/>
      <c r="T132" s="266"/>
      <c r="U132" s="266"/>
      <c r="V132" s="266"/>
      <c r="W132" s="268"/>
      <c r="Y132" s="268"/>
      <c r="Z132" s="268"/>
      <c r="AA132" s="266"/>
      <c r="AB132" s="266"/>
      <c r="AC132" s="266"/>
      <c r="AD132" s="266"/>
      <c r="AE132" s="266"/>
      <c r="AF132" s="266"/>
      <c r="AG132" s="266"/>
      <c r="AH132" s="266"/>
      <c r="AI132" s="266"/>
      <c r="AJ132" s="266"/>
      <c r="AK132" s="267"/>
      <c r="AL132" s="268"/>
      <c r="AM132" s="269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>
        <v>0</v>
      </c>
      <c r="AY132" s="266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6"/>
      <c r="B133" s="266"/>
      <c r="C133" s="266"/>
      <c r="F133" s="266"/>
      <c r="H133" s="266"/>
      <c r="I133" s="266"/>
      <c r="J133" s="266"/>
      <c r="K133" s="266"/>
      <c r="N133" s="266"/>
      <c r="O133" s="266"/>
      <c r="P133" s="266"/>
      <c r="Q133" s="266"/>
      <c r="R133" s="266"/>
      <c r="S133" s="266"/>
      <c r="T133" s="266"/>
      <c r="U133" s="266"/>
      <c r="V133" s="266"/>
      <c r="W133" s="268"/>
      <c r="Y133" s="268"/>
      <c r="Z133" s="268"/>
      <c r="AA133" s="266"/>
      <c r="AB133" s="266"/>
      <c r="AC133" s="266"/>
      <c r="AD133" s="266"/>
      <c r="AE133" s="266"/>
      <c r="AF133" s="266"/>
      <c r="AG133" s="266"/>
      <c r="AH133" s="266"/>
      <c r="AI133" s="266"/>
      <c r="AJ133" s="266"/>
      <c r="AK133" s="267"/>
      <c r="AL133" s="268"/>
      <c r="AM133" s="269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BF133" s="175" t="str">
        <f t="shared" si="122"/>
        <v/>
      </c>
    </row>
    <row r="134" spans="1:58" x14ac:dyDescent="0.2">
      <c r="A134" s="266"/>
      <c r="B134" s="266"/>
      <c r="C134" s="266"/>
      <c r="F134" s="266"/>
      <c r="H134" s="266"/>
      <c r="I134" s="266"/>
      <c r="J134" s="266"/>
      <c r="K134" s="266"/>
      <c r="N134" s="266"/>
      <c r="O134" s="266"/>
      <c r="P134" s="266"/>
      <c r="Q134" s="266"/>
      <c r="R134" s="266"/>
      <c r="S134" s="266"/>
      <c r="T134" s="266"/>
      <c r="U134" s="266"/>
      <c r="V134" s="266"/>
      <c r="W134" s="268"/>
      <c r="Z134" s="268"/>
      <c r="AA134" s="266"/>
      <c r="AB134" s="266"/>
      <c r="AC134" s="266"/>
      <c r="AD134" s="266"/>
      <c r="AE134" s="266"/>
      <c r="AF134" s="266"/>
      <c r="AG134" s="266"/>
      <c r="AH134" s="266"/>
      <c r="AI134" s="266"/>
      <c r="AJ134" s="266"/>
      <c r="AK134" s="267"/>
      <c r="AL134" s="268"/>
      <c r="AM134" s="269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>
        <v>0</v>
      </c>
      <c r="AY134" s="266">
        <v>0</v>
      </c>
      <c r="BF134" s="175" t="str">
        <f t="shared" si="122"/>
        <v/>
      </c>
    </row>
    <row r="135" spans="1:58" x14ac:dyDescent="0.2">
      <c r="A135" s="266"/>
      <c r="B135" s="266"/>
      <c r="C135" s="266"/>
      <c r="F135" s="266"/>
      <c r="H135" s="266"/>
      <c r="I135" s="266"/>
      <c r="J135" s="266"/>
      <c r="K135" s="266"/>
      <c r="N135" s="266"/>
      <c r="O135" s="266"/>
      <c r="P135" s="266"/>
      <c r="Q135" s="266"/>
      <c r="R135" s="266"/>
      <c r="S135" s="266"/>
      <c r="T135" s="266"/>
      <c r="U135" s="266"/>
      <c r="V135" s="266"/>
      <c r="W135" s="268"/>
      <c r="Z135" s="268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7"/>
      <c r="AL135" s="268"/>
      <c r="AM135" s="269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BF135" s="175" t="str">
        <f t="shared" si="122"/>
        <v/>
      </c>
    </row>
    <row r="136" spans="1:58" x14ac:dyDescent="0.2">
      <c r="A136" s="266"/>
      <c r="B136" s="266"/>
      <c r="C136" s="266"/>
      <c r="F136" s="266"/>
      <c r="H136" s="266"/>
      <c r="I136" s="266"/>
      <c r="J136" s="266"/>
      <c r="K136" s="266"/>
      <c r="N136" s="266"/>
      <c r="O136" s="266"/>
      <c r="P136" s="266"/>
      <c r="Q136" s="266"/>
      <c r="R136" s="266"/>
      <c r="S136" s="266"/>
      <c r="T136" s="266"/>
      <c r="U136" s="266"/>
      <c r="V136" s="266"/>
      <c r="W136" s="268"/>
      <c r="Z136" s="268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7"/>
      <c r="AL136" s="268"/>
      <c r="AM136" s="269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>
        <v>0</v>
      </c>
      <c r="AY136" s="266">
        <v>0</v>
      </c>
      <c r="BF136" s="175" t="str">
        <f t="shared" si="122"/>
        <v/>
      </c>
    </row>
    <row r="137" spans="1:58" x14ac:dyDescent="0.2">
      <c r="A137" s="266"/>
      <c r="B137" s="266"/>
      <c r="C137" s="266"/>
      <c r="F137" s="266"/>
      <c r="H137" s="266"/>
      <c r="I137" s="266"/>
      <c r="J137" s="266"/>
      <c r="K137" s="266"/>
      <c r="N137" s="266"/>
      <c r="O137" s="266"/>
      <c r="P137" s="266"/>
      <c r="Q137" s="266"/>
      <c r="R137" s="266"/>
      <c r="S137" s="266"/>
      <c r="T137" s="266"/>
      <c r="U137" s="266"/>
      <c r="V137" s="266"/>
      <c r="W137" s="268"/>
      <c r="Y137" s="268"/>
      <c r="Z137" s="268"/>
      <c r="AA137" s="266"/>
      <c r="AB137" s="266"/>
      <c r="AC137" s="266"/>
      <c r="AD137" s="266"/>
      <c r="AE137" s="266"/>
      <c r="AF137" s="266"/>
      <c r="AG137" s="266"/>
      <c r="AH137" s="266"/>
      <c r="AI137" s="266"/>
      <c r="AJ137" s="266"/>
      <c r="AK137" s="267"/>
      <c r="AL137" s="268"/>
      <c r="AM137" s="269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BF137" s="175" t="str">
        <f t="shared" si="122"/>
        <v/>
      </c>
    </row>
    <row r="138" spans="1:58" x14ac:dyDescent="0.2">
      <c r="A138" s="266"/>
      <c r="B138" s="266"/>
      <c r="C138" s="266"/>
      <c r="F138" s="266"/>
      <c r="H138" s="266"/>
      <c r="I138" s="266"/>
      <c r="J138" s="266"/>
      <c r="K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8"/>
      <c r="Z138" s="268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7"/>
      <c r="AL138" s="268"/>
      <c r="AM138" s="269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>
        <v>0</v>
      </c>
      <c r="AY138" s="266">
        <v>0</v>
      </c>
      <c r="BF138" s="175" t="str">
        <f t="shared" si="122"/>
        <v/>
      </c>
    </row>
    <row r="139" spans="1:58" x14ac:dyDescent="0.2">
      <c r="A139" s="266"/>
      <c r="B139" s="266"/>
      <c r="C139" s="266"/>
      <c r="F139" s="266"/>
      <c r="H139" s="266"/>
      <c r="I139" s="266"/>
      <c r="J139" s="266"/>
      <c r="K139" s="266"/>
      <c r="N139" s="266"/>
      <c r="O139" s="266"/>
      <c r="P139" s="266"/>
      <c r="Q139" s="266"/>
      <c r="R139" s="266"/>
      <c r="S139" s="266"/>
      <c r="T139" s="266"/>
      <c r="U139" s="266"/>
      <c r="V139" s="266"/>
      <c r="W139" s="268"/>
      <c r="Z139" s="268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7"/>
      <c r="AL139" s="268"/>
      <c r="AM139" s="269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BF139" s="175" t="str">
        <f t="shared" si="122"/>
        <v/>
      </c>
    </row>
    <row r="140" spans="1:58" x14ac:dyDescent="0.2">
      <c r="A140" s="266"/>
      <c r="B140" s="266"/>
      <c r="C140" s="266"/>
      <c r="F140" s="266"/>
      <c r="H140" s="266"/>
      <c r="I140" s="266"/>
      <c r="J140" s="266"/>
      <c r="K140" s="266"/>
      <c r="N140" s="266"/>
      <c r="O140" s="266"/>
      <c r="P140" s="266"/>
      <c r="Q140" s="266"/>
      <c r="R140" s="266"/>
      <c r="S140" s="266"/>
      <c r="T140" s="266"/>
      <c r="U140" s="266"/>
      <c r="V140" s="266"/>
      <c r="W140" s="268"/>
      <c r="Y140" s="268"/>
      <c r="Z140" s="268"/>
      <c r="AA140" s="266"/>
      <c r="AB140" s="266"/>
      <c r="AC140" s="266"/>
      <c r="AD140" s="266"/>
      <c r="AE140" s="266"/>
      <c r="AF140" s="266"/>
      <c r="AG140" s="266"/>
      <c r="AH140" s="266"/>
      <c r="AI140" s="266"/>
      <c r="AJ140" s="266"/>
      <c r="AK140" s="267"/>
      <c r="AL140" s="268"/>
      <c r="AM140" s="269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>
        <v>0</v>
      </c>
      <c r="AY140" s="266">
        <v>0</v>
      </c>
      <c r="BF140" s="175" t="str">
        <f t="shared" si="122"/>
        <v/>
      </c>
    </row>
    <row r="141" spans="1:58" x14ac:dyDescent="0.2">
      <c r="A141" s="266"/>
      <c r="B141" s="266"/>
      <c r="C141" s="266"/>
      <c r="F141" s="266"/>
      <c r="H141" s="266"/>
      <c r="I141" s="266"/>
      <c r="J141" s="266"/>
      <c r="K141" s="266"/>
      <c r="N141" s="266"/>
      <c r="O141" s="266"/>
      <c r="P141" s="266"/>
      <c r="Q141" s="266"/>
      <c r="R141" s="266"/>
      <c r="S141" s="266"/>
      <c r="T141" s="266"/>
      <c r="U141" s="266"/>
      <c r="V141" s="266"/>
      <c r="W141" s="268"/>
      <c r="Y141" s="268"/>
      <c r="Z141" s="268"/>
      <c r="AA141" s="266"/>
      <c r="AB141" s="266"/>
      <c r="AC141" s="266"/>
      <c r="AD141" s="266"/>
      <c r="AE141" s="266"/>
      <c r="AF141" s="266"/>
      <c r="AG141" s="266"/>
      <c r="AH141" s="266"/>
      <c r="AI141" s="266"/>
      <c r="AJ141" s="266"/>
      <c r="AK141" s="267"/>
      <c r="AL141" s="268"/>
      <c r="AM141" s="269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BF141" s="175" t="str">
        <f t="shared" si="122"/>
        <v/>
      </c>
    </row>
    <row r="142" spans="1:58" x14ac:dyDescent="0.2">
      <c r="A142" s="266"/>
      <c r="B142" s="266"/>
      <c r="C142" s="266"/>
      <c r="F142" s="266"/>
      <c r="H142" s="266"/>
      <c r="I142" s="266"/>
      <c r="J142" s="266"/>
      <c r="K142" s="266"/>
      <c r="N142" s="266"/>
      <c r="O142" s="266"/>
      <c r="P142" s="266"/>
      <c r="Q142" s="266"/>
      <c r="R142" s="266"/>
      <c r="S142" s="266"/>
      <c r="T142" s="266"/>
      <c r="U142" s="266"/>
      <c r="V142" s="266"/>
      <c r="W142" s="268"/>
      <c r="Y142" s="268"/>
      <c r="Z142" s="268"/>
      <c r="AA142" s="266"/>
      <c r="AB142" s="266"/>
      <c r="AC142" s="266"/>
      <c r="AD142" s="266"/>
      <c r="AE142" s="266"/>
      <c r="AF142" s="266"/>
      <c r="AG142" s="266"/>
      <c r="AH142" s="266"/>
      <c r="AI142" s="266"/>
      <c r="AJ142" s="266"/>
      <c r="AK142" s="267"/>
      <c r="AL142" s="268"/>
      <c r="AM142" s="269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>
        <v>0</v>
      </c>
      <c r="AY142" s="266">
        <v>0</v>
      </c>
      <c r="BF142" s="175" t="str">
        <f t="shared" si="122"/>
        <v/>
      </c>
    </row>
    <row r="143" spans="1:58" x14ac:dyDescent="0.2">
      <c r="A143" s="266"/>
      <c r="B143" s="266"/>
      <c r="C143" s="266"/>
      <c r="F143" s="266"/>
      <c r="H143" s="266"/>
      <c r="I143" s="266"/>
      <c r="J143" s="266"/>
      <c r="K143" s="266"/>
      <c r="N143" s="266"/>
      <c r="O143" s="266"/>
      <c r="P143" s="266"/>
      <c r="Q143" s="266"/>
      <c r="R143" s="266"/>
      <c r="S143" s="266"/>
      <c r="T143" s="266"/>
      <c r="U143" s="266"/>
      <c r="V143" s="266"/>
      <c r="W143" s="268"/>
      <c r="Y143" s="268"/>
      <c r="Z143" s="268"/>
      <c r="AA143" s="266"/>
      <c r="AB143" s="266"/>
      <c r="AC143" s="266"/>
      <c r="AD143" s="266"/>
      <c r="AE143" s="266"/>
      <c r="AF143" s="266"/>
      <c r="AG143" s="266"/>
      <c r="AH143" s="266"/>
      <c r="AI143" s="266"/>
      <c r="AJ143" s="266"/>
      <c r="AK143" s="267"/>
      <c r="AL143" s="268"/>
      <c r="AM143" s="269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BF143" s="175" t="str">
        <f t="shared" si="122"/>
        <v/>
      </c>
    </row>
    <row r="144" spans="1:58" x14ac:dyDescent="0.2">
      <c r="A144" s="266"/>
      <c r="B144" s="266"/>
      <c r="C144" s="266"/>
      <c r="F144" s="266"/>
      <c r="H144" s="266"/>
      <c r="I144" s="266"/>
      <c r="J144" s="266"/>
      <c r="K144" s="266"/>
      <c r="N144" s="266"/>
      <c r="O144" s="266"/>
      <c r="P144" s="266"/>
      <c r="Q144" s="266"/>
      <c r="R144" s="266"/>
      <c r="S144" s="266"/>
      <c r="T144" s="266"/>
      <c r="U144" s="266"/>
      <c r="V144" s="266"/>
      <c r="W144" s="268"/>
      <c r="Y144" s="268"/>
      <c r="Z144" s="268"/>
      <c r="AA144" s="266"/>
      <c r="AB144" s="266"/>
      <c r="AC144" s="266"/>
      <c r="AD144" s="266"/>
      <c r="AE144" s="266"/>
      <c r="AF144" s="266"/>
      <c r="AG144" s="266"/>
      <c r="AH144" s="266"/>
      <c r="AI144" s="266"/>
      <c r="AJ144" s="266"/>
      <c r="AK144" s="267"/>
      <c r="AL144" s="268"/>
      <c r="AM144" s="269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>
        <v>0</v>
      </c>
      <c r="AY144" s="266">
        <v>0</v>
      </c>
      <c r="BF144" s="175" t="str">
        <f t="shared" si="122"/>
        <v/>
      </c>
    </row>
    <row r="145" spans="1:58" x14ac:dyDescent="0.2">
      <c r="A145" s="266"/>
      <c r="B145" s="266"/>
      <c r="C145" s="266"/>
      <c r="F145" s="266"/>
      <c r="H145" s="266"/>
      <c r="I145" s="266"/>
      <c r="J145" s="266"/>
      <c r="K145" s="266"/>
      <c r="N145" s="266"/>
      <c r="O145" s="266"/>
      <c r="P145" s="266"/>
      <c r="Q145" s="266"/>
      <c r="R145" s="266"/>
      <c r="S145" s="266"/>
      <c r="T145" s="266"/>
      <c r="U145" s="266"/>
      <c r="V145" s="266"/>
      <c r="W145" s="268"/>
      <c r="Y145" s="268"/>
      <c r="Z145" s="268"/>
      <c r="AA145" s="266"/>
      <c r="AB145" s="266"/>
      <c r="AC145" s="266"/>
      <c r="AD145" s="266"/>
      <c r="AE145" s="266"/>
      <c r="AF145" s="266"/>
      <c r="AG145" s="266"/>
      <c r="AH145" s="266"/>
      <c r="AI145" s="266"/>
      <c r="AJ145" s="266"/>
      <c r="AK145" s="267"/>
      <c r="AL145" s="268"/>
      <c r="AM145" s="269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BF145" s="175" t="str">
        <f t="shared" si="122"/>
        <v/>
      </c>
    </row>
    <row r="146" spans="1:58" x14ac:dyDescent="0.2">
      <c r="A146" s="266"/>
      <c r="B146" s="266"/>
      <c r="C146" s="266"/>
      <c r="F146" s="266"/>
      <c r="H146" s="266"/>
      <c r="I146" s="266"/>
      <c r="J146" s="266"/>
      <c r="K146" s="266"/>
      <c r="N146" s="266"/>
      <c r="O146" s="266"/>
      <c r="P146" s="266"/>
      <c r="Q146" s="266"/>
      <c r="R146" s="266"/>
      <c r="S146" s="266"/>
      <c r="T146" s="266"/>
      <c r="U146" s="266"/>
      <c r="V146" s="266"/>
      <c r="W146" s="268"/>
      <c r="Y146" s="268"/>
      <c r="Z146" s="268"/>
      <c r="AA146" s="266"/>
      <c r="AB146" s="266"/>
      <c r="AC146" s="266"/>
      <c r="AD146" s="266"/>
      <c r="AE146" s="266"/>
      <c r="AF146" s="266"/>
      <c r="AG146" s="266"/>
      <c r="AH146" s="266"/>
      <c r="AI146" s="266"/>
      <c r="AJ146" s="266"/>
      <c r="AK146" s="267"/>
      <c r="AL146" s="268"/>
      <c r="AM146" s="269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>
        <v>0</v>
      </c>
      <c r="AY146" s="266">
        <v>0</v>
      </c>
      <c r="BF146" s="175" t="str">
        <f t="shared" si="122"/>
        <v/>
      </c>
    </row>
    <row r="147" spans="1:58" x14ac:dyDescent="0.2">
      <c r="A147" s="266"/>
      <c r="B147" s="266"/>
      <c r="C147" s="266"/>
      <c r="F147" s="266"/>
      <c r="H147" s="266"/>
      <c r="I147" s="266"/>
      <c r="J147" s="266"/>
      <c r="K147" s="266"/>
      <c r="N147" s="266"/>
      <c r="O147" s="266"/>
      <c r="P147" s="266"/>
      <c r="Q147" s="266"/>
      <c r="R147" s="266"/>
      <c r="S147" s="266"/>
      <c r="T147" s="266"/>
      <c r="U147" s="266"/>
      <c r="V147" s="266"/>
      <c r="W147" s="268"/>
      <c r="Z147" s="268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7"/>
      <c r="AL147" s="268"/>
      <c r="AM147" s="269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BF147" s="175" t="str">
        <f t="shared" si="122"/>
        <v/>
      </c>
    </row>
    <row r="148" spans="1:58" x14ac:dyDescent="0.2">
      <c r="A148" s="266"/>
      <c r="B148" s="266"/>
      <c r="C148" s="266"/>
      <c r="F148" s="266"/>
      <c r="H148" s="266"/>
      <c r="I148" s="266"/>
      <c r="J148" s="266"/>
      <c r="K148" s="266"/>
      <c r="N148" s="266"/>
      <c r="O148" s="266"/>
      <c r="P148" s="266"/>
      <c r="Q148" s="266"/>
      <c r="R148" s="266"/>
      <c r="S148" s="266"/>
      <c r="T148" s="266"/>
      <c r="U148" s="266"/>
      <c r="V148" s="266"/>
      <c r="W148" s="268"/>
      <c r="Z148" s="268"/>
      <c r="AA148" s="266"/>
      <c r="AB148" s="266"/>
      <c r="AC148" s="266"/>
      <c r="AD148" s="266"/>
      <c r="AE148" s="266"/>
      <c r="AF148" s="266"/>
      <c r="AG148" s="266"/>
      <c r="AH148" s="266"/>
      <c r="AI148" s="266"/>
      <c r="AJ148" s="266"/>
      <c r="AK148" s="267"/>
      <c r="AL148" s="268"/>
      <c r="AM148" s="269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>
        <v>0</v>
      </c>
      <c r="AY148" s="266">
        <v>0</v>
      </c>
      <c r="BF148" s="175" t="str">
        <f t="shared" si="122"/>
        <v/>
      </c>
    </row>
    <row r="149" spans="1:58" x14ac:dyDescent="0.2">
      <c r="A149" s="266"/>
      <c r="B149" s="266"/>
      <c r="C149" s="266"/>
      <c r="F149" s="266"/>
      <c r="H149" s="266"/>
      <c r="I149" s="266"/>
      <c r="J149" s="266"/>
      <c r="K149" s="266"/>
      <c r="N149" s="266"/>
      <c r="O149" s="266"/>
      <c r="P149" s="266"/>
      <c r="Q149" s="266"/>
      <c r="R149" s="266"/>
      <c r="S149" s="266"/>
      <c r="T149" s="266"/>
      <c r="U149" s="266"/>
      <c r="V149" s="266"/>
      <c r="W149" s="268"/>
      <c r="Y149" s="268"/>
      <c r="Z149" s="268"/>
      <c r="AA149" s="266"/>
      <c r="AB149" s="266"/>
      <c r="AC149" s="266"/>
      <c r="AD149" s="266"/>
      <c r="AE149" s="266"/>
      <c r="AF149" s="266"/>
      <c r="AG149" s="266"/>
      <c r="AH149" s="266"/>
      <c r="AI149" s="266"/>
      <c r="AJ149" s="266"/>
      <c r="AK149" s="267"/>
      <c r="AL149" s="268"/>
      <c r="AM149" s="269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BF149" s="175" t="str">
        <f t="shared" si="122"/>
        <v/>
      </c>
    </row>
    <row r="150" spans="1:58" x14ac:dyDescent="0.2">
      <c r="A150" s="266"/>
      <c r="B150" s="266"/>
      <c r="C150" s="266"/>
      <c r="F150" s="266"/>
      <c r="H150" s="266"/>
      <c r="I150" s="266"/>
      <c r="J150" s="266"/>
      <c r="K150" s="266"/>
      <c r="N150" s="266"/>
      <c r="O150" s="266"/>
      <c r="P150" s="266"/>
      <c r="Q150" s="266"/>
      <c r="R150" s="266"/>
      <c r="S150" s="266"/>
      <c r="T150" s="266"/>
      <c r="U150" s="266"/>
      <c r="V150" s="266"/>
      <c r="W150" s="268"/>
      <c r="Z150" s="268"/>
      <c r="AA150" s="266"/>
      <c r="AB150" s="266"/>
      <c r="AC150" s="266"/>
      <c r="AD150" s="266"/>
      <c r="AE150" s="266"/>
      <c r="AF150" s="266"/>
      <c r="AG150" s="266"/>
      <c r="AH150" s="266"/>
      <c r="AI150" s="266"/>
      <c r="AJ150" s="266"/>
      <c r="AK150" s="267"/>
      <c r="AL150" s="268"/>
      <c r="AM150" s="269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>
        <v>0</v>
      </c>
      <c r="AY150" s="266">
        <v>0</v>
      </c>
      <c r="BF150" s="175" t="str">
        <f t="shared" si="122"/>
        <v/>
      </c>
    </row>
    <row r="151" spans="1:58" x14ac:dyDescent="0.2">
      <c r="A151" s="266"/>
      <c r="B151" s="266"/>
      <c r="C151" s="266"/>
      <c r="F151" s="266"/>
      <c r="H151" s="266"/>
      <c r="I151" s="266"/>
      <c r="J151" s="266"/>
      <c r="K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8"/>
      <c r="Z151" s="268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7"/>
      <c r="AL151" s="268"/>
      <c r="AM151" s="269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BF151" s="175" t="str">
        <f t="shared" si="122"/>
        <v/>
      </c>
    </row>
    <row r="152" spans="1:58" x14ac:dyDescent="0.2">
      <c r="A152" s="266"/>
      <c r="B152" s="266"/>
      <c r="C152" s="266"/>
      <c r="F152" s="266"/>
      <c r="H152" s="266"/>
      <c r="I152" s="266"/>
      <c r="J152" s="266"/>
      <c r="K152" s="266"/>
      <c r="N152" s="266"/>
      <c r="O152" s="266"/>
      <c r="P152" s="266"/>
      <c r="Q152" s="266"/>
      <c r="R152" s="266"/>
      <c r="S152" s="266"/>
      <c r="T152" s="266"/>
      <c r="U152" s="266"/>
      <c r="V152" s="266"/>
      <c r="W152" s="268"/>
      <c r="Z152" s="268"/>
      <c r="AA152" s="266"/>
      <c r="AB152" s="266"/>
      <c r="AC152" s="266"/>
      <c r="AD152" s="266"/>
      <c r="AE152" s="266"/>
      <c r="AF152" s="266"/>
      <c r="AG152" s="266"/>
      <c r="AH152" s="266"/>
      <c r="AI152" s="266"/>
      <c r="AJ152" s="266"/>
      <c r="AK152" s="267"/>
      <c r="AL152" s="268"/>
      <c r="AM152" s="269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>
        <v>0</v>
      </c>
      <c r="AY152" s="266">
        <v>0</v>
      </c>
      <c r="BF152" s="175" t="str">
        <f t="shared" si="122"/>
        <v/>
      </c>
    </row>
    <row r="153" spans="1:58" x14ac:dyDescent="0.2">
      <c r="A153" s="266"/>
      <c r="B153" s="266"/>
      <c r="C153" s="266"/>
      <c r="F153" s="266"/>
      <c r="H153" s="266"/>
      <c r="I153" s="266"/>
      <c r="J153" s="266"/>
      <c r="K153" s="266"/>
      <c r="N153" s="266"/>
      <c r="O153" s="266"/>
      <c r="P153" s="266"/>
      <c r="Q153" s="266"/>
      <c r="R153" s="266"/>
      <c r="S153" s="266"/>
      <c r="T153" s="266"/>
      <c r="U153" s="266"/>
      <c r="V153" s="266"/>
      <c r="W153" s="268"/>
      <c r="Z153" s="268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7"/>
      <c r="AL153" s="268"/>
      <c r="AM153" s="269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BF153" s="175" t="str">
        <f t="shared" si="122"/>
        <v/>
      </c>
    </row>
    <row r="154" spans="1:58" x14ac:dyDescent="0.2">
      <c r="A154" s="266"/>
      <c r="B154" s="266"/>
      <c r="C154" s="266"/>
      <c r="F154" s="266"/>
      <c r="H154" s="266"/>
      <c r="I154" s="266"/>
      <c r="J154" s="266"/>
      <c r="K154" s="266"/>
      <c r="N154" s="266"/>
      <c r="O154" s="266"/>
      <c r="P154" s="266"/>
      <c r="Q154" s="266"/>
      <c r="R154" s="266"/>
      <c r="S154" s="266"/>
      <c r="T154" s="266"/>
      <c r="U154" s="266"/>
      <c r="V154" s="266"/>
      <c r="W154" s="268"/>
      <c r="Z154" s="268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7"/>
      <c r="AL154" s="268"/>
      <c r="AM154" s="269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>
        <v>0</v>
      </c>
      <c r="AY154" s="266">
        <v>0</v>
      </c>
      <c r="BF154" s="175" t="str">
        <f t="shared" si="122"/>
        <v/>
      </c>
    </row>
    <row r="155" spans="1:58" x14ac:dyDescent="0.2">
      <c r="A155" s="266"/>
      <c r="B155" s="266"/>
      <c r="C155" s="266"/>
      <c r="F155" s="266"/>
      <c r="H155" s="266"/>
      <c r="I155" s="266"/>
      <c r="J155" s="266"/>
      <c r="K155" s="266"/>
      <c r="N155" s="266"/>
      <c r="O155" s="266"/>
      <c r="P155" s="266"/>
      <c r="Q155" s="266"/>
      <c r="R155" s="266"/>
      <c r="S155" s="266"/>
      <c r="T155" s="266"/>
      <c r="U155" s="266"/>
      <c r="V155" s="266"/>
      <c r="W155" s="268"/>
      <c r="Z155" s="268"/>
      <c r="AA155" s="266"/>
      <c r="AB155" s="266"/>
      <c r="AC155" s="266"/>
      <c r="AD155" s="266"/>
      <c r="AE155" s="266"/>
      <c r="AF155" s="266"/>
      <c r="AG155" s="266"/>
      <c r="AH155" s="266"/>
      <c r="AI155" s="266"/>
      <c r="AJ155" s="266"/>
      <c r="AK155" s="267"/>
      <c r="AL155" s="268"/>
      <c r="AM155" s="269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BF155" s="175" t="str">
        <f t="shared" si="122"/>
        <v/>
      </c>
    </row>
    <row r="156" spans="1:58" x14ac:dyDescent="0.2">
      <c r="A156" s="266"/>
      <c r="B156" s="266"/>
      <c r="C156" s="266"/>
      <c r="F156" s="266"/>
      <c r="H156" s="266"/>
      <c r="I156" s="266"/>
      <c r="J156" s="266"/>
      <c r="K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268"/>
      <c r="Z156" s="268"/>
      <c r="AA156" s="266"/>
      <c r="AB156" s="266"/>
      <c r="AC156" s="266"/>
      <c r="AD156" s="266"/>
      <c r="AE156" s="266"/>
      <c r="AF156" s="266"/>
      <c r="AG156" s="266"/>
      <c r="AH156" s="266"/>
      <c r="AI156" s="266"/>
      <c r="AJ156" s="266"/>
      <c r="AK156" s="267"/>
      <c r="AL156" s="268"/>
      <c r="AM156" s="269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>
        <v>0</v>
      </c>
      <c r="AY156" s="266">
        <v>0</v>
      </c>
      <c r="BF156" s="175" t="str">
        <f t="shared" si="122"/>
        <v/>
      </c>
    </row>
    <row r="157" spans="1:58" x14ac:dyDescent="0.2">
      <c r="A157" s="266"/>
      <c r="B157" s="266"/>
      <c r="C157" s="266"/>
      <c r="F157" s="266"/>
      <c r="H157" s="266"/>
      <c r="I157" s="266"/>
      <c r="J157" s="266"/>
      <c r="K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268"/>
      <c r="Z157" s="268"/>
      <c r="AA157" s="266"/>
      <c r="AB157" s="266"/>
      <c r="AC157" s="266"/>
      <c r="AD157" s="266"/>
      <c r="AE157" s="266"/>
      <c r="AF157" s="266"/>
      <c r="AG157" s="266"/>
      <c r="AH157" s="266"/>
      <c r="AI157" s="266"/>
      <c r="AJ157" s="266"/>
      <c r="AK157" s="267"/>
      <c r="AL157" s="268"/>
      <c r="AM157" s="269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BF157" s="175" t="str">
        <f t="shared" si="122"/>
        <v/>
      </c>
    </row>
    <row r="158" spans="1:58" x14ac:dyDescent="0.2">
      <c r="A158" s="266"/>
      <c r="B158" s="266"/>
      <c r="C158" s="266"/>
      <c r="F158" s="266"/>
      <c r="H158" s="266"/>
      <c r="I158" s="266"/>
      <c r="J158" s="266"/>
      <c r="K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268"/>
      <c r="Z158" s="268"/>
      <c r="AA158" s="266"/>
      <c r="AB158" s="266"/>
      <c r="AC158" s="266"/>
      <c r="AD158" s="266"/>
      <c r="AE158" s="266"/>
      <c r="AF158" s="266"/>
      <c r="AG158" s="266"/>
      <c r="AH158" s="266"/>
      <c r="AI158" s="266"/>
      <c r="AJ158" s="266"/>
      <c r="AK158" s="267"/>
      <c r="AL158" s="268"/>
      <c r="AM158" s="269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>
        <v>0</v>
      </c>
      <c r="AY158" s="266">
        <v>0</v>
      </c>
      <c r="BF158" s="175" t="str">
        <f t="shared" si="122"/>
        <v/>
      </c>
    </row>
    <row r="159" spans="1:58" x14ac:dyDescent="0.2">
      <c r="A159" s="266"/>
      <c r="B159" s="266"/>
      <c r="C159" s="266"/>
      <c r="F159" s="266"/>
      <c r="H159" s="266"/>
      <c r="I159" s="266"/>
      <c r="J159" s="266"/>
      <c r="K159" s="266"/>
      <c r="N159" s="266"/>
      <c r="O159" s="266"/>
      <c r="P159" s="266"/>
      <c r="Q159" s="266"/>
      <c r="R159" s="266"/>
      <c r="S159" s="266"/>
      <c r="T159" s="266"/>
      <c r="U159" s="266"/>
      <c r="V159" s="266"/>
      <c r="W159" s="268"/>
      <c r="Z159" s="268"/>
      <c r="AA159" s="266"/>
      <c r="AB159" s="266"/>
      <c r="AC159" s="266"/>
      <c r="AD159" s="266"/>
      <c r="AE159" s="266"/>
      <c r="AF159" s="266"/>
      <c r="AG159" s="266"/>
      <c r="AH159" s="266"/>
      <c r="AI159" s="266"/>
      <c r="AJ159" s="266"/>
      <c r="AK159" s="267"/>
      <c r="AL159" s="268"/>
      <c r="AM159" s="269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BF159" s="175" t="str">
        <f t="shared" si="122"/>
        <v/>
      </c>
    </row>
    <row r="160" spans="1:58" x14ac:dyDescent="0.2">
      <c r="A160" s="266"/>
      <c r="B160" s="266"/>
      <c r="C160" s="266"/>
      <c r="F160" s="266"/>
      <c r="H160" s="266"/>
      <c r="I160" s="266"/>
      <c r="J160" s="266"/>
      <c r="K160" s="266"/>
      <c r="N160" s="266"/>
      <c r="O160" s="266"/>
      <c r="P160" s="266"/>
      <c r="Q160" s="266"/>
      <c r="R160" s="266"/>
      <c r="S160" s="266"/>
      <c r="T160" s="266"/>
      <c r="U160" s="266"/>
      <c r="V160" s="266"/>
      <c r="W160" s="268"/>
      <c r="Z160" s="268"/>
      <c r="AA160" s="266"/>
      <c r="AB160" s="266"/>
      <c r="AC160" s="266"/>
      <c r="AD160" s="266"/>
      <c r="AE160" s="266"/>
      <c r="AF160" s="266"/>
      <c r="AG160" s="266"/>
      <c r="AH160" s="266"/>
      <c r="AI160" s="266"/>
      <c r="AJ160" s="266"/>
      <c r="AK160" s="267"/>
      <c r="AL160" s="268"/>
      <c r="AM160" s="269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>
        <v>0</v>
      </c>
      <c r="AY160" s="266">
        <v>0</v>
      </c>
      <c r="BF160" s="175" t="str">
        <f t="shared" si="122"/>
        <v/>
      </c>
    </row>
    <row r="161" spans="1:58" x14ac:dyDescent="0.2">
      <c r="A161" s="266"/>
      <c r="B161" s="266"/>
      <c r="C161" s="266"/>
      <c r="F161" s="266"/>
      <c r="H161" s="266"/>
      <c r="I161" s="266"/>
      <c r="J161" s="266"/>
      <c r="K161" s="266"/>
      <c r="N161" s="266"/>
      <c r="O161" s="266"/>
      <c r="P161" s="266"/>
      <c r="Q161" s="266"/>
      <c r="R161" s="266"/>
      <c r="S161" s="266"/>
      <c r="T161" s="266"/>
      <c r="U161" s="266"/>
      <c r="V161" s="266"/>
      <c r="W161" s="268"/>
      <c r="Z161" s="268"/>
      <c r="AA161" s="266"/>
      <c r="AB161" s="266"/>
      <c r="AC161" s="266"/>
      <c r="AD161" s="266"/>
      <c r="AE161" s="266"/>
      <c r="AF161" s="266"/>
      <c r="AG161" s="266"/>
      <c r="AH161" s="266"/>
      <c r="AI161" s="266"/>
      <c r="AJ161" s="266"/>
      <c r="AK161" s="267"/>
      <c r="AL161" s="268"/>
      <c r="AM161" s="269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BF161" s="175" t="str">
        <f t="shared" si="122"/>
        <v/>
      </c>
    </row>
    <row r="162" spans="1:58" x14ac:dyDescent="0.2">
      <c r="A162" s="266"/>
      <c r="B162" s="266"/>
      <c r="C162" s="266"/>
      <c r="F162" s="266"/>
      <c r="H162" s="266"/>
      <c r="I162" s="266"/>
      <c r="J162" s="266"/>
      <c r="K162" s="266"/>
      <c r="N162" s="266"/>
      <c r="O162" s="266"/>
      <c r="P162" s="266"/>
      <c r="Q162" s="266"/>
      <c r="R162" s="266"/>
      <c r="S162" s="266"/>
      <c r="T162" s="266"/>
      <c r="U162" s="266"/>
      <c r="V162" s="266"/>
      <c r="W162" s="268"/>
      <c r="Z162" s="268"/>
      <c r="AA162" s="266"/>
      <c r="AB162" s="266"/>
      <c r="AC162" s="266"/>
      <c r="AD162" s="266"/>
      <c r="AE162" s="266"/>
      <c r="AF162" s="266"/>
      <c r="AG162" s="266"/>
      <c r="AH162" s="266"/>
      <c r="AI162" s="266"/>
      <c r="AJ162" s="266"/>
      <c r="AK162" s="267"/>
      <c r="AL162" s="268"/>
      <c r="AM162" s="269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>
        <v>0</v>
      </c>
      <c r="AY162" s="266">
        <v>0</v>
      </c>
      <c r="BF162" s="175" t="str">
        <f t="shared" si="122"/>
        <v/>
      </c>
    </row>
    <row r="163" spans="1:58" x14ac:dyDescent="0.2">
      <c r="A163" s="266"/>
      <c r="B163" s="266"/>
      <c r="C163" s="266"/>
      <c r="F163" s="266"/>
      <c r="H163" s="266"/>
      <c r="I163" s="266"/>
      <c r="J163" s="266"/>
      <c r="K163" s="266"/>
      <c r="N163" s="266"/>
      <c r="O163" s="266"/>
      <c r="P163" s="266"/>
      <c r="Q163" s="266"/>
      <c r="R163" s="266"/>
      <c r="S163" s="266"/>
      <c r="T163" s="266"/>
      <c r="U163" s="266"/>
      <c r="V163" s="266"/>
      <c r="W163" s="268"/>
      <c r="Y163" s="268"/>
      <c r="Z163" s="268"/>
      <c r="AA163" s="266"/>
      <c r="AB163" s="266"/>
      <c r="AC163" s="266"/>
      <c r="AD163" s="266"/>
      <c r="AE163" s="266"/>
      <c r="AF163" s="266"/>
      <c r="AG163" s="266"/>
      <c r="AH163" s="266"/>
      <c r="AI163" s="266"/>
      <c r="AJ163" s="266"/>
      <c r="AK163" s="267"/>
      <c r="AL163" s="268"/>
      <c r="AM163" s="269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BF163" s="175" t="str">
        <f t="shared" si="122"/>
        <v/>
      </c>
    </row>
    <row r="164" spans="1:58" x14ac:dyDescent="0.2">
      <c r="A164" s="266"/>
      <c r="B164" s="266"/>
      <c r="C164" s="266"/>
      <c r="F164" s="266"/>
      <c r="H164" s="266"/>
      <c r="I164" s="266"/>
      <c r="J164" s="266"/>
      <c r="K164" s="266"/>
      <c r="M164" s="161">
        <v>0</v>
      </c>
      <c r="N164" s="266" t="str">
        <f>IF($A164="","",VLOOKUP(LEFT($A164,7)&amp;"1-00",MCP!#REF!,N$1,FALSE))</f>
        <v/>
      </c>
      <c r="O164" s="266" t="str">
        <f>IF($A164="","",VLOOKUP(LEFT($A164,7)&amp;"1-00",MCP!#REF!,O$1,FALSE))</f>
        <v/>
      </c>
      <c r="P164" s="266" t="str">
        <f>IF($A164="","",VLOOKUP(LEFT($A164,7)&amp;"1-00",MCP!#REF!,P$1,FALSE))</f>
        <v/>
      </c>
      <c r="Q164" s="266" t="str">
        <f t="shared" ref="Q164:Q194" si="123">IF(RIGHT($A164,1)="1",(LOG10($AR$1*$J164+$AT$1)*$AV$1*$E164*$AP$1+$AX$1)*N164,"")</f>
        <v/>
      </c>
      <c r="R164" s="266" t="str">
        <f t="shared" ref="R164:R194" si="124">IF(RIGHT($A164,1)="1",(LOG10($AR$1*$J164+$AT$1)*$AV$1*$E164*$AP$1+$AX$1)*O164,"")</f>
        <v/>
      </c>
      <c r="S164" s="266" t="str">
        <f t="shared" ref="S164:S194" si="125">IF(RIGHT($A164,1)="1",(LOG10($AR$1*$J164+$AT$1)*$AV$1*$E164*$AP$1+$AX$1)*P164,"")</f>
        <v/>
      </c>
      <c r="T164" s="266" t="e">
        <f>VLOOKUP(LEFT($A164,7)&amp;"1-00",MCP!#REF!,T$1,FALSE)</f>
        <v>#REF!</v>
      </c>
      <c r="U164" s="266" t="str">
        <f t="shared" ref="U164:U194" si="126">IF(RIGHT($A164,1)="2",(LOG10($AR$1*$J164+$AT$1)*$AV$1*$E164*$AP$1+$AX$1)*N164,"")</f>
        <v/>
      </c>
      <c r="V164" s="266" t="str">
        <f t="shared" ref="V164:V194" si="127">IF(RIGHT($A164,1)="2",(LOG10($AR$1*$J164+$AT$1)*$AV$1*$E164*$AP$1+$AX$1)*O164,"")</f>
        <v/>
      </c>
      <c r="W164" s="268" t="str">
        <f t="shared" ref="W164:W194" si="128">IF(RIGHT(A164,1)="2",(T164*$AZ$1*2*K164*SIN((Y164)/(K164*4))),"")</f>
        <v/>
      </c>
      <c r="X164" s="161">
        <v>1.2125999999999999</v>
      </c>
      <c r="Y164" s="268">
        <v>0.59889999999999999</v>
      </c>
      <c r="Z164" s="268" t="str">
        <f t="shared" ref="Z164:Z194" si="129">IF(U164="","",SQRT((J164-D164)^2+(X164-AS164)^2))</f>
        <v/>
      </c>
      <c r="AA164" s="266" t="str">
        <f t="shared" ref="AA164:AA194" si="130">IF(U164="","",$Z164*N164+AQ164)</f>
        <v/>
      </c>
      <c r="AB164" s="266" t="str">
        <f t="shared" ref="AB164:AB194" si="131">IF(V164="","",$Z164*O164+AR164)</f>
        <v/>
      </c>
      <c r="AC164" s="266" t="str">
        <f t="shared" ref="AC164:AC194" si="132">IF(W164="","",$Z164*P164+AS164)</f>
        <v/>
      </c>
      <c r="AD164" s="266" t="str">
        <f t="shared" ref="AD164:AD194" si="133">IF(V164="","",AA164-AT164)</f>
        <v/>
      </c>
      <c r="AE164" s="266" t="str">
        <f t="shared" ref="AE164:AE194" si="134">IF(V164="","",AB164-AU164)</f>
        <v/>
      </c>
      <c r="AF164" s="266" t="str">
        <f t="shared" ref="AF164:AF194" si="135">IF(V164="","",AC164-AV164)</f>
        <v/>
      </c>
      <c r="AG164" s="266" t="str">
        <f t="shared" ref="AG164:AG194" si="136">IF(V164="","",AD164/SQRT($AD164^2+$AE164^2+$AF164^2))</f>
        <v/>
      </c>
      <c r="AH164" s="266" t="str">
        <f t="shared" ref="AH164:AH194" si="137">IF(W164="","",AE164/SQRT($AD164^2+$AE164^2+$AF164^2))</f>
        <v/>
      </c>
      <c r="AI164" s="266" t="str">
        <f t="shared" ref="AI164:AI194" si="138">IF(U164="","",AF164/SQRT($AD164^2+$AE164^2+$AF164^2))</f>
        <v/>
      </c>
      <c r="AJ164" s="266" t="str">
        <f>IF(U164="","",VLOOKUP(LEFT(I164,6)&amp;"1-00",MCP!$AK$9:$AL$876,21,FALSE))</f>
        <v/>
      </c>
      <c r="AK164" s="267" t="str">
        <f t="shared" ref="AK164:AK194" si="139">IF(RIGHT($A164,1)="2",(LOG10($AR$1*$J164+$AT$1)*$AV$1*$W164*$AP$1+$AX$1)*AG164,"")</f>
        <v/>
      </c>
      <c r="AL164" s="268" t="str">
        <f t="shared" ref="AL164:AL194" si="140">IF(RIGHT($A164,1)="2",(LOG10($AR$1*$J164+$AT$1)*$AV$1*$W164*$AP$1+$AX$1)*AH164,"")</f>
        <v/>
      </c>
      <c r="AM164" s="269" t="str">
        <f t="shared" ref="AM164:AM194" si="141">IF(RIGHT($A164,1)="2",(LOG10($AR$1*$J164+$AT$1)*$AV$1*$W164*$AP$1+$AX$1)*AI164,"")</f>
        <v/>
      </c>
      <c r="AN164" s="266">
        <f t="shared" ref="AN164:AN194" si="142">IFERROR((AR164*_xlfn.NUMBERVALUE(AM164)+AR164*_xlfn.NUMBERVALUE(S164)),0)</f>
        <v>0</v>
      </c>
      <c r="AO164" s="266">
        <f t="shared" ref="AO164:AO194" si="143">IFERROR(-(AQ164*_xlfn.NUMBERVALUE(AM164)+AQ164*_xlfn.NUMBERVALUE(S164)),0)</f>
        <v>0</v>
      </c>
      <c r="AP164" s="266">
        <f t="shared" ref="AP164:AP194" si="144">IFERROR((AQ164*_xlfn.NUMBERVALUE(AL164)+AQ164*_xlfn.NUMBERVALUE(R164))-(AR164*_xlfn.NUMBERVALUE(AK164)+AR164*_xlfn.NUMBERVALUE(Q164)),0)</f>
        <v>0</v>
      </c>
      <c r="AQ164" s="266" t="e">
        <f>VLOOKUP(LEFT($A164,7)&amp;"1-00",MCP!#REF!,30,FALSE)</f>
        <v>#REF!</v>
      </c>
      <c r="AR164" s="266" t="e">
        <f>VLOOKUP(LEFT($A164,7)&amp;"1-00",MCP!#REF!,31,FALSE)</f>
        <v>#REF!</v>
      </c>
      <c r="AS164" s="266" t="e">
        <f>VLOOKUP($A164&amp;"-"&amp;$B164,MCP!#REF!,12,FALSE)</f>
        <v>#REF!</v>
      </c>
      <c r="AT164" s="266" t="str">
        <f t="shared" ref="AT164:AT194" si="145">IF($U164="","",((D164*COS(RADIANS(AW164)))-(0*SIN(RADIANS(AW164)))))</f>
        <v/>
      </c>
      <c r="AU164" s="266" t="str">
        <f t="shared" ref="AU164:AU194" si="146">IF($U164="","",((0*COS(RADIANS(AW164)))+(D164*SIN(RADIANS(AW164)))))</f>
        <v/>
      </c>
      <c r="AV164" s="266" t="str">
        <f t="shared" ref="AV164:AV194" si="147">IF($U164="","",X164)</f>
        <v/>
      </c>
      <c r="AW164" s="266" t="str">
        <f>IF($U164="","",VLOOKUP(LEFT($A164,7)&amp;"1-00",MCP!#REF!,24,FALSE))</f>
        <v/>
      </c>
      <c r="AX164" s="266">
        <v>0</v>
      </c>
      <c r="AY164" s="266">
        <v>0</v>
      </c>
      <c r="BF164" s="175" t="str">
        <f t="shared" si="122"/>
        <v/>
      </c>
    </row>
    <row r="165" spans="1:58" x14ac:dyDescent="0.2">
      <c r="A165" s="266"/>
      <c r="B165" s="266"/>
      <c r="C165" s="266"/>
      <c r="F165" s="266"/>
      <c r="H165" s="266"/>
      <c r="I165" s="266"/>
      <c r="J165" s="266"/>
      <c r="K165" s="266"/>
      <c r="N165" s="266" t="str">
        <f>IF($A165="","",VLOOKUP(LEFT($A165,7)&amp;"1-00",MCP!#REF!,N$1,FALSE))</f>
        <v/>
      </c>
      <c r="O165" s="266" t="str">
        <f>IF($A165="","",VLOOKUP(LEFT($A165,7)&amp;"1-00",MCP!#REF!,O$1,FALSE))</f>
        <v/>
      </c>
      <c r="P165" s="266" t="str">
        <f>IF($A165="","",VLOOKUP(LEFT($A165,7)&amp;"1-00",MCP!#REF!,P$1,FALSE))</f>
        <v/>
      </c>
      <c r="Q165" s="266" t="str">
        <f t="shared" si="123"/>
        <v/>
      </c>
      <c r="R165" s="266" t="str">
        <f t="shared" si="124"/>
        <v/>
      </c>
      <c r="S165" s="266" t="str">
        <f t="shared" si="125"/>
        <v/>
      </c>
      <c r="T165" s="266" t="e">
        <f>VLOOKUP(LEFT($A165,7)&amp;"1-00",MCP!#REF!,T$1,FALSE)</f>
        <v>#REF!</v>
      </c>
      <c r="U165" s="266" t="str">
        <f t="shared" si="126"/>
        <v/>
      </c>
      <c r="V165" s="266" t="str">
        <f t="shared" si="127"/>
        <v/>
      </c>
      <c r="W165" s="268" t="str">
        <f t="shared" si="128"/>
        <v/>
      </c>
      <c r="X165" s="161">
        <v>0.77200000000000002</v>
      </c>
      <c r="Y165" s="161">
        <v>0.88990000000000002</v>
      </c>
      <c r="Z165" s="268" t="str">
        <f t="shared" si="129"/>
        <v/>
      </c>
      <c r="AA165" s="266" t="str">
        <f t="shared" si="130"/>
        <v/>
      </c>
      <c r="AB165" s="266" t="str">
        <f t="shared" si="131"/>
        <v/>
      </c>
      <c r="AC165" s="266" t="str">
        <f t="shared" si="132"/>
        <v/>
      </c>
      <c r="AD165" s="266" t="str">
        <f t="shared" si="133"/>
        <v/>
      </c>
      <c r="AE165" s="266" t="str">
        <f t="shared" si="134"/>
        <v/>
      </c>
      <c r="AF165" s="266" t="str">
        <f t="shared" si="135"/>
        <v/>
      </c>
      <c r="AG165" s="266" t="str">
        <f t="shared" si="136"/>
        <v/>
      </c>
      <c r="AH165" s="266" t="str">
        <f t="shared" si="137"/>
        <v/>
      </c>
      <c r="AI165" s="266" t="str">
        <f t="shared" si="138"/>
        <v/>
      </c>
      <c r="AJ165" s="266" t="str">
        <f>IF(U165="","",VLOOKUP(LEFT(I165,6)&amp;"1-00",MCP!$AK$9:$AL$876,21,FALSE))</f>
        <v/>
      </c>
      <c r="AK165" s="267" t="str">
        <f t="shared" si="139"/>
        <v/>
      </c>
      <c r="AL165" s="268" t="str">
        <f t="shared" si="140"/>
        <v/>
      </c>
      <c r="AM165" s="269" t="str">
        <f t="shared" si="141"/>
        <v/>
      </c>
      <c r="AN165" s="266">
        <f t="shared" si="142"/>
        <v>0</v>
      </c>
      <c r="AO165" s="266">
        <f t="shared" si="143"/>
        <v>0</v>
      </c>
      <c r="AP165" s="266">
        <f t="shared" si="144"/>
        <v>0</v>
      </c>
      <c r="AQ165" s="266" t="e">
        <f>VLOOKUP(LEFT($A165,7)&amp;"1-00",MCP!#REF!,30,FALSE)</f>
        <v>#REF!</v>
      </c>
      <c r="AR165" s="266" t="e">
        <f>VLOOKUP(LEFT($A165,7)&amp;"1-00",MCP!#REF!,31,FALSE)</f>
        <v>#REF!</v>
      </c>
      <c r="AS165" s="266" t="e">
        <f>VLOOKUP($A165&amp;"-"&amp;$B165,MCP!#REF!,12,FALSE)</f>
        <v>#REF!</v>
      </c>
      <c r="AT165" s="266" t="str">
        <f t="shared" si="145"/>
        <v/>
      </c>
      <c r="AU165" s="266" t="str">
        <f t="shared" si="146"/>
        <v/>
      </c>
      <c r="AV165" s="266" t="str">
        <f t="shared" si="147"/>
        <v/>
      </c>
      <c r="AW165" s="266" t="str">
        <f>IF($U165="","",VLOOKUP(LEFT($A165,7)&amp;"1-00",MCP!#REF!,24,FALSE))</f>
        <v/>
      </c>
      <c r="AX165" s="266"/>
      <c r="AY165" s="266"/>
      <c r="BF165" s="175" t="str">
        <f t="shared" si="122"/>
        <v/>
      </c>
    </row>
    <row r="166" spans="1:58" x14ac:dyDescent="0.2">
      <c r="A166" s="266"/>
      <c r="B166" s="266"/>
      <c r="C166" s="266"/>
      <c r="F166" s="266"/>
      <c r="G166" s="266"/>
      <c r="H166" s="266"/>
      <c r="I166" s="266"/>
      <c r="J166" s="266"/>
      <c r="K166" s="266"/>
      <c r="L166" s="266"/>
      <c r="M166" s="161">
        <v>0</v>
      </c>
      <c r="N166" s="266" t="str">
        <f>IF($A166="","",VLOOKUP(LEFT($A166,7)&amp;"1-00",MCP!#REF!,N$1,FALSE))</f>
        <v/>
      </c>
      <c r="O166" s="266" t="str">
        <f>IF($A166="","",VLOOKUP(LEFT($A166,7)&amp;"1-00",MCP!#REF!,O$1,FALSE))</f>
        <v/>
      </c>
      <c r="P166" s="266" t="str">
        <f>IF($A166="","",VLOOKUP(LEFT($A166,7)&amp;"1-00",MCP!#REF!,P$1,FALSE))</f>
        <v/>
      </c>
      <c r="Q166" s="266" t="str">
        <f t="shared" si="123"/>
        <v/>
      </c>
      <c r="R166" s="266" t="str">
        <f t="shared" si="124"/>
        <v/>
      </c>
      <c r="S166" s="266" t="str">
        <f t="shared" si="125"/>
        <v/>
      </c>
      <c r="T166" s="266" t="e">
        <f>VLOOKUP(LEFT($A166,7)&amp;"1-00",MCP!#REF!,T$1,FALSE)</f>
        <v>#REF!</v>
      </c>
      <c r="U166" s="266" t="str">
        <f t="shared" si="126"/>
        <v/>
      </c>
      <c r="V166" s="266" t="str">
        <f t="shared" si="127"/>
        <v/>
      </c>
      <c r="W166" s="268" t="str">
        <f t="shared" si="128"/>
        <v/>
      </c>
      <c r="X166" s="161">
        <v>0.83699999999999997</v>
      </c>
      <c r="Y166" s="161">
        <v>1.6751</v>
      </c>
      <c r="Z166" s="268" t="str">
        <f t="shared" si="129"/>
        <v/>
      </c>
      <c r="AA166" s="266" t="str">
        <f t="shared" si="130"/>
        <v/>
      </c>
      <c r="AB166" s="266" t="str">
        <f t="shared" si="131"/>
        <v/>
      </c>
      <c r="AC166" s="266" t="str">
        <f t="shared" si="132"/>
        <v/>
      </c>
      <c r="AD166" s="266" t="str">
        <f t="shared" si="133"/>
        <v/>
      </c>
      <c r="AE166" s="266" t="str">
        <f t="shared" si="134"/>
        <v/>
      </c>
      <c r="AF166" s="266" t="str">
        <f t="shared" si="135"/>
        <v/>
      </c>
      <c r="AG166" s="266" t="str">
        <f t="shared" si="136"/>
        <v/>
      </c>
      <c r="AH166" s="266" t="str">
        <f t="shared" si="137"/>
        <v/>
      </c>
      <c r="AI166" s="266" t="str">
        <f t="shared" si="138"/>
        <v/>
      </c>
      <c r="AJ166" s="266" t="str">
        <f>IF(U166="","",VLOOKUP(LEFT(I166,6)&amp;"1-00",MCP!$AK$9:$AL$876,21,FALSE))</f>
        <v/>
      </c>
      <c r="AK166" s="267" t="str">
        <f t="shared" si="139"/>
        <v/>
      </c>
      <c r="AL166" s="268" t="str">
        <f t="shared" si="140"/>
        <v/>
      </c>
      <c r="AM166" s="269" t="str">
        <f t="shared" si="141"/>
        <v/>
      </c>
      <c r="AN166" s="266">
        <f t="shared" si="142"/>
        <v>0</v>
      </c>
      <c r="AO166" s="266">
        <f t="shared" si="143"/>
        <v>0</v>
      </c>
      <c r="AP166" s="266">
        <f t="shared" si="144"/>
        <v>0</v>
      </c>
      <c r="AQ166" s="266" t="e">
        <f>VLOOKUP(LEFT($A166,7)&amp;"1-00",MCP!#REF!,30,FALSE)</f>
        <v>#REF!</v>
      </c>
      <c r="AR166" s="266" t="e">
        <f>VLOOKUP(LEFT($A166,7)&amp;"1-00",MCP!#REF!,31,FALSE)</f>
        <v>#REF!</v>
      </c>
      <c r="AS166" s="266" t="e">
        <f>VLOOKUP($A166&amp;"-"&amp;$B166,MCP!#REF!,12,FALSE)</f>
        <v>#REF!</v>
      </c>
      <c r="AT166" s="266" t="str">
        <f t="shared" si="145"/>
        <v/>
      </c>
      <c r="AU166" s="266" t="str">
        <f t="shared" si="146"/>
        <v/>
      </c>
      <c r="AV166" s="266" t="str">
        <f t="shared" si="147"/>
        <v/>
      </c>
      <c r="AW166" s="266" t="str">
        <f>IF($U166="","",VLOOKUP(LEFT($A166,7)&amp;"1-00",MCP!#REF!,24,FALSE))</f>
        <v/>
      </c>
      <c r="AX166" s="266">
        <v>0</v>
      </c>
      <c r="AY166" s="266">
        <v>0</v>
      </c>
      <c r="BF166" s="175" t="str">
        <f t="shared" si="122"/>
        <v/>
      </c>
    </row>
    <row r="167" spans="1:58" x14ac:dyDescent="0.2">
      <c r="A167" s="266"/>
      <c r="B167" s="266"/>
      <c r="C167" s="266"/>
      <c r="F167" s="266"/>
      <c r="H167" s="266"/>
      <c r="I167" s="266"/>
      <c r="J167" s="266"/>
      <c r="K167" s="266"/>
      <c r="N167" s="266" t="str">
        <f>IF($A167="","",VLOOKUP(LEFT($A167,7)&amp;"1-00",MCP!#REF!,N$1,FALSE))</f>
        <v/>
      </c>
      <c r="O167" s="266" t="str">
        <f>IF($A167="","",VLOOKUP(LEFT($A167,7)&amp;"1-00",MCP!#REF!,O$1,FALSE))</f>
        <v/>
      </c>
      <c r="P167" s="266" t="str">
        <f>IF($A167="","",VLOOKUP(LEFT($A167,7)&amp;"1-00",MCP!#REF!,P$1,FALSE))</f>
        <v/>
      </c>
      <c r="Q167" s="266" t="str">
        <f t="shared" si="123"/>
        <v/>
      </c>
      <c r="R167" s="266" t="str">
        <f t="shared" si="124"/>
        <v/>
      </c>
      <c r="S167" s="266" t="str">
        <f t="shared" si="125"/>
        <v/>
      </c>
      <c r="T167" s="266" t="e">
        <f>VLOOKUP(LEFT($A167,7)&amp;"1-00",MCP!#REF!,T$1,FALSE)</f>
        <v>#REF!</v>
      </c>
      <c r="U167" s="266" t="str">
        <f t="shared" si="126"/>
        <v/>
      </c>
      <c r="V167" s="266" t="str">
        <f t="shared" si="127"/>
        <v/>
      </c>
      <c r="W167" s="268" t="str">
        <f t="shared" si="128"/>
        <v/>
      </c>
      <c r="X167" s="161">
        <v>0.83699999999999997</v>
      </c>
      <c r="Y167" s="161">
        <v>1.6751</v>
      </c>
      <c r="Z167" s="268" t="str">
        <f t="shared" si="129"/>
        <v/>
      </c>
      <c r="AA167" s="266" t="str">
        <f t="shared" si="130"/>
        <v/>
      </c>
      <c r="AB167" s="266" t="str">
        <f t="shared" si="131"/>
        <v/>
      </c>
      <c r="AC167" s="266" t="str">
        <f t="shared" si="132"/>
        <v/>
      </c>
      <c r="AD167" s="266" t="str">
        <f t="shared" si="133"/>
        <v/>
      </c>
      <c r="AE167" s="266" t="str">
        <f t="shared" si="134"/>
        <v/>
      </c>
      <c r="AF167" s="266" t="str">
        <f t="shared" si="135"/>
        <v/>
      </c>
      <c r="AG167" s="266" t="str">
        <f t="shared" si="136"/>
        <v/>
      </c>
      <c r="AH167" s="266" t="str">
        <f t="shared" si="137"/>
        <v/>
      </c>
      <c r="AI167" s="266" t="str">
        <f t="shared" si="138"/>
        <v/>
      </c>
      <c r="AJ167" s="266" t="str">
        <f>IF(U167="","",VLOOKUP(LEFT(I167,6)&amp;"1-00",MCP!$AK$9:$AL$876,21,FALSE))</f>
        <v/>
      </c>
      <c r="AK167" s="267" t="str">
        <f t="shared" si="139"/>
        <v/>
      </c>
      <c r="AL167" s="268" t="str">
        <f t="shared" si="140"/>
        <v/>
      </c>
      <c r="AM167" s="269" t="str">
        <f t="shared" si="141"/>
        <v/>
      </c>
      <c r="AN167" s="266">
        <f t="shared" si="142"/>
        <v>0</v>
      </c>
      <c r="AO167" s="266">
        <f t="shared" si="143"/>
        <v>0</v>
      </c>
      <c r="AP167" s="266">
        <f t="shared" si="144"/>
        <v>0</v>
      </c>
      <c r="AQ167" s="266" t="e">
        <f>VLOOKUP(LEFT($A167,7)&amp;"1-00",MCP!#REF!,30,FALSE)</f>
        <v>#REF!</v>
      </c>
      <c r="AR167" s="266" t="e">
        <f>VLOOKUP(LEFT($A167,7)&amp;"1-00",MCP!#REF!,31,FALSE)</f>
        <v>#REF!</v>
      </c>
      <c r="AS167" s="266" t="e">
        <f>VLOOKUP($A167&amp;"-"&amp;$B167,MCP!#REF!,12,FALSE)</f>
        <v>#REF!</v>
      </c>
      <c r="AT167" s="266" t="str">
        <f t="shared" si="145"/>
        <v/>
      </c>
      <c r="AU167" s="266" t="str">
        <f t="shared" si="146"/>
        <v/>
      </c>
      <c r="AV167" s="266" t="str">
        <f t="shared" si="147"/>
        <v/>
      </c>
      <c r="AW167" s="266" t="str">
        <f>IF($U167="","",VLOOKUP(LEFT($A167,7)&amp;"1-00",MCP!#REF!,24,FALSE))</f>
        <v/>
      </c>
      <c r="AX167" s="266"/>
      <c r="AY167" s="266"/>
      <c r="BF167" s="175" t="str">
        <f t="shared" si="122"/>
        <v/>
      </c>
    </row>
    <row r="168" spans="1:58" x14ac:dyDescent="0.2">
      <c r="A168" s="266"/>
      <c r="B168" s="266"/>
      <c r="C168" s="266"/>
      <c r="F168" s="266"/>
      <c r="H168" s="266"/>
      <c r="I168" s="266"/>
      <c r="J168" s="266"/>
      <c r="K168" s="266"/>
      <c r="M168" s="161">
        <v>0</v>
      </c>
      <c r="N168" s="266" t="str">
        <f>IF($A168="","",VLOOKUP(LEFT($A168,7)&amp;"1-00",MCP!#REF!,N$1,FALSE))</f>
        <v/>
      </c>
      <c r="O168" s="266" t="str">
        <f>IF($A168="","",VLOOKUP(LEFT($A168,7)&amp;"1-00",MCP!#REF!,O$1,FALSE))</f>
        <v/>
      </c>
      <c r="P168" s="266" t="str">
        <f>IF($A168="","",VLOOKUP(LEFT($A168,7)&amp;"1-00",MCP!#REF!,P$1,FALSE))</f>
        <v/>
      </c>
      <c r="Q168" s="266" t="str">
        <f t="shared" si="123"/>
        <v/>
      </c>
      <c r="R168" s="266" t="str">
        <f t="shared" si="124"/>
        <v/>
      </c>
      <c r="S168" s="266" t="str">
        <f t="shared" si="125"/>
        <v/>
      </c>
      <c r="T168" s="266" t="e">
        <f>VLOOKUP(LEFT($A168,7)&amp;"1-00",MCP!#REF!,T$1,FALSE)</f>
        <v>#REF!</v>
      </c>
      <c r="U168" s="266" t="str">
        <f t="shared" si="126"/>
        <v/>
      </c>
      <c r="V168" s="266" t="str">
        <f t="shared" si="127"/>
        <v/>
      </c>
      <c r="W168" s="268" t="str">
        <f t="shared" si="128"/>
        <v/>
      </c>
      <c r="X168" s="161">
        <v>0.13969999999999999</v>
      </c>
      <c r="Y168" s="161">
        <v>1.538</v>
      </c>
      <c r="Z168" s="268" t="str">
        <f t="shared" si="129"/>
        <v/>
      </c>
      <c r="AA168" s="266" t="str">
        <f t="shared" si="130"/>
        <v/>
      </c>
      <c r="AB168" s="266" t="str">
        <f t="shared" si="131"/>
        <v/>
      </c>
      <c r="AC168" s="266" t="str">
        <f t="shared" si="132"/>
        <v/>
      </c>
      <c r="AD168" s="266" t="str">
        <f t="shared" si="133"/>
        <v/>
      </c>
      <c r="AE168" s="266" t="str">
        <f t="shared" si="134"/>
        <v/>
      </c>
      <c r="AF168" s="266" t="str">
        <f t="shared" si="135"/>
        <v/>
      </c>
      <c r="AG168" s="266" t="str">
        <f t="shared" si="136"/>
        <v/>
      </c>
      <c r="AH168" s="266" t="str">
        <f t="shared" si="137"/>
        <v/>
      </c>
      <c r="AI168" s="266" t="str">
        <f t="shared" si="138"/>
        <v/>
      </c>
      <c r="AJ168" s="266" t="str">
        <f>IF(U168="","",VLOOKUP(LEFT(I168,6)&amp;"1-00",MCP!$AK$9:$AL$876,21,FALSE))</f>
        <v/>
      </c>
      <c r="AK168" s="267" t="str">
        <f t="shared" si="139"/>
        <v/>
      </c>
      <c r="AL168" s="268" t="str">
        <f t="shared" si="140"/>
        <v/>
      </c>
      <c r="AM168" s="269" t="str">
        <f t="shared" si="141"/>
        <v/>
      </c>
      <c r="AN168" s="266">
        <f t="shared" si="142"/>
        <v>0</v>
      </c>
      <c r="AO168" s="266">
        <f t="shared" si="143"/>
        <v>0</v>
      </c>
      <c r="AP168" s="266">
        <f t="shared" si="144"/>
        <v>0</v>
      </c>
      <c r="AQ168" s="266" t="e">
        <f>VLOOKUP(LEFT($A168,7)&amp;"1-00",MCP!#REF!,30,FALSE)</f>
        <v>#REF!</v>
      </c>
      <c r="AR168" s="266" t="e">
        <f>VLOOKUP(LEFT($A168,7)&amp;"1-00",MCP!#REF!,31,FALSE)</f>
        <v>#REF!</v>
      </c>
      <c r="AS168" s="266" t="e">
        <f>VLOOKUP($A168&amp;"-"&amp;$B168,MCP!#REF!,12,FALSE)</f>
        <v>#REF!</v>
      </c>
      <c r="AT168" s="266" t="str">
        <f t="shared" si="145"/>
        <v/>
      </c>
      <c r="AU168" s="266" t="str">
        <f t="shared" si="146"/>
        <v/>
      </c>
      <c r="AV168" s="266" t="str">
        <f t="shared" si="147"/>
        <v/>
      </c>
      <c r="AW168" s="266" t="str">
        <f>IF($U168="","",VLOOKUP(LEFT($A168,7)&amp;"1-00",MCP!#REF!,24,FALSE))</f>
        <v/>
      </c>
      <c r="AX168" s="266">
        <v>0</v>
      </c>
      <c r="AY168" s="266">
        <v>0</v>
      </c>
      <c r="BF168" s="175" t="str">
        <f t="shared" si="122"/>
        <v/>
      </c>
    </row>
    <row r="169" spans="1:58" x14ac:dyDescent="0.2">
      <c r="A169" s="266"/>
      <c r="B169" s="266"/>
      <c r="C169" s="266"/>
      <c r="F169" s="266"/>
      <c r="H169" s="266"/>
      <c r="I169" s="266"/>
      <c r="J169" s="266"/>
      <c r="K169" s="266"/>
      <c r="N169" s="266" t="str">
        <f>IF($A169="","",VLOOKUP(LEFT($A169,7)&amp;"1-00",MCP!#REF!,N$1,FALSE))</f>
        <v/>
      </c>
      <c r="O169" s="266" t="str">
        <f>IF($A169="","",VLOOKUP(LEFT($A169,7)&amp;"1-00",MCP!#REF!,O$1,FALSE))</f>
        <v/>
      </c>
      <c r="P169" s="266" t="str">
        <f>IF($A169="","",VLOOKUP(LEFT($A169,7)&amp;"1-00",MCP!#REF!,P$1,FALSE))</f>
        <v/>
      </c>
      <c r="Q169" s="266" t="str">
        <f t="shared" si="123"/>
        <v/>
      </c>
      <c r="R169" s="266" t="str">
        <f t="shared" si="124"/>
        <v/>
      </c>
      <c r="S169" s="266" t="str">
        <f t="shared" si="125"/>
        <v/>
      </c>
      <c r="T169" s="266" t="e">
        <f>VLOOKUP(LEFT($A169,7)&amp;"1-00",MCP!#REF!,T$1,FALSE)</f>
        <v>#REF!</v>
      </c>
      <c r="U169" s="266" t="str">
        <f t="shared" si="126"/>
        <v/>
      </c>
      <c r="V169" s="266" t="str">
        <f t="shared" si="127"/>
        <v/>
      </c>
      <c r="W169" s="268" t="str">
        <f t="shared" si="128"/>
        <v/>
      </c>
      <c r="X169" s="161">
        <v>1.1991000000000001</v>
      </c>
      <c r="Y169" s="161">
        <v>3.6917</v>
      </c>
      <c r="Z169" s="268" t="str">
        <f t="shared" si="129"/>
        <v/>
      </c>
      <c r="AA169" s="266" t="str">
        <f t="shared" si="130"/>
        <v/>
      </c>
      <c r="AB169" s="266" t="str">
        <f t="shared" si="131"/>
        <v/>
      </c>
      <c r="AC169" s="266" t="str">
        <f t="shared" si="132"/>
        <v/>
      </c>
      <c r="AD169" s="266" t="str">
        <f t="shared" si="133"/>
        <v/>
      </c>
      <c r="AE169" s="266" t="str">
        <f t="shared" si="134"/>
        <v/>
      </c>
      <c r="AF169" s="266" t="str">
        <f t="shared" si="135"/>
        <v/>
      </c>
      <c r="AG169" s="266" t="str">
        <f t="shared" si="136"/>
        <v/>
      </c>
      <c r="AH169" s="266" t="str">
        <f t="shared" si="137"/>
        <v/>
      </c>
      <c r="AI169" s="266" t="str">
        <f t="shared" si="138"/>
        <v/>
      </c>
      <c r="AJ169" s="266" t="str">
        <f>IF(U169="","",VLOOKUP(LEFT(I169,6)&amp;"1-00",MCP!$AK$9:$AL$876,21,FALSE))</f>
        <v/>
      </c>
      <c r="AK169" s="267" t="str">
        <f t="shared" si="139"/>
        <v/>
      </c>
      <c r="AL169" s="268" t="str">
        <f t="shared" si="140"/>
        <v/>
      </c>
      <c r="AM169" s="269" t="str">
        <f t="shared" si="141"/>
        <v/>
      </c>
      <c r="AN169" s="266">
        <f t="shared" si="142"/>
        <v>0</v>
      </c>
      <c r="AO169" s="266">
        <f t="shared" si="143"/>
        <v>0</v>
      </c>
      <c r="AP169" s="266">
        <f t="shared" si="144"/>
        <v>0</v>
      </c>
      <c r="AQ169" s="266" t="e">
        <f>VLOOKUP(LEFT($A169,7)&amp;"1-00",MCP!#REF!,30,FALSE)</f>
        <v>#REF!</v>
      </c>
      <c r="AR169" s="266" t="e">
        <f>VLOOKUP(LEFT($A169,7)&amp;"1-00",MCP!#REF!,31,FALSE)</f>
        <v>#REF!</v>
      </c>
      <c r="AS169" s="266" t="e">
        <f>VLOOKUP($A169&amp;"-"&amp;$B169,MCP!#REF!,12,FALSE)</f>
        <v>#REF!</v>
      </c>
      <c r="AT169" s="266" t="str">
        <f t="shared" si="145"/>
        <v/>
      </c>
      <c r="AU169" s="266" t="str">
        <f t="shared" si="146"/>
        <v/>
      </c>
      <c r="AV169" s="266" t="str">
        <f t="shared" si="147"/>
        <v/>
      </c>
      <c r="AW169" s="266" t="str">
        <f>IF($U169="","",VLOOKUP(LEFT($A169,7)&amp;"1-00",MCP!#REF!,24,FALSE))</f>
        <v/>
      </c>
      <c r="AX169" s="266"/>
      <c r="AY169" s="266"/>
      <c r="BF169" s="175" t="str">
        <f t="shared" si="122"/>
        <v/>
      </c>
    </row>
    <row r="170" spans="1:58" x14ac:dyDescent="0.2">
      <c r="A170" s="266"/>
      <c r="B170" s="266"/>
      <c r="C170" s="266"/>
      <c r="F170" s="266"/>
      <c r="H170" s="266"/>
      <c r="I170" s="266"/>
      <c r="J170" s="266"/>
      <c r="K170" s="266"/>
      <c r="M170" s="161">
        <v>0</v>
      </c>
      <c r="N170" s="266" t="str">
        <f>IF($A170="","",VLOOKUP(LEFT($A170,7)&amp;"1-00",MCP!#REF!,N$1,FALSE))</f>
        <v/>
      </c>
      <c r="O170" s="266" t="str">
        <f>IF($A170="","",VLOOKUP(LEFT($A170,7)&amp;"1-00",MCP!#REF!,O$1,FALSE))</f>
        <v/>
      </c>
      <c r="P170" s="266" t="str">
        <f>IF($A170="","",VLOOKUP(LEFT($A170,7)&amp;"1-00",MCP!#REF!,P$1,FALSE))</f>
        <v/>
      </c>
      <c r="Q170" s="266" t="str">
        <f t="shared" si="123"/>
        <v/>
      </c>
      <c r="R170" s="266" t="str">
        <f t="shared" si="124"/>
        <v/>
      </c>
      <c r="S170" s="266" t="str">
        <f t="shared" si="125"/>
        <v/>
      </c>
      <c r="T170" s="266" t="e">
        <f>VLOOKUP(LEFT($A170,7)&amp;"1-00",MCP!#REF!,T$1,FALSE)</f>
        <v>#REF!</v>
      </c>
      <c r="U170" s="266" t="str">
        <f t="shared" si="126"/>
        <v/>
      </c>
      <c r="V170" s="266" t="str">
        <f t="shared" si="127"/>
        <v/>
      </c>
      <c r="W170" s="268" t="str">
        <f t="shared" si="128"/>
        <v/>
      </c>
      <c r="X170" s="161">
        <v>9.2600000000000002E-2</v>
      </c>
      <c r="Y170" s="161">
        <v>0.90249999999999997</v>
      </c>
      <c r="Z170" s="268" t="str">
        <f t="shared" si="129"/>
        <v/>
      </c>
      <c r="AA170" s="266" t="str">
        <f t="shared" si="130"/>
        <v/>
      </c>
      <c r="AB170" s="266" t="str">
        <f t="shared" si="131"/>
        <v/>
      </c>
      <c r="AC170" s="266" t="str">
        <f t="shared" si="132"/>
        <v/>
      </c>
      <c r="AD170" s="266" t="str">
        <f t="shared" si="133"/>
        <v/>
      </c>
      <c r="AE170" s="266" t="str">
        <f t="shared" si="134"/>
        <v/>
      </c>
      <c r="AF170" s="266" t="str">
        <f t="shared" si="135"/>
        <v/>
      </c>
      <c r="AG170" s="266" t="str">
        <f t="shared" si="136"/>
        <v/>
      </c>
      <c r="AH170" s="266" t="str">
        <f t="shared" si="137"/>
        <v/>
      </c>
      <c r="AI170" s="266" t="str">
        <f t="shared" si="138"/>
        <v/>
      </c>
      <c r="AJ170" s="266" t="str">
        <f>IF(U170="","",VLOOKUP(LEFT(I170,6)&amp;"1-00",MCP!$AK$9:$AL$876,21,FALSE))</f>
        <v/>
      </c>
      <c r="AK170" s="267" t="str">
        <f t="shared" si="139"/>
        <v/>
      </c>
      <c r="AL170" s="268" t="str">
        <f t="shared" si="140"/>
        <v/>
      </c>
      <c r="AM170" s="269" t="str">
        <f t="shared" si="141"/>
        <v/>
      </c>
      <c r="AN170" s="266">
        <f t="shared" si="142"/>
        <v>0</v>
      </c>
      <c r="AO170" s="266">
        <f t="shared" si="143"/>
        <v>0</v>
      </c>
      <c r="AP170" s="266">
        <f t="shared" si="144"/>
        <v>0</v>
      </c>
      <c r="AQ170" s="266" t="e">
        <f>VLOOKUP(LEFT($A170,7)&amp;"1-00",MCP!#REF!,30,FALSE)</f>
        <v>#REF!</v>
      </c>
      <c r="AR170" s="266" t="e">
        <f>VLOOKUP(LEFT($A170,7)&amp;"1-00",MCP!#REF!,31,FALSE)</f>
        <v>#REF!</v>
      </c>
      <c r="AS170" s="266" t="e">
        <f>VLOOKUP($A170&amp;"-"&amp;$B170,MCP!#REF!,12,FALSE)</f>
        <v>#REF!</v>
      </c>
      <c r="AT170" s="266" t="str">
        <f t="shared" si="145"/>
        <v/>
      </c>
      <c r="AU170" s="266" t="str">
        <f t="shared" si="146"/>
        <v/>
      </c>
      <c r="AV170" s="266" t="str">
        <f t="shared" si="147"/>
        <v/>
      </c>
      <c r="AW170" s="266" t="str">
        <f>IF($U170="","",VLOOKUP(LEFT($A170,7)&amp;"1-00",MCP!#REF!,24,FALSE))</f>
        <v/>
      </c>
      <c r="AX170" s="266">
        <v>0</v>
      </c>
      <c r="AY170" s="266">
        <v>0</v>
      </c>
      <c r="BF170" s="175" t="str">
        <f t="shared" si="122"/>
        <v/>
      </c>
    </row>
    <row r="171" spans="1:58" x14ac:dyDescent="0.2">
      <c r="A171" s="266"/>
      <c r="B171" s="266"/>
      <c r="C171" s="266"/>
      <c r="F171" s="266"/>
      <c r="H171" s="266"/>
      <c r="I171" s="266"/>
      <c r="J171" s="266"/>
      <c r="K171" s="266"/>
      <c r="N171" s="266" t="str">
        <f>IF($A171="","",VLOOKUP(LEFT($A171,7)&amp;"1-00",MCP!#REF!,N$1,FALSE))</f>
        <v/>
      </c>
      <c r="O171" s="266" t="str">
        <f>IF($A171="","",VLOOKUP(LEFT($A171,7)&amp;"1-00",MCP!#REF!,O$1,FALSE))</f>
        <v/>
      </c>
      <c r="P171" s="266" t="str">
        <f>IF($A171="","",VLOOKUP(LEFT($A171,7)&amp;"1-00",MCP!#REF!,P$1,FALSE))</f>
        <v/>
      </c>
      <c r="Q171" s="266" t="str">
        <f t="shared" si="123"/>
        <v/>
      </c>
      <c r="R171" s="266" t="str">
        <f t="shared" si="124"/>
        <v/>
      </c>
      <c r="S171" s="266" t="str">
        <f t="shared" si="125"/>
        <v/>
      </c>
      <c r="T171" s="266" t="e">
        <f>VLOOKUP(LEFT($A171,7)&amp;"1-00",MCP!#REF!,T$1,FALSE)</f>
        <v>#REF!</v>
      </c>
      <c r="U171" s="266" t="str">
        <f t="shared" si="126"/>
        <v/>
      </c>
      <c r="V171" s="266" t="str">
        <f t="shared" si="127"/>
        <v/>
      </c>
      <c r="W171" s="268" t="str">
        <f t="shared" si="128"/>
        <v/>
      </c>
      <c r="X171" s="161">
        <v>9.2600000000000002E-2</v>
      </c>
      <c r="Y171" s="161">
        <v>0.90249999999999997</v>
      </c>
      <c r="Z171" s="268" t="str">
        <f t="shared" si="129"/>
        <v/>
      </c>
      <c r="AA171" s="266" t="str">
        <f t="shared" si="130"/>
        <v/>
      </c>
      <c r="AB171" s="266" t="str">
        <f t="shared" si="131"/>
        <v/>
      </c>
      <c r="AC171" s="266" t="str">
        <f t="shared" si="132"/>
        <v/>
      </c>
      <c r="AD171" s="266" t="str">
        <f t="shared" si="133"/>
        <v/>
      </c>
      <c r="AE171" s="266" t="str">
        <f t="shared" si="134"/>
        <v/>
      </c>
      <c r="AF171" s="266" t="str">
        <f t="shared" si="135"/>
        <v/>
      </c>
      <c r="AG171" s="266" t="str">
        <f t="shared" si="136"/>
        <v/>
      </c>
      <c r="AH171" s="266" t="str">
        <f t="shared" si="137"/>
        <v/>
      </c>
      <c r="AI171" s="266" t="str">
        <f t="shared" si="138"/>
        <v/>
      </c>
      <c r="AJ171" s="266" t="str">
        <f>IF(U171="","",VLOOKUP(LEFT(I171,6)&amp;"1-00",MCP!$AK$9:$AL$876,21,FALSE))</f>
        <v/>
      </c>
      <c r="AK171" s="267" t="str">
        <f t="shared" si="139"/>
        <v/>
      </c>
      <c r="AL171" s="268" t="str">
        <f t="shared" si="140"/>
        <v/>
      </c>
      <c r="AM171" s="269" t="str">
        <f t="shared" si="141"/>
        <v/>
      </c>
      <c r="AN171" s="266">
        <f t="shared" si="142"/>
        <v>0</v>
      </c>
      <c r="AO171" s="266">
        <f t="shared" si="143"/>
        <v>0</v>
      </c>
      <c r="AP171" s="266">
        <f t="shared" si="144"/>
        <v>0</v>
      </c>
      <c r="AQ171" s="266" t="e">
        <f>VLOOKUP(LEFT($A171,7)&amp;"1-00",MCP!#REF!,30,FALSE)</f>
        <v>#REF!</v>
      </c>
      <c r="AR171" s="266" t="e">
        <f>VLOOKUP(LEFT($A171,7)&amp;"1-00",MCP!#REF!,31,FALSE)</f>
        <v>#REF!</v>
      </c>
      <c r="AS171" s="266" t="e">
        <f>VLOOKUP($A171&amp;"-"&amp;$B171,MCP!#REF!,12,FALSE)</f>
        <v>#REF!</v>
      </c>
      <c r="AT171" s="266" t="str">
        <f t="shared" si="145"/>
        <v/>
      </c>
      <c r="AU171" s="266" t="str">
        <f t="shared" si="146"/>
        <v/>
      </c>
      <c r="AV171" s="266" t="str">
        <f t="shared" si="147"/>
        <v/>
      </c>
      <c r="AW171" s="266" t="str">
        <f>IF($U171="","",VLOOKUP(LEFT($A171,7)&amp;"1-00",MCP!#REF!,24,FALSE))</f>
        <v/>
      </c>
      <c r="AX171" s="266"/>
      <c r="AY171" s="266"/>
      <c r="BF171" s="175" t="str">
        <f t="shared" si="122"/>
        <v/>
      </c>
    </row>
    <row r="172" spans="1:58" x14ac:dyDescent="0.2">
      <c r="A172" s="266"/>
      <c r="B172" s="266"/>
      <c r="C172" s="266"/>
      <c r="F172" s="266"/>
      <c r="H172" s="266"/>
      <c r="I172" s="266"/>
      <c r="J172" s="266"/>
      <c r="K172" s="266"/>
      <c r="M172" s="161">
        <v>0</v>
      </c>
      <c r="N172" s="266" t="str">
        <f>IF($A172="","",VLOOKUP(LEFT($A172,7)&amp;"1-00",MCP!#REF!,N$1,FALSE))</f>
        <v/>
      </c>
      <c r="O172" s="266" t="str">
        <f>IF($A172="","",VLOOKUP(LEFT($A172,7)&amp;"1-00",MCP!#REF!,O$1,FALSE))</f>
        <v/>
      </c>
      <c r="P172" s="266" t="str">
        <f>IF($A172="","",VLOOKUP(LEFT($A172,7)&amp;"1-00",MCP!#REF!,P$1,FALSE))</f>
        <v/>
      </c>
      <c r="Q172" s="266" t="str">
        <f t="shared" si="123"/>
        <v/>
      </c>
      <c r="R172" s="266" t="str">
        <f t="shared" si="124"/>
        <v/>
      </c>
      <c r="S172" s="266" t="str">
        <f t="shared" si="125"/>
        <v/>
      </c>
      <c r="T172" s="266" t="e">
        <f>VLOOKUP(LEFT($A172,7)&amp;"1-00",MCP!#REF!,T$1,FALSE)</f>
        <v>#REF!</v>
      </c>
      <c r="U172" s="266" t="str">
        <f t="shared" si="126"/>
        <v/>
      </c>
      <c r="V172" s="266" t="str">
        <f t="shared" si="127"/>
        <v/>
      </c>
      <c r="W172" s="268" t="str">
        <f t="shared" si="128"/>
        <v/>
      </c>
      <c r="X172" s="161">
        <v>0.4708</v>
      </c>
      <c r="Y172" s="161">
        <v>1.5087999999999999</v>
      </c>
      <c r="Z172" s="268" t="str">
        <f t="shared" si="129"/>
        <v/>
      </c>
      <c r="AA172" s="266" t="str">
        <f t="shared" si="130"/>
        <v/>
      </c>
      <c r="AB172" s="266" t="str">
        <f t="shared" si="131"/>
        <v/>
      </c>
      <c r="AC172" s="266" t="str">
        <f t="shared" si="132"/>
        <v/>
      </c>
      <c r="AD172" s="266" t="str">
        <f t="shared" si="133"/>
        <v/>
      </c>
      <c r="AE172" s="266" t="str">
        <f t="shared" si="134"/>
        <v/>
      </c>
      <c r="AF172" s="266" t="str">
        <f t="shared" si="135"/>
        <v/>
      </c>
      <c r="AG172" s="266" t="str">
        <f t="shared" si="136"/>
        <v/>
      </c>
      <c r="AH172" s="266" t="str">
        <f t="shared" si="137"/>
        <v/>
      </c>
      <c r="AI172" s="266" t="str">
        <f t="shared" si="138"/>
        <v/>
      </c>
      <c r="AJ172" s="266" t="str">
        <f>IF(U172="","",VLOOKUP(LEFT(I172,6)&amp;"1-00",MCP!$AK$9:$AL$876,21,FALSE))</f>
        <v/>
      </c>
      <c r="AK172" s="267" t="str">
        <f t="shared" si="139"/>
        <v/>
      </c>
      <c r="AL172" s="268" t="str">
        <f t="shared" si="140"/>
        <v/>
      </c>
      <c r="AM172" s="269" t="str">
        <f t="shared" si="141"/>
        <v/>
      </c>
      <c r="AN172" s="266">
        <f t="shared" si="142"/>
        <v>0</v>
      </c>
      <c r="AO172" s="266">
        <f t="shared" si="143"/>
        <v>0</v>
      </c>
      <c r="AP172" s="266">
        <f t="shared" si="144"/>
        <v>0</v>
      </c>
      <c r="AQ172" s="266" t="e">
        <f>VLOOKUP(LEFT($A172,7)&amp;"1-00",MCP!#REF!,30,FALSE)</f>
        <v>#REF!</v>
      </c>
      <c r="AR172" s="266" t="e">
        <f>VLOOKUP(LEFT($A172,7)&amp;"1-00",MCP!#REF!,31,FALSE)</f>
        <v>#REF!</v>
      </c>
      <c r="AS172" s="266" t="e">
        <f>VLOOKUP($A172&amp;"-"&amp;$B172,MCP!#REF!,12,FALSE)</f>
        <v>#REF!</v>
      </c>
      <c r="AT172" s="266" t="str">
        <f t="shared" si="145"/>
        <v/>
      </c>
      <c r="AU172" s="266" t="str">
        <f t="shared" si="146"/>
        <v/>
      </c>
      <c r="AV172" s="266" t="str">
        <f t="shared" si="147"/>
        <v/>
      </c>
      <c r="AW172" s="266" t="str">
        <f>IF($U172="","",VLOOKUP(LEFT($A172,7)&amp;"1-00",MCP!#REF!,24,FALSE))</f>
        <v/>
      </c>
      <c r="AX172" s="266">
        <v>0</v>
      </c>
      <c r="AY172" s="266">
        <v>0</v>
      </c>
      <c r="BF172" s="175" t="str">
        <f t="shared" si="122"/>
        <v/>
      </c>
    </row>
    <row r="173" spans="1:58" x14ac:dyDescent="0.2">
      <c r="A173" s="266"/>
      <c r="B173" s="266"/>
      <c r="C173" s="266"/>
      <c r="F173" s="266"/>
      <c r="H173" s="266"/>
      <c r="I173" s="266"/>
      <c r="J173" s="266"/>
      <c r="K173" s="266"/>
      <c r="N173" s="266" t="str">
        <f>IF($A173="","",VLOOKUP(LEFT($A173,7)&amp;"1-00",MCP!#REF!,N$1,FALSE))</f>
        <v/>
      </c>
      <c r="O173" s="266" t="str">
        <f>IF($A173="","",VLOOKUP(LEFT($A173,7)&amp;"1-00",MCP!#REF!,O$1,FALSE))</f>
        <v/>
      </c>
      <c r="P173" s="266" t="str">
        <f>IF($A173="","",VLOOKUP(LEFT($A173,7)&amp;"1-00",MCP!#REF!,P$1,FALSE))</f>
        <v/>
      </c>
      <c r="Q173" s="266" t="str">
        <f t="shared" si="123"/>
        <v/>
      </c>
      <c r="R173" s="266" t="str">
        <f t="shared" si="124"/>
        <v/>
      </c>
      <c r="S173" s="266" t="str">
        <f t="shared" si="125"/>
        <v/>
      </c>
      <c r="T173" s="266" t="e">
        <f>VLOOKUP(LEFT($A173,7)&amp;"1-00",MCP!#REF!,T$1,FALSE)</f>
        <v>#REF!</v>
      </c>
      <c r="U173" s="266" t="str">
        <f t="shared" si="126"/>
        <v/>
      </c>
      <c r="V173" s="266" t="str">
        <f t="shared" si="127"/>
        <v/>
      </c>
      <c r="W173" s="268" t="str">
        <f t="shared" si="128"/>
        <v/>
      </c>
      <c r="X173" s="161">
        <v>0.4708</v>
      </c>
      <c r="Y173" s="161">
        <v>1.5087999999999999</v>
      </c>
      <c r="Z173" s="268" t="str">
        <f t="shared" si="129"/>
        <v/>
      </c>
      <c r="AA173" s="266" t="str">
        <f t="shared" si="130"/>
        <v/>
      </c>
      <c r="AB173" s="266" t="str">
        <f t="shared" si="131"/>
        <v/>
      </c>
      <c r="AC173" s="266" t="str">
        <f t="shared" si="132"/>
        <v/>
      </c>
      <c r="AD173" s="266" t="str">
        <f t="shared" si="133"/>
        <v/>
      </c>
      <c r="AE173" s="266" t="str">
        <f t="shared" si="134"/>
        <v/>
      </c>
      <c r="AF173" s="266" t="str">
        <f t="shared" si="135"/>
        <v/>
      </c>
      <c r="AG173" s="266" t="str">
        <f t="shared" si="136"/>
        <v/>
      </c>
      <c r="AH173" s="266" t="str">
        <f t="shared" si="137"/>
        <v/>
      </c>
      <c r="AI173" s="266" t="str">
        <f t="shared" si="138"/>
        <v/>
      </c>
      <c r="AJ173" s="266" t="str">
        <f>IF(U173="","",VLOOKUP(LEFT(I173,6)&amp;"1-00",MCP!$AK$9:$AL$876,21,FALSE))</f>
        <v/>
      </c>
      <c r="AK173" s="267" t="str">
        <f t="shared" si="139"/>
        <v/>
      </c>
      <c r="AL173" s="268" t="str">
        <f t="shared" si="140"/>
        <v/>
      </c>
      <c r="AM173" s="269" t="str">
        <f t="shared" si="141"/>
        <v/>
      </c>
      <c r="AN173" s="266">
        <f t="shared" si="142"/>
        <v>0</v>
      </c>
      <c r="AO173" s="266">
        <f t="shared" si="143"/>
        <v>0</v>
      </c>
      <c r="AP173" s="266">
        <f t="shared" si="144"/>
        <v>0</v>
      </c>
      <c r="AQ173" s="266" t="e">
        <f>VLOOKUP(LEFT($A173,7)&amp;"1-00",MCP!#REF!,30,FALSE)</f>
        <v>#REF!</v>
      </c>
      <c r="AR173" s="266" t="e">
        <f>VLOOKUP(LEFT($A173,7)&amp;"1-00",MCP!#REF!,31,FALSE)</f>
        <v>#REF!</v>
      </c>
      <c r="AS173" s="266" t="e">
        <f>VLOOKUP($A173&amp;"-"&amp;$B173,MCP!#REF!,12,FALSE)</f>
        <v>#REF!</v>
      </c>
      <c r="AT173" s="266" t="str">
        <f t="shared" si="145"/>
        <v/>
      </c>
      <c r="AU173" s="266" t="str">
        <f t="shared" si="146"/>
        <v/>
      </c>
      <c r="AV173" s="266" t="str">
        <f t="shared" si="147"/>
        <v/>
      </c>
      <c r="AW173" s="266" t="str">
        <f>IF($U173="","",VLOOKUP(LEFT($A173,7)&amp;"1-00",MCP!#REF!,24,FALSE))</f>
        <v/>
      </c>
      <c r="AX173" s="266"/>
      <c r="AY173" s="266"/>
      <c r="BF173" s="175" t="str">
        <f t="shared" si="122"/>
        <v/>
      </c>
    </row>
    <row r="174" spans="1:58" x14ac:dyDescent="0.2">
      <c r="A174" s="266"/>
      <c r="B174" s="266"/>
      <c r="C174" s="266"/>
      <c r="F174" s="266"/>
      <c r="H174" s="266"/>
      <c r="I174" s="266"/>
      <c r="J174" s="266"/>
      <c r="K174" s="266"/>
      <c r="M174" s="161">
        <v>0</v>
      </c>
      <c r="N174" s="266" t="str">
        <f>IF($A174="","",VLOOKUP(LEFT($A174,7)&amp;"1-00",MCP!#REF!,N$1,FALSE))</f>
        <v/>
      </c>
      <c r="O174" s="266" t="str">
        <f>IF($A174="","",VLOOKUP(LEFT($A174,7)&amp;"1-00",MCP!#REF!,O$1,FALSE))</f>
        <v/>
      </c>
      <c r="P174" s="266" t="str">
        <f>IF($A174="","",VLOOKUP(LEFT($A174,7)&amp;"1-00",MCP!#REF!,P$1,FALSE))</f>
        <v/>
      </c>
      <c r="Q174" s="266" t="str">
        <f t="shared" si="123"/>
        <v/>
      </c>
      <c r="R174" s="266" t="str">
        <f t="shared" si="124"/>
        <v/>
      </c>
      <c r="S174" s="266" t="str">
        <f t="shared" si="125"/>
        <v/>
      </c>
      <c r="T174" s="266" t="e">
        <f>VLOOKUP(LEFT($A174,7)&amp;"1-00",MCP!#REF!,T$1,FALSE)</f>
        <v>#REF!</v>
      </c>
      <c r="U174" s="266" t="str">
        <f t="shared" si="126"/>
        <v/>
      </c>
      <c r="V174" s="266" t="str">
        <f t="shared" si="127"/>
        <v/>
      </c>
      <c r="W174" s="268" t="str">
        <f t="shared" si="128"/>
        <v/>
      </c>
      <c r="X174" s="161">
        <v>0.86099999999999999</v>
      </c>
      <c r="Y174" s="161">
        <v>1.1385000000000001</v>
      </c>
      <c r="Z174" s="268" t="str">
        <f t="shared" si="129"/>
        <v/>
      </c>
      <c r="AA174" s="266" t="str">
        <f t="shared" si="130"/>
        <v/>
      </c>
      <c r="AB174" s="266" t="str">
        <f t="shared" si="131"/>
        <v/>
      </c>
      <c r="AC174" s="266" t="str">
        <f t="shared" si="132"/>
        <v/>
      </c>
      <c r="AD174" s="266" t="str">
        <f t="shared" si="133"/>
        <v/>
      </c>
      <c r="AE174" s="266" t="str">
        <f t="shared" si="134"/>
        <v/>
      </c>
      <c r="AF174" s="266" t="str">
        <f t="shared" si="135"/>
        <v/>
      </c>
      <c r="AG174" s="266" t="str">
        <f t="shared" si="136"/>
        <v/>
      </c>
      <c r="AH174" s="266" t="str">
        <f t="shared" si="137"/>
        <v/>
      </c>
      <c r="AI174" s="266" t="str">
        <f t="shared" si="138"/>
        <v/>
      </c>
      <c r="AJ174" s="266" t="str">
        <f>IF(U174="","",VLOOKUP(LEFT(I174,6)&amp;"1-00",MCP!$AK$9:$AL$876,21,FALSE))</f>
        <v/>
      </c>
      <c r="AK174" s="267" t="str">
        <f t="shared" si="139"/>
        <v/>
      </c>
      <c r="AL174" s="268" t="str">
        <f t="shared" si="140"/>
        <v/>
      </c>
      <c r="AM174" s="269" t="str">
        <f t="shared" si="141"/>
        <v/>
      </c>
      <c r="AN174" s="266">
        <f t="shared" si="142"/>
        <v>0</v>
      </c>
      <c r="AO174" s="266">
        <f t="shared" si="143"/>
        <v>0</v>
      </c>
      <c r="AP174" s="266">
        <f t="shared" si="144"/>
        <v>0</v>
      </c>
      <c r="AQ174" s="266" t="e">
        <f>VLOOKUP(LEFT($A174,7)&amp;"1-00",MCP!#REF!,30,FALSE)</f>
        <v>#REF!</v>
      </c>
      <c r="AR174" s="266" t="e">
        <f>VLOOKUP(LEFT($A174,7)&amp;"1-00",MCP!#REF!,31,FALSE)</f>
        <v>#REF!</v>
      </c>
      <c r="AS174" s="266" t="e">
        <f>VLOOKUP($A174&amp;"-"&amp;$B174,MCP!#REF!,12,FALSE)</f>
        <v>#REF!</v>
      </c>
      <c r="AT174" s="266" t="str">
        <f t="shared" si="145"/>
        <v/>
      </c>
      <c r="AU174" s="266" t="str">
        <f t="shared" si="146"/>
        <v/>
      </c>
      <c r="AV174" s="266" t="str">
        <f t="shared" si="147"/>
        <v/>
      </c>
      <c r="AW174" s="266" t="str">
        <f>IF($U174="","",VLOOKUP(LEFT($A174,7)&amp;"1-00",MCP!#REF!,24,FALSE))</f>
        <v/>
      </c>
      <c r="AX174" s="266">
        <v>0</v>
      </c>
      <c r="AY174" s="266">
        <v>0</v>
      </c>
      <c r="BF174" s="175" t="str">
        <f t="shared" si="122"/>
        <v/>
      </c>
    </row>
    <row r="175" spans="1:58" x14ac:dyDescent="0.2">
      <c r="A175" s="266"/>
      <c r="B175" s="266"/>
      <c r="C175" s="266"/>
      <c r="F175" s="266"/>
      <c r="H175" s="266"/>
      <c r="I175" s="266"/>
      <c r="J175" s="266"/>
      <c r="K175" s="266"/>
      <c r="N175" s="266" t="str">
        <f>IF($A175="","",VLOOKUP(LEFT($A175,7)&amp;"1-00",MCP!#REF!,N$1,FALSE))</f>
        <v/>
      </c>
      <c r="O175" s="266" t="str">
        <f>IF($A175="","",VLOOKUP(LEFT($A175,7)&amp;"1-00",MCP!#REF!,O$1,FALSE))</f>
        <v/>
      </c>
      <c r="P175" s="266" t="str">
        <f>IF($A175="","",VLOOKUP(LEFT($A175,7)&amp;"1-00",MCP!#REF!,P$1,FALSE))</f>
        <v/>
      </c>
      <c r="Q175" s="266" t="str">
        <f t="shared" si="123"/>
        <v/>
      </c>
      <c r="R175" s="266" t="str">
        <f t="shared" si="124"/>
        <v/>
      </c>
      <c r="S175" s="266" t="str">
        <f t="shared" si="125"/>
        <v/>
      </c>
      <c r="T175" s="266" t="e">
        <f>VLOOKUP(LEFT($A175,7)&amp;"1-00",MCP!#REF!,T$1,FALSE)</f>
        <v>#REF!</v>
      </c>
      <c r="U175" s="266" t="str">
        <f t="shared" si="126"/>
        <v/>
      </c>
      <c r="V175" s="266" t="str">
        <f t="shared" si="127"/>
        <v/>
      </c>
      <c r="W175" s="268" t="str">
        <f t="shared" si="128"/>
        <v/>
      </c>
      <c r="X175" s="161">
        <v>0.73629999999999995</v>
      </c>
      <c r="Y175" s="161">
        <v>1.0056</v>
      </c>
      <c r="Z175" s="268" t="str">
        <f t="shared" si="129"/>
        <v/>
      </c>
      <c r="AA175" s="266" t="str">
        <f t="shared" si="130"/>
        <v/>
      </c>
      <c r="AB175" s="266" t="str">
        <f t="shared" si="131"/>
        <v/>
      </c>
      <c r="AC175" s="266" t="str">
        <f t="shared" si="132"/>
        <v/>
      </c>
      <c r="AD175" s="266" t="str">
        <f t="shared" si="133"/>
        <v/>
      </c>
      <c r="AE175" s="266" t="str">
        <f t="shared" si="134"/>
        <v/>
      </c>
      <c r="AF175" s="266" t="str">
        <f t="shared" si="135"/>
        <v/>
      </c>
      <c r="AG175" s="266" t="str">
        <f t="shared" si="136"/>
        <v/>
      </c>
      <c r="AH175" s="266" t="str">
        <f t="shared" si="137"/>
        <v/>
      </c>
      <c r="AI175" s="266" t="str">
        <f t="shared" si="138"/>
        <v/>
      </c>
      <c r="AJ175" s="266" t="str">
        <f>IF(U175="","",VLOOKUP(LEFT(I175,6)&amp;"1-00",MCP!$AK$9:$AL$876,21,FALSE))</f>
        <v/>
      </c>
      <c r="AK175" s="267" t="str">
        <f t="shared" si="139"/>
        <v/>
      </c>
      <c r="AL175" s="268" t="str">
        <f t="shared" si="140"/>
        <v/>
      </c>
      <c r="AM175" s="269" t="str">
        <f t="shared" si="141"/>
        <v/>
      </c>
      <c r="AN175" s="266">
        <f t="shared" si="142"/>
        <v>0</v>
      </c>
      <c r="AO175" s="266">
        <f t="shared" si="143"/>
        <v>0</v>
      </c>
      <c r="AP175" s="266">
        <f t="shared" si="144"/>
        <v>0</v>
      </c>
      <c r="AQ175" s="266" t="e">
        <f>VLOOKUP(LEFT($A175,7)&amp;"1-00",MCP!#REF!,30,FALSE)</f>
        <v>#REF!</v>
      </c>
      <c r="AR175" s="266" t="e">
        <f>VLOOKUP(LEFT($A175,7)&amp;"1-00",MCP!#REF!,31,FALSE)</f>
        <v>#REF!</v>
      </c>
      <c r="AS175" s="266" t="e">
        <f>VLOOKUP($A175&amp;"-"&amp;$B175,MCP!#REF!,12,FALSE)</f>
        <v>#REF!</v>
      </c>
      <c r="AT175" s="266" t="str">
        <f t="shared" si="145"/>
        <v/>
      </c>
      <c r="AU175" s="266" t="str">
        <f t="shared" si="146"/>
        <v/>
      </c>
      <c r="AV175" s="266" t="str">
        <f t="shared" si="147"/>
        <v/>
      </c>
      <c r="AW175" s="266" t="str">
        <f>IF($U175="","",VLOOKUP(LEFT($A175,7)&amp;"1-00",MCP!#REF!,24,FALSE))</f>
        <v/>
      </c>
      <c r="AX175" s="266"/>
      <c r="AY175" s="266"/>
      <c r="BF175" s="175" t="str">
        <f t="shared" si="122"/>
        <v/>
      </c>
    </row>
    <row r="176" spans="1:58" x14ac:dyDescent="0.2">
      <c r="A176" s="266"/>
      <c r="B176" s="266"/>
      <c r="C176" s="266"/>
      <c r="F176" s="266"/>
      <c r="H176" s="266"/>
      <c r="I176" s="266"/>
      <c r="J176" s="266"/>
      <c r="K176" s="266"/>
      <c r="M176" s="161">
        <v>0</v>
      </c>
      <c r="N176" s="266" t="str">
        <f>IF($A176="","",VLOOKUP(LEFT($A176,7)&amp;"1-00",MCP!#REF!,N$1,FALSE))</f>
        <v/>
      </c>
      <c r="O176" s="266" t="str">
        <f>IF($A176="","",VLOOKUP(LEFT($A176,7)&amp;"1-00",MCP!#REF!,O$1,FALSE))</f>
        <v/>
      </c>
      <c r="P176" s="266" t="str">
        <f>IF($A176="","",VLOOKUP(LEFT($A176,7)&amp;"1-00",MCP!#REF!,P$1,FALSE))</f>
        <v/>
      </c>
      <c r="Q176" s="266" t="str">
        <f t="shared" si="123"/>
        <v/>
      </c>
      <c r="R176" s="266" t="str">
        <f t="shared" si="124"/>
        <v/>
      </c>
      <c r="S176" s="266" t="str">
        <f t="shared" si="125"/>
        <v/>
      </c>
      <c r="T176" s="266" t="e">
        <f>VLOOKUP(LEFT($A176,7)&amp;"1-00",MCP!#REF!,T$1,FALSE)</f>
        <v>#REF!</v>
      </c>
      <c r="U176" s="266" t="str">
        <f t="shared" si="126"/>
        <v/>
      </c>
      <c r="V176" s="266" t="str">
        <f t="shared" si="127"/>
        <v/>
      </c>
      <c r="W176" s="268" t="str">
        <f t="shared" si="128"/>
        <v/>
      </c>
      <c r="X176" s="161">
        <v>0.64770000000000005</v>
      </c>
      <c r="Y176" s="161">
        <v>1.8096000000000001</v>
      </c>
      <c r="Z176" s="268" t="str">
        <f t="shared" si="129"/>
        <v/>
      </c>
      <c r="AA176" s="266" t="str">
        <f t="shared" si="130"/>
        <v/>
      </c>
      <c r="AB176" s="266" t="str">
        <f t="shared" si="131"/>
        <v/>
      </c>
      <c r="AC176" s="266" t="str">
        <f t="shared" si="132"/>
        <v/>
      </c>
      <c r="AD176" s="266" t="str">
        <f t="shared" si="133"/>
        <v/>
      </c>
      <c r="AE176" s="266" t="str">
        <f t="shared" si="134"/>
        <v/>
      </c>
      <c r="AF176" s="266" t="str">
        <f t="shared" si="135"/>
        <v/>
      </c>
      <c r="AG176" s="266" t="str">
        <f t="shared" si="136"/>
        <v/>
      </c>
      <c r="AH176" s="266" t="str">
        <f t="shared" si="137"/>
        <v/>
      </c>
      <c r="AI176" s="266" t="str">
        <f t="shared" si="138"/>
        <v/>
      </c>
      <c r="AJ176" s="266" t="str">
        <f>IF(U176="","",VLOOKUP(LEFT(I176,6)&amp;"1-00",MCP!$AK$9:$AL$876,21,FALSE))</f>
        <v/>
      </c>
      <c r="AK176" s="267" t="str">
        <f t="shared" si="139"/>
        <v/>
      </c>
      <c r="AL176" s="268" t="str">
        <f t="shared" si="140"/>
        <v/>
      </c>
      <c r="AM176" s="269" t="str">
        <f t="shared" si="141"/>
        <v/>
      </c>
      <c r="AN176" s="266">
        <f t="shared" si="142"/>
        <v>0</v>
      </c>
      <c r="AO176" s="266">
        <f t="shared" si="143"/>
        <v>0</v>
      </c>
      <c r="AP176" s="266">
        <f t="shared" si="144"/>
        <v>0</v>
      </c>
      <c r="AQ176" s="266" t="e">
        <f>VLOOKUP(LEFT($A176,7)&amp;"1-00",MCP!#REF!,30,FALSE)</f>
        <v>#REF!</v>
      </c>
      <c r="AR176" s="266" t="e">
        <f>VLOOKUP(LEFT($A176,7)&amp;"1-00",MCP!#REF!,31,FALSE)</f>
        <v>#REF!</v>
      </c>
      <c r="AS176" s="266" t="e">
        <f>VLOOKUP($A176&amp;"-"&amp;$B176,MCP!#REF!,12,FALSE)</f>
        <v>#REF!</v>
      </c>
      <c r="AT176" s="266" t="str">
        <f t="shared" si="145"/>
        <v/>
      </c>
      <c r="AU176" s="266" t="str">
        <f t="shared" si="146"/>
        <v/>
      </c>
      <c r="AV176" s="266" t="str">
        <f t="shared" si="147"/>
        <v/>
      </c>
      <c r="AW176" s="266" t="str">
        <f>IF($U176="","",VLOOKUP(LEFT($A176,7)&amp;"1-00",MCP!#REF!,24,FALSE))</f>
        <v/>
      </c>
      <c r="AX176" s="266">
        <v>0</v>
      </c>
      <c r="AY176" s="266">
        <v>0</v>
      </c>
      <c r="BF176" s="175" t="str">
        <f t="shared" si="122"/>
        <v/>
      </c>
    </row>
    <row r="177" spans="1:58" x14ac:dyDescent="0.2">
      <c r="A177" s="266"/>
      <c r="B177" s="266"/>
      <c r="C177" s="266"/>
      <c r="F177" s="266"/>
      <c r="H177" s="266"/>
      <c r="I177" s="266"/>
      <c r="J177" s="266"/>
      <c r="K177" s="266"/>
      <c r="N177" s="266" t="str">
        <f>IF($A177="","",VLOOKUP(LEFT($A177,7)&amp;"1-00",MCP!#REF!,N$1,FALSE))</f>
        <v/>
      </c>
      <c r="O177" s="266" t="str">
        <f>IF($A177="","",VLOOKUP(LEFT($A177,7)&amp;"1-00",MCP!#REF!,O$1,FALSE))</f>
        <v/>
      </c>
      <c r="P177" s="266" t="str">
        <f>IF($A177="","",VLOOKUP(LEFT($A177,7)&amp;"1-00",MCP!#REF!,P$1,FALSE))</f>
        <v/>
      </c>
      <c r="Q177" s="266" t="str">
        <f t="shared" si="123"/>
        <v/>
      </c>
      <c r="R177" s="266" t="str">
        <f t="shared" si="124"/>
        <v/>
      </c>
      <c r="S177" s="266" t="str">
        <f t="shared" si="125"/>
        <v/>
      </c>
      <c r="T177" s="266" t="e">
        <f>VLOOKUP(LEFT($A177,7)&amp;"1-00",MCP!#REF!,T$1,FALSE)</f>
        <v>#REF!</v>
      </c>
      <c r="U177" s="266" t="str">
        <f t="shared" si="126"/>
        <v/>
      </c>
      <c r="V177" s="266" t="str">
        <f t="shared" si="127"/>
        <v/>
      </c>
      <c r="W177" s="268" t="str">
        <f t="shared" si="128"/>
        <v/>
      </c>
      <c r="X177" s="161">
        <v>0.64770000000000005</v>
      </c>
      <c r="Y177" s="161">
        <v>1.8096000000000001</v>
      </c>
      <c r="Z177" s="268" t="str">
        <f t="shared" si="129"/>
        <v/>
      </c>
      <c r="AA177" s="266" t="str">
        <f t="shared" si="130"/>
        <v/>
      </c>
      <c r="AB177" s="266" t="str">
        <f t="shared" si="131"/>
        <v/>
      </c>
      <c r="AC177" s="266" t="str">
        <f t="shared" si="132"/>
        <v/>
      </c>
      <c r="AD177" s="266" t="str">
        <f t="shared" si="133"/>
        <v/>
      </c>
      <c r="AE177" s="266" t="str">
        <f t="shared" si="134"/>
        <v/>
      </c>
      <c r="AF177" s="266" t="str">
        <f t="shared" si="135"/>
        <v/>
      </c>
      <c r="AG177" s="266" t="str">
        <f t="shared" si="136"/>
        <v/>
      </c>
      <c r="AH177" s="266" t="str">
        <f t="shared" si="137"/>
        <v/>
      </c>
      <c r="AI177" s="266" t="str">
        <f t="shared" si="138"/>
        <v/>
      </c>
      <c r="AJ177" s="266" t="str">
        <f>IF(U177="","",VLOOKUP(LEFT(I177,6)&amp;"1-00",MCP!$AK$9:$AL$876,21,FALSE))</f>
        <v/>
      </c>
      <c r="AK177" s="267" t="str">
        <f t="shared" si="139"/>
        <v/>
      </c>
      <c r="AL177" s="268" t="str">
        <f t="shared" si="140"/>
        <v/>
      </c>
      <c r="AM177" s="269" t="str">
        <f t="shared" si="141"/>
        <v/>
      </c>
      <c r="AN177" s="266">
        <f t="shared" si="142"/>
        <v>0</v>
      </c>
      <c r="AO177" s="266">
        <f t="shared" si="143"/>
        <v>0</v>
      </c>
      <c r="AP177" s="266">
        <f t="shared" si="144"/>
        <v>0</v>
      </c>
      <c r="AQ177" s="266" t="e">
        <f>VLOOKUP(LEFT($A177,7)&amp;"1-00",MCP!#REF!,30,FALSE)</f>
        <v>#REF!</v>
      </c>
      <c r="AR177" s="266" t="e">
        <f>VLOOKUP(LEFT($A177,7)&amp;"1-00",MCP!#REF!,31,FALSE)</f>
        <v>#REF!</v>
      </c>
      <c r="AS177" s="266" t="e">
        <f>VLOOKUP($A177&amp;"-"&amp;$B177,MCP!#REF!,12,FALSE)</f>
        <v>#REF!</v>
      </c>
      <c r="AT177" s="266" t="str">
        <f t="shared" si="145"/>
        <v/>
      </c>
      <c r="AU177" s="266" t="str">
        <f t="shared" si="146"/>
        <v/>
      </c>
      <c r="AV177" s="266" t="str">
        <f t="shared" si="147"/>
        <v/>
      </c>
      <c r="AW177" s="266" t="str">
        <f>IF($U177="","",VLOOKUP(LEFT($A177,7)&amp;"1-00",MCP!#REF!,24,FALSE))</f>
        <v/>
      </c>
      <c r="AX177" s="266"/>
      <c r="AY177" s="266"/>
      <c r="BF177" s="175" t="str">
        <f t="shared" si="122"/>
        <v/>
      </c>
    </row>
    <row r="178" spans="1:58" x14ac:dyDescent="0.2">
      <c r="A178" s="266"/>
      <c r="B178" s="266"/>
      <c r="C178" s="266"/>
      <c r="F178" s="266"/>
      <c r="H178" s="266"/>
      <c r="I178" s="266"/>
      <c r="J178" s="266"/>
      <c r="K178" s="266"/>
      <c r="M178" s="161">
        <v>0</v>
      </c>
      <c r="N178" s="266" t="str">
        <f>IF($A178="","",VLOOKUP(LEFT($A178,7)&amp;"1-00",MCP!#REF!,N$1,FALSE))</f>
        <v/>
      </c>
      <c r="O178" s="266" t="str">
        <f>IF($A178="","",VLOOKUP(LEFT($A178,7)&amp;"1-00",MCP!#REF!,O$1,FALSE))</f>
        <v/>
      </c>
      <c r="P178" s="266" t="str">
        <f>IF($A178="","",VLOOKUP(LEFT($A178,7)&amp;"1-00",MCP!#REF!,P$1,FALSE))</f>
        <v/>
      </c>
      <c r="Q178" s="266" t="str">
        <f t="shared" si="123"/>
        <v/>
      </c>
      <c r="R178" s="266" t="str">
        <f t="shared" si="124"/>
        <v/>
      </c>
      <c r="S178" s="266" t="str">
        <f t="shared" si="125"/>
        <v/>
      </c>
      <c r="T178" s="266" t="e">
        <f>VLOOKUP(LEFT($A178,7)&amp;"1-00",MCP!#REF!,T$1,FALSE)</f>
        <v>#REF!</v>
      </c>
      <c r="U178" s="266" t="str">
        <f t="shared" si="126"/>
        <v/>
      </c>
      <c r="V178" s="266" t="str">
        <f t="shared" si="127"/>
        <v/>
      </c>
      <c r="W178" s="268" t="str">
        <f t="shared" si="128"/>
        <v/>
      </c>
      <c r="X178" s="161">
        <v>2.5960999999999999</v>
      </c>
      <c r="Y178" s="161">
        <v>6.4500000000000002E-2</v>
      </c>
      <c r="Z178" s="268" t="str">
        <f t="shared" si="129"/>
        <v/>
      </c>
      <c r="AA178" s="266" t="str">
        <f t="shared" si="130"/>
        <v/>
      </c>
      <c r="AB178" s="266" t="str">
        <f t="shared" si="131"/>
        <v/>
      </c>
      <c r="AC178" s="266" t="str">
        <f t="shared" si="132"/>
        <v/>
      </c>
      <c r="AD178" s="266" t="str">
        <f t="shared" si="133"/>
        <v/>
      </c>
      <c r="AE178" s="266" t="str">
        <f t="shared" si="134"/>
        <v/>
      </c>
      <c r="AF178" s="266" t="str">
        <f t="shared" si="135"/>
        <v/>
      </c>
      <c r="AG178" s="266" t="str">
        <f t="shared" si="136"/>
        <v/>
      </c>
      <c r="AH178" s="266" t="str">
        <f t="shared" si="137"/>
        <v/>
      </c>
      <c r="AI178" s="266" t="str">
        <f t="shared" si="138"/>
        <v/>
      </c>
      <c r="AJ178" s="266" t="str">
        <f>IF(U178="","",VLOOKUP(LEFT(I178,6)&amp;"1-00",MCP!$AK$9:$AL$876,21,FALSE))</f>
        <v/>
      </c>
      <c r="AK178" s="267" t="str">
        <f t="shared" si="139"/>
        <v/>
      </c>
      <c r="AL178" s="268" t="str">
        <f t="shared" si="140"/>
        <v/>
      </c>
      <c r="AM178" s="269" t="str">
        <f t="shared" si="141"/>
        <v/>
      </c>
      <c r="AN178" s="266">
        <f t="shared" si="142"/>
        <v>0</v>
      </c>
      <c r="AO178" s="266">
        <f t="shared" si="143"/>
        <v>0</v>
      </c>
      <c r="AP178" s="266">
        <f t="shared" si="144"/>
        <v>0</v>
      </c>
      <c r="AQ178" s="266" t="e">
        <f>VLOOKUP(LEFT($A178,7)&amp;"1-00",MCP!#REF!,30,FALSE)</f>
        <v>#REF!</v>
      </c>
      <c r="AR178" s="266" t="e">
        <f>VLOOKUP(LEFT($A178,7)&amp;"1-00",MCP!#REF!,31,FALSE)</f>
        <v>#REF!</v>
      </c>
      <c r="AS178" s="266" t="e">
        <f>VLOOKUP($A178&amp;"-"&amp;$B178,MCP!#REF!,12,FALSE)</f>
        <v>#REF!</v>
      </c>
      <c r="AT178" s="266" t="str">
        <f t="shared" si="145"/>
        <v/>
      </c>
      <c r="AU178" s="266" t="str">
        <f t="shared" si="146"/>
        <v/>
      </c>
      <c r="AV178" s="266" t="str">
        <f t="shared" si="147"/>
        <v/>
      </c>
      <c r="AW178" s="266" t="str">
        <f>IF($U178="","",VLOOKUP(LEFT($A178,7)&amp;"1-00",MCP!#REF!,24,FALSE))</f>
        <v/>
      </c>
      <c r="AX178" s="266">
        <v>0</v>
      </c>
      <c r="AY178" s="266">
        <v>0</v>
      </c>
      <c r="BF178" s="175" t="str">
        <f t="shared" si="122"/>
        <v/>
      </c>
    </row>
    <row r="179" spans="1:58" x14ac:dyDescent="0.2">
      <c r="A179" s="266"/>
      <c r="B179" s="266"/>
      <c r="C179" s="266"/>
      <c r="F179" s="266"/>
      <c r="H179" s="266"/>
      <c r="I179" s="266"/>
      <c r="J179" s="266"/>
      <c r="K179" s="266"/>
      <c r="N179" s="266" t="str">
        <f>IF($A179="","",VLOOKUP(LEFT($A179,7)&amp;"1-00",MCP!#REF!,N$1,FALSE))</f>
        <v/>
      </c>
      <c r="O179" s="266" t="str">
        <f>IF($A179="","",VLOOKUP(LEFT($A179,7)&amp;"1-00",MCP!#REF!,O$1,FALSE))</f>
        <v/>
      </c>
      <c r="P179" s="266" t="str">
        <f>IF($A179="","",VLOOKUP(LEFT($A179,7)&amp;"1-00",MCP!#REF!,P$1,FALSE))</f>
        <v/>
      </c>
      <c r="Q179" s="266" t="str">
        <f t="shared" si="123"/>
        <v/>
      </c>
      <c r="R179" s="266" t="str">
        <f t="shared" si="124"/>
        <v/>
      </c>
      <c r="S179" s="266" t="str">
        <f t="shared" si="125"/>
        <v/>
      </c>
      <c r="T179" s="266" t="e">
        <f>VLOOKUP(LEFT($A179,7)&amp;"1-00",MCP!#REF!,T$1,FALSE)</f>
        <v>#REF!</v>
      </c>
      <c r="U179" s="266" t="str">
        <f t="shared" si="126"/>
        <v/>
      </c>
      <c r="V179" s="266" t="str">
        <f t="shared" si="127"/>
        <v/>
      </c>
      <c r="W179" s="268" t="str">
        <f t="shared" si="128"/>
        <v/>
      </c>
      <c r="X179" s="161">
        <v>0.86099999999999999</v>
      </c>
      <c r="Y179" s="161">
        <v>1.1385000000000001</v>
      </c>
      <c r="Z179" s="268" t="str">
        <f t="shared" si="129"/>
        <v/>
      </c>
      <c r="AA179" s="266" t="str">
        <f t="shared" si="130"/>
        <v/>
      </c>
      <c r="AB179" s="266" t="str">
        <f t="shared" si="131"/>
        <v/>
      </c>
      <c r="AC179" s="266" t="str">
        <f t="shared" si="132"/>
        <v/>
      </c>
      <c r="AD179" s="266" t="str">
        <f t="shared" si="133"/>
        <v/>
      </c>
      <c r="AE179" s="266" t="str">
        <f t="shared" si="134"/>
        <v/>
      </c>
      <c r="AF179" s="266" t="str">
        <f t="shared" si="135"/>
        <v/>
      </c>
      <c r="AG179" s="266" t="str">
        <f t="shared" si="136"/>
        <v/>
      </c>
      <c r="AH179" s="266" t="str">
        <f t="shared" si="137"/>
        <v/>
      </c>
      <c r="AI179" s="266" t="str">
        <f t="shared" si="138"/>
        <v/>
      </c>
      <c r="AJ179" s="266" t="str">
        <f>IF(U179="","",VLOOKUP(LEFT(I179,6)&amp;"1-00",MCP!$AK$9:$AL$876,21,FALSE))</f>
        <v/>
      </c>
      <c r="AK179" s="267" t="str">
        <f t="shared" si="139"/>
        <v/>
      </c>
      <c r="AL179" s="268" t="str">
        <f t="shared" si="140"/>
        <v/>
      </c>
      <c r="AM179" s="269" t="str">
        <f t="shared" si="141"/>
        <v/>
      </c>
      <c r="AN179" s="266">
        <f t="shared" si="142"/>
        <v>0</v>
      </c>
      <c r="AO179" s="266">
        <f t="shared" si="143"/>
        <v>0</v>
      </c>
      <c r="AP179" s="266">
        <f t="shared" si="144"/>
        <v>0</v>
      </c>
      <c r="AQ179" s="266" t="e">
        <f>VLOOKUP(LEFT($A179,7)&amp;"1-00",MCP!#REF!,30,FALSE)</f>
        <v>#REF!</v>
      </c>
      <c r="AR179" s="266" t="e">
        <f>VLOOKUP(LEFT($A179,7)&amp;"1-00",MCP!#REF!,31,FALSE)</f>
        <v>#REF!</v>
      </c>
      <c r="AS179" s="266" t="e">
        <f>VLOOKUP($A179&amp;"-"&amp;$B179,MCP!#REF!,12,FALSE)</f>
        <v>#REF!</v>
      </c>
      <c r="AT179" s="266" t="str">
        <f t="shared" si="145"/>
        <v/>
      </c>
      <c r="AU179" s="266" t="str">
        <f t="shared" si="146"/>
        <v/>
      </c>
      <c r="AV179" s="266" t="str">
        <f t="shared" si="147"/>
        <v/>
      </c>
      <c r="AW179" s="266" t="str">
        <f>IF($U179="","",VLOOKUP(LEFT($A179,7)&amp;"1-00",MCP!#REF!,24,FALSE))</f>
        <v/>
      </c>
      <c r="AX179" s="266"/>
      <c r="AY179" s="266"/>
      <c r="BF179" s="175" t="str">
        <f t="shared" si="122"/>
        <v/>
      </c>
    </row>
    <row r="180" spans="1:58" x14ac:dyDescent="0.2">
      <c r="A180" s="266"/>
      <c r="B180" s="266"/>
      <c r="C180" s="266"/>
      <c r="F180" s="266"/>
      <c r="G180" s="142"/>
      <c r="H180" s="266"/>
      <c r="I180" s="266"/>
      <c r="J180" s="266"/>
      <c r="K180" s="266"/>
      <c r="L180" s="142"/>
      <c r="M180" s="161">
        <v>0</v>
      </c>
      <c r="N180" s="266" t="str">
        <f>IF($A180="","",VLOOKUP(LEFT($A180,7)&amp;"1-00",MCP!#REF!,N$1,FALSE))</f>
        <v/>
      </c>
      <c r="O180" s="266" t="str">
        <f>IF($A180="","",VLOOKUP(LEFT($A180,7)&amp;"1-00",MCP!#REF!,O$1,FALSE))</f>
        <v/>
      </c>
      <c r="P180" s="266" t="str">
        <f>IF($A180="","",VLOOKUP(LEFT($A180,7)&amp;"1-00",MCP!#REF!,P$1,FALSE))</f>
        <v/>
      </c>
      <c r="Q180" s="266" t="str">
        <f t="shared" si="123"/>
        <v/>
      </c>
      <c r="R180" s="266" t="str">
        <f t="shared" si="124"/>
        <v/>
      </c>
      <c r="S180" s="266" t="str">
        <f t="shared" si="125"/>
        <v/>
      </c>
      <c r="T180" s="266" t="e">
        <f>VLOOKUP(LEFT($A180,7)&amp;"1-00",MCP!#REF!,T$1,FALSE)</f>
        <v>#REF!</v>
      </c>
      <c r="U180" s="266" t="str">
        <f t="shared" si="126"/>
        <v/>
      </c>
      <c r="V180" s="266" t="str">
        <f t="shared" si="127"/>
        <v/>
      </c>
      <c r="W180" s="268" t="str">
        <f t="shared" si="128"/>
        <v/>
      </c>
      <c r="X180" s="161">
        <v>0.86099999999999999</v>
      </c>
      <c r="Y180" s="161">
        <v>1.1385000000000001</v>
      </c>
      <c r="Z180" s="268" t="str">
        <f t="shared" si="129"/>
        <v/>
      </c>
      <c r="AA180" s="266" t="str">
        <f t="shared" si="130"/>
        <v/>
      </c>
      <c r="AB180" s="266" t="str">
        <f t="shared" si="131"/>
        <v/>
      </c>
      <c r="AC180" s="266" t="str">
        <f t="shared" si="132"/>
        <v/>
      </c>
      <c r="AD180" s="266" t="str">
        <f t="shared" si="133"/>
        <v/>
      </c>
      <c r="AE180" s="266" t="str">
        <f t="shared" si="134"/>
        <v/>
      </c>
      <c r="AF180" s="266" t="str">
        <f t="shared" si="135"/>
        <v/>
      </c>
      <c r="AG180" s="266" t="str">
        <f t="shared" si="136"/>
        <v/>
      </c>
      <c r="AH180" s="266" t="str">
        <f t="shared" si="137"/>
        <v/>
      </c>
      <c r="AI180" s="266" t="str">
        <f t="shared" si="138"/>
        <v/>
      </c>
      <c r="AJ180" s="266" t="str">
        <f>IF(U180="","",VLOOKUP(LEFT(I180,6)&amp;"1-00",MCP!$AK$9:$AL$876,21,FALSE))</f>
        <v/>
      </c>
      <c r="AK180" s="267" t="str">
        <f t="shared" si="139"/>
        <v/>
      </c>
      <c r="AL180" s="268" t="str">
        <f t="shared" si="140"/>
        <v/>
      </c>
      <c r="AM180" s="269" t="str">
        <f t="shared" si="141"/>
        <v/>
      </c>
      <c r="AN180" s="266">
        <f t="shared" si="142"/>
        <v>0</v>
      </c>
      <c r="AO180" s="266">
        <f t="shared" si="143"/>
        <v>0</v>
      </c>
      <c r="AP180" s="266">
        <f t="shared" si="144"/>
        <v>0</v>
      </c>
      <c r="AQ180" s="266" t="e">
        <f>VLOOKUP(LEFT($A180,7)&amp;"1-00",MCP!#REF!,30,FALSE)</f>
        <v>#REF!</v>
      </c>
      <c r="AR180" s="266" t="e">
        <f>VLOOKUP(LEFT($A180,7)&amp;"1-00",MCP!#REF!,31,FALSE)</f>
        <v>#REF!</v>
      </c>
      <c r="AS180" s="266" t="e">
        <f>VLOOKUP($A180&amp;"-"&amp;$B180,MCP!#REF!,12,FALSE)</f>
        <v>#REF!</v>
      </c>
      <c r="AT180" s="266" t="str">
        <f t="shared" si="145"/>
        <v/>
      </c>
      <c r="AU180" s="266" t="str">
        <f t="shared" si="146"/>
        <v/>
      </c>
      <c r="AV180" s="266" t="str">
        <f t="shared" si="147"/>
        <v/>
      </c>
      <c r="AW180" s="266" t="str">
        <f>IF($U180="","",VLOOKUP(LEFT($A180,7)&amp;"1-00",MCP!#REF!,24,FALSE))</f>
        <v/>
      </c>
      <c r="AX180" s="266">
        <v>0</v>
      </c>
      <c r="AY180" s="266">
        <v>0</v>
      </c>
      <c r="BF180" s="175" t="str">
        <f t="shared" si="122"/>
        <v/>
      </c>
    </row>
    <row r="181" spans="1:58" x14ac:dyDescent="0.2">
      <c r="A181" s="266"/>
      <c r="B181" s="266"/>
      <c r="C181" s="266"/>
      <c r="F181" s="266"/>
      <c r="H181" s="266"/>
      <c r="I181" s="266"/>
      <c r="J181" s="266"/>
      <c r="K181" s="266"/>
      <c r="N181" s="266" t="str">
        <f>IF($A181="","",VLOOKUP(LEFT($A181,7)&amp;"1-00",MCP!#REF!,N$1,FALSE))</f>
        <v/>
      </c>
      <c r="O181" s="266" t="str">
        <f>IF($A181="","",VLOOKUP(LEFT($A181,7)&amp;"1-00",MCP!#REF!,O$1,FALSE))</f>
        <v/>
      </c>
      <c r="P181" s="266" t="str">
        <f>IF($A181="","",VLOOKUP(LEFT($A181,7)&amp;"1-00",MCP!#REF!,P$1,FALSE))</f>
        <v/>
      </c>
      <c r="Q181" s="266" t="str">
        <f t="shared" si="123"/>
        <v/>
      </c>
      <c r="R181" s="266" t="str">
        <f t="shared" si="124"/>
        <v/>
      </c>
      <c r="S181" s="266" t="str">
        <f t="shared" si="125"/>
        <v/>
      </c>
      <c r="T181" s="266" t="e">
        <f>VLOOKUP(LEFT($A181,7)&amp;"1-00",MCP!#REF!,T$1,FALSE)</f>
        <v>#REF!</v>
      </c>
      <c r="U181" s="266" t="str">
        <f t="shared" si="126"/>
        <v/>
      </c>
      <c r="V181" s="266" t="str">
        <f t="shared" si="127"/>
        <v/>
      </c>
      <c r="W181" s="268" t="str">
        <f t="shared" si="128"/>
        <v/>
      </c>
      <c r="X181" s="161">
        <v>-6.2700000000000006E-2</v>
      </c>
      <c r="Y181" s="161">
        <v>0.66520000000000001</v>
      </c>
      <c r="Z181" s="268" t="str">
        <f t="shared" si="129"/>
        <v/>
      </c>
      <c r="AA181" s="266" t="str">
        <f t="shared" si="130"/>
        <v/>
      </c>
      <c r="AB181" s="266" t="str">
        <f t="shared" si="131"/>
        <v/>
      </c>
      <c r="AC181" s="266" t="str">
        <f t="shared" si="132"/>
        <v/>
      </c>
      <c r="AD181" s="266" t="str">
        <f t="shared" si="133"/>
        <v/>
      </c>
      <c r="AE181" s="266" t="str">
        <f t="shared" si="134"/>
        <v/>
      </c>
      <c r="AF181" s="266" t="str">
        <f t="shared" si="135"/>
        <v/>
      </c>
      <c r="AG181" s="266" t="str">
        <f t="shared" si="136"/>
        <v/>
      </c>
      <c r="AH181" s="266" t="str">
        <f t="shared" si="137"/>
        <v/>
      </c>
      <c r="AI181" s="266" t="str">
        <f t="shared" si="138"/>
        <v/>
      </c>
      <c r="AJ181" s="266" t="str">
        <f>IF(U181="","",VLOOKUP(LEFT(I181,6)&amp;"1-00",MCP!$AK$9:$AL$876,21,FALSE))</f>
        <v/>
      </c>
      <c r="AK181" s="267" t="str">
        <f t="shared" si="139"/>
        <v/>
      </c>
      <c r="AL181" s="268" t="str">
        <f t="shared" si="140"/>
        <v/>
      </c>
      <c r="AM181" s="269" t="str">
        <f t="shared" si="141"/>
        <v/>
      </c>
      <c r="AN181" s="266">
        <f t="shared" si="142"/>
        <v>0</v>
      </c>
      <c r="AO181" s="266">
        <f t="shared" si="143"/>
        <v>0</v>
      </c>
      <c r="AP181" s="266">
        <f t="shared" si="144"/>
        <v>0</v>
      </c>
      <c r="AQ181" s="266" t="e">
        <f>VLOOKUP(LEFT($A181,7)&amp;"1-00",MCP!#REF!,30,FALSE)</f>
        <v>#REF!</v>
      </c>
      <c r="AR181" s="266" t="e">
        <f>VLOOKUP(LEFT($A181,7)&amp;"1-00",MCP!#REF!,31,FALSE)</f>
        <v>#REF!</v>
      </c>
      <c r="AS181" s="266" t="e">
        <f>VLOOKUP($A181&amp;"-"&amp;$B181,MCP!#REF!,12,FALSE)</f>
        <v>#REF!</v>
      </c>
      <c r="AT181" s="266" t="str">
        <f t="shared" si="145"/>
        <v/>
      </c>
      <c r="AU181" s="266" t="str">
        <f t="shared" si="146"/>
        <v/>
      </c>
      <c r="AV181" s="266" t="str">
        <f t="shared" si="147"/>
        <v/>
      </c>
      <c r="AW181" s="266" t="str">
        <f>IF($U181="","",VLOOKUP(LEFT($A181,7)&amp;"1-00",MCP!#REF!,24,FALSE))</f>
        <v/>
      </c>
      <c r="AX181" s="266"/>
      <c r="AY181" s="266"/>
      <c r="BF181" s="175" t="str">
        <f t="shared" si="122"/>
        <v/>
      </c>
    </row>
    <row r="182" spans="1:58" x14ac:dyDescent="0.2">
      <c r="A182" s="266"/>
      <c r="B182" s="266"/>
      <c r="C182" s="266"/>
      <c r="F182" s="266"/>
      <c r="H182" s="266"/>
      <c r="I182" s="266"/>
      <c r="J182" s="266"/>
      <c r="K182" s="266"/>
      <c r="M182" s="161">
        <v>0</v>
      </c>
      <c r="N182" s="266" t="str">
        <f>IF($A182="","",VLOOKUP(LEFT($A182,7)&amp;"1-00",MCP!#REF!,N$1,FALSE))</f>
        <v/>
      </c>
      <c r="O182" s="266" t="str">
        <f>IF($A182="","",VLOOKUP(LEFT($A182,7)&amp;"1-00",MCP!#REF!,O$1,FALSE))</f>
        <v/>
      </c>
      <c r="P182" s="266" t="str">
        <f>IF($A182="","",VLOOKUP(LEFT($A182,7)&amp;"1-00",MCP!#REF!,P$1,FALSE))</f>
        <v/>
      </c>
      <c r="Q182" s="266" t="str">
        <f t="shared" si="123"/>
        <v/>
      </c>
      <c r="R182" s="266" t="str">
        <f t="shared" si="124"/>
        <v/>
      </c>
      <c r="S182" s="266" t="str">
        <f t="shared" si="125"/>
        <v/>
      </c>
      <c r="T182" s="266" t="e">
        <f>VLOOKUP(LEFT($A182,7)&amp;"1-00",MCP!#REF!,T$1,FALSE)</f>
        <v>#REF!</v>
      </c>
      <c r="U182" s="266" t="str">
        <f t="shared" si="126"/>
        <v/>
      </c>
      <c r="V182" s="266" t="str">
        <f t="shared" si="127"/>
        <v/>
      </c>
      <c r="W182" s="268" t="str">
        <f t="shared" si="128"/>
        <v/>
      </c>
      <c r="X182" s="161">
        <v>0.91769999999999996</v>
      </c>
      <c r="Y182" s="161">
        <v>1.6959</v>
      </c>
      <c r="Z182" s="268" t="str">
        <f t="shared" si="129"/>
        <v/>
      </c>
      <c r="AA182" s="266" t="str">
        <f t="shared" si="130"/>
        <v/>
      </c>
      <c r="AB182" s="266" t="str">
        <f t="shared" si="131"/>
        <v/>
      </c>
      <c r="AC182" s="266" t="str">
        <f t="shared" si="132"/>
        <v/>
      </c>
      <c r="AD182" s="266" t="str">
        <f t="shared" si="133"/>
        <v/>
      </c>
      <c r="AE182" s="266" t="str">
        <f t="shared" si="134"/>
        <v/>
      </c>
      <c r="AF182" s="266" t="str">
        <f t="shared" si="135"/>
        <v/>
      </c>
      <c r="AG182" s="266" t="str">
        <f t="shared" si="136"/>
        <v/>
      </c>
      <c r="AH182" s="266" t="str">
        <f t="shared" si="137"/>
        <v/>
      </c>
      <c r="AI182" s="266" t="str">
        <f t="shared" si="138"/>
        <v/>
      </c>
      <c r="AJ182" s="266" t="str">
        <f>IF(U182="","",VLOOKUP(LEFT(I182,6)&amp;"1-00",MCP!$AK$9:$AL$876,21,FALSE))</f>
        <v/>
      </c>
      <c r="AK182" s="267" t="str">
        <f t="shared" si="139"/>
        <v/>
      </c>
      <c r="AL182" s="268" t="str">
        <f t="shared" si="140"/>
        <v/>
      </c>
      <c r="AM182" s="269" t="str">
        <f t="shared" si="141"/>
        <v/>
      </c>
      <c r="AN182" s="266">
        <f t="shared" si="142"/>
        <v>0</v>
      </c>
      <c r="AO182" s="266">
        <f t="shared" si="143"/>
        <v>0</v>
      </c>
      <c r="AP182" s="266">
        <f t="shared" si="144"/>
        <v>0</v>
      </c>
      <c r="AQ182" s="266" t="e">
        <f>VLOOKUP(LEFT($A182,7)&amp;"1-00",MCP!#REF!,30,FALSE)</f>
        <v>#REF!</v>
      </c>
      <c r="AR182" s="266" t="e">
        <f>VLOOKUP(LEFT($A182,7)&amp;"1-00",MCP!#REF!,31,FALSE)</f>
        <v>#REF!</v>
      </c>
      <c r="AS182" s="266" t="e">
        <f>VLOOKUP($A182&amp;"-"&amp;$B182,MCP!#REF!,12,FALSE)</f>
        <v>#REF!</v>
      </c>
      <c r="AT182" s="266" t="str">
        <f t="shared" si="145"/>
        <v/>
      </c>
      <c r="AU182" s="266" t="str">
        <f t="shared" si="146"/>
        <v/>
      </c>
      <c r="AV182" s="266" t="str">
        <f t="shared" si="147"/>
        <v/>
      </c>
      <c r="AW182" s="266" t="str">
        <f>IF($U182="","",VLOOKUP(LEFT($A182,7)&amp;"1-00",MCP!#REF!,24,FALSE))</f>
        <v/>
      </c>
      <c r="AX182" s="266">
        <v>0</v>
      </c>
      <c r="AY182" s="266">
        <v>0</v>
      </c>
      <c r="BF182" s="175" t="str">
        <f t="shared" si="122"/>
        <v/>
      </c>
    </row>
    <row r="183" spans="1:58" x14ac:dyDescent="0.2">
      <c r="A183" s="266"/>
      <c r="B183" s="266"/>
      <c r="C183" s="266"/>
      <c r="F183" s="266"/>
      <c r="H183" s="266"/>
      <c r="I183" s="266"/>
      <c r="J183" s="266"/>
      <c r="K183" s="266"/>
      <c r="N183" s="266" t="str">
        <f>IF($A183="","",VLOOKUP(LEFT($A183,7)&amp;"1-00",MCP!#REF!,N$1,FALSE))</f>
        <v/>
      </c>
      <c r="O183" s="266" t="str">
        <f>IF($A183="","",VLOOKUP(LEFT($A183,7)&amp;"1-00",MCP!#REF!,O$1,FALSE))</f>
        <v/>
      </c>
      <c r="P183" s="266" t="str">
        <f>IF($A183="","",VLOOKUP(LEFT($A183,7)&amp;"1-00",MCP!#REF!,P$1,FALSE))</f>
        <v/>
      </c>
      <c r="Q183" s="266" t="str">
        <f t="shared" si="123"/>
        <v/>
      </c>
      <c r="R183" s="266" t="str">
        <f t="shared" si="124"/>
        <v/>
      </c>
      <c r="S183" s="266" t="str">
        <f t="shared" si="125"/>
        <v/>
      </c>
      <c r="T183" s="266" t="e">
        <f>VLOOKUP(LEFT($A183,7)&amp;"1-00",MCP!#REF!,T$1,FALSE)</f>
        <v>#REF!</v>
      </c>
      <c r="U183" s="266" t="str">
        <f t="shared" si="126"/>
        <v/>
      </c>
      <c r="V183" s="266" t="str">
        <f t="shared" si="127"/>
        <v/>
      </c>
      <c r="W183" s="268" t="str">
        <f t="shared" si="128"/>
        <v/>
      </c>
      <c r="X183" s="161">
        <v>2.1399999999999999E-2</v>
      </c>
      <c r="Y183" s="161">
        <v>0.41210000000000002</v>
      </c>
      <c r="Z183" s="268" t="str">
        <f t="shared" si="129"/>
        <v/>
      </c>
      <c r="AA183" s="266" t="str">
        <f t="shared" si="130"/>
        <v/>
      </c>
      <c r="AB183" s="266" t="str">
        <f t="shared" si="131"/>
        <v/>
      </c>
      <c r="AC183" s="266" t="str">
        <f t="shared" si="132"/>
        <v/>
      </c>
      <c r="AD183" s="266" t="str">
        <f t="shared" si="133"/>
        <v/>
      </c>
      <c r="AE183" s="266" t="str">
        <f t="shared" si="134"/>
        <v/>
      </c>
      <c r="AF183" s="266" t="str">
        <f t="shared" si="135"/>
        <v/>
      </c>
      <c r="AG183" s="266" t="str">
        <f t="shared" si="136"/>
        <v/>
      </c>
      <c r="AH183" s="266" t="str">
        <f t="shared" si="137"/>
        <v/>
      </c>
      <c r="AI183" s="266" t="str">
        <f t="shared" si="138"/>
        <v/>
      </c>
      <c r="AJ183" s="266" t="str">
        <f>IF(U183="","",VLOOKUP(LEFT(I183,6)&amp;"1-00",MCP!$AK$9:$AL$876,21,FALSE))</f>
        <v/>
      </c>
      <c r="AK183" s="267" t="str">
        <f t="shared" si="139"/>
        <v/>
      </c>
      <c r="AL183" s="268" t="str">
        <f t="shared" si="140"/>
        <v/>
      </c>
      <c r="AM183" s="269" t="str">
        <f t="shared" si="141"/>
        <v/>
      </c>
      <c r="AN183" s="266">
        <f t="shared" si="142"/>
        <v>0</v>
      </c>
      <c r="AO183" s="266">
        <f t="shared" si="143"/>
        <v>0</v>
      </c>
      <c r="AP183" s="266">
        <f t="shared" si="144"/>
        <v>0</v>
      </c>
      <c r="AQ183" s="266" t="e">
        <f>VLOOKUP(LEFT($A183,7)&amp;"1-00",MCP!#REF!,30,FALSE)</f>
        <v>#REF!</v>
      </c>
      <c r="AR183" s="266" t="e">
        <f>VLOOKUP(LEFT($A183,7)&amp;"1-00",MCP!#REF!,31,FALSE)</f>
        <v>#REF!</v>
      </c>
      <c r="AS183" s="266" t="e">
        <f>VLOOKUP($A183&amp;"-"&amp;$B183,MCP!#REF!,12,FALSE)</f>
        <v>#REF!</v>
      </c>
      <c r="AT183" s="266" t="str">
        <f t="shared" si="145"/>
        <v/>
      </c>
      <c r="AU183" s="266" t="str">
        <f t="shared" si="146"/>
        <v/>
      </c>
      <c r="AV183" s="266" t="str">
        <f t="shared" si="147"/>
        <v/>
      </c>
      <c r="AW183" s="266" t="str">
        <f>IF($U183="","",VLOOKUP(LEFT($A183,7)&amp;"1-00",MCP!#REF!,24,FALSE))</f>
        <v/>
      </c>
      <c r="AX183" s="266"/>
      <c r="AY183" s="266"/>
      <c r="BF183" s="175" t="str">
        <f t="shared" si="122"/>
        <v/>
      </c>
    </row>
    <row r="184" spans="1:58" x14ac:dyDescent="0.2">
      <c r="A184" s="266"/>
      <c r="B184" s="266"/>
      <c r="C184" s="266"/>
      <c r="F184" s="266"/>
      <c r="H184" s="266"/>
      <c r="I184" s="266"/>
      <c r="J184" s="266"/>
      <c r="K184" s="266"/>
      <c r="M184" s="161">
        <v>0</v>
      </c>
      <c r="N184" s="266" t="str">
        <f>IF($A184="","",VLOOKUP(LEFT($A184,7)&amp;"1-00",MCP!#REF!,N$1,FALSE))</f>
        <v/>
      </c>
      <c r="O184" s="266" t="str">
        <f>IF($A184="","",VLOOKUP(LEFT($A184,7)&amp;"1-00",MCP!#REF!,O$1,FALSE))</f>
        <v/>
      </c>
      <c r="P184" s="266" t="str">
        <f>IF($A184="","",VLOOKUP(LEFT($A184,7)&amp;"1-00",MCP!#REF!,P$1,FALSE))</f>
        <v/>
      </c>
      <c r="Q184" s="266" t="str">
        <f t="shared" si="123"/>
        <v/>
      </c>
      <c r="R184" s="266" t="str">
        <f t="shared" si="124"/>
        <v/>
      </c>
      <c r="S184" s="266" t="str">
        <f t="shared" si="125"/>
        <v/>
      </c>
      <c r="T184" s="266" t="e">
        <f>VLOOKUP(LEFT($A184,7)&amp;"1-00",MCP!#REF!,T$1,FALSE)</f>
        <v>#REF!</v>
      </c>
      <c r="U184" s="266" t="str">
        <f t="shared" si="126"/>
        <v/>
      </c>
      <c r="V184" s="266" t="str">
        <f t="shared" si="127"/>
        <v/>
      </c>
      <c r="W184" s="268" t="str">
        <f t="shared" si="128"/>
        <v/>
      </c>
      <c r="X184" s="161">
        <v>2.1399999999999999E-2</v>
      </c>
      <c r="Y184" s="161">
        <v>0.41210000000000002</v>
      </c>
      <c r="Z184" s="268" t="str">
        <f t="shared" si="129"/>
        <v/>
      </c>
      <c r="AA184" s="266" t="str">
        <f t="shared" si="130"/>
        <v/>
      </c>
      <c r="AB184" s="266" t="str">
        <f t="shared" si="131"/>
        <v/>
      </c>
      <c r="AC184" s="266" t="str">
        <f t="shared" si="132"/>
        <v/>
      </c>
      <c r="AD184" s="266" t="str">
        <f t="shared" si="133"/>
        <v/>
      </c>
      <c r="AE184" s="266" t="str">
        <f t="shared" si="134"/>
        <v/>
      </c>
      <c r="AF184" s="266" t="str">
        <f t="shared" si="135"/>
        <v/>
      </c>
      <c r="AG184" s="266" t="str">
        <f t="shared" si="136"/>
        <v/>
      </c>
      <c r="AH184" s="266" t="str">
        <f t="shared" si="137"/>
        <v/>
      </c>
      <c r="AI184" s="266" t="str">
        <f t="shared" si="138"/>
        <v/>
      </c>
      <c r="AJ184" s="266" t="str">
        <f>IF(U184="","",VLOOKUP(LEFT(I184,6)&amp;"1-00",MCP!$AK$9:$AL$876,21,FALSE))</f>
        <v/>
      </c>
      <c r="AK184" s="267" t="str">
        <f t="shared" si="139"/>
        <v/>
      </c>
      <c r="AL184" s="268" t="str">
        <f t="shared" si="140"/>
        <v/>
      </c>
      <c r="AM184" s="269" t="str">
        <f t="shared" si="141"/>
        <v/>
      </c>
      <c r="AN184" s="266">
        <f t="shared" si="142"/>
        <v>0</v>
      </c>
      <c r="AO184" s="266">
        <f t="shared" si="143"/>
        <v>0</v>
      </c>
      <c r="AP184" s="266">
        <f t="shared" si="144"/>
        <v>0</v>
      </c>
      <c r="AQ184" s="266" t="e">
        <f>VLOOKUP(LEFT($A184,7)&amp;"1-00",MCP!#REF!,30,FALSE)</f>
        <v>#REF!</v>
      </c>
      <c r="AR184" s="266" t="e">
        <f>VLOOKUP(LEFT($A184,7)&amp;"1-00",MCP!#REF!,31,FALSE)</f>
        <v>#REF!</v>
      </c>
      <c r="AS184" s="266" t="e">
        <f>VLOOKUP($A184&amp;"-"&amp;$B184,MCP!#REF!,12,FALSE)</f>
        <v>#REF!</v>
      </c>
      <c r="AT184" s="266" t="str">
        <f t="shared" si="145"/>
        <v/>
      </c>
      <c r="AU184" s="266" t="str">
        <f t="shared" si="146"/>
        <v/>
      </c>
      <c r="AV184" s="266" t="str">
        <f t="shared" si="147"/>
        <v/>
      </c>
      <c r="AW184" s="266" t="str">
        <f>IF($U184="","",VLOOKUP(LEFT($A184,7)&amp;"1-00",MCP!#REF!,24,FALSE))</f>
        <v/>
      </c>
      <c r="AX184" s="266">
        <v>0</v>
      </c>
      <c r="AY184" s="266">
        <v>0</v>
      </c>
      <c r="BF184" s="175" t="str">
        <f t="shared" si="122"/>
        <v/>
      </c>
    </row>
    <row r="185" spans="1:58" x14ac:dyDescent="0.2">
      <c r="A185" s="266"/>
      <c r="B185" s="266"/>
      <c r="C185" s="266"/>
      <c r="F185" s="266"/>
      <c r="H185" s="266"/>
      <c r="I185" s="266"/>
      <c r="J185" s="266"/>
      <c r="K185" s="266"/>
      <c r="N185" s="266" t="str">
        <f>IF($A185="","",VLOOKUP(LEFT($A185,7)&amp;"1-00",MCP!#REF!,N$1,FALSE))</f>
        <v/>
      </c>
      <c r="O185" s="266" t="str">
        <f>IF($A185="","",VLOOKUP(LEFT($A185,7)&amp;"1-00",MCP!#REF!,O$1,FALSE))</f>
        <v/>
      </c>
      <c r="P185" s="266" t="str">
        <f>IF($A185="","",VLOOKUP(LEFT($A185,7)&amp;"1-00",MCP!#REF!,P$1,FALSE))</f>
        <v/>
      </c>
      <c r="Q185" s="266" t="str">
        <f t="shared" si="123"/>
        <v/>
      </c>
      <c r="R185" s="266" t="str">
        <f t="shared" si="124"/>
        <v/>
      </c>
      <c r="S185" s="266" t="str">
        <f t="shared" si="125"/>
        <v/>
      </c>
      <c r="T185" s="266" t="e">
        <f>VLOOKUP(LEFT($A185,7)&amp;"1-00",MCP!#REF!,T$1,FALSE)</f>
        <v>#REF!</v>
      </c>
      <c r="U185" s="266" t="str">
        <f t="shared" si="126"/>
        <v/>
      </c>
      <c r="V185" s="266" t="str">
        <f t="shared" si="127"/>
        <v/>
      </c>
      <c r="W185" s="268" t="str">
        <f t="shared" si="128"/>
        <v/>
      </c>
      <c r="X185" s="161">
        <v>0.33189999999999997</v>
      </c>
      <c r="Y185" s="161">
        <v>0.88500000000000001</v>
      </c>
      <c r="Z185" s="268" t="str">
        <f t="shared" si="129"/>
        <v/>
      </c>
      <c r="AA185" s="266" t="str">
        <f t="shared" si="130"/>
        <v/>
      </c>
      <c r="AB185" s="266" t="str">
        <f t="shared" si="131"/>
        <v/>
      </c>
      <c r="AC185" s="266" t="str">
        <f t="shared" si="132"/>
        <v/>
      </c>
      <c r="AD185" s="266" t="str">
        <f t="shared" si="133"/>
        <v/>
      </c>
      <c r="AE185" s="266" t="str">
        <f t="shared" si="134"/>
        <v/>
      </c>
      <c r="AF185" s="266" t="str">
        <f t="shared" si="135"/>
        <v/>
      </c>
      <c r="AG185" s="266" t="str">
        <f t="shared" si="136"/>
        <v/>
      </c>
      <c r="AH185" s="266" t="str">
        <f t="shared" si="137"/>
        <v/>
      </c>
      <c r="AI185" s="266" t="str">
        <f t="shared" si="138"/>
        <v/>
      </c>
      <c r="AJ185" s="266" t="str">
        <f>IF(U185="","",VLOOKUP(LEFT(I185,6)&amp;"1-00",MCP!$AK$9:$AL$876,21,FALSE))</f>
        <v/>
      </c>
      <c r="AK185" s="267" t="str">
        <f t="shared" si="139"/>
        <v/>
      </c>
      <c r="AL185" s="268" t="str">
        <f t="shared" si="140"/>
        <v/>
      </c>
      <c r="AM185" s="269" t="str">
        <f t="shared" si="141"/>
        <v/>
      </c>
      <c r="AN185" s="266">
        <f t="shared" si="142"/>
        <v>0</v>
      </c>
      <c r="AO185" s="266">
        <f t="shared" si="143"/>
        <v>0</v>
      </c>
      <c r="AP185" s="266">
        <f t="shared" si="144"/>
        <v>0</v>
      </c>
      <c r="AQ185" s="266" t="e">
        <f>VLOOKUP(LEFT($A185,7)&amp;"1-00",MCP!#REF!,30,FALSE)</f>
        <v>#REF!</v>
      </c>
      <c r="AR185" s="266" t="e">
        <f>VLOOKUP(LEFT($A185,7)&amp;"1-00",MCP!#REF!,31,FALSE)</f>
        <v>#REF!</v>
      </c>
      <c r="AS185" s="266" t="e">
        <f>VLOOKUP($A185&amp;"-"&amp;$B185,MCP!#REF!,12,FALSE)</f>
        <v>#REF!</v>
      </c>
      <c r="AT185" s="266" t="str">
        <f t="shared" si="145"/>
        <v/>
      </c>
      <c r="AU185" s="266" t="str">
        <f t="shared" si="146"/>
        <v/>
      </c>
      <c r="AV185" s="266" t="str">
        <f t="shared" si="147"/>
        <v/>
      </c>
      <c r="AW185" s="266" t="str">
        <f>IF($U185="","",VLOOKUP(LEFT($A185,7)&amp;"1-00",MCP!#REF!,24,FALSE))</f>
        <v/>
      </c>
      <c r="AX185" s="266"/>
      <c r="AY185" s="266"/>
      <c r="BF185" s="175" t="str">
        <f t="shared" si="122"/>
        <v/>
      </c>
    </row>
    <row r="186" spans="1:58" x14ac:dyDescent="0.2">
      <c r="A186" s="266"/>
      <c r="B186" s="266"/>
      <c r="C186" s="266"/>
      <c r="F186" s="266"/>
      <c r="H186" s="266"/>
      <c r="I186" s="266"/>
      <c r="J186" s="266"/>
      <c r="K186" s="266"/>
      <c r="M186" s="161">
        <v>0</v>
      </c>
      <c r="N186" s="266" t="str">
        <f>IF($A186="","",VLOOKUP(LEFT($A186,7)&amp;"1-00",MCP!#REF!,N$1,FALSE))</f>
        <v/>
      </c>
      <c r="O186" s="266" t="str">
        <f>IF($A186="","",VLOOKUP(LEFT($A186,7)&amp;"1-00",MCP!#REF!,O$1,FALSE))</f>
        <v/>
      </c>
      <c r="P186" s="266" t="str">
        <f>IF($A186="","",VLOOKUP(LEFT($A186,7)&amp;"1-00",MCP!#REF!,P$1,FALSE))</f>
        <v/>
      </c>
      <c r="Q186" s="266" t="str">
        <f t="shared" si="123"/>
        <v/>
      </c>
      <c r="R186" s="266" t="str">
        <f t="shared" si="124"/>
        <v/>
      </c>
      <c r="S186" s="266" t="str">
        <f t="shared" si="125"/>
        <v/>
      </c>
      <c r="T186" s="266" t="e">
        <f>VLOOKUP(LEFT($A186,7)&amp;"1-00",MCP!#REF!,T$1,FALSE)</f>
        <v>#REF!</v>
      </c>
      <c r="U186" s="266" t="str">
        <f t="shared" si="126"/>
        <v/>
      </c>
      <c r="V186" s="266" t="str">
        <f t="shared" si="127"/>
        <v/>
      </c>
      <c r="W186" s="268" t="str">
        <f t="shared" si="128"/>
        <v/>
      </c>
      <c r="X186" s="161">
        <v>0.33189999999999997</v>
      </c>
      <c r="Y186" s="161">
        <v>0.88500000000000001</v>
      </c>
      <c r="Z186" s="268" t="str">
        <f t="shared" si="129"/>
        <v/>
      </c>
      <c r="AA186" s="266" t="str">
        <f t="shared" si="130"/>
        <v/>
      </c>
      <c r="AB186" s="266" t="str">
        <f t="shared" si="131"/>
        <v/>
      </c>
      <c r="AC186" s="266" t="str">
        <f t="shared" si="132"/>
        <v/>
      </c>
      <c r="AD186" s="266" t="str">
        <f t="shared" si="133"/>
        <v/>
      </c>
      <c r="AE186" s="266" t="str">
        <f t="shared" si="134"/>
        <v/>
      </c>
      <c r="AF186" s="266" t="str">
        <f t="shared" si="135"/>
        <v/>
      </c>
      <c r="AG186" s="266" t="str">
        <f t="shared" si="136"/>
        <v/>
      </c>
      <c r="AH186" s="266" t="str">
        <f t="shared" si="137"/>
        <v/>
      </c>
      <c r="AI186" s="266" t="str">
        <f t="shared" si="138"/>
        <v/>
      </c>
      <c r="AJ186" s="266" t="str">
        <f>IF(U186="","",VLOOKUP(LEFT(I186,6)&amp;"1-00",MCP!$AK$9:$AL$876,21,FALSE))</f>
        <v/>
      </c>
      <c r="AK186" s="267" t="str">
        <f t="shared" si="139"/>
        <v/>
      </c>
      <c r="AL186" s="268" t="str">
        <f t="shared" si="140"/>
        <v/>
      </c>
      <c r="AM186" s="269" t="str">
        <f t="shared" si="141"/>
        <v/>
      </c>
      <c r="AN186" s="266">
        <f t="shared" si="142"/>
        <v>0</v>
      </c>
      <c r="AO186" s="266">
        <f t="shared" si="143"/>
        <v>0</v>
      </c>
      <c r="AP186" s="266">
        <f t="shared" si="144"/>
        <v>0</v>
      </c>
      <c r="AQ186" s="266" t="e">
        <f>VLOOKUP(LEFT($A186,7)&amp;"1-00",MCP!#REF!,30,FALSE)</f>
        <v>#REF!</v>
      </c>
      <c r="AR186" s="266" t="e">
        <f>VLOOKUP(LEFT($A186,7)&amp;"1-00",MCP!#REF!,31,FALSE)</f>
        <v>#REF!</v>
      </c>
      <c r="AS186" s="266" t="e">
        <f>VLOOKUP($A186&amp;"-"&amp;$B186,MCP!#REF!,12,FALSE)</f>
        <v>#REF!</v>
      </c>
      <c r="AT186" s="266" t="str">
        <f t="shared" si="145"/>
        <v/>
      </c>
      <c r="AU186" s="266" t="str">
        <f t="shared" si="146"/>
        <v/>
      </c>
      <c r="AV186" s="266" t="str">
        <f t="shared" si="147"/>
        <v/>
      </c>
      <c r="AW186" s="266" t="str">
        <f>IF($U186="","",VLOOKUP(LEFT($A186,7)&amp;"1-00",MCP!#REF!,24,FALSE))</f>
        <v/>
      </c>
      <c r="AX186" s="266">
        <v>0</v>
      </c>
      <c r="AY186" s="266">
        <v>0</v>
      </c>
      <c r="BF186" s="175" t="str">
        <f t="shared" si="122"/>
        <v/>
      </c>
    </row>
    <row r="187" spans="1:58" x14ac:dyDescent="0.2">
      <c r="A187" s="266"/>
      <c r="B187" s="266"/>
      <c r="C187" s="266"/>
      <c r="F187" s="266"/>
      <c r="H187" s="266"/>
      <c r="I187" s="266"/>
      <c r="J187" s="266"/>
      <c r="K187" s="266"/>
      <c r="N187" s="266" t="str">
        <f>IF($A187="","",VLOOKUP(LEFT($A187,7)&amp;"1-00",MCP!#REF!,N$1,FALSE))</f>
        <v/>
      </c>
      <c r="O187" s="266" t="str">
        <f>IF($A187="","",VLOOKUP(LEFT($A187,7)&amp;"1-00",MCP!#REF!,O$1,FALSE))</f>
        <v/>
      </c>
      <c r="P187" s="266" t="str">
        <f>IF($A187="","",VLOOKUP(LEFT($A187,7)&amp;"1-00",MCP!#REF!,P$1,FALSE))</f>
        <v/>
      </c>
      <c r="Q187" s="266" t="str">
        <f t="shared" si="123"/>
        <v/>
      </c>
      <c r="R187" s="266" t="str">
        <f t="shared" si="124"/>
        <v/>
      </c>
      <c r="S187" s="266" t="str">
        <f t="shared" si="125"/>
        <v/>
      </c>
      <c r="T187" s="266" t="e">
        <f>VLOOKUP(LEFT($A187,7)&amp;"1-00",MCP!#REF!,T$1,FALSE)</f>
        <v>#REF!</v>
      </c>
      <c r="U187" s="266" t="str">
        <f t="shared" si="126"/>
        <v/>
      </c>
      <c r="V187" s="266" t="str">
        <f t="shared" si="127"/>
        <v/>
      </c>
      <c r="W187" s="268" t="str">
        <f t="shared" si="128"/>
        <v/>
      </c>
      <c r="X187" s="161">
        <v>0.58960000000000001</v>
      </c>
      <c r="Y187" s="161">
        <v>0.626</v>
      </c>
      <c r="Z187" s="268" t="str">
        <f t="shared" si="129"/>
        <v/>
      </c>
      <c r="AA187" s="266" t="str">
        <f t="shared" si="130"/>
        <v/>
      </c>
      <c r="AB187" s="266" t="str">
        <f t="shared" si="131"/>
        <v/>
      </c>
      <c r="AC187" s="266" t="str">
        <f t="shared" si="132"/>
        <v/>
      </c>
      <c r="AD187" s="266" t="str">
        <f t="shared" si="133"/>
        <v/>
      </c>
      <c r="AE187" s="266" t="str">
        <f t="shared" si="134"/>
        <v/>
      </c>
      <c r="AF187" s="266" t="str">
        <f t="shared" si="135"/>
        <v/>
      </c>
      <c r="AG187" s="266" t="str">
        <f t="shared" si="136"/>
        <v/>
      </c>
      <c r="AH187" s="266" t="str">
        <f t="shared" si="137"/>
        <v/>
      </c>
      <c r="AI187" s="266" t="str">
        <f t="shared" si="138"/>
        <v/>
      </c>
      <c r="AJ187" s="266" t="str">
        <f>IF(U187="","",VLOOKUP(LEFT(I187,6)&amp;"1-00",MCP!$AK$9:$AL$876,21,FALSE))</f>
        <v/>
      </c>
      <c r="AK187" s="267" t="str">
        <f t="shared" si="139"/>
        <v/>
      </c>
      <c r="AL187" s="268" t="str">
        <f t="shared" si="140"/>
        <v/>
      </c>
      <c r="AM187" s="269" t="str">
        <f t="shared" si="141"/>
        <v/>
      </c>
      <c r="AN187" s="266">
        <f t="shared" si="142"/>
        <v>0</v>
      </c>
      <c r="AO187" s="266">
        <f t="shared" si="143"/>
        <v>0</v>
      </c>
      <c r="AP187" s="266">
        <f t="shared" si="144"/>
        <v>0</v>
      </c>
      <c r="AQ187" s="266" t="e">
        <f>VLOOKUP(LEFT($A187,7)&amp;"1-00",MCP!#REF!,30,FALSE)</f>
        <v>#REF!</v>
      </c>
      <c r="AR187" s="266" t="e">
        <f>VLOOKUP(LEFT($A187,7)&amp;"1-00",MCP!#REF!,31,FALSE)</f>
        <v>#REF!</v>
      </c>
      <c r="AS187" s="266" t="e">
        <f>VLOOKUP($A187&amp;"-"&amp;$B187,MCP!#REF!,12,FALSE)</f>
        <v>#REF!</v>
      </c>
      <c r="AT187" s="266" t="str">
        <f t="shared" si="145"/>
        <v/>
      </c>
      <c r="AU187" s="266" t="str">
        <f t="shared" si="146"/>
        <v/>
      </c>
      <c r="AV187" s="266" t="str">
        <f t="shared" si="147"/>
        <v/>
      </c>
      <c r="AW187" s="266" t="str">
        <f>IF($U187="","",VLOOKUP(LEFT($A187,7)&amp;"1-00",MCP!#REF!,24,FALSE))</f>
        <v/>
      </c>
      <c r="AX187" s="266"/>
      <c r="AY187" s="266"/>
      <c r="BF187" s="175" t="str">
        <f t="shared" si="122"/>
        <v/>
      </c>
    </row>
    <row r="188" spans="1:58" x14ac:dyDescent="0.2">
      <c r="A188" s="266"/>
      <c r="B188" s="266"/>
      <c r="C188" s="266"/>
      <c r="F188" s="266"/>
      <c r="H188" s="266"/>
      <c r="I188" s="266"/>
      <c r="J188" s="266"/>
      <c r="K188" s="266"/>
      <c r="M188" s="161">
        <v>0</v>
      </c>
      <c r="N188" s="266" t="str">
        <f>IF($A188="","",VLOOKUP(LEFT($A188,7)&amp;"1-00",MCP!#REF!,N$1,FALSE))</f>
        <v/>
      </c>
      <c r="O188" s="266" t="str">
        <f>IF($A188="","",VLOOKUP(LEFT($A188,7)&amp;"1-00",MCP!#REF!,O$1,FALSE))</f>
        <v/>
      </c>
      <c r="P188" s="266" t="str">
        <f>IF($A188="","",VLOOKUP(LEFT($A188,7)&amp;"1-00",MCP!#REF!,P$1,FALSE))</f>
        <v/>
      </c>
      <c r="Q188" s="266" t="str">
        <f t="shared" si="123"/>
        <v/>
      </c>
      <c r="R188" s="266" t="str">
        <f t="shared" si="124"/>
        <v/>
      </c>
      <c r="S188" s="266" t="str">
        <f t="shared" si="125"/>
        <v/>
      </c>
      <c r="T188" s="266" t="e">
        <f>VLOOKUP(LEFT($A188,7)&amp;"1-00",MCP!#REF!,T$1,FALSE)</f>
        <v>#REF!</v>
      </c>
      <c r="U188" s="266" t="str">
        <f t="shared" si="126"/>
        <v/>
      </c>
      <c r="V188" s="266" t="str">
        <f t="shared" si="127"/>
        <v/>
      </c>
      <c r="W188" s="268" t="str">
        <f t="shared" si="128"/>
        <v/>
      </c>
      <c r="X188" s="161">
        <v>0.58960000000000001</v>
      </c>
      <c r="Y188" s="161">
        <v>0.626</v>
      </c>
      <c r="Z188" s="268" t="str">
        <f t="shared" si="129"/>
        <v/>
      </c>
      <c r="AA188" s="266" t="str">
        <f t="shared" si="130"/>
        <v/>
      </c>
      <c r="AB188" s="266" t="str">
        <f t="shared" si="131"/>
        <v/>
      </c>
      <c r="AC188" s="266" t="str">
        <f t="shared" si="132"/>
        <v/>
      </c>
      <c r="AD188" s="266" t="str">
        <f t="shared" si="133"/>
        <v/>
      </c>
      <c r="AE188" s="266" t="str">
        <f t="shared" si="134"/>
        <v/>
      </c>
      <c r="AF188" s="266" t="str">
        <f t="shared" si="135"/>
        <v/>
      </c>
      <c r="AG188" s="266" t="str">
        <f t="shared" si="136"/>
        <v/>
      </c>
      <c r="AH188" s="266" t="str">
        <f t="shared" si="137"/>
        <v/>
      </c>
      <c r="AI188" s="266" t="str">
        <f t="shared" si="138"/>
        <v/>
      </c>
      <c r="AJ188" s="266" t="str">
        <f>IF(U188="","",VLOOKUP(LEFT(I188,6)&amp;"1-00",MCP!$AK$9:$AL$876,21,FALSE))</f>
        <v/>
      </c>
      <c r="AK188" s="267" t="str">
        <f t="shared" si="139"/>
        <v/>
      </c>
      <c r="AL188" s="268" t="str">
        <f t="shared" si="140"/>
        <v/>
      </c>
      <c r="AM188" s="269" t="str">
        <f t="shared" si="141"/>
        <v/>
      </c>
      <c r="AN188" s="266">
        <f t="shared" si="142"/>
        <v>0</v>
      </c>
      <c r="AO188" s="266">
        <f t="shared" si="143"/>
        <v>0</v>
      </c>
      <c r="AP188" s="266">
        <f t="shared" si="144"/>
        <v>0</v>
      </c>
      <c r="AQ188" s="266" t="e">
        <f>VLOOKUP(LEFT($A188,7)&amp;"1-00",MCP!#REF!,30,FALSE)</f>
        <v>#REF!</v>
      </c>
      <c r="AR188" s="266" t="e">
        <f>VLOOKUP(LEFT($A188,7)&amp;"1-00",MCP!#REF!,31,FALSE)</f>
        <v>#REF!</v>
      </c>
      <c r="AS188" s="266" t="e">
        <f>VLOOKUP($A188&amp;"-"&amp;$B188,MCP!#REF!,12,FALSE)</f>
        <v>#REF!</v>
      </c>
      <c r="AT188" s="266" t="str">
        <f t="shared" si="145"/>
        <v/>
      </c>
      <c r="AU188" s="266" t="str">
        <f t="shared" si="146"/>
        <v/>
      </c>
      <c r="AV188" s="266" t="str">
        <f t="shared" si="147"/>
        <v/>
      </c>
      <c r="AW188" s="266" t="str">
        <f>IF($U188="","",VLOOKUP(LEFT($A188,7)&amp;"1-00",MCP!#REF!,24,FALSE))</f>
        <v/>
      </c>
      <c r="AX188" s="266">
        <v>0</v>
      </c>
      <c r="AY188" s="266">
        <v>0</v>
      </c>
      <c r="BF188" s="175" t="str">
        <f t="shared" si="122"/>
        <v/>
      </c>
    </row>
    <row r="189" spans="1:58" x14ac:dyDescent="0.2">
      <c r="A189" s="266"/>
      <c r="B189" s="266"/>
      <c r="C189" s="266"/>
      <c r="F189" s="266"/>
      <c r="H189" s="266"/>
      <c r="I189" s="266"/>
      <c r="J189" s="266"/>
      <c r="K189" s="266"/>
      <c r="N189" s="266" t="str">
        <f>IF($A189="","",VLOOKUP(LEFT($A189,7)&amp;"1-00",MCP!#REF!,N$1,FALSE))</f>
        <v/>
      </c>
      <c r="O189" s="266" t="str">
        <f>IF($A189="","",VLOOKUP(LEFT($A189,7)&amp;"1-00",MCP!#REF!,O$1,FALSE))</f>
        <v/>
      </c>
      <c r="P189" s="266" t="str">
        <f>IF($A189="","",VLOOKUP(LEFT($A189,7)&amp;"1-00",MCP!#REF!,P$1,FALSE))</f>
        <v/>
      </c>
      <c r="Q189" s="266" t="str">
        <f t="shared" si="123"/>
        <v/>
      </c>
      <c r="R189" s="266" t="str">
        <f t="shared" si="124"/>
        <v/>
      </c>
      <c r="S189" s="266" t="str">
        <f t="shared" si="125"/>
        <v/>
      </c>
      <c r="T189" s="266" t="e">
        <f>VLOOKUP(LEFT($A189,7)&amp;"1-00",MCP!#REF!,T$1,FALSE)</f>
        <v>#REF!</v>
      </c>
      <c r="U189" s="266" t="str">
        <f t="shared" si="126"/>
        <v/>
      </c>
      <c r="V189" s="266" t="str">
        <f t="shared" si="127"/>
        <v/>
      </c>
      <c r="W189" s="268" t="str">
        <f t="shared" si="128"/>
        <v/>
      </c>
      <c r="X189" s="161">
        <v>0.86099999999999999</v>
      </c>
      <c r="Y189" s="161">
        <v>1.1385000000000001</v>
      </c>
      <c r="Z189" s="268" t="str">
        <f t="shared" si="129"/>
        <v/>
      </c>
      <c r="AA189" s="266" t="str">
        <f t="shared" si="130"/>
        <v/>
      </c>
      <c r="AB189" s="266" t="str">
        <f t="shared" si="131"/>
        <v/>
      </c>
      <c r="AC189" s="266" t="str">
        <f t="shared" si="132"/>
        <v/>
      </c>
      <c r="AD189" s="266" t="str">
        <f t="shared" si="133"/>
        <v/>
      </c>
      <c r="AE189" s="266" t="str">
        <f t="shared" si="134"/>
        <v/>
      </c>
      <c r="AF189" s="266" t="str">
        <f t="shared" si="135"/>
        <v/>
      </c>
      <c r="AG189" s="266" t="str">
        <f t="shared" si="136"/>
        <v/>
      </c>
      <c r="AH189" s="266" t="str">
        <f t="shared" si="137"/>
        <v/>
      </c>
      <c r="AI189" s="266" t="str">
        <f t="shared" si="138"/>
        <v/>
      </c>
      <c r="AJ189" s="266" t="str">
        <f>IF(U189="","",VLOOKUP(LEFT(I189,6)&amp;"1-00",MCP!$AK$9:$AL$876,21,FALSE))</f>
        <v/>
      </c>
      <c r="AK189" s="267" t="str">
        <f t="shared" si="139"/>
        <v/>
      </c>
      <c r="AL189" s="268" t="str">
        <f t="shared" si="140"/>
        <v/>
      </c>
      <c r="AM189" s="269" t="str">
        <f t="shared" si="141"/>
        <v/>
      </c>
      <c r="AN189" s="266">
        <f t="shared" si="142"/>
        <v>0</v>
      </c>
      <c r="AO189" s="266">
        <f t="shared" si="143"/>
        <v>0</v>
      </c>
      <c r="AP189" s="266">
        <f t="shared" si="144"/>
        <v>0</v>
      </c>
      <c r="AQ189" s="266" t="e">
        <f>VLOOKUP(LEFT($A189,7)&amp;"1-00",MCP!#REF!,30,FALSE)</f>
        <v>#REF!</v>
      </c>
      <c r="AR189" s="266" t="e">
        <f>VLOOKUP(LEFT($A189,7)&amp;"1-00",MCP!#REF!,31,FALSE)</f>
        <v>#REF!</v>
      </c>
      <c r="AS189" s="266" t="e">
        <f>VLOOKUP($A189&amp;"-"&amp;$B189,MCP!#REF!,12,FALSE)</f>
        <v>#REF!</v>
      </c>
      <c r="AT189" s="266" t="str">
        <f t="shared" si="145"/>
        <v/>
      </c>
      <c r="AU189" s="266" t="str">
        <f t="shared" si="146"/>
        <v/>
      </c>
      <c r="AV189" s="266" t="str">
        <f t="shared" si="147"/>
        <v/>
      </c>
      <c r="AW189" s="266" t="str">
        <f>IF($U189="","",VLOOKUP(LEFT($A189,7)&amp;"1-00",MCP!#REF!,24,FALSE))</f>
        <v/>
      </c>
      <c r="AX189" s="266"/>
      <c r="AY189" s="266"/>
      <c r="BF189" s="175" t="str">
        <f t="shared" si="122"/>
        <v/>
      </c>
    </row>
    <row r="190" spans="1:58" x14ac:dyDescent="0.2">
      <c r="A190" s="266"/>
      <c r="B190" s="266"/>
      <c r="C190" s="266"/>
      <c r="F190" s="266"/>
      <c r="H190" s="266"/>
      <c r="I190" s="266"/>
      <c r="J190" s="266"/>
      <c r="K190" s="266"/>
      <c r="M190" s="161">
        <v>0</v>
      </c>
      <c r="N190" s="266" t="str">
        <f>IF($A190="","",VLOOKUP(LEFT($A190,7)&amp;"1-00",MCP!#REF!,N$1,FALSE))</f>
        <v/>
      </c>
      <c r="O190" s="266" t="str">
        <f>IF($A190="","",VLOOKUP(LEFT($A190,7)&amp;"1-00",MCP!#REF!,O$1,FALSE))</f>
        <v/>
      </c>
      <c r="P190" s="266" t="str">
        <f>IF($A190="","",VLOOKUP(LEFT($A190,7)&amp;"1-00",MCP!#REF!,P$1,FALSE))</f>
        <v/>
      </c>
      <c r="Q190" s="266" t="str">
        <f t="shared" si="123"/>
        <v/>
      </c>
      <c r="R190" s="266" t="str">
        <f t="shared" si="124"/>
        <v/>
      </c>
      <c r="S190" s="266" t="str">
        <f t="shared" si="125"/>
        <v/>
      </c>
      <c r="T190" s="266" t="e">
        <f>VLOOKUP(LEFT($A190,7)&amp;"1-00",MCP!#REF!,T$1,FALSE)</f>
        <v>#REF!</v>
      </c>
      <c r="U190" s="266" t="str">
        <f t="shared" si="126"/>
        <v/>
      </c>
      <c r="V190" s="266" t="str">
        <f t="shared" si="127"/>
        <v/>
      </c>
      <c r="W190" s="268" t="str">
        <f t="shared" si="128"/>
        <v/>
      </c>
      <c r="X190" s="161">
        <v>0.73629999999999995</v>
      </c>
      <c r="Y190" s="161">
        <v>1.0056</v>
      </c>
      <c r="Z190" s="268" t="str">
        <f t="shared" si="129"/>
        <v/>
      </c>
      <c r="AA190" s="266" t="str">
        <f t="shared" si="130"/>
        <v/>
      </c>
      <c r="AB190" s="266" t="str">
        <f t="shared" si="131"/>
        <v/>
      </c>
      <c r="AC190" s="266" t="str">
        <f t="shared" si="132"/>
        <v/>
      </c>
      <c r="AD190" s="266" t="str">
        <f t="shared" si="133"/>
        <v/>
      </c>
      <c r="AE190" s="266" t="str">
        <f t="shared" si="134"/>
        <v/>
      </c>
      <c r="AF190" s="266" t="str">
        <f t="shared" si="135"/>
        <v/>
      </c>
      <c r="AG190" s="266" t="str">
        <f t="shared" si="136"/>
        <v/>
      </c>
      <c r="AH190" s="266" t="str">
        <f t="shared" si="137"/>
        <v/>
      </c>
      <c r="AI190" s="266" t="str">
        <f t="shared" si="138"/>
        <v/>
      </c>
      <c r="AJ190" s="266" t="str">
        <f>IF(U190="","",VLOOKUP(LEFT(I190,6)&amp;"1-00",MCP!$AK$9:$AL$876,21,FALSE))</f>
        <v/>
      </c>
      <c r="AK190" s="267" t="str">
        <f t="shared" si="139"/>
        <v/>
      </c>
      <c r="AL190" s="268" t="str">
        <f t="shared" si="140"/>
        <v/>
      </c>
      <c r="AM190" s="269" t="str">
        <f t="shared" si="141"/>
        <v/>
      </c>
      <c r="AN190" s="266">
        <f t="shared" si="142"/>
        <v>0</v>
      </c>
      <c r="AO190" s="266">
        <f t="shared" si="143"/>
        <v>0</v>
      </c>
      <c r="AP190" s="266">
        <f t="shared" si="144"/>
        <v>0</v>
      </c>
      <c r="AQ190" s="266" t="e">
        <f>VLOOKUP(LEFT($A190,7)&amp;"1-00",MCP!#REF!,30,FALSE)</f>
        <v>#REF!</v>
      </c>
      <c r="AR190" s="266" t="e">
        <f>VLOOKUP(LEFT($A190,7)&amp;"1-00",MCP!#REF!,31,FALSE)</f>
        <v>#REF!</v>
      </c>
      <c r="AS190" s="266" t="e">
        <f>VLOOKUP($A190&amp;"-"&amp;$B190,MCP!#REF!,12,FALSE)</f>
        <v>#REF!</v>
      </c>
      <c r="AT190" s="266" t="str">
        <f t="shared" si="145"/>
        <v/>
      </c>
      <c r="AU190" s="266" t="str">
        <f t="shared" si="146"/>
        <v/>
      </c>
      <c r="AV190" s="266" t="str">
        <f t="shared" si="147"/>
        <v/>
      </c>
      <c r="AW190" s="266" t="str">
        <f>IF($U190="","",VLOOKUP(LEFT($A190,7)&amp;"1-00",MCP!#REF!,24,FALSE))</f>
        <v/>
      </c>
      <c r="AX190" s="266">
        <v>0</v>
      </c>
      <c r="AY190" s="266">
        <v>0</v>
      </c>
      <c r="BF190" s="175" t="str">
        <f t="shared" si="122"/>
        <v/>
      </c>
    </row>
    <row r="191" spans="1:58" x14ac:dyDescent="0.2">
      <c r="A191" s="266"/>
      <c r="B191" s="266"/>
      <c r="C191" s="266"/>
      <c r="F191" s="266"/>
      <c r="H191" s="266"/>
      <c r="I191" s="266"/>
      <c r="J191" s="266"/>
      <c r="K191" s="266"/>
      <c r="N191" s="266" t="str">
        <f>IF($A191="","",VLOOKUP(LEFT($A191,7)&amp;"1-00",MCP!#REF!,N$1,FALSE))</f>
        <v/>
      </c>
      <c r="O191" s="266" t="str">
        <f>IF($A191="","",VLOOKUP(LEFT($A191,7)&amp;"1-00",MCP!#REF!,O$1,FALSE))</f>
        <v/>
      </c>
      <c r="P191" s="266" t="str">
        <f>IF($A191="","",VLOOKUP(LEFT($A191,7)&amp;"1-00",MCP!#REF!,P$1,FALSE))</f>
        <v/>
      </c>
      <c r="Q191" s="266" t="str">
        <f t="shared" si="123"/>
        <v/>
      </c>
      <c r="R191" s="266" t="str">
        <f t="shared" si="124"/>
        <v/>
      </c>
      <c r="S191" s="266" t="str">
        <f t="shared" si="125"/>
        <v/>
      </c>
      <c r="T191" s="266" t="e">
        <f>VLOOKUP(LEFT($A191,7)&amp;"1-00",MCP!#REF!,T$1,FALSE)</f>
        <v>#REF!</v>
      </c>
      <c r="U191" s="266" t="str">
        <f t="shared" si="126"/>
        <v/>
      </c>
      <c r="V191" s="266" t="str">
        <f t="shared" si="127"/>
        <v/>
      </c>
      <c r="W191" s="268" t="str">
        <f t="shared" si="128"/>
        <v/>
      </c>
      <c r="X191" s="161">
        <v>0.86099999999999999</v>
      </c>
      <c r="Y191" s="161">
        <v>1.1385000000000001</v>
      </c>
      <c r="Z191" s="268" t="str">
        <f t="shared" si="129"/>
        <v/>
      </c>
      <c r="AA191" s="266" t="str">
        <f t="shared" si="130"/>
        <v/>
      </c>
      <c r="AB191" s="266" t="str">
        <f t="shared" si="131"/>
        <v/>
      </c>
      <c r="AC191" s="266" t="str">
        <f t="shared" si="132"/>
        <v/>
      </c>
      <c r="AD191" s="266" t="str">
        <f t="shared" si="133"/>
        <v/>
      </c>
      <c r="AE191" s="266" t="str">
        <f t="shared" si="134"/>
        <v/>
      </c>
      <c r="AF191" s="266" t="str">
        <f t="shared" si="135"/>
        <v/>
      </c>
      <c r="AG191" s="266" t="str">
        <f t="shared" si="136"/>
        <v/>
      </c>
      <c r="AH191" s="266" t="str">
        <f t="shared" si="137"/>
        <v/>
      </c>
      <c r="AI191" s="266" t="str">
        <f t="shared" si="138"/>
        <v/>
      </c>
      <c r="AJ191" s="266" t="str">
        <f>IF(U191="","",VLOOKUP(LEFT(I191,6)&amp;"1-00",MCP!$AK$9:$AL$876,21,FALSE))</f>
        <v/>
      </c>
      <c r="AK191" s="267" t="str">
        <f t="shared" si="139"/>
        <v/>
      </c>
      <c r="AL191" s="268" t="str">
        <f t="shared" si="140"/>
        <v/>
      </c>
      <c r="AM191" s="269" t="str">
        <f t="shared" si="141"/>
        <v/>
      </c>
      <c r="AN191" s="266">
        <f t="shared" si="142"/>
        <v>0</v>
      </c>
      <c r="AO191" s="266">
        <f t="shared" si="143"/>
        <v>0</v>
      </c>
      <c r="AP191" s="266">
        <f t="shared" si="144"/>
        <v>0</v>
      </c>
      <c r="AQ191" s="266" t="e">
        <f>VLOOKUP(LEFT($A191,7)&amp;"1-00",MCP!#REF!,30,FALSE)</f>
        <v>#REF!</v>
      </c>
      <c r="AR191" s="266" t="e">
        <f>VLOOKUP(LEFT($A191,7)&amp;"1-00",MCP!#REF!,31,FALSE)</f>
        <v>#REF!</v>
      </c>
      <c r="AS191" s="266" t="e">
        <f>VLOOKUP($A191&amp;"-"&amp;$B191,MCP!#REF!,12,FALSE)</f>
        <v>#REF!</v>
      </c>
      <c r="AT191" s="266" t="str">
        <f t="shared" si="145"/>
        <v/>
      </c>
      <c r="AU191" s="266" t="str">
        <f t="shared" si="146"/>
        <v/>
      </c>
      <c r="AV191" s="266" t="str">
        <f t="shared" si="147"/>
        <v/>
      </c>
      <c r="AW191" s="266" t="str">
        <f>IF($U191="","",VLOOKUP(LEFT($A191,7)&amp;"1-00",MCP!#REF!,24,FALSE))</f>
        <v/>
      </c>
      <c r="AX191" s="266"/>
      <c r="AY191" s="266"/>
      <c r="BF191" s="175" t="str">
        <f t="shared" si="122"/>
        <v/>
      </c>
    </row>
    <row r="192" spans="1:58" x14ac:dyDescent="0.2">
      <c r="A192" s="266"/>
      <c r="B192" s="266"/>
      <c r="C192" s="266"/>
      <c r="F192" s="266"/>
      <c r="H192" s="266"/>
      <c r="I192" s="266"/>
      <c r="J192" s="266"/>
      <c r="K192" s="266"/>
      <c r="M192" s="161">
        <v>0</v>
      </c>
      <c r="N192" s="266" t="str">
        <f>IF($A192="","",VLOOKUP(LEFT($A192,7)&amp;"1-00",MCP!#REF!,N$1,FALSE))</f>
        <v/>
      </c>
      <c r="O192" s="266" t="str">
        <f>IF($A192="","",VLOOKUP(LEFT($A192,7)&amp;"1-00",MCP!#REF!,O$1,FALSE))</f>
        <v/>
      </c>
      <c r="P192" s="266" t="str">
        <f>IF($A192="","",VLOOKUP(LEFT($A192,7)&amp;"1-00",MCP!#REF!,P$1,FALSE))</f>
        <v/>
      </c>
      <c r="Q192" s="266" t="str">
        <f t="shared" si="123"/>
        <v/>
      </c>
      <c r="R192" s="266" t="str">
        <f t="shared" si="124"/>
        <v/>
      </c>
      <c r="S192" s="266" t="str">
        <f t="shared" si="125"/>
        <v/>
      </c>
      <c r="T192" s="266" t="e">
        <f>VLOOKUP(LEFT($A192,7)&amp;"1-00",MCP!#REF!,T$1,FALSE)</f>
        <v>#REF!</v>
      </c>
      <c r="U192" s="266" t="str">
        <f t="shared" si="126"/>
        <v/>
      </c>
      <c r="V192" s="266" t="str">
        <f t="shared" si="127"/>
        <v/>
      </c>
      <c r="W192" s="268" t="str">
        <f t="shared" si="128"/>
        <v/>
      </c>
      <c r="X192" s="161">
        <v>0.86099999999999999</v>
      </c>
      <c r="Y192" s="161">
        <v>1.1385000000000001</v>
      </c>
      <c r="Z192" s="268" t="str">
        <f t="shared" si="129"/>
        <v/>
      </c>
      <c r="AA192" s="266" t="str">
        <f t="shared" si="130"/>
        <v/>
      </c>
      <c r="AB192" s="266" t="str">
        <f t="shared" si="131"/>
        <v/>
      </c>
      <c r="AC192" s="266" t="str">
        <f t="shared" si="132"/>
        <v/>
      </c>
      <c r="AD192" s="266" t="str">
        <f t="shared" si="133"/>
        <v/>
      </c>
      <c r="AE192" s="266" t="str">
        <f t="shared" si="134"/>
        <v/>
      </c>
      <c r="AF192" s="266" t="str">
        <f t="shared" si="135"/>
        <v/>
      </c>
      <c r="AG192" s="266" t="str">
        <f t="shared" si="136"/>
        <v/>
      </c>
      <c r="AH192" s="266" t="str">
        <f t="shared" si="137"/>
        <v/>
      </c>
      <c r="AI192" s="266" t="str">
        <f t="shared" si="138"/>
        <v/>
      </c>
      <c r="AJ192" s="266" t="str">
        <f>IF(U192="","",VLOOKUP(LEFT(I192,6)&amp;"1-00",MCP!$AK$9:$AL$876,21,FALSE))</f>
        <v/>
      </c>
      <c r="AK192" s="267" t="str">
        <f t="shared" si="139"/>
        <v/>
      </c>
      <c r="AL192" s="268" t="str">
        <f t="shared" si="140"/>
        <v/>
      </c>
      <c r="AM192" s="269" t="str">
        <f t="shared" si="141"/>
        <v/>
      </c>
      <c r="AN192" s="266">
        <f t="shared" si="142"/>
        <v>0</v>
      </c>
      <c r="AO192" s="266">
        <f t="shared" si="143"/>
        <v>0</v>
      </c>
      <c r="AP192" s="266">
        <f t="shared" si="144"/>
        <v>0</v>
      </c>
      <c r="AQ192" s="266" t="e">
        <f>VLOOKUP(LEFT($A192,7)&amp;"1-00",MCP!#REF!,30,FALSE)</f>
        <v>#REF!</v>
      </c>
      <c r="AR192" s="266" t="e">
        <f>VLOOKUP(LEFT($A192,7)&amp;"1-00",MCP!#REF!,31,FALSE)</f>
        <v>#REF!</v>
      </c>
      <c r="AS192" s="266" t="e">
        <f>VLOOKUP($A192&amp;"-"&amp;$B192,MCP!#REF!,12,FALSE)</f>
        <v>#REF!</v>
      </c>
      <c r="AT192" s="266" t="str">
        <f t="shared" si="145"/>
        <v/>
      </c>
      <c r="AU192" s="266" t="str">
        <f t="shared" si="146"/>
        <v/>
      </c>
      <c r="AV192" s="266" t="str">
        <f t="shared" si="147"/>
        <v/>
      </c>
      <c r="AW192" s="266" t="str">
        <f>IF($U192="","",VLOOKUP(LEFT($A192,7)&amp;"1-00",MCP!#REF!,24,FALSE))</f>
        <v/>
      </c>
      <c r="AX192" s="266">
        <v>0</v>
      </c>
      <c r="AY192" s="266">
        <v>0</v>
      </c>
      <c r="BF192" s="175" t="str">
        <f t="shared" si="122"/>
        <v/>
      </c>
    </row>
    <row r="193" spans="1:58" x14ac:dyDescent="0.2">
      <c r="A193" s="266"/>
      <c r="B193" s="266"/>
      <c r="C193" s="266"/>
      <c r="F193" s="266"/>
      <c r="H193" s="266"/>
      <c r="I193" s="266"/>
      <c r="J193" s="266"/>
      <c r="K193" s="266"/>
      <c r="N193" s="266" t="str">
        <f>IF($A193="","",VLOOKUP(LEFT($A193,7)&amp;"1-00",MCP!#REF!,N$1,FALSE))</f>
        <v/>
      </c>
      <c r="O193" s="266" t="str">
        <f>IF($A193="","",VLOOKUP(LEFT($A193,7)&amp;"1-00",MCP!#REF!,O$1,FALSE))</f>
        <v/>
      </c>
      <c r="P193" s="266" t="str">
        <f>IF($A193="","",VLOOKUP(LEFT($A193,7)&amp;"1-00",MCP!#REF!,P$1,FALSE))</f>
        <v/>
      </c>
      <c r="Q193" s="266" t="str">
        <f t="shared" si="123"/>
        <v/>
      </c>
      <c r="R193" s="266" t="str">
        <f t="shared" si="124"/>
        <v/>
      </c>
      <c r="S193" s="266" t="str">
        <f t="shared" si="125"/>
        <v/>
      </c>
      <c r="T193" s="266" t="e">
        <f>VLOOKUP(LEFT($A193,7)&amp;"1-00",MCP!#REF!,T$1,FALSE)</f>
        <v>#REF!</v>
      </c>
      <c r="U193" s="266" t="str">
        <f t="shared" si="126"/>
        <v/>
      </c>
      <c r="V193" s="266" t="str">
        <f t="shared" si="127"/>
        <v/>
      </c>
      <c r="W193" s="268" t="str">
        <f t="shared" si="128"/>
        <v/>
      </c>
      <c r="X193" s="161">
        <v>0.83699999999999997</v>
      </c>
      <c r="Y193" s="161">
        <v>1.6751</v>
      </c>
      <c r="Z193" s="268" t="str">
        <f t="shared" si="129"/>
        <v/>
      </c>
      <c r="AA193" s="266" t="str">
        <f t="shared" si="130"/>
        <v/>
      </c>
      <c r="AB193" s="266" t="str">
        <f t="shared" si="131"/>
        <v/>
      </c>
      <c r="AC193" s="266" t="str">
        <f t="shared" si="132"/>
        <v/>
      </c>
      <c r="AD193" s="266" t="str">
        <f t="shared" si="133"/>
        <v/>
      </c>
      <c r="AE193" s="266" t="str">
        <f t="shared" si="134"/>
        <v/>
      </c>
      <c r="AF193" s="266" t="str">
        <f t="shared" si="135"/>
        <v/>
      </c>
      <c r="AG193" s="266" t="str">
        <f t="shared" si="136"/>
        <v/>
      </c>
      <c r="AH193" s="266" t="str">
        <f t="shared" si="137"/>
        <v/>
      </c>
      <c r="AI193" s="266" t="str">
        <f t="shared" si="138"/>
        <v/>
      </c>
      <c r="AJ193" s="266" t="str">
        <f>IF(U193="","",VLOOKUP(LEFT(I193,6)&amp;"1-00",MCP!$AK$9:$AL$876,21,FALSE))</f>
        <v/>
      </c>
      <c r="AK193" s="267" t="str">
        <f t="shared" si="139"/>
        <v/>
      </c>
      <c r="AL193" s="268" t="str">
        <f t="shared" si="140"/>
        <v/>
      </c>
      <c r="AM193" s="269" t="str">
        <f t="shared" si="141"/>
        <v/>
      </c>
      <c r="AN193" s="266">
        <f t="shared" si="142"/>
        <v>0</v>
      </c>
      <c r="AO193" s="266">
        <f t="shared" si="143"/>
        <v>0</v>
      </c>
      <c r="AP193" s="266">
        <f t="shared" si="144"/>
        <v>0</v>
      </c>
      <c r="AQ193" s="266" t="e">
        <f>VLOOKUP(LEFT($A193,7)&amp;"1-00",MCP!#REF!,30,FALSE)</f>
        <v>#REF!</v>
      </c>
      <c r="AR193" s="266" t="e">
        <f>VLOOKUP(LEFT($A193,7)&amp;"1-00",MCP!#REF!,31,FALSE)</f>
        <v>#REF!</v>
      </c>
      <c r="AS193" s="266" t="e">
        <f>VLOOKUP($A193&amp;"-"&amp;$B193,MCP!#REF!,12,FALSE)</f>
        <v>#REF!</v>
      </c>
      <c r="AT193" s="266" t="str">
        <f t="shared" si="145"/>
        <v/>
      </c>
      <c r="AU193" s="266" t="str">
        <f t="shared" si="146"/>
        <v/>
      </c>
      <c r="AV193" s="266" t="str">
        <f t="shared" si="147"/>
        <v/>
      </c>
      <c r="AW193" s="266" t="str">
        <f>IF($U193="","",VLOOKUP(LEFT($A193,7)&amp;"1-00",MCP!#REF!,24,FALSE))</f>
        <v/>
      </c>
      <c r="AX193" s="266"/>
      <c r="AY193" s="266"/>
      <c r="BF193" s="175" t="str">
        <f t="shared" si="122"/>
        <v/>
      </c>
    </row>
    <row r="194" spans="1:58" x14ac:dyDescent="0.2">
      <c r="A194" s="266"/>
      <c r="B194" s="266"/>
      <c r="C194" s="266"/>
      <c r="F194" s="266"/>
      <c r="H194" s="266"/>
      <c r="I194" s="266"/>
      <c r="J194" s="266"/>
      <c r="K194" s="266"/>
      <c r="M194" s="161">
        <v>0</v>
      </c>
      <c r="N194" s="266" t="str">
        <f>IF($A194="","",VLOOKUP(LEFT($A194,7)&amp;"1-00",MCP!#REF!,N$1,FALSE))</f>
        <v/>
      </c>
      <c r="O194" s="266" t="str">
        <f>IF($A194="","",VLOOKUP(LEFT($A194,7)&amp;"1-00",MCP!#REF!,O$1,FALSE))</f>
        <v/>
      </c>
      <c r="P194" s="266" t="str">
        <f>IF($A194="","",VLOOKUP(LEFT($A194,7)&amp;"1-00",MCP!#REF!,P$1,FALSE))</f>
        <v/>
      </c>
      <c r="Q194" s="266" t="str">
        <f t="shared" si="123"/>
        <v/>
      </c>
      <c r="R194" s="266" t="str">
        <f t="shared" si="124"/>
        <v/>
      </c>
      <c r="S194" s="266" t="str">
        <f t="shared" si="125"/>
        <v/>
      </c>
      <c r="T194" s="266" t="e">
        <f>VLOOKUP(LEFT($A194,7)&amp;"1-00",MCP!#REF!,T$1,FALSE)</f>
        <v>#REF!</v>
      </c>
      <c r="U194" s="266" t="str">
        <f t="shared" si="126"/>
        <v/>
      </c>
      <c r="V194" s="266" t="str">
        <f t="shared" si="127"/>
        <v/>
      </c>
      <c r="W194" s="268" t="str">
        <f t="shared" si="128"/>
        <v/>
      </c>
      <c r="X194" s="161">
        <v>0.13969999999999999</v>
      </c>
      <c r="Y194" s="161">
        <v>1.538</v>
      </c>
      <c r="Z194" s="268" t="str">
        <f t="shared" si="129"/>
        <v/>
      </c>
      <c r="AA194" s="266" t="str">
        <f t="shared" si="130"/>
        <v/>
      </c>
      <c r="AB194" s="266" t="str">
        <f t="shared" si="131"/>
        <v/>
      </c>
      <c r="AC194" s="266" t="str">
        <f t="shared" si="132"/>
        <v/>
      </c>
      <c r="AD194" s="266" t="str">
        <f t="shared" si="133"/>
        <v/>
      </c>
      <c r="AE194" s="266" t="str">
        <f t="shared" si="134"/>
        <v/>
      </c>
      <c r="AF194" s="266" t="str">
        <f t="shared" si="135"/>
        <v/>
      </c>
      <c r="AG194" s="266" t="str">
        <f t="shared" si="136"/>
        <v/>
      </c>
      <c r="AH194" s="266" t="str">
        <f t="shared" si="137"/>
        <v/>
      </c>
      <c r="AI194" s="266" t="str">
        <f t="shared" si="138"/>
        <v/>
      </c>
      <c r="AJ194" s="266" t="str">
        <f>IF(U194="","",VLOOKUP(LEFT(I194,6)&amp;"1-00",MCP!$AK$9:$AL$876,21,FALSE))</f>
        <v/>
      </c>
      <c r="AK194" s="267" t="str">
        <f t="shared" si="139"/>
        <v/>
      </c>
      <c r="AL194" s="268" t="str">
        <f t="shared" si="140"/>
        <v/>
      </c>
      <c r="AM194" s="269" t="str">
        <f t="shared" si="141"/>
        <v/>
      </c>
      <c r="AN194" s="266">
        <f t="shared" si="142"/>
        <v>0</v>
      </c>
      <c r="AO194" s="266">
        <f t="shared" si="143"/>
        <v>0</v>
      </c>
      <c r="AP194" s="266">
        <f t="shared" si="144"/>
        <v>0</v>
      </c>
      <c r="AQ194" s="266" t="e">
        <f>VLOOKUP(LEFT($A194,7)&amp;"1-00",MCP!#REF!,30,FALSE)</f>
        <v>#REF!</v>
      </c>
      <c r="AR194" s="266" t="e">
        <f>VLOOKUP(LEFT($A194,7)&amp;"1-00",MCP!#REF!,31,FALSE)</f>
        <v>#REF!</v>
      </c>
      <c r="AS194" s="266" t="e">
        <f>VLOOKUP($A194&amp;"-"&amp;$B194,MCP!#REF!,12,FALSE)</f>
        <v>#REF!</v>
      </c>
      <c r="AT194" s="266" t="str">
        <f t="shared" si="145"/>
        <v/>
      </c>
      <c r="AU194" s="266" t="str">
        <f t="shared" si="146"/>
        <v/>
      </c>
      <c r="AV194" s="266" t="str">
        <f t="shared" si="147"/>
        <v/>
      </c>
      <c r="AW194" s="266" t="str">
        <f>IF($U194="","",VLOOKUP(LEFT($A194,7)&amp;"1-00",MCP!#REF!,24,FALSE))</f>
        <v/>
      </c>
      <c r="AX194" s="266">
        <v>0</v>
      </c>
      <c r="AY194" s="266">
        <v>0</v>
      </c>
      <c r="BF194" s="175" t="str">
        <f t="shared" si="122"/>
        <v/>
      </c>
    </row>
    <row r="195" spans="1:58" x14ac:dyDescent="0.2">
      <c r="A195" s="266"/>
      <c r="B195" s="266"/>
      <c r="C195" s="266"/>
      <c r="F195" s="266"/>
      <c r="H195" s="266"/>
      <c r="I195" s="266"/>
      <c r="J195" s="266"/>
      <c r="K195" s="266"/>
      <c r="N195" s="266" t="str">
        <f>IF($A195="","",VLOOKUP(LEFT($A195,7)&amp;"1-00",MCP!#REF!,N$1,FALSE))</f>
        <v/>
      </c>
      <c r="O195" s="266" t="str">
        <f>IF($A195="","",VLOOKUP(LEFT($A195,7)&amp;"1-00",MCP!#REF!,O$1,FALSE))</f>
        <v/>
      </c>
      <c r="P195" s="266" t="str">
        <f>IF($A195="","",VLOOKUP(LEFT($A195,7)&amp;"1-00",MCP!#REF!,P$1,FALSE))</f>
        <v/>
      </c>
      <c r="Q195" s="266" t="str">
        <f t="shared" ref="Q195:Q202" si="148">IF(RIGHT($A195,1)="1",(LOG10($AR$1*$J195+$AT$1)*$AV$1*$E195*$AP$1+$AX$1)*N195,"")</f>
        <v/>
      </c>
      <c r="R195" s="266" t="str">
        <f t="shared" ref="R195:R202" si="149">IF(RIGHT($A195,1)="1",(LOG10($AR$1*$J195+$AT$1)*$AV$1*$E195*$AP$1+$AX$1)*O195,"")</f>
        <v/>
      </c>
      <c r="S195" s="266" t="str">
        <f t="shared" ref="S195:S202" si="150">IF(RIGHT($A195,1)="1",(LOG10($AR$1*$J195+$AT$1)*$AV$1*$E195*$AP$1+$AX$1)*P195,"")</f>
        <v/>
      </c>
      <c r="T195" s="266" t="e">
        <f>VLOOKUP(LEFT($A195,7)&amp;"1-00",MCP!#REF!,T$1,FALSE)</f>
        <v>#REF!</v>
      </c>
      <c r="U195" s="266" t="str">
        <f t="shared" ref="U195:U202" si="151">IF(RIGHT($A195,1)="2",(LOG10($AR$1*$J195+$AT$1)*$AV$1*$E195*$AP$1+$AX$1)*N195,"")</f>
        <v/>
      </c>
      <c r="V195" s="266" t="str">
        <f t="shared" ref="V195:V202" si="152">IF(RIGHT($A195,1)="2",(LOG10($AR$1*$J195+$AT$1)*$AV$1*$E195*$AP$1+$AX$1)*O195,"")</f>
        <v/>
      </c>
      <c r="W195" s="268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8" t="str">
        <f t="shared" ref="Z195:Z202" si="154">IF(U195="","",SQRT((J195-D195)^2+(X195-AS195)^2))</f>
        <v/>
      </c>
      <c r="AA195" s="266" t="str">
        <f t="shared" ref="AA195:AA202" si="155">IF(U195="","",$Z195*N195+AQ195)</f>
        <v/>
      </c>
      <c r="AB195" s="266" t="str">
        <f t="shared" ref="AB195:AB202" si="156">IF(V195="","",$Z195*O195+AR195)</f>
        <v/>
      </c>
      <c r="AC195" s="266" t="str">
        <f t="shared" ref="AC195:AC202" si="157">IF(W195="","",$Z195*P195+AS195)</f>
        <v/>
      </c>
      <c r="AD195" s="266" t="str">
        <f t="shared" ref="AD195:AD202" si="158">IF(V195="","",AA195-AT195)</f>
        <v/>
      </c>
      <c r="AE195" s="266" t="str">
        <f t="shared" ref="AE195:AE202" si="159">IF(V195="","",AB195-AU195)</f>
        <v/>
      </c>
      <c r="AF195" s="266" t="str">
        <f t="shared" ref="AF195:AF202" si="160">IF(V195="","",AC195-AV195)</f>
        <v/>
      </c>
      <c r="AG195" s="266" t="str">
        <f t="shared" ref="AG195:AG202" si="161">IF(V195="","",AD195/SQRT($AD195^2+$AE195^2+$AF195^2))</f>
        <v/>
      </c>
      <c r="AH195" s="266" t="str">
        <f t="shared" ref="AH195:AH202" si="162">IF(W195="","",AE195/SQRT($AD195^2+$AE195^2+$AF195^2))</f>
        <v/>
      </c>
      <c r="AI195" s="266" t="str">
        <f t="shared" ref="AI195:AI202" si="163">IF(U195="","",AF195/SQRT($AD195^2+$AE195^2+$AF195^2))</f>
        <v/>
      </c>
      <c r="AJ195" s="266" t="str">
        <f>IF(U195="","",VLOOKUP(LEFT(I195,6)&amp;"1-00",MCP!$AK$9:$AL$876,21,FALSE))</f>
        <v/>
      </c>
      <c r="AK195" s="267" t="str">
        <f t="shared" ref="AK195:AK202" si="164">IF(RIGHT($A195,1)="2",(LOG10($AR$1*$J195+$AT$1)*$AV$1*$W195*$AP$1+$AX$1)*AG195,"")</f>
        <v/>
      </c>
      <c r="AL195" s="268" t="str">
        <f t="shared" ref="AL195:AL202" si="165">IF(RIGHT($A195,1)="2",(LOG10($AR$1*$J195+$AT$1)*$AV$1*$W195*$AP$1+$AX$1)*AH195,"")</f>
        <v/>
      </c>
      <c r="AM195" s="269" t="str">
        <f t="shared" ref="AM195:AM202" si="166">IF(RIGHT($A195,1)="2",(LOG10($AR$1*$J195+$AT$1)*$AV$1*$W195*$AP$1+$AX$1)*AI195,"")</f>
        <v/>
      </c>
      <c r="AN195" s="266">
        <f t="shared" ref="AN195:AN202" si="167">IFERROR((AR195*_xlfn.NUMBERVALUE(AM195)+AR195*_xlfn.NUMBERVALUE(S195)),0)</f>
        <v>0</v>
      </c>
      <c r="AO195" s="266">
        <f t="shared" ref="AO195:AO202" si="168">IFERROR(-(AQ195*_xlfn.NUMBERVALUE(AM195)+AQ195*_xlfn.NUMBERVALUE(S195)),0)</f>
        <v>0</v>
      </c>
      <c r="AP195" s="266">
        <f t="shared" ref="AP195:AP202" si="169">IFERROR((AQ195*_xlfn.NUMBERVALUE(AL195)+AQ195*_xlfn.NUMBERVALUE(R195))-(AR195*_xlfn.NUMBERVALUE(AK195)+AR195*_xlfn.NUMBERVALUE(Q195)),0)</f>
        <v>0</v>
      </c>
      <c r="AQ195" s="266" t="e">
        <f>VLOOKUP(LEFT($A195,7)&amp;"1-00",MCP!#REF!,30,FALSE)</f>
        <v>#REF!</v>
      </c>
      <c r="AR195" s="266" t="e">
        <f>VLOOKUP(LEFT($A195,7)&amp;"1-00",MCP!#REF!,31,FALSE)</f>
        <v>#REF!</v>
      </c>
      <c r="AS195" s="266" t="e">
        <f>VLOOKUP($A195&amp;"-"&amp;$B195,MCP!#REF!,12,FALSE)</f>
        <v>#REF!</v>
      </c>
      <c r="AT195" s="266" t="str">
        <f t="shared" ref="AT195:AT202" si="170">IF($U195="","",((D195*COS(RADIANS(AW195)))-(0*SIN(RADIANS(AW195)))))</f>
        <v/>
      </c>
      <c r="AU195" s="266" t="str">
        <f t="shared" ref="AU195:AU202" si="171">IF($U195="","",((0*COS(RADIANS(AW195)))+(D195*SIN(RADIANS(AW195)))))</f>
        <v/>
      </c>
      <c r="AV195" s="266" t="str">
        <f t="shared" ref="AV195:AV202" si="172">IF($U195="","",X195)</f>
        <v/>
      </c>
      <c r="AW195" s="266" t="str">
        <f>IF($U195="","",VLOOKUP(LEFT($A195,7)&amp;"1-00",MCP!#REF!,24,FALSE))</f>
        <v/>
      </c>
      <c r="AX195" s="266"/>
      <c r="AY195" s="266"/>
      <c r="BF195" s="175" t="str">
        <f t="shared" si="122"/>
        <v/>
      </c>
    </row>
    <row r="196" spans="1:58" x14ac:dyDescent="0.2">
      <c r="A196" s="266"/>
      <c r="B196" s="266"/>
      <c r="C196" s="266"/>
      <c r="F196" s="266"/>
      <c r="H196" s="266"/>
      <c r="I196" s="266"/>
      <c r="J196" s="266"/>
      <c r="K196" s="266"/>
      <c r="M196" s="161">
        <v>0</v>
      </c>
      <c r="N196" s="266" t="str">
        <f>IF($A196="","",VLOOKUP(LEFT($A196,7)&amp;"1-00",MCP!#REF!,N$1,FALSE))</f>
        <v/>
      </c>
      <c r="O196" s="266" t="str">
        <f>IF($A196="","",VLOOKUP(LEFT($A196,7)&amp;"1-00",MCP!#REF!,O$1,FALSE))</f>
        <v/>
      </c>
      <c r="P196" s="266" t="str">
        <f>IF($A196="","",VLOOKUP(LEFT($A196,7)&amp;"1-00",MCP!#REF!,P$1,FALSE))</f>
        <v/>
      </c>
      <c r="Q196" s="266" t="str">
        <f t="shared" si="148"/>
        <v/>
      </c>
      <c r="R196" s="266" t="str">
        <f t="shared" si="149"/>
        <v/>
      </c>
      <c r="S196" s="266" t="str">
        <f t="shared" si="150"/>
        <v/>
      </c>
      <c r="T196" s="266" t="e">
        <f>VLOOKUP(LEFT($A196,7)&amp;"1-00",MCP!#REF!,T$1,FALSE)</f>
        <v>#REF!</v>
      </c>
      <c r="U196" s="266" t="str">
        <f t="shared" si="151"/>
        <v/>
      </c>
      <c r="V196" s="266" t="str">
        <f t="shared" si="152"/>
        <v/>
      </c>
      <c r="W196" s="268" t="str">
        <f t="shared" si="153"/>
        <v/>
      </c>
      <c r="X196" s="161">
        <v>0.13739999999999999</v>
      </c>
      <c r="Y196" s="161">
        <v>1.8196000000000001</v>
      </c>
      <c r="Z196" s="268" t="str">
        <f t="shared" si="154"/>
        <v/>
      </c>
      <c r="AA196" s="266" t="str">
        <f t="shared" si="155"/>
        <v/>
      </c>
      <c r="AB196" s="266" t="str">
        <f t="shared" si="156"/>
        <v/>
      </c>
      <c r="AC196" s="266" t="str">
        <f t="shared" si="157"/>
        <v/>
      </c>
      <c r="AD196" s="266" t="str">
        <f t="shared" si="158"/>
        <v/>
      </c>
      <c r="AE196" s="266" t="str">
        <f t="shared" si="159"/>
        <v/>
      </c>
      <c r="AF196" s="266" t="str">
        <f t="shared" si="160"/>
        <v/>
      </c>
      <c r="AG196" s="266" t="str">
        <f t="shared" si="161"/>
        <v/>
      </c>
      <c r="AH196" s="266" t="str">
        <f t="shared" si="162"/>
        <v/>
      </c>
      <c r="AI196" s="266" t="str">
        <f t="shared" si="163"/>
        <v/>
      </c>
      <c r="AJ196" s="266" t="str">
        <f>IF(U196="","",VLOOKUP(LEFT(I196,6)&amp;"1-00",MCP!$AK$9:$AL$876,21,FALSE))</f>
        <v/>
      </c>
      <c r="AK196" s="267" t="str">
        <f t="shared" si="164"/>
        <v/>
      </c>
      <c r="AL196" s="268" t="str">
        <f t="shared" si="165"/>
        <v/>
      </c>
      <c r="AM196" s="269" t="str">
        <f t="shared" si="166"/>
        <v/>
      </c>
      <c r="AN196" s="266">
        <f t="shared" si="167"/>
        <v>0</v>
      </c>
      <c r="AO196" s="266">
        <f t="shared" si="168"/>
        <v>0</v>
      </c>
      <c r="AP196" s="266">
        <f t="shared" si="169"/>
        <v>0</v>
      </c>
      <c r="AQ196" s="266" t="e">
        <f>VLOOKUP(LEFT($A196,7)&amp;"1-00",MCP!#REF!,30,FALSE)</f>
        <v>#REF!</v>
      </c>
      <c r="AR196" s="266" t="e">
        <f>VLOOKUP(LEFT($A196,7)&amp;"1-00",MCP!#REF!,31,FALSE)</f>
        <v>#REF!</v>
      </c>
      <c r="AS196" s="266" t="e">
        <f>VLOOKUP($A196&amp;"-"&amp;$B196,MCP!#REF!,12,FALSE)</f>
        <v>#REF!</v>
      </c>
      <c r="AT196" s="266" t="str">
        <f t="shared" si="170"/>
        <v/>
      </c>
      <c r="AU196" s="266" t="str">
        <f t="shared" si="171"/>
        <v/>
      </c>
      <c r="AV196" s="266" t="str">
        <f t="shared" si="172"/>
        <v/>
      </c>
      <c r="AW196" s="266" t="str">
        <f>IF($U196="","",VLOOKUP(LEFT($A196,7)&amp;"1-00",MCP!#REF!,24,FALSE))</f>
        <v/>
      </c>
      <c r="AX196" s="266">
        <v>0</v>
      </c>
      <c r="AY196" s="266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6"/>
      <c r="B197" s="266"/>
      <c r="C197" s="266"/>
      <c r="F197" s="266"/>
      <c r="H197" s="266"/>
      <c r="I197" s="266"/>
      <c r="J197" s="266"/>
      <c r="K197" s="266"/>
      <c r="N197" s="266" t="str">
        <f>IF($A197="","",VLOOKUP(LEFT($A197,7)&amp;"1-00",MCP!#REF!,N$1,FALSE))</f>
        <v/>
      </c>
      <c r="O197" s="266" t="str">
        <f>IF($A197="","",VLOOKUP(LEFT($A197,7)&amp;"1-00",MCP!#REF!,O$1,FALSE))</f>
        <v/>
      </c>
      <c r="P197" s="266" t="str">
        <f>IF($A197="","",VLOOKUP(LEFT($A197,7)&amp;"1-00",MCP!#REF!,P$1,FALSE))</f>
        <v/>
      </c>
      <c r="Q197" s="266" t="str">
        <f t="shared" si="148"/>
        <v/>
      </c>
      <c r="R197" s="266" t="str">
        <f t="shared" si="149"/>
        <v/>
      </c>
      <c r="S197" s="266" t="str">
        <f t="shared" si="150"/>
        <v/>
      </c>
      <c r="T197" s="266" t="e">
        <f>VLOOKUP(LEFT($A197,7)&amp;"1-00",MCP!#REF!,T$1,FALSE)</f>
        <v>#REF!</v>
      </c>
      <c r="U197" s="266" t="str">
        <f t="shared" si="151"/>
        <v/>
      </c>
      <c r="V197" s="266" t="str">
        <f t="shared" si="152"/>
        <v/>
      </c>
      <c r="W197" s="268" t="str">
        <f t="shared" si="153"/>
        <v/>
      </c>
      <c r="X197" s="161">
        <v>0.4708</v>
      </c>
      <c r="Y197" s="161">
        <v>1.5087999999999999</v>
      </c>
      <c r="Z197" s="268" t="str">
        <f t="shared" si="154"/>
        <v/>
      </c>
      <c r="AA197" s="266" t="str">
        <f t="shared" si="155"/>
        <v/>
      </c>
      <c r="AB197" s="266" t="str">
        <f t="shared" si="156"/>
        <v/>
      </c>
      <c r="AC197" s="266" t="str">
        <f t="shared" si="157"/>
        <v/>
      </c>
      <c r="AD197" s="266" t="str">
        <f t="shared" si="158"/>
        <v/>
      </c>
      <c r="AE197" s="266" t="str">
        <f t="shared" si="159"/>
        <v/>
      </c>
      <c r="AF197" s="266" t="str">
        <f t="shared" si="160"/>
        <v/>
      </c>
      <c r="AG197" s="266" t="str">
        <f t="shared" si="161"/>
        <v/>
      </c>
      <c r="AH197" s="266" t="str">
        <f t="shared" si="162"/>
        <v/>
      </c>
      <c r="AI197" s="266" t="str">
        <f t="shared" si="163"/>
        <v/>
      </c>
      <c r="AJ197" s="266" t="str">
        <f>IF(U197="","",VLOOKUP(LEFT(I197,6)&amp;"1-00",MCP!$AK$9:$AL$876,21,FALSE))</f>
        <v/>
      </c>
      <c r="AK197" s="267" t="str">
        <f t="shared" si="164"/>
        <v/>
      </c>
      <c r="AL197" s="268" t="str">
        <f t="shared" si="165"/>
        <v/>
      </c>
      <c r="AM197" s="269" t="str">
        <f t="shared" si="166"/>
        <v/>
      </c>
      <c r="AN197" s="266">
        <f t="shared" si="167"/>
        <v>0</v>
      </c>
      <c r="AO197" s="266">
        <f t="shared" si="168"/>
        <v>0</v>
      </c>
      <c r="AP197" s="266">
        <f t="shared" si="169"/>
        <v>0</v>
      </c>
      <c r="AQ197" s="266" t="e">
        <f>VLOOKUP(LEFT($A197,7)&amp;"1-00",MCP!#REF!,30,FALSE)</f>
        <v>#REF!</v>
      </c>
      <c r="AR197" s="266" t="e">
        <f>VLOOKUP(LEFT($A197,7)&amp;"1-00",MCP!#REF!,31,FALSE)</f>
        <v>#REF!</v>
      </c>
      <c r="AS197" s="266" t="e">
        <f>VLOOKUP($A197&amp;"-"&amp;$B197,MCP!#REF!,12,FALSE)</f>
        <v>#REF!</v>
      </c>
      <c r="AT197" s="266" t="str">
        <f t="shared" si="170"/>
        <v/>
      </c>
      <c r="AU197" s="266" t="str">
        <f t="shared" si="171"/>
        <v/>
      </c>
      <c r="AV197" s="266" t="str">
        <f t="shared" si="172"/>
        <v/>
      </c>
      <c r="AW197" s="266" t="str">
        <f>IF($U197="","",VLOOKUP(LEFT($A197,7)&amp;"1-00",MCP!#REF!,24,FALSE))</f>
        <v/>
      </c>
      <c r="AX197" s="266"/>
      <c r="AY197" s="266"/>
      <c r="BF197" s="175" t="str">
        <f t="shared" si="173"/>
        <v/>
      </c>
    </row>
    <row r="198" spans="1:58" x14ac:dyDescent="0.2">
      <c r="A198" s="266"/>
      <c r="B198" s="266"/>
      <c r="C198" s="266"/>
      <c r="F198" s="266"/>
      <c r="H198" s="266"/>
      <c r="I198" s="266"/>
      <c r="J198" s="266"/>
      <c r="K198" s="266"/>
      <c r="M198" s="161">
        <v>0</v>
      </c>
      <c r="N198" s="266" t="str">
        <f>IF($A198="","",VLOOKUP(LEFT($A198,7)&amp;"1-00",MCP!#REF!,N$1,FALSE))</f>
        <v/>
      </c>
      <c r="O198" s="266" t="str">
        <f>IF($A198="","",VLOOKUP(LEFT($A198,7)&amp;"1-00",MCP!#REF!,O$1,FALSE))</f>
        <v/>
      </c>
      <c r="P198" s="266" t="str">
        <f>IF($A198="","",VLOOKUP(LEFT($A198,7)&amp;"1-00",MCP!#REF!,P$1,FALSE))</f>
        <v/>
      </c>
      <c r="Q198" s="266" t="str">
        <f t="shared" si="148"/>
        <v/>
      </c>
      <c r="R198" s="266" t="str">
        <f t="shared" si="149"/>
        <v/>
      </c>
      <c r="S198" s="266" t="str">
        <f t="shared" si="150"/>
        <v/>
      </c>
      <c r="T198" s="266" t="e">
        <f>VLOOKUP(LEFT($A198,7)&amp;"1-00",MCP!#REF!,T$1,FALSE)</f>
        <v>#REF!</v>
      </c>
      <c r="U198" s="266" t="str">
        <f t="shared" si="151"/>
        <v/>
      </c>
      <c r="V198" s="266" t="str">
        <f t="shared" si="152"/>
        <v/>
      </c>
      <c r="W198" s="268" t="str">
        <f t="shared" si="153"/>
        <v/>
      </c>
      <c r="X198" s="161">
        <v>0.29520000000000002</v>
      </c>
      <c r="Y198" s="161">
        <v>1.8161</v>
      </c>
      <c r="Z198" s="268" t="str">
        <f t="shared" si="154"/>
        <v/>
      </c>
      <c r="AA198" s="266" t="str">
        <f t="shared" si="155"/>
        <v/>
      </c>
      <c r="AB198" s="266" t="str">
        <f t="shared" si="156"/>
        <v/>
      </c>
      <c r="AC198" s="266" t="str">
        <f t="shared" si="157"/>
        <v/>
      </c>
      <c r="AD198" s="266" t="str">
        <f t="shared" si="158"/>
        <v/>
      </c>
      <c r="AE198" s="266" t="str">
        <f t="shared" si="159"/>
        <v/>
      </c>
      <c r="AF198" s="266" t="str">
        <f t="shared" si="160"/>
        <v/>
      </c>
      <c r="AG198" s="266" t="str">
        <f t="shared" si="161"/>
        <v/>
      </c>
      <c r="AH198" s="266" t="str">
        <f t="shared" si="162"/>
        <v/>
      </c>
      <c r="AI198" s="266" t="str">
        <f t="shared" si="163"/>
        <v/>
      </c>
      <c r="AJ198" s="266" t="str">
        <f>IF(U198="","",VLOOKUP(LEFT(I198,6)&amp;"1-00",MCP!$AK$9:$AL$876,21,FALSE))</f>
        <v/>
      </c>
      <c r="AK198" s="267" t="str">
        <f t="shared" si="164"/>
        <v/>
      </c>
      <c r="AL198" s="268" t="str">
        <f t="shared" si="165"/>
        <v/>
      </c>
      <c r="AM198" s="269" t="str">
        <f t="shared" si="166"/>
        <v/>
      </c>
      <c r="AN198" s="266">
        <f t="shared" si="167"/>
        <v>0</v>
      </c>
      <c r="AO198" s="266">
        <f t="shared" si="168"/>
        <v>0</v>
      </c>
      <c r="AP198" s="266">
        <f t="shared" si="169"/>
        <v>0</v>
      </c>
      <c r="AQ198" s="266" t="e">
        <f>VLOOKUP(LEFT($A198,7)&amp;"1-00",MCP!#REF!,30,FALSE)</f>
        <v>#REF!</v>
      </c>
      <c r="AR198" s="266" t="e">
        <f>VLOOKUP(LEFT($A198,7)&amp;"1-00",MCP!#REF!,31,FALSE)</f>
        <v>#REF!</v>
      </c>
      <c r="AS198" s="266" t="e">
        <f>VLOOKUP($A198&amp;"-"&amp;$B198,MCP!#REF!,12,FALSE)</f>
        <v>#REF!</v>
      </c>
      <c r="AT198" s="266" t="str">
        <f t="shared" si="170"/>
        <v/>
      </c>
      <c r="AU198" s="266" t="str">
        <f t="shared" si="171"/>
        <v/>
      </c>
      <c r="AV198" s="266" t="str">
        <f t="shared" si="172"/>
        <v/>
      </c>
      <c r="AW198" s="266" t="str">
        <f>IF($U198="","",VLOOKUP(LEFT($A198,7)&amp;"1-00",MCP!#REF!,24,FALSE))</f>
        <v/>
      </c>
      <c r="AX198" s="266">
        <v>0</v>
      </c>
      <c r="AY198" s="266">
        <v>0</v>
      </c>
      <c r="BF198" s="175" t="str">
        <f t="shared" si="173"/>
        <v/>
      </c>
    </row>
    <row r="199" spans="1:58" x14ac:dyDescent="0.2">
      <c r="A199" s="266"/>
      <c r="B199" s="266"/>
      <c r="C199" s="266"/>
      <c r="F199" s="266"/>
      <c r="H199" s="266"/>
      <c r="I199" s="266"/>
      <c r="J199" s="266"/>
      <c r="K199" s="266"/>
      <c r="N199" s="266" t="str">
        <f>IF($A199="","",VLOOKUP(LEFT($A199,7)&amp;"1-00",MCP!#REF!,N$1,FALSE))</f>
        <v/>
      </c>
      <c r="O199" s="266" t="str">
        <f>IF($A199="","",VLOOKUP(LEFT($A199,7)&amp;"1-00",MCP!#REF!,O$1,FALSE))</f>
        <v/>
      </c>
      <c r="P199" s="266" t="str">
        <f>IF($A199="","",VLOOKUP(LEFT($A199,7)&amp;"1-00",MCP!#REF!,P$1,FALSE))</f>
        <v/>
      </c>
      <c r="Q199" s="266" t="str">
        <f t="shared" si="148"/>
        <v/>
      </c>
      <c r="R199" s="266" t="str">
        <f t="shared" si="149"/>
        <v/>
      </c>
      <c r="S199" s="266" t="str">
        <f t="shared" si="150"/>
        <v/>
      </c>
      <c r="T199" s="266" t="e">
        <f>VLOOKUP(LEFT($A199,7)&amp;"1-00",MCP!#REF!,T$1,FALSE)</f>
        <v>#REF!</v>
      </c>
      <c r="U199" s="266" t="str">
        <f t="shared" si="151"/>
        <v/>
      </c>
      <c r="V199" s="266" t="str">
        <f t="shared" si="152"/>
        <v/>
      </c>
      <c r="W199" s="268" t="str">
        <f t="shared" si="153"/>
        <v/>
      </c>
      <c r="X199" s="161">
        <v>0.64770000000000005</v>
      </c>
      <c r="Y199" s="161">
        <v>1.8096000000000001</v>
      </c>
      <c r="Z199" s="268" t="str">
        <f t="shared" si="154"/>
        <v/>
      </c>
      <c r="AA199" s="266" t="str">
        <f t="shared" si="155"/>
        <v/>
      </c>
      <c r="AB199" s="266" t="str">
        <f t="shared" si="156"/>
        <v/>
      </c>
      <c r="AC199" s="266" t="str">
        <f t="shared" si="157"/>
        <v/>
      </c>
      <c r="AD199" s="266" t="str">
        <f t="shared" si="158"/>
        <v/>
      </c>
      <c r="AE199" s="266" t="str">
        <f t="shared" si="159"/>
        <v/>
      </c>
      <c r="AF199" s="266" t="str">
        <f t="shared" si="160"/>
        <v/>
      </c>
      <c r="AG199" s="266" t="str">
        <f t="shared" si="161"/>
        <v/>
      </c>
      <c r="AH199" s="266" t="str">
        <f t="shared" si="162"/>
        <v/>
      </c>
      <c r="AI199" s="266" t="str">
        <f t="shared" si="163"/>
        <v/>
      </c>
      <c r="AJ199" s="266" t="str">
        <f>IF(U199="","",VLOOKUP(LEFT(I199,6)&amp;"1-00",MCP!$AK$9:$AL$876,21,FALSE))</f>
        <v/>
      </c>
      <c r="AK199" s="267" t="str">
        <f t="shared" si="164"/>
        <v/>
      </c>
      <c r="AL199" s="268" t="str">
        <f t="shared" si="165"/>
        <v/>
      </c>
      <c r="AM199" s="269" t="str">
        <f t="shared" si="166"/>
        <v/>
      </c>
      <c r="AN199" s="266">
        <f t="shared" si="167"/>
        <v>0</v>
      </c>
      <c r="AO199" s="266">
        <f t="shared" si="168"/>
        <v>0</v>
      </c>
      <c r="AP199" s="266">
        <f t="shared" si="169"/>
        <v>0</v>
      </c>
      <c r="AQ199" s="266" t="e">
        <f>VLOOKUP(LEFT($A199,7)&amp;"1-00",MCP!#REF!,30,FALSE)</f>
        <v>#REF!</v>
      </c>
      <c r="AR199" s="266" t="e">
        <f>VLOOKUP(LEFT($A199,7)&amp;"1-00",MCP!#REF!,31,FALSE)</f>
        <v>#REF!</v>
      </c>
      <c r="AS199" s="266" t="e">
        <f>VLOOKUP($A199&amp;"-"&amp;$B199,MCP!#REF!,12,FALSE)</f>
        <v>#REF!</v>
      </c>
      <c r="AT199" s="266" t="str">
        <f t="shared" si="170"/>
        <v/>
      </c>
      <c r="AU199" s="266" t="str">
        <f t="shared" si="171"/>
        <v/>
      </c>
      <c r="AV199" s="266" t="str">
        <f t="shared" si="172"/>
        <v/>
      </c>
      <c r="AW199" s="266" t="str">
        <f>IF($U199="","",VLOOKUP(LEFT($A199,7)&amp;"1-00",MCP!#REF!,24,FALSE))</f>
        <v/>
      </c>
      <c r="AX199" s="266"/>
      <c r="AY199" s="266"/>
      <c r="BF199" s="175" t="str">
        <f t="shared" si="173"/>
        <v/>
      </c>
    </row>
    <row r="200" spans="1:58" x14ac:dyDescent="0.2">
      <c r="A200" s="266"/>
      <c r="B200" s="266"/>
      <c r="C200" s="266"/>
      <c r="F200" s="266"/>
      <c r="H200" s="266"/>
      <c r="I200" s="266"/>
      <c r="J200" s="266"/>
      <c r="K200" s="266"/>
      <c r="M200" s="161">
        <v>0</v>
      </c>
      <c r="N200" s="266" t="str">
        <f>IF($A200="","",VLOOKUP(LEFT($A200,7)&amp;"1-00",MCP!#REF!,N$1,FALSE))</f>
        <v/>
      </c>
      <c r="O200" s="266" t="str">
        <f>IF($A200="","",VLOOKUP(LEFT($A200,7)&amp;"1-00",MCP!#REF!,O$1,FALSE))</f>
        <v/>
      </c>
      <c r="P200" s="266" t="str">
        <f>IF($A200="","",VLOOKUP(LEFT($A200,7)&amp;"1-00",MCP!#REF!,P$1,FALSE))</f>
        <v/>
      </c>
      <c r="Q200" s="266" t="str">
        <f t="shared" si="148"/>
        <v/>
      </c>
      <c r="R200" s="266" t="str">
        <f t="shared" si="149"/>
        <v/>
      </c>
      <c r="S200" s="266" t="str">
        <f t="shared" si="150"/>
        <v/>
      </c>
      <c r="T200" s="266" t="e">
        <f>VLOOKUP(LEFT($A200,7)&amp;"1-00",MCP!#REF!,T$1,FALSE)</f>
        <v>#REF!</v>
      </c>
      <c r="U200" s="266" t="str">
        <f t="shared" si="151"/>
        <v/>
      </c>
      <c r="V200" s="266" t="str">
        <f t="shared" si="152"/>
        <v/>
      </c>
      <c r="W200" s="268" t="str">
        <f t="shared" si="153"/>
        <v/>
      </c>
      <c r="X200" s="161">
        <v>0.64770000000000005</v>
      </c>
      <c r="Y200" s="161">
        <v>1.8096000000000001</v>
      </c>
      <c r="Z200" s="268" t="str">
        <f t="shared" si="154"/>
        <v/>
      </c>
      <c r="AA200" s="266" t="str">
        <f t="shared" si="155"/>
        <v/>
      </c>
      <c r="AB200" s="266" t="str">
        <f t="shared" si="156"/>
        <v/>
      </c>
      <c r="AC200" s="266" t="str">
        <f t="shared" si="157"/>
        <v/>
      </c>
      <c r="AD200" s="266" t="str">
        <f t="shared" si="158"/>
        <v/>
      </c>
      <c r="AE200" s="266" t="str">
        <f t="shared" si="159"/>
        <v/>
      </c>
      <c r="AF200" s="266" t="str">
        <f t="shared" si="160"/>
        <v/>
      </c>
      <c r="AG200" s="266" t="str">
        <f t="shared" si="161"/>
        <v/>
      </c>
      <c r="AH200" s="266" t="str">
        <f t="shared" si="162"/>
        <v/>
      </c>
      <c r="AI200" s="266" t="str">
        <f t="shared" si="163"/>
        <v/>
      </c>
      <c r="AJ200" s="266" t="str">
        <f>IF(U200="","",VLOOKUP(LEFT(I200,6)&amp;"1-00",MCP!$AK$9:$AL$876,21,FALSE))</f>
        <v/>
      </c>
      <c r="AK200" s="267" t="str">
        <f t="shared" si="164"/>
        <v/>
      </c>
      <c r="AL200" s="268" t="str">
        <f t="shared" si="165"/>
        <v/>
      </c>
      <c r="AM200" s="269" t="str">
        <f t="shared" si="166"/>
        <v/>
      </c>
      <c r="AN200" s="266">
        <f t="shared" si="167"/>
        <v>0</v>
      </c>
      <c r="AO200" s="266">
        <f t="shared" si="168"/>
        <v>0</v>
      </c>
      <c r="AP200" s="266">
        <f t="shared" si="169"/>
        <v>0</v>
      </c>
      <c r="AQ200" s="266" t="e">
        <f>VLOOKUP(LEFT($A200,7)&amp;"1-00",MCP!#REF!,30,FALSE)</f>
        <v>#REF!</v>
      </c>
      <c r="AR200" s="266" t="e">
        <f>VLOOKUP(LEFT($A200,7)&amp;"1-00",MCP!#REF!,31,FALSE)</f>
        <v>#REF!</v>
      </c>
      <c r="AS200" s="266" t="e">
        <f>VLOOKUP($A200&amp;"-"&amp;$B200,MCP!#REF!,12,FALSE)</f>
        <v>#REF!</v>
      </c>
      <c r="AT200" s="266" t="str">
        <f t="shared" si="170"/>
        <v/>
      </c>
      <c r="AU200" s="266" t="str">
        <f t="shared" si="171"/>
        <v/>
      </c>
      <c r="AV200" s="266" t="str">
        <f t="shared" si="172"/>
        <v/>
      </c>
      <c r="AW200" s="266" t="str">
        <f>IF($U200="","",VLOOKUP(LEFT($A200,7)&amp;"1-00",MCP!#REF!,24,FALSE))</f>
        <v/>
      </c>
      <c r="AX200" s="266">
        <v>0</v>
      </c>
      <c r="AY200" s="266">
        <v>0</v>
      </c>
      <c r="BF200" s="175" t="str">
        <f t="shared" si="173"/>
        <v/>
      </c>
    </row>
    <row r="201" spans="1:58" x14ac:dyDescent="0.2">
      <c r="A201" s="266"/>
      <c r="B201" s="266"/>
      <c r="C201" s="266"/>
      <c r="F201" s="266"/>
      <c r="H201" s="266"/>
      <c r="I201" s="266"/>
      <c r="J201" s="266"/>
      <c r="K201" s="266"/>
      <c r="N201" s="266" t="str">
        <f>IF($A201="","",VLOOKUP(LEFT($A201,7)&amp;"1-00",MCP!#REF!,N$1,FALSE))</f>
        <v/>
      </c>
      <c r="O201" s="266" t="str">
        <f>IF($A201="","",VLOOKUP(LEFT($A201,7)&amp;"1-00",MCP!#REF!,O$1,FALSE))</f>
        <v/>
      </c>
      <c r="P201" s="266" t="str">
        <f>IF($A201="","",VLOOKUP(LEFT($A201,7)&amp;"1-00",MCP!#REF!,P$1,FALSE))</f>
        <v/>
      </c>
      <c r="Q201" s="266" t="str">
        <f t="shared" si="148"/>
        <v/>
      </c>
      <c r="R201" s="266" t="str">
        <f t="shared" si="149"/>
        <v/>
      </c>
      <c r="S201" s="266" t="str">
        <f t="shared" si="150"/>
        <v/>
      </c>
      <c r="T201" s="266" t="e">
        <f>VLOOKUP(LEFT($A201,7)&amp;"1-00",MCP!#REF!,T$1,FALSE)</f>
        <v>#REF!</v>
      </c>
      <c r="U201" s="266" t="str">
        <f t="shared" si="151"/>
        <v/>
      </c>
      <c r="V201" s="266" t="str">
        <f t="shared" si="152"/>
        <v/>
      </c>
      <c r="W201" s="268" t="str">
        <f t="shared" si="153"/>
        <v/>
      </c>
      <c r="X201" s="161">
        <v>0.77200000000000002</v>
      </c>
      <c r="Y201" s="161">
        <v>0.88990000000000002</v>
      </c>
      <c r="Z201" s="268" t="str">
        <f t="shared" si="154"/>
        <v/>
      </c>
      <c r="AA201" s="266" t="str">
        <f t="shared" si="155"/>
        <v/>
      </c>
      <c r="AB201" s="266" t="str">
        <f t="shared" si="156"/>
        <v/>
      </c>
      <c r="AC201" s="266" t="str">
        <f t="shared" si="157"/>
        <v/>
      </c>
      <c r="AD201" s="266" t="str">
        <f t="shared" si="158"/>
        <v/>
      </c>
      <c r="AE201" s="266" t="str">
        <f t="shared" si="159"/>
        <v/>
      </c>
      <c r="AF201" s="266" t="str">
        <f t="shared" si="160"/>
        <v/>
      </c>
      <c r="AG201" s="266" t="str">
        <f t="shared" si="161"/>
        <v/>
      </c>
      <c r="AH201" s="266" t="str">
        <f t="shared" si="162"/>
        <v/>
      </c>
      <c r="AI201" s="266" t="str">
        <f t="shared" si="163"/>
        <v/>
      </c>
      <c r="AJ201" s="266" t="str">
        <f>IF(U201="","",VLOOKUP(LEFT(I201,6)&amp;"1-00",MCP!$AK$9:$AL$876,21,FALSE))</f>
        <v/>
      </c>
      <c r="AK201" s="267" t="str">
        <f t="shared" si="164"/>
        <v/>
      </c>
      <c r="AL201" s="268" t="str">
        <f t="shared" si="165"/>
        <v/>
      </c>
      <c r="AM201" s="269" t="str">
        <f t="shared" si="166"/>
        <v/>
      </c>
      <c r="AN201" s="266">
        <f t="shared" si="167"/>
        <v>0</v>
      </c>
      <c r="AO201" s="266">
        <f t="shared" si="168"/>
        <v>0</v>
      </c>
      <c r="AP201" s="266">
        <f t="shared" si="169"/>
        <v>0</v>
      </c>
      <c r="AQ201" s="266" t="e">
        <f>VLOOKUP(LEFT($A201,7)&amp;"1-00",MCP!#REF!,30,FALSE)</f>
        <v>#REF!</v>
      </c>
      <c r="AR201" s="266" t="e">
        <f>VLOOKUP(LEFT($A201,7)&amp;"1-00",MCP!#REF!,31,FALSE)</f>
        <v>#REF!</v>
      </c>
      <c r="AS201" s="266" t="e">
        <f>VLOOKUP($A201&amp;"-"&amp;$B201,MCP!#REF!,12,FALSE)</f>
        <v>#REF!</v>
      </c>
      <c r="AT201" s="266" t="str">
        <f t="shared" si="170"/>
        <v/>
      </c>
      <c r="AU201" s="266" t="str">
        <f t="shared" si="171"/>
        <v/>
      </c>
      <c r="AV201" s="266" t="str">
        <f t="shared" si="172"/>
        <v/>
      </c>
      <c r="AW201" s="266" t="str">
        <f>IF($U201="","",VLOOKUP(LEFT($A201,7)&amp;"1-00",MCP!#REF!,24,FALSE))</f>
        <v/>
      </c>
      <c r="AX201" s="266"/>
      <c r="AY201" s="266"/>
      <c r="BF201" s="175" t="str">
        <f t="shared" si="173"/>
        <v/>
      </c>
    </row>
    <row r="202" spans="1:58" x14ac:dyDescent="0.2">
      <c r="A202" s="266"/>
      <c r="B202" s="266"/>
      <c r="C202" s="266"/>
      <c r="F202" s="266"/>
      <c r="H202" s="266"/>
      <c r="I202" s="266"/>
      <c r="J202" s="266"/>
      <c r="K202" s="266"/>
      <c r="M202" s="161">
        <v>0</v>
      </c>
      <c r="N202" s="266" t="str">
        <f>IF($A202="","",VLOOKUP(LEFT($A202,7)&amp;"1-00",MCP!#REF!,N$1,FALSE))</f>
        <v/>
      </c>
      <c r="O202" s="266" t="str">
        <f>IF($A202="","",VLOOKUP(LEFT($A202,7)&amp;"1-00",MCP!#REF!,O$1,FALSE))</f>
        <v/>
      </c>
      <c r="P202" s="266" t="str">
        <f>IF($A202="","",VLOOKUP(LEFT($A202,7)&amp;"1-00",MCP!#REF!,P$1,FALSE))</f>
        <v/>
      </c>
      <c r="Q202" s="266" t="str">
        <f t="shared" si="148"/>
        <v/>
      </c>
      <c r="R202" s="266" t="str">
        <f t="shared" si="149"/>
        <v/>
      </c>
      <c r="S202" s="266" t="str">
        <f t="shared" si="150"/>
        <v/>
      </c>
      <c r="T202" s="266" t="e">
        <f>VLOOKUP(LEFT($A202,7)&amp;"1-00",MCP!#REF!,T$1,FALSE)</f>
        <v>#REF!</v>
      </c>
      <c r="U202" s="266" t="str">
        <f t="shared" si="151"/>
        <v/>
      </c>
      <c r="V202" s="266" t="str">
        <f t="shared" si="152"/>
        <v/>
      </c>
      <c r="W202" s="268" t="str">
        <f t="shared" si="153"/>
        <v/>
      </c>
      <c r="X202" s="161">
        <v>0.77200000000000002</v>
      </c>
      <c r="Y202" s="161">
        <v>0.88990000000000002</v>
      </c>
      <c r="Z202" s="268" t="str">
        <f t="shared" si="154"/>
        <v/>
      </c>
      <c r="AA202" s="266" t="str">
        <f t="shared" si="155"/>
        <v/>
      </c>
      <c r="AB202" s="266" t="str">
        <f t="shared" si="156"/>
        <v/>
      </c>
      <c r="AC202" s="266" t="str">
        <f t="shared" si="157"/>
        <v/>
      </c>
      <c r="AD202" s="266" t="str">
        <f t="shared" si="158"/>
        <v/>
      </c>
      <c r="AE202" s="266" t="str">
        <f t="shared" si="159"/>
        <v/>
      </c>
      <c r="AF202" s="266" t="str">
        <f t="shared" si="160"/>
        <v/>
      </c>
      <c r="AG202" s="266" t="str">
        <f t="shared" si="161"/>
        <v/>
      </c>
      <c r="AH202" s="266" t="str">
        <f t="shared" si="162"/>
        <v/>
      </c>
      <c r="AI202" s="266" t="str">
        <f t="shared" si="163"/>
        <v/>
      </c>
      <c r="AJ202" s="266" t="str">
        <f>IF(U202="","",VLOOKUP(LEFT(I202,6)&amp;"1-00",MCP!$AK$9:$AL$876,21,FALSE))</f>
        <v/>
      </c>
      <c r="AK202" s="267" t="str">
        <f t="shared" si="164"/>
        <v/>
      </c>
      <c r="AL202" s="268" t="str">
        <f t="shared" si="165"/>
        <v/>
      </c>
      <c r="AM202" s="269" t="str">
        <f t="shared" si="166"/>
        <v/>
      </c>
      <c r="AN202" s="266">
        <f t="shared" si="167"/>
        <v>0</v>
      </c>
      <c r="AO202" s="266">
        <f t="shared" si="168"/>
        <v>0</v>
      </c>
      <c r="AP202" s="266">
        <f t="shared" si="169"/>
        <v>0</v>
      </c>
      <c r="AQ202" s="266" t="e">
        <f>VLOOKUP(LEFT($A202,7)&amp;"1-00",MCP!#REF!,30,FALSE)</f>
        <v>#REF!</v>
      </c>
      <c r="AR202" s="266" t="e">
        <f>VLOOKUP(LEFT($A202,7)&amp;"1-00",MCP!#REF!,31,FALSE)</f>
        <v>#REF!</v>
      </c>
      <c r="AS202" s="266" t="e">
        <f>VLOOKUP($A202&amp;"-"&amp;$B202,MCP!#REF!,12,FALSE)</f>
        <v>#REF!</v>
      </c>
      <c r="AT202" s="266" t="str">
        <f t="shared" si="170"/>
        <v/>
      </c>
      <c r="AU202" s="266" t="str">
        <f t="shared" si="171"/>
        <v/>
      </c>
      <c r="AV202" s="266" t="str">
        <f t="shared" si="172"/>
        <v/>
      </c>
      <c r="AW202" s="266" t="str">
        <f>IF($U202="","",VLOOKUP(LEFT($A202,7)&amp;"1-00",MCP!#REF!,24,FALSE))</f>
        <v/>
      </c>
      <c r="AX202" s="266">
        <v>0</v>
      </c>
      <c r="AY202" s="266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34.397999999999996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670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671</v>
      </c>
      <c r="C76">
        <v>1</v>
      </c>
    </row>
    <row r="77" spans="1:3" x14ac:dyDescent="0.2">
      <c r="A77">
        <f t="shared" si="1"/>
        <v>0.77500000000000002</v>
      </c>
      <c r="B77" t="s">
        <v>672</v>
      </c>
      <c r="C77">
        <v>1</v>
      </c>
    </row>
    <row r="78" spans="1:3" x14ac:dyDescent="0.2">
      <c r="A78">
        <f t="shared" si="1"/>
        <v>0.78500000000000003</v>
      </c>
      <c r="B78" t="s">
        <v>673</v>
      </c>
      <c r="C78">
        <v>0.99</v>
      </c>
    </row>
    <row r="79" spans="1:3" x14ac:dyDescent="0.2">
      <c r="A79">
        <f t="shared" si="1"/>
        <v>0.79500000000000004</v>
      </c>
      <c r="B79" t="s">
        <v>674</v>
      </c>
      <c r="C79">
        <v>0.98</v>
      </c>
    </row>
    <row r="80" spans="1:3" x14ac:dyDescent="0.2">
      <c r="A80">
        <f t="shared" si="1"/>
        <v>0.80500000000000005</v>
      </c>
      <c r="B80" t="s">
        <v>675</v>
      </c>
      <c r="C80">
        <v>0.97</v>
      </c>
    </row>
    <row r="81" spans="1:3" x14ac:dyDescent="0.2">
      <c r="A81">
        <f t="shared" si="1"/>
        <v>0.81499999999999995</v>
      </c>
      <c r="B81" t="s">
        <v>676</v>
      </c>
      <c r="C81">
        <v>0.96</v>
      </c>
    </row>
    <row r="82" spans="1:3" x14ac:dyDescent="0.2">
      <c r="A82">
        <f t="shared" si="1"/>
        <v>0.82499999999999996</v>
      </c>
      <c r="B82" t="s">
        <v>677</v>
      </c>
      <c r="C82">
        <v>0.94</v>
      </c>
    </row>
    <row r="83" spans="1:3" x14ac:dyDescent="0.2">
      <c r="A83">
        <f t="shared" si="1"/>
        <v>0.83499999999999996</v>
      </c>
      <c r="B83" t="s">
        <v>678</v>
      </c>
      <c r="C83">
        <v>0.96</v>
      </c>
    </row>
    <row r="84" spans="1:3" x14ac:dyDescent="0.2">
      <c r="A84">
        <f t="shared" si="1"/>
        <v>0.84499999999999997</v>
      </c>
      <c r="B84" t="s">
        <v>679</v>
      </c>
      <c r="C84">
        <v>1.05</v>
      </c>
    </row>
    <row r="85" spans="1:3" x14ac:dyDescent="0.2">
      <c r="A85">
        <f t="shared" si="1"/>
        <v>0.85499999999999998</v>
      </c>
      <c r="B85" t="s">
        <v>680</v>
      </c>
      <c r="C85">
        <v>1.08</v>
      </c>
    </row>
    <row r="86" spans="1:3" x14ac:dyDescent="0.2">
      <c r="A86">
        <f t="shared" si="1"/>
        <v>0.86499999999999999</v>
      </c>
      <c r="B86" t="s">
        <v>681</v>
      </c>
      <c r="C86">
        <v>1.1000000000000001</v>
      </c>
    </row>
    <row r="87" spans="1:3" x14ac:dyDescent="0.2">
      <c r="A87">
        <f t="shared" si="1"/>
        <v>0.875</v>
      </c>
      <c r="B87" t="s">
        <v>682</v>
      </c>
      <c r="C87">
        <v>1.1000000000000001</v>
      </c>
    </row>
    <row r="88" spans="1:3" x14ac:dyDescent="0.2">
      <c r="A88">
        <f t="shared" si="1"/>
        <v>0.88500000000000001</v>
      </c>
      <c r="B88" t="s">
        <v>683</v>
      </c>
      <c r="C88">
        <v>1.08</v>
      </c>
    </row>
    <row r="89" spans="1:3" x14ac:dyDescent="0.2">
      <c r="A89">
        <f t="shared" si="1"/>
        <v>0.89500000000000002</v>
      </c>
      <c r="B89" t="s">
        <v>684</v>
      </c>
      <c r="C89">
        <v>1.05</v>
      </c>
    </row>
    <row r="90" spans="1:3" x14ac:dyDescent="0.2">
      <c r="A90">
        <f t="shared" si="1"/>
        <v>0.90500000000000003</v>
      </c>
      <c r="B90" t="s">
        <v>685</v>
      </c>
      <c r="C90">
        <v>0.97</v>
      </c>
    </row>
    <row r="91" spans="1:3" x14ac:dyDescent="0.2">
      <c r="A91">
        <f t="shared" si="1"/>
        <v>0.91500000000000004</v>
      </c>
      <c r="B91" t="s">
        <v>686</v>
      </c>
      <c r="C91">
        <v>0.95</v>
      </c>
    </row>
    <row r="92" spans="1:3" x14ac:dyDescent="0.2">
      <c r="A92">
        <f t="shared" si="1"/>
        <v>0.92500000000000004</v>
      </c>
      <c r="B92" t="s">
        <v>687</v>
      </c>
      <c r="C92">
        <v>0.96</v>
      </c>
    </row>
    <row r="93" spans="1:3" x14ac:dyDescent="0.2">
      <c r="A93">
        <f t="shared" si="1"/>
        <v>0.93500000000000005</v>
      </c>
      <c r="B93" t="s">
        <v>688</v>
      </c>
      <c r="C93">
        <v>0.98</v>
      </c>
    </row>
    <row r="94" spans="1:3" x14ac:dyDescent="0.2">
      <c r="A94">
        <f t="shared" si="1"/>
        <v>0.94499999999999995</v>
      </c>
      <c r="B94" t="s">
        <v>689</v>
      </c>
      <c r="C94">
        <v>0.99</v>
      </c>
    </row>
    <row r="95" spans="1:3" x14ac:dyDescent="0.2">
      <c r="A95">
        <f t="shared" si="1"/>
        <v>0.95499999999999996</v>
      </c>
      <c r="B95" t="s">
        <v>690</v>
      </c>
      <c r="C95">
        <v>1</v>
      </c>
    </row>
    <row r="96" spans="1:3" x14ac:dyDescent="0.2">
      <c r="A96">
        <f t="shared" si="1"/>
        <v>0.96499999999999997</v>
      </c>
      <c r="B96" t="s">
        <v>691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692</v>
      </c>
      <c r="C169">
        <v>1</v>
      </c>
    </row>
    <row r="170" spans="1:3" x14ac:dyDescent="0.2">
      <c r="A170">
        <f t="shared" si="2"/>
        <v>1.7050000000000001</v>
      </c>
      <c r="B170" t="s">
        <v>693</v>
      </c>
      <c r="C170">
        <v>1.01</v>
      </c>
    </row>
    <row r="171" spans="1:3" x14ac:dyDescent="0.2">
      <c r="A171">
        <f t="shared" si="2"/>
        <v>1.7150000000000001</v>
      </c>
      <c r="B171" t="s">
        <v>694</v>
      </c>
      <c r="C171">
        <v>1.02</v>
      </c>
    </row>
    <row r="172" spans="1:3" x14ac:dyDescent="0.2">
      <c r="A172">
        <f t="shared" si="2"/>
        <v>1.7250000000000001</v>
      </c>
      <c r="B172" t="s">
        <v>695</v>
      </c>
      <c r="C172">
        <v>1.03</v>
      </c>
    </row>
    <row r="173" spans="1:3" x14ac:dyDescent="0.2">
      <c r="A173">
        <f t="shared" si="2"/>
        <v>1.7350000000000001</v>
      </c>
      <c r="B173" t="s">
        <v>696</v>
      </c>
      <c r="C173">
        <v>1.03</v>
      </c>
    </row>
    <row r="174" spans="1:3" x14ac:dyDescent="0.2">
      <c r="A174">
        <f t="shared" si="2"/>
        <v>1.7450000000000001</v>
      </c>
      <c r="B174" t="s">
        <v>697</v>
      </c>
      <c r="C174">
        <v>1.03</v>
      </c>
    </row>
    <row r="175" spans="1:3" x14ac:dyDescent="0.2">
      <c r="A175">
        <f t="shared" si="2"/>
        <v>1.7549999999999999</v>
      </c>
      <c r="B175" t="s">
        <v>698</v>
      </c>
      <c r="C175">
        <v>1.03</v>
      </c>
    </row>
    <row r="176" spans="1:3" x14ac:dyDescent="0.2">
      <c r="A176">
        <f t="shared" si="2"/>
        <v>1.7649999999999999</v>
      </c>
      <c r="B176" t="s">
        <v>699</v>
      </c>
      <c r="C176">
        <v>1.03</v>
      </c>
    </row>
    <row r="177" spans="1:3" x14ac:dyDescent="0.2">
      <c r="A177">
        <f t="shared" si="2"/>
        <v>1.7749999999999999</v>
      </c>
      <c r="B177" t="s">
        <v>700</v>
      </c>
      <c r="C177">
        <v>1.03</v>
      </c>
    </row>
    <row r="178" spans="1:3" x14ac:dyDescent="0.2">
      <c r="A178">
        <f t="shared" si="2"/>
        <v>1.7849999999999999</v>
      </c>
      <c r="B178" t="s">
        <v>701</v>
      </c>
      <c r="C178">
        <v>1.02</v>
      </c>
    </row>
    <row r="179" spans="1:3" x14ac:dyDescent="0.2">
      <c r="A179">
        <f t="shared" si="2"/>
        <v>1.7949999999999999</v>
      </c>
      <c r="B179" t="s">
        <v>702</v>
      </c>
      <c r="C179">
        <v>1.02</v>
      </c>
    </row>
    <row r="180" spans="1:3" x14ac:dyDescent="0.2">
      <c r="A180">
        <f t="shared" si="2"/>
        <v>1.8049999999999999</v>
      </c>
      <c r="B180" t="s">
        <v>703</v>
      </c>
      <c r="C180">
        <v>1.01</v>
      </c>
    </row>
    <row r="181" spans="1:3" x14ac:dyDescent="0.2">
      <c r="A181">
        <f t="shared" si="2"/>
        <v>1.8149999999999999</v>
      </c>
      <c r="B181" t="s">
        <v>704</v>
      </c>
      <c r="C181">
        <v>1.1000000000000001</v>
      </c>
    </row>
    <row r="182" spans="1:3" x14ac:dyDescent="0.2">
      <c r="A182">
        <f t="shared" si="2"/>
        <v>1.825</v>
      </c>
      <c r="B182" t="s">
        <v>705</v>
      </c>
      <c r="C182">
        <v>1.1599999999999999</v>
      </c>
    </row>
    <row r="183" spans="1:3" x14ac:dyDescent="0.2">
      <c r="A183">
        <f t="shared" si="2"/>
        <v>1.835</v>
      </c>
      <c r="B183" t="s">
        <v>706</v>
      </c>
      <c r="C183">
        <v>1.2</v>
      </c>
    </row>
    <row r="184" spans="1:3" x14ac:dyDescent="0.2">
      <c r="A184">
        <f t="shared" si="2"/>
        <v>1.845</v>
      </c>
      <c r="B184" t="s">
        <v>707</v>
      </c>
      <c r="C184">
        <v>1.22</v>
      </c>
    </row>
    <row r="185" spans="1:3" x14ac:dyDescent="0.2">
      <c r="A185">
        <f t="shared" si="2"/>
        <v>1.855</v>
      </c>
      <c r="B185" t="s">
        <v>708</v>
      </c>
      <c r="C185">
        <v>1.23</v>
      </c>
    </row>
    <row r="186" spans="1:3" x14ac:dyDescent="0.2">
      <c r="A186">
        <f t="shared" si="2"/>
        <v>1.865</v>
      </c>
      <c r="B186" t="s">
        <v>709</v>
      </c>
      <c r="C186">
        <v>1.24</v>
      </c>
    </row>
    <row r="187" spans="1:3" x14ac:dyDescent="0.2">
      <c r="A187">
        <f t="shared" si="2"/>
        <v>1.875</v>
      </c>
      <c r="B187" t="s">
        <v>710</v>
      </c>
      <c r="C187">
        <v>1.24</v>
      </c>
    </row>
    <row r="188" spans="1:3" x14ac:dyDescent="0.2">
      <c r="A188">
        <f t="shared" si="2"/>
        <v>1.885</v>
      </c>
      <c r="B188" t="s">
        <v>711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712</v>
      </c>
      <c r="C261">
        <v>2.5</v>
      </c>
    </row>
    <row r="262" spans="1:3" x14ac:dyDescent="0.2">
      <c r="A262">
        <f t="shared" si="4"/>
        <v>2.625</v>
      </c>
      <c r="B262" t="s">
        <v>713</v>
      </c>
      <c r="C262">
        <v>2.4700000000000002</v>
      </c>
    </row>
    <row r="263" spans="1:3" x14ac:dyDescent="0.2">
      <c r="A263">
        <f t="shared" si="4"/>
        <v>2.6349999999999998</v>
      </c>
      <c r="B263" t="s">
        <v>714</v>
      </c>
      <c r="C263">
        <v>2.38</v>
      </c>
    </row>
    <row r="264" spans="1:3" x14ac:dyDescent="0.2">
      <c r="A264">
        <f t="shared" si="4"/>
        <v>2.645</v>
      </c>
      <c r="B264" t="s">
        <v>715</v>
      </c>
      <c r="C264">
        <v>2.38</v>
      </c>
    </row>
    <row r="265" spans="1:3" x14ac:dyDescent="0.2">
      <c r="A265">
        <f t="shared" si="4"/>
        <v>2.6549999999999998</v>
      </c>
      <c r="B265" t="s">
        <v>716</v>
      </c>
      <c r="C265">
        <v>2.39</v>
      </c>
    </row>
    <row r="266" spans="1:3" x14ac:dyDescent="0.2">
      <c r="A266">
        <f t="shared" si="4"/>
        <v>2.665</v>
      </c>
      <c r="B266" t="s">
        <v>717</v>
      </c>
      <c r="C266">
        <v>2.39</v>
      </c>
    </row>
    <row r="267" spans="1:3" x14ac:dyDescent="0.2">
      <c r="A267">
        <f t="shared" si="4"/>
        <v>2.6749999999999998</v>
      </c>
      <c r="B267" t="s">
        <v>718</v>
      </c>
      <c r="C267">
        <v>2.39</v>
      </c>
    </row>
    <row r="268" spans="1:3" x14ac:dyDescent="0.2">
      <c r="A268">
        <f t="shared" si="4"/>
        <v>2.6850000000000001</v>
      </c>
      <c r="B268" t="s">
        <v>719</v>
      </c>
      <c r="C268">
        <v>2.38</v>
      </c>
    </row>
    <row r="269" spans="1:3" x14ac:dyDescent="0.2">
      <c r="A269">
        <f t="shared" si="4"/>
        <v>2.6949999999999998</v>
      </c>
      <c r="B269" t="s">
        <v>720</v>
      </c>
      <c r="C269">
        <v>2.41</v>
      </c>
    </row>
    <row r="270" spans="1:3" x14ac:dyDescent="0.2">
      <c r="A270">
        <f t="shared" si="4"/>
        <v>2.7050000000000001</v>
      </c>
      <c r="B270" t="s">
        <v>721</v>
      </c>
      <c r="C270">
        <v>2.4900000000000002</v>
      </c>
    </row>
    <row r="271" spans="1:3" x14ac:dyDescent="0.2">
      <c r="A271">
        <f t="shared" si="4"/>
        <v>2.7149999999999999</v>
      </c>
      <c r="B271" t="s">
        <v>722</v>
      </c>
      <c r="C271">
        <v>2.52</v>
      </c>
    </row>
    <row r="272" spans="1:3" x14ac:dyDescent="0.2">
      <c r="A272">
        <f t="shared" si="4"/>
        <v>2.7250000000000001</v>
      </c>
      <c r="B272" t="s">
        <v>723</v>
      </c>
      <c r="C272">
        <v>2.52</v>
      </c>
    </row>
    <row r="273" spans="1:3" x14ac:dyDescent="0.2">
      <c r="A273">
        <f t="shared" si="4"/>
        <v>2.7349999999999999</v>
      </c>
      <c r="B273" t="s">
        <v>724</v>
      </c>
      <c r="C273">
        <v>2.4900000000000002</v>
      </c>
    </row>
    <row r="274" spans="1:3" x14ac:dyDescent="0.2">
      <c r="A274">
        <f t="shared" si="4"/>
        <v>2.7450000000000001</v>
      </c>
      <c r="B274" t="s">
        <v>725</v>
      </c>
      <c r="C274">
        <v>2.4</v>
      </c>
    </row>
    <row r="275" spans="1:3" x14ac:dyDescent="0.2">
      <c r="A275">
        <f t="shared" si="4"/>
        <v>2.7549999999999999</v>
      </c>
      <c r="B275" t="s">
        <v>726</v>
      </c>
      <c r="C275">
        <v>2.39</v>
      </c>
    </row>
    <row r="276" spans="1:3" x14ac:dyDescent="0.2">
      <c r="A276">
        <f t="shared" si="4"/>
        <v>2.7650000000000001</v>
      </c>
      <c r="B276" t="s">
        <v>727</v>
      </c>
      <c r="C276">
        <v>2.4</v>
      </c>
    </row>
    <row r="277" spans="1:3" x14ac:dyDescent="0.2">
      <c r="A277">
        <f t="shared" si="4"/>
        <v>2.7749999999999999</v>
      </c>
      <c r="B277" t="s">
        <v>728</v>
      </c>
      <c r="C277">
        <v>2.4</v>
      </c>
    </row>
    <row r="278" spans="1:3" x14ac:dyDescent="0.2">
      <c r="A278">
        <f t="shared" si="4"/>
        <v>2.7850000000000001</v>
      </c>
      <c r="B278" t="s">
        <v>729</v>
      </c>
      <c r="C278">
        <v>2.4</v>
      </c>
    </row>
    <row r="279" spans="1:3" x14ac:dyDescent="0.2">
      <c r="A279">
        <f t="shared" si="4"/>
        <v>2.7949999999999999</v>
      </c>
      <c r="B279" t="s">
        <v>730</v>
      </c>
      <c r="C279">
        <v>2.39</v>
      </c>
    </row>
    <row r="280" spans="1:3" x14ac:dyDescent="0.2">
      <c r="A280">
        <f t="shared" si="4"/>
        <v>2.8050000000000002</v>
      </c>
      <c r="B280" t="s">
        <v>731</v>
      </c>
      <c r="C280">
        <v>2.44</v>
      </c>
    </row>
    <row r="281" spans="1:3" x14ac:dyDescent="0.2">
      <c r="A281">
        <f t="shared" si="4"/>
        <v>2.8149999999999999</v>
      </c>
      <c r="B281" t="s">
        <v>732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733</v>
      </c>
      <c r="C353">
        <v>2.4</v>
      </c>
    </row>
    <row r="354" spans="1:3" x14ac:dyDescent="0.2">
      <c r="A354">
        <f t="shared" si="5"/>
        <v>3.5449999999999999</v>
      </c>
      <c r="B354" t="s">
        <v>734</v>
      </c>
      <c r="C354">
        <v>2.4</v>
      </c>
    </row>
    <row r="355" spans="1:3" x14ac:dyDescent="0.2">
      <c r="A355">
        <f t="shared" si="5"/>
        <v>3.5550000000000002</v>
      </c>
      <c r="B355" t="s">
        <v>735</v>
      </c>
      <c r="C355">
        <v>2.4500000000000002</v>
      </c>
    </row>
    <row r="356" spans="1:3" x14ac:dyDescent="0.2">
      <c r="A356">
        <f t="shared" si="5"/>
        <v>3.5649999999999999</v>
      </c>
      <c r="B356" t="s">
        <v>736</v>
      </c>
      <c r="C356">
        <v>2.5299999999999998</v>
      </c>
    </row>
    <row r="357" spans="1:3" x14ac:dyDescent="0.2">
      <c r="A357">
        <f t="shared" si="5"/>
        <v>3.5750000000000002</v>
      </c>
      <c r="B357" t="s">
        <v>737</v>
      </c>
      <c r="C357">
        <v>2.5499999999999998</v>
      </c>
    </row>
    <row r="358" spans="1:3" x14ac:dyDescent="0.2">
      <c r="A358">
        <f t="shared" si="5"/>
        <v>3.585</v>
      </c>
      <c r="B358" t="s">
        <v>738</v>
      </c>
      <c r="C358">
        <v>2.56</v>
      </c>
    </row>
    <row r="359" spans="1:3" x14ac:dyDescent="0.2">
      <c r="A359">
        <f t="shared" si="5"/>
        <v>3.5950000000000002</v>
      </c>
      <c r="B359" t="s">
        <v>739</v>
      </c>
      <c r="C359">
        <v>2.54</v>
      </c>
    </row>
    <row r="360" spans="1:3" x14ac:dyDescent="0.2">
      <c r="A360">
        <f t="shared" si="5"/>
        <v>3.605</v>
      </c>
      <c r="B360" t="s">
        <v>740</v>
      </c>
      <c r="C360">
        <v>2.4900000000000002</v>
      </c>
    </row>
    <row r="361" spans="1:3" x14ac:dyDescent="0.2">
      <c r="A361">
        <f t="shared" si="5"/>
        <v>3.6150000000000002</v>
      </c>
      <c r="B361" t="s">
        <v>741</v>
      </c>
      <c r="C361">
        <v>2.4</v>
      </c>
    </row>
    <row r="362" spans="1:3" x14ac:dyDescent="0.2">
      <c r="A362">
        <f t="shared" si="5"/>
        <v>3.625</v>
      </c>
      <c r="B362" t="s">
        <v>742</v>
      </c>
      <c r="C362">
        <v>2.41</v>
      </c>
    </row>
    <row r="363" spans="1:3" x14ac:dyDescent="0.2">
      <c r="A363">
        <f t="shared" si="5"/>
        <v>3.6349999999999998</v>
      </c>
      <c r="B363" t="s">
        <v>743</v>
      </c>
      <c r="C363">
        <v>2.41</v>
      </c>
    </row>
    <row r="364" spans="1:3" x14ac:dyDescent="0.2">
      <c r="A364">
        <f t="shared" si="5"/>
        <v>3.645</v>
      </c>
      <c r="B364" t="s">
        <v>744</v>
      </c>
      <c r="C364">
        <v>2.41</v>
      </c>
    </row>
    <row r="365" spans="1:3" x14ac:dyDescent="0.2">
      <c r="A365">
        <f t="shared" si="5"/>
        <v>3.6549999999999998</v>
      </c>
      <c r="B365" t="s">
        <v>745</v>
      </c>
      <c r="C365">
        <v>2.42</v>
      </c>
    </row>
    <row r="366" spans="1:3" x14ac:dyDescent="0.2">
      <c r="A366">
        <f t="shared" si="5"/>
        <v>3.665</v>
      </c>
      <c r="B366" t="s">
        <v>746</v>
      </c>
      <c r="C366">
        <v>2.52</v>
      </c>
    </row>
    <row r="367" spans="1:3" x14ac:dyDescent="0.2">
      <c r="A367">
        <f t="shared" si="5"/>
        <v>3.6749999999999998</v>
      </c>
      <c r="B367" t="s">
        <v>747</v>
      </c>
      <c r="C367">
        <v>2.56</v>
      </c>
    </row>
    <row r="368" spans="1:3" x14ac:dyDescent="0.2">
      <c r="A368">
        <f t="shared" si="5"/>
        <v>3.6850000000000001</v>
      </c>
      <c r="B368" t="s">
        <v>748</v>
      </c>
      <c r="C368">
        <v>2.58</v>
      </c>
    </row>
    <row r="369" spans="1:3" x14ac:dyDescent="0.2">
      <c r="A369">
        <f t="shared" si="5"/>
        <v>3.6949999999999998</v>
      </c>
      <c r="B369" t="s">
        <v>749</v>
      </c>
      <c r="C369">
        <v>2.57</v>
      </c>
    </row>
    <row r="370" spans="1:3" x14ac:dyDescent="0.2">
      <c r="A370">
        <f t="shared" si="5"/>
        <v>3.7050000000000001</v>
      </c>
      <c r="B370" t="s">
        <v>750</v>
      </c>
      <c r="C370">
        <v>2.5499999999999998</v>
      </c>
    </row>
    <row r="371" spans="1:3" x14ac:dyDescent="0.2">
      <c r="A371">
        <f t="shared" si="5"/>
        <v>3.7149999999999999</v>
      </c>
      <c r="B371" t="s">
        <v>751</v>
      </c>
      <c r="C371">
        <v>2.4700000000000002</v>
      </c>
    </row>
    <row r="372" spans="1:3" x14ac:dyDescent="0.2">
      <c r="A372">
        <f t="shared" si="5"/>
        <v>3.7250000000000001</v>
      </c>
      <c r="B372" t="s">
        <v>752</v>
      </c>
      <c r="C372">
        <v>2.41</v>
      </c>
    </row>
    <row r="373" spans="1:3" x14ac:dyDescent="0.2">
      <c r="A373">
        <f t="shared" si="5"/>
        <v>3.7349999999999999</v>
      </c>
      <c r="B373" t="s">
        <v>753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754</v>
      </c>
      <c r="C446">
        <v>2.78</v>
      </c>
    </row>
    <row r="447" spans="1:3" x14ac:dyDescent="0.2">
      <c r="A447">
        <f t="shared" si="6"/>
        <v>4.4749999999999996</v>
      </c>
      <c r="B447" t="s">
        <v>755</v>
      </c>
      <c r="C447">
        <v>2.8</v>
      </c>
    </row>
    <row r="448" spans="1:3" x14ac:dyDescent="0.2">
      <c r="A448">
        <f t="shared" si="6"/>
        <v>4.4850000000000003</v>
      </c>
      <c r="B448" t="s">
        <v>756</v>
      </c>
      <c r="C448">
        <v>2.81</v>
      </c>
    </row>
    <row r="449" spans="1:3" x14ac:dyDescent="0.2">
      <c r="A449">
        <f t="shared" si="6"/>
        <v>4.4950000000000001</v>
      </c>
      <c r="B449" t="s">
        <v>757</v>
      </c>
      <c r="C449">
        <v>2.81</v>
      </c>
    </row>
    <row r="450" spans="1:3" x14ac:dyDescent="0.2">
      <c r="A450">
        <f t="shared" si="6"/>
        <v>4.5049999999999999</v>
      </c>
      <c r="B450" t="s">
        <v>758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759</v>
      </c>
      <c r="C451">
        <v>2.79</v>
      </c>
    </row>
    <row r="452" spans="1:3" x14ac:dyDescent="0.2">
      <c r="A452">
        <f t="shared" si="7"/>
        <v>4.5250000000000004</v>
      </c>
      <c r="B452" t="s">
        <v>760</v>
      </c>
      <c r="C452">
        <v>2.86</v>
      </c>
    </row>
    <row r="453" spans="1:3" x14ac:dyDescent="0.2">
      <c r="A453">
        <f t="shared" si="7"/>
        <v>4.5350000000000001</v>
      </c>
      <c r="B453" t="s">
        <v>761</v>
      </c>
      <c r="C453">
        <v>2.88</v>
      </c>
    </row>
    <row r="454" spans="1:3" x14ac:dyDescent="0.2">
      <c r="A454">
        <f t="shared" si="7"/>
        <v>4.5449999999999999</v>
      </c>
      <c r="B454" t="s">
        <v>762</v>
      </c>
      <c r="C454">
        <v>2.82</v>
      </c>
    </row>
    <row r="455" spans="1:3" x14ac:dyDescent="0.2">
      <c r="A455">
        <f t="shared" si="7"/>
        <v>4.5549999999999997</v>
      </c>
      <c r="B455" t="s">
        <v>763</v>
      </c>
      <c r="C455">
        <v>2.82</v>
      </c>
    </row>
    <row r="456" spans="1:3" x14ac:dyDescent="0.2">
      <c r="A456">
        <f t="shared" si="7"/>
        <v>4.5650000000000004</v>
      </c>
      <c r="B456" t="s">
        <v>764</v>
      </c>
      <c r="C456">
        <v>2.84</v>
      </c>
    </row>
    <row r="457" spans="1:3" x14ac:dyDescent="0.2">
      <c r="A457">
        <f t="shared" si="7"/>
        <v>4.5750000000000002</v>
      </c>
      <c r="B457" t="s">
        <v>765</v>
      </c>
      <c r="C457">
        <v>2.85</v>
      </c>
    </row>
    <row r="458" spans="1:3" x14ac:dyDescent="0.2">
      <c r="A458">
        <f t="shared" si="7"/>
        <v>4.585</v>
      </c>
      <c r="B458" t="s">
        <v>766</v>
      </c>
      <c r="C458">
        <v>2.85</v>
      </c>
    </row>
    <row r="459" spans="1:3" x14ac:dyDescent="0.2">
      <c r="A459">
        <f t="shared" si="7"/>
        <v>4.5949999999999998</v>
      </c>
      <c r="B459" t="s">
        <v>767</v>
      </c>
      <c r="C459">
        <v>2.84</v>
      </c>
    </row>
    <row r="460" spans="1:3" x14ac:dyDescent="0.2">
      <c r="A460">
        <f t="shared" si="7"/>
        <v>4.6050000000000004</v>
      </c>
      <c r="B460" t="s">
        <v>768</v>
      </c>
      <c r="C460">
        <v>2.88</v>
      </c>
    </row>
    <row r="461" spans="1:3" x14ac:dyDescent="0.2">
      <c r="A461">
        <f t="shared" si="7"/>
        <v>4.6150000000000002</v>
      </c>
      <c r="B461" t="s">
        <v>769</v>
      </c>
      <c r="C461">
        <v>2.96</v>
      </c>
    </row>
    <row r="462" spans="1:3" x14ac:dyDescent="0.2">
      <c r="A462">
        <f t="shared" si="7"/>
        <v>4.625</v>
      </c>
      <c r="B462" t="s">
        <v>770</v>
      </c>
      <c r="C462">
        <v>2.97</v>
      </c>
    </row>
    <row r="463" spans="1:3" x14ac:dyDescent="0.2">
      <c r="A463">
        <f t="shared" si="7"/>
        <v>4.6349999999999998</v>
      </c>
      <c r="B463" t="s">
        <v>771</v>
      </c>
      <c r="C463">
        <v>2.94</v>
      </c>
    </row>
    <row r="464" spans="1:3" x14ac:dyDescent="0.2">
      <c r="A464">
        <f t="shared" si="7"/>
        <v>4.6449999999999996</v>
      </c>
      <c r="B464" t="s">
        <v>772</v>
      </c>
      <c r="C464">
        <v>2.86</v>
      </c>
    </row>
    <row r="465" spans="1:3" x14ac:dyDescent="0.2">
      <c r="A465">
        <f t="shared" si="7"/>
        <v>4.6550000000000002</v>
      </c>
      <c r="B465" t="s">
        <v>773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774</v>
      </c>
      <c r="C538">
        <v>4.34</v>
      </c>
    </row>
    <row r="539" spans="1:3" x14ac:dyDescent="0.2">
      <c r="A539">
        <f t="shared" si="8"/>
        <v>5.3949999999999996</v>
      </c>
      <c r="B539" t="s">
        <v>775</v>
      </c>
      <c r="C539">
        <v>4.3899999999999997</v>
      </c>
    </row>
    <row r="540" spans="1:3" x14ac:dyDescent="0.2">
      <c r="A540">
        <f t="shared" si="8"/>
        <v>5.4050000000000002</v>
      </c>
      <c r="B540" t="s">
        <v>776</v>
      </c>
      <c r="C540">
        <v>4.3600000000000003</v>
      </c>
    </row>
    <row r="541" spans="1:3" x14ac:dyDescent="0.2">
      <c r="A541">
        <f t="shared" si="8"/>
        <v>5.415</v>
      </c>
      <c r="B541" t="s">
        <v>777</v>
      </c>
      <c r="C541">
        <v>4.33</v>
      </c>
    </row>
    <row r="542" spans="1:3" x14ac:dyDescent="0.2">
      <c r="A542">
        <f t="shared" si="8"/>
        <v>5.4249999999999998</v>
      </c>
      <c r="B542" t="s">
        <v>778</v>
      </c>
      <c r="C542">
        <v>4.4400000000000004</v>
      </c>
    </row>
    <row r="543" spans="1:3" x14ac:dyDescent="0.2">
      <c r="A543">
        <f t="shared" si="8"/>
        <v>5.4349999999999996</v>
      </c>
      <c r="B543" t="s">
        <v>779</v>
      </c>
      <c r="C543">
        <v>4.55</v>
      </c>
    </row>
    <row r="544" spans="1:3" x14ac:dyDescent="0.2">
      <c r="A544">
        <f t="shared" si="8"/>
        <v>5.4450000000000003</v>
      </c>
      <c r="B544" t="s">
        <v>780</v>
      </c>
      <c r="C544">
        <v>4.5999999999999996</v>
      </c>
    </row>
    <row r="545" spans="1:3" x14ac:dyDescent="0.2">
      <c r="A545">
        <f t="shared" si="8"/>
        <v>5.4550000000000001</v>
      </c>
      <c r="B545" t="s">
        <v>781</v>
      </c>
      <c r="C545">
        <v>4.63</v>
      </c>
    </row>
    <row r="546" spans="1:3" x14ac:dyDescent="0.2">
      <c r="A546">
        <f t="shared" si="8"/>
        <v>5.4649999999999999</v>
      </c>
      <c r="B546" t="s">
        <v>782</v>
      </c>
      <c r="C546">
        <v>4.7300000000000004</v>
      </c>
    </row>
    <row r="547" spans="1:3" x14ac:dyDescent="0.2">
      <c r="A547">
        <f t="shared" si="8"/>
        <v>5.4749999999999996</v>
      </c>
      <c r="B547" t="s">
        <v>783</v>
      </c>
      <c r="C547">
        <v>4.76</v>
      </c>
    </row>
    <row r="548" spans="1:3" x14ac:dyDescent="0.2">
      <c r="A548">
        <f t="shared" si="8"/>
        <v>5.4850000000000003</v>
      </c>
      <c r="B548" t="s">
        <v>784</v>
      </c>
      <c r="C548">
        <v>4.74</v>
      </c>
    </row>
    <row r="549" spans="1:3" x14ac:dyDescent="0.2">
      <c r="A549">
        <f t="shared" si="8"/>
        <v>5.4950000000000001</v>
      </c>
      <c r="B549" t="s">
        <v>785</v>
      </c>
      <c r="C549">
        <v>4.82</v>
      </c>
    </row>
    <row r="550" spans="1:3" x14ac:dyDescent="0.2">
      <c r="A550">
        <f t="shared" si="8"/>
        <v>5.5049999999999999</v>
      </c>
      <c r="B550" t="s">
        <v>786</v>
      </c>
      <c r="C550">
        <v>4.97</v>
      </c>
    </row>
    <row r="551" spans="1:3" x14ac:dyDescent="0.2">
      <c r="A551">
        <f t="shared" si="8"/>
        <v>5.5149999999999997</v>
      </c>
      <c r="B551" t="s">
        <v>787</v>
      </c>
      <c r="C551">
        <v>5.05</v>
      </c>
    </row>
    <row r="552" spans="1:3" x14ac:dyDescent="0.2">
      <c r="A552">
        <f t="shared" si="8"/>
        <v>5.5250000000000004</v>
      </c>
      <c r="B552" t="s">
        <v>788</v>
      </c>
      <c r="C552">
        <v>5.12</v>
      </c>
    </row>
    <row r="553" spans="1:3" x14ac:dyDescent="0.2">
      <c r="A553">
        <f t="shared" si="8"/>
        <v>5.5350000000000001</v>
      </c>
      <c r="B553" t="s">
        <v>789</v>
      </c>
      <c r="C553">
        <v>5.24</v>
      </c>
    </row>
    <row r="554" spans="1:3" x14ac:dyDescent="0.2">
      <c r="A554">
        <f t="shared" si="8"/>
        <v>5.5449999999999999</v>
      </c>
      <c r="B554" t="s">
        <v>790</v>
      </c>
      <c r="C554">
        <v>5.24</v>
      </c>
    </row>
    <row r="555" spans="1:3" x14ac:dyDescent="0.2">
      <c r="A555">
        <f t="shared" si="8"/>
        <v>5.5549999999999997</v>
      </c>
      <c r="B555" t="s">
        <v>791</v>
      </c>
      <c r="C555">
        <v>5.33</v>
      </c>
    </row>
    <row r="556" spans="1:3" x14ac:dyDescent="0.2">
      <c r="A556">
        <f t="shared" si="8"/>
        <v>5.5650000000000004</v>
      </c>
      <c r="B556" t="s">
        <v>792</v>
      </c>
      <c r="C556">
        <v>5.49</v>
      </c>
    </row>
    <row r="557" spans="1:3" x14ac:dyDescent="0.2">
      <c r="A557">
        <f t="shared" si="8"/>
        <v>5.5750000000000002</v>
      </c>
      <c r="B557" t="s">
        <v>793</v>
      </c>
      <c r="C557">
        <v>5.65</v>
      </c>
    </row>
    <row r="558" spans="1:3" x14ac:dyDescent="0.2">
      <c r="A558">
        <f t="shared" si="8"/>
        <v>5.585</v>
      </c>
      <c r="B558" t="s">
        <v>794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2021-03-24T17:18:30Z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