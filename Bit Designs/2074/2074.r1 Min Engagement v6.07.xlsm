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74\"/>
    </mc:Choice>
  </mc:AlternateContent>
  <xr:revisionPtr revIDLastSave="0" documentId="13_ncr:1_{DF1793F9-1DBE-4F93-A899-DACDD21D279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1" i="1"/>
  <c r="IR11" i="1"/>
  <c r="IP11" i="1"/>
  <c r="IL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10" i="1"/>
  <c r="IV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W14" i="1"/>
  <c r="IN14" i="1"/>
  <c r="IR14" i="1"/>
  <c r="IP14" i="1"/>
  <c r="IK14" i="1"/>
  <c r="IQ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X11" i="1" l="1"/>
  <c r="IY11" i="1"/>
  <c r="IS11" i="1"/>
  <c r="IW11" i="1"/>
  <c r="IU11" i="1"/>
  <c r="IE11" i="1" s="1"/>
  <c r="IQ11" i="1"/>
  <c r="IN11" i="1"/>
  <c r="IK11" i="1"/>
  <c r="IN10" i="1"/>
  <c r="IK10" i="1"/>
  <c r="IU10" i="1"/>
  <c r="IE10" i="1" s="1"/>
  <c r="IR10" i="1"/>
  <c r="JA9" i="1" a="1"/>
  <c r="JA9" i="1" s="1"/>
  <c r="IF85" i="1"/>
  <c r="IF129" i="1"/>
  <c r="IF73" i="1"/>
  <c r="IF49" i="1"/>
  <c r="IF138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23" i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14" i="1" l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Q43" i="1" l="1"/>
  <c r="IU14" i="1"/>
  <c r="IE14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IL14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3" i="1" l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20" i="1" l="1"/>
  <c r="IT10" i="1"/>
  <c r="IY14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4" i="1" l="1"/>
  <c r="IX10" i="1"/>
  <c r="IS20" i="1"/>
  <c r="IX14" i="1"/>
  <c r="IF14" i="1" s="1"/>
  <c r="IS10" i="1"/>
  <c r="IT14" i="1"/>
  <c r="IY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F10" i="1" l="1"/>
  <c r="JH29" i="1" s="1" a="1"/>
  <c r="JH29" i="1" s="1"/>
  <c r="L13" i="1" s="1"/>
  <c r="JI29" i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<sst xmlns="http://schemas.openxmlformats.org/spreadsheetml/2006/main" count="734" uniqueCount="391">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</sst>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>Undefined Element</v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35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89.98000000288765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-0.10900032874499153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2.7745331185652675E-17</v>
      </c>
      <c r="C9" s="703">
        <v>0.29580000000000001</v>
      </c>
      <c r="D9" s="704">
        <v>-0.33939999999999992</v>
      </c>
      <c r="E9" s="705">
        <v>-0.86602540378443871</v>
      </c>
      <c r="F9" s="703">
        <v>-6.5263086741082638E-2</v>
      </c>
      <c r="G9" s="706">
        <v>0.49572243192034987</v>
      </c>
      <c r="H9" s="705">
        <v>0.26600000000000001</v>
      </c>
      <c r="I9" s="703">
        <v>0.315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1308</v>
      </c>
      <c r="M9" s="167">
        <f t="shared" ref="M9:M40" si="1">IF(J9="","",VALUE(J9))</f>
        <v>1.101</v>
      </c>
      <c r="N9" s="623">
        <f t="shared" ref="N9:N40" si="2">IF(M9="","",B9)</f>
        <v>2.7745331185652675E-17</v>
      </c>
      <c r="O9" s="624">
        <f t="shared" ref="O9:O40" si="3">IF(M9="","",C9)</f>
        <v>0.29580000000000001</v>
      </c>
      <c r="P9" s="625">
        <f t="shared" ref="P9:P40" si="4">IF(M9="","",D9)</f>
        <v>-0.33939999999999992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0.29580000000000001</v>
      </c>
      <c r="S9" s="626">
        <f>IF(M9="","",P9)</f>
        <v>-0.33939999999999992</v>
      </c>
      <c r="T9" s="627">
        <f>IF(M9="","",X9*COS(RADIANS(W9)))</f>
        <v>0.29579998197883883</v>
      </c>
      <c r="U9" s="624">
        <f>IF(M9="","",X9*SIN(RADIANS(W9)))</f>
        <v>1.0325366154310504E-4</v>
      </c>
      <c r="V9" s="628">
        <f>IF(M9="","",Y9)</f>
        <v>-0.33939999999999992</v>
      </c>
      <c r="W9" s="583">
        <f t="shared" ref="W9:W14" si="5">IF(M9="","",IF(Q9-$Q$8&lt;0,360+Q9-$Q$8,Q9-$Q$8))</f>
        <v>1.9999997112350343E-2</v>
      </c>
      <c r="X9" s="629">
        <f>IF(M9="","",R9)</f>
        <v>0.29580000000000001</v>
      </c>
      <c r="Y9" s="630">
        <f>IF(M9="","",S9)</f>
        <v>-0.33939999999999992</v>
      </c>
      <c r="Z9" s="623">
        <f t="shared" ref="Z9:Z40" si="6">IF(M9="","",-E9)</f>
        <v>0.86602540378443871</v>
      </c>
      <c r="AA9" s="624">
        <f t="shared" ref="AA9:AA40" si="7">IF(M9="","",-F9)</f>
        <v>6.5263086741082638E-2</v>
      </c>
      <c r="AB9" s="624">
        <f t="shared" ref="AB9:AB40" si="8">IF(M9="","",-G9)</f>
        <v>-0.49572243192034987</v>
      </c>
      <c r="AC9" s="628">
        <f>IF(M9="","",SQRT(Z9^2+AA9^2+AB9^2))</f>
        <v>1</v>
      </c>
      <c r="AD9" s="631">
        <f>IF(M9="","",Z9*(1/SQRT(Z9^2+AA9^2+AB9^2)))</f>
        <v>0.86602540378443871</v>
      </c>
      <c r="AE9" s="624">
        <f>IF(M9="","",AA9*(1/SQRT(Z9^2+AA9^2+AB9^2)))</f>
        <v>6.5263086741082638E-2</v>
      </c>
      <c r="AF9" s="625">
        <f>IF(M9="","",AB9*(1/SQRT(Z9^2+AA9^2+AB9^2)))</f>
        <v>-0.49572243192034987</v>
      </c>
      <c r="AG9" s="599">
        <f>IF(M9="","",DEGREES(ATAN2(-AF9,AE9)))</f>
        <v>7.499998917134131</v>
      </c>
      <c r="AH9" s="600">
        <f>IF(M9="","",DEGREES(ACOS(AD9)))</f>
        <v>29.999999999999993</v>
      </c>
      <c r="AI9" s="583">
        <f>IF(M9="","",DEGREES(-ACOS(-AF9)))</f>
        <v>-60.282600396587846</v>
      </c>
      <c r="AJ9" s="601">
        <f>IF(M9="","",DEGREES(ATAN2(-AE9,AD9)))</f>
        <v>94.309625221340454</v>
      </c>
      <c r="AK9" s="627">
        <f>IF(M9="","",(COS(RADIANS((90-$Q$8)-W9))*AD9)+(-SIN(RADIANS((90-$Q$8)-W9))*AE9))</f>
        <v>0.86602540378443871</v>
      </c>
      <c r="AL9" s="624">
        <f>IF(M9="","",(SIN(RADIANS((90-$Q$8)-W9))*AD9)+(COS(RADIANS((90-$Q$8)-W9))*AE9))</f>
        <v>6.5263086741082638E-2</v>
      </c>
      <c r="AM9" s="626">
        <f>IF(M9="","",AF9)</f>
        <v>-0.49572243192034987</v>
      </c>
      <c r="AN9" s="581">
        <f>IF(M9="","",DEGREES(ATAN2(-AM9,AL9)))</f>
        <v>7.499998917134131</v>
      </c>
      <c r="AO9" s="582">
        <f>IF(ROUND(IF(M9="",0,DEGREES(ACOS(AK9))),4)=90,0,IF(M9="","",DEGREES(ACOS(AK9))))</f>
        <v>29.999999999999993</v>
      </c>
      <c r="AP9" s="781">
        <f>IF(M9="","",DEGREES(ATAN2(AK9,AL9)))</f>
        <v>4.3096252213404558</v>
      </c>
      <c r="AQ9" s="584">
        <f t="shared" ref="AQ9:AQ40" si="9">IF(M9="","",DEGREES(ATAN(($AS$5*SIN(RADIANS(90)))/(($X9*2*PI())-($AS$5*COS(RADIANS(90)))))))</f>
        <v>7.661002506063384</v>
      </c>
      <c r="AS9" s="51">
        <f>IF(M9="","",W9)</f>
        <v>1.9999997112350343E-2</v>
      </c>
      <c r="AT9" s="71">
        <f t="shared" ref="AT9:AT40" si="10">IF(M9="","",Y9+(((AS9-$AS$9)*$AS$6)*-1))</f>
        <v>-0.33939999999999992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1308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0.9256027916180195</v>
      </c>
      <c r="D10" s="709">
        <v>-0.27460082819609788</v>
      </c>
      <c r="E10" s="710">
        <v>-0.95371696400905348</v>
      </c>
      <c r="F10" s="708">
        <v>-3.9249971863521901E-2</v>
      </c>
      <c r="G10" s="711">
        <v>0.29813317874746298</v>
      </c>
      <c r="H10" s="710">
        <v>0.26600000000000001</v>
      </c>
      <c r="I10" s="708">
        <v>0.315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1308</v>
      </c>
      <c r="M10" s="168">
        <f t="shared" si="1"/>
        <v>1.1040000000000001</v>
      </c>
      <c r="N10" s="632">
        <f t="shared" si="2"/>
        <v>0</v>
      </c>
      <c r="O10" s="629">
        <f t="shared" si="3"/>
        <v>0.9256027916180195</v>
      </c>
      <c r="P10" s="633">
        <f t="shared" si="4"/>
        <v>-0.27460082819609788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0.9256027916180195</v>
      </c>
      <c r="S10" s="634">
        <f t="shared" ref="S10:S105" si="80">IF(M10="","",P10)</f>
        <v>-0.27460082819609788</v>
      </c>
      <c r="T10" s="635">
        <f t="shared" ref="T10:T105" si="81">IF(M10="","",X10*COS(RADIANS(W10)))</f>
        <v>0.92560273522708958</v>
      </c>
      <c r="U10" s="629">
        <f t="shared" ref="U10:U105" si="82">IF(M10="","",X10*SIN(RADIANS(W10)))</f>
        <v>3.2309627237687684E-4</v>
      </c>
      <c r="V10" s="636">
        <f>IF(M10="","",Y10)</f>
        <v>-0.27460082819609788</v>
      </c>
      <c r="W10" s="585">
        <f t="shared" si="5"/>
        <v>1.9999997112350343E-2</v>
      </c>
      <c r="X10" s="629">
        <f t="shared" ref="X10:X105" si="83">IF(M10="","",R10)</f>
        <v>0.9256027916180195</v>
      </c>
      <c r="Y10" s="630">
        <f>IF(M10="","",S10)</f>
        <v>-0.27460082819609788</v>
      </c>
      <c r="Z10" s="632">
        <f t="shared" si="6"/>
        <v>0.95371696400905348</v>
      </c>
      <c r="AA10" s="629">
        <f t="shared" si="7"/>
        <v>3.9249971863521901E-2</v>
      </c>
      <c r="AB10" s="629">
        <f t="shared" si="8"/>
        <v>-0.29813317874746298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0.95371696400905348</v>
      </c>
      <c r="AE10" s="629">
        <f t="shared" ref="AE10:AE105" si="85">IF(M10="","",AA10*(1/SQRT(Z10^2+AA10^2+AB10^2)))</f>
        <v>3.9249971863521901E-2</v>
      </c>
      <c r="AF10" s="633">
        <f t="shared" ref="AF10:AF105" si="86">IF(M10="","",AB10*(1/SQRT(Z10^2+AA10^2+AB10^2)))</f>
        <v>-0.29813317874746298</v>
      </c>
      <c r="AG10" s="602">
        <f t="shared" ref="AG10:AG105" si="87">IF(M10="","",DEGREES(ATAN2(-AF10,AE10)))</f>
        <v>7.4999989171341355</v>
      </c>
      <c r="AH10" s="603">
        <f t="shared" ref="AH10:AH105" si="88">IF(M10="","",DEGREES(ACOS(AD10)))</f>
        <v>17.499997473312952</v>
      </c>
      <c r="AI10" s="585">
        <f t="shared" ref="AI10:AI105" si="89">IF(M10="","",DEGREES(-ACOS(-AF10)))</f>
        <v>-72.654488038208044</v>
      </c>
      <c r="AJ10" s="586">
        <f t="shared" ref="AJ10:AJ105" si="90">IF(M10="","",DEGREES(ATAN2(-AE10,AD10)))</f>
        <v>92.356662896675928</v>
      </c>
      <c r="AK10" s="635">
        <f>IF(M10="","",(COS(RADIANS((90-$Q$8)-W10))*AD10)+(-SIN(RADIANS((90-$Q$8)-W10))*AE10))</f>
        <v>0.95371696400905348</v>
      </c>
      <c r="AL10" s="629">
        <f t="shared" ref="AL10:AL105" si="91">IF(M10="","",(SIN(RADIANS((90-$Q$8)-W10))*AD10)+(COS(RADIANS((90-$Q$8)-W10))*AE10))</f>
        <v>3.9249971863521901E-2</v>
      </c>
      <c r="AM10" s="634">
        <f t="shared" ref="AM10:AM105" si="92">IF(M10="","",AF10)</f>
        <v>-0.29813317874746298</v>
      </c>
      <c r="AN10" s="581">
        <f t="shared" ref="AN10:AN105" si="93">IF(M10="","",DEGREES(ATAN2(-AM10,AL10)))</f>
        <v>7.4999989171341355</v>
      </c>
      <c r="AO10" s="582">
        <f t="shared" ref="AO10:AO54" si="94">IF(ROUND(IF(M10="",0,DEGREES(ACOS(AK10))),4)=90,0,IF(M10="","",DEGREES(ACOS(AK10))))</f>
        <v>17.499997473312952</v>
      </c>
      <c r="AP10" s="585">
        <f t="shared" ref="AP10:AP105" si="95">IF(M10="","",DEGREES(ATAN2(AK10,AL10)))</f>
        <v>2.3566628966759295</v>
      </c>
      <c r="AQ10" s="586">
        <f t="shared" si="9"/>
        <v>2.4614489023098254</v>
      </c>
      <c r="AS10" s="52">
        <f>IF($M10="","",IF(AND($W10&lt;($AS$9+180),$W10&gt;($AS$9-180)),$W10,IF($W10&gt;($AS$9+180),$W10-360,IF($W10&lt;($AS$9-180),$W10+360,"Error"))))</f>
        <v>1.9999997112350343E-2</v>
      </c>
      <c r="AT10" s="72">
        <f t="shared" si="10"/>
        <v>-0.27460082819609788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1308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1308</v>
      </c>
      <c r="JB10" s="787" cm="1">
        <f t="array" ref="JB10">IF($JA10="","",COUNT(IF(IF($II$9:$II$150="",$IJ$9:$IJ$150,"")=$JA10,$IG$9:$IG$150,"")))</f>
        <v>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1.5555046914021495</v>
      </c>
      <c r="D11" s="709">
        <v>-0.19170057816894379</v>
      </c>
      <c r="E11" s="710">
        <v>-0.95371696400905348</v>
      </c>
      <c r="F11" s="708">
        <v>-3.9249971863521901E-2</v>
      </c>
      <c r="G11" s="711">
        <v>0.29813317874746298</v>
      </c>
      <c r="H11" s="710">
        <v>0.26600000000000001</v>
      </c>
      <c r="I11" s="708">
        <v>0.315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1308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1.5555046914021495</v>
      </c>
      <c r="P11" s="633">
        <f t="shared" si="4"/>
        <v>-0.19170057816894379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1.5555046914021495</v>
      </c>
      <c r="S11" s="634">
        <f t="shared" si="80"/>
        <v>-0.19170057816894379</v>
      </c>
      <c r="T11" s="635">
        <f t="shared" si="81"/>
        <v>1.5555045966354129</v>
      </c>
      <c r="U11" s="629">
        <f t="shared" si="82"/>
        <v>5.4297347848123595E-4</v>
      </c>
      <c r="V11" s="636">
        <f t="shared" ref="V11:V105" si="114">IF(M11="","",Y11)</f>
        <v>-0.19170057816894379</v>
      </c>
      <c r="W11" s="585">
        <f t="shared" si="5"/>
        <v>1.9999997112350343E-2</v>
      </c>
      <c r="X11" s="629">
        <f>IF(M11="","",R11)</f>
        <v>1.5555046914021495</v>
      </c>
      <c r="Y11" s="630">
        <f>IF(M11="","",S11)</f>
        <v>-0.19170057816894379</v>
      </c>
      <c r="Z11" s="632">
        <f t="shared" si="6"/>
        <v>0.95371696400905348</v>
      </c>
      <c r="AA11" s="629">
        <f t="shared" si="7"/>
        <v>3.9249971863521901E-2</v>
      </c>
      <c r="AB11" s="629">
        <f t="shared" si="8"/>
        <v>-0.29813317874746298</v>
      </c>
      <c r="AC11" s="636">
        <f t="shared" si="84"/>
        <v>1</v>
      </c>
      <c r="AD11" s="637">
        <f t="shared" ref="AD11:AD105" si="115">IF(M11="","",Z11*(1/SQRT(Z11^2+AA11^2+AB11^2)))</f>
        <v>0.95371696400905348</v>
      </c>
      <c r="AE11" s="629">
        <f t="shared" si="85"/>
        <v>3.9249971863521901E-2</v>
      </c>
      <c r="AF11" s="633">
        <f t="shared" si="86"/>
        <v>-0.29813317874746298</v>
      </c>
      <c r="AG11" s="602">
        <f>IF(M11="","",DEGREES(ATAN2(-AF11,AE11)))</f>
        <v>7.4999989171341355</v>
      </c>
      <c r="AH11" s="603">
        <f t="shared" si="88"/>
        <v>17.499997473312952</v>
      </c>
      <c r="AI11" s="585">
        <f t="shared" si="89"/>
        <v>-72.654488038208044</v>
      </c>
      <c r="AJ11" s="586">
        <f t="shared" si="90"/>
        <v>92.356662896675928</v>
      </c>
      <c r="AK11" s="635">
        <f>IF(M11="","",(COS(RADIANS((90-$Q$8)-W11))*AD11)+(-SIN(RADIANS((90-$Q$8)-W11))*AE11))</f>
        <v>0.95371696400905348</v>
      </c>
      <c r="AL11" s="629">
        <f t="shared" si="91"/>
        <v>3.9249971863521901E-2</v>
      </c>
      <c r="AM11" s="634">
        <f t="shared" si="92"/>
        <v>-0.29813317874746298</v>
      </c>
      <c r="AN11" s="581">
        <f>IF(M11="","",DEGREES(ATAN2(-AM11,AL11)))</f>
        <v>7.4999989171341355</v>
      </c>
      <c r="AO11" s="582">
        <f>IF(ROUND(IF(M11="",0,DEGREES(ACOS(AK11))),4)=90,0,IF(M11="","",DEGREES(ACOS(AK11))))</f>
        <v>17.499997473312952</v>
      </c>
      <c r="AP11" s="585">
        <f t="shared" si="95"/>
        <v>2.3566628966759295</v>
      </c>
      <c r="AQ11" s="586">
        <f t="shared" si="9"/>
        <v>1.4652669519180803</v>
      </c>
      <c r="AS11" s="52">
        <f t="shared" ref="AS11:AS42" si="116">IF(G11="","",IF(AND(W11&lt;(AS10+180),W11&gt;(AS10-180)),W11,IF(W11&gt;(AS10+180),W11-360,IF(W11&lt;(AS10-180),W11+360,"Error"))))</f>
        <v>1.9999997112350343E-2</v>
      </c>
      <c r="AT11" s="72">
        <f t="shared" si="10"/>
        <v>-0.19170057816894379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1308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7.6281577790128573E-4</v>
      </c>
      <c r="C12" s="708">
        <v>2.1853064577482275</v>
      </c>
      <c r="D12" s="709">
        <v>-0.10900032874499153</v>
      </c>
      <c r="E12" s="710">
        <v>-0.95372079622608763</v>
      </c>
      <c r="F12" s="708">
        <v>-1.1894412769018019E-2</v>
      </c>
      <c r="G12" s="711">
        <v>0.30045825964808759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7.6281577790128573E-4</v>
      </c>
      <c r="O12" s="629">
        <f t="shared" si="3"/>
        <v>2.1853064577482275</v>
      </c>
      <c r="P12" s="633">
        <f t="shared" si="4"/>
        <v>-0.10900032874499153</v>
      </c>
      <c r="Q12" s="585">
        <f>IF(M12="","",IF(DEGREES(ATAN2(N12,O12))&lt;0,DEGREES(ATAN2(N12,O12))+360,IF(DEGREES(ATAN2(N12,O12))&gt;360,DEGREES(ATAN2(N12,O12))-360,DEGREES(ATAN2(N12,O12)))))</f>
        <v>89.98000000288765</v>
      </c>
      <c r="R12" s="629">
        <f t="shared" si="79"/>
        <v>2.1853065908846787</v>
      </c>
      <c r="S12" s="634">
        <f t="shared" si="80"/>
        <v>-0.10900032874499153</v>
      </c>
      <c r="T12" s="635">
        <f>IF(M12="","",X12*COS(RADIANS(W12)))</f>
        <v>2.1853065908846787</v>
      </c>
      <c r="U12" s="629">
        <f t="shared" si="82"/>
        <v>0</v>
      </c>
      <c r="V12" s="636">
        <f t="shared" si="114"/>
        <v>-0.10900032874499153</v>
      </c>
      <c r="W12" s="585">
        <f>IF(M12="","",IF(Q12-$Q$8&lt;0,360+Q12-$Q$8,Q12-$Q$8))</f>
        <v>0</v>
      </c>
      <c r="X12" s="629">
        <f t="shared" si="83"/>
        <v>2.1853065908846787</v>
      </c>
      <c r="Y12" s="630">
        <f>IF(M12="","",S12)</f>
        <v>-0.10900032874499153</v>
      </c>
      <c r="Z12" s="632">
        <f t="shared" si="6"/>
        <v>0.95372079622608763</v>
      </c>
      <c r="AA12" s="629">
        <f t="shared" si="7"/>
        <v>1.1894412769018019E-2</v>
      </c>
      <c r="AB12" s="629">
        <f t="shared" si="8"/>
        <v>-0.30045825964808759</v>
      </c>
      <c r="AC12" s="636">
        <f t="shared" si="84"/>
        <v>1</v>
      </c>
      <c r="AD12" s="637">
        <f t="shared" si="115"/>
        <v>0.95372079622608763</v>
      </c>
      <c r="AE12" s="629">
        <f t="shared" si="85"/>
        <v>1.1894412769018019E-2</v>
      </c>
      <c r="AF12" s="633">
        <f t="shared" si="86"/>
        <v>-0.30045825964808759</v>
      </c>
      <c r="AG12" s="602">
        <f t="shared" si="87"/>
        <v>2.2670169783732237</v>
      </c>
      <c r="AH12" s="603">
        <f t="shared" si="88"/>
        <v>17.499267276785666</v>
      </c>
      <c r="AI12" s="585">
        <f t="shared" si="89"/>
        <v>-72.514870668778613</v>
      </c>
      <c r="AJ12" s="586">
        <f t="shared" si="90"/>
        <v>90.714532307405747</v>
      </c>
      <c r="AK12" s="635">
        <f t="shared" ref="AK12:AK105" si="211">IF(M12="","",(COS(RADIANS((90-$Q$8)-W12))*AD12)+(-SIN(RADIANS((90-$Q$8)-W12))*AE12))</f>
        <v>0.95371658618948707</v>
      </c>
      <c r="AL12" s="629">
        <f>IF(M12="","",(SIN(RADIANS((90-$Q$8)-W12))*AD12)+(COS(RADIANS((90-$Q$8)-W12))*AE12))</f>
        <v>1.2227323350319641E-2</v>
      </c>
      <c r="AM12" s="634">
        <f t="shared" si="92"/>
        <v>-0.30045825964808759</v>
      </c>
      <c r="AN12" s="581">
        <f>IF(M12="","",DEGREES(ATAN2(-AM12,AL12)))</f>
        <v>2.330399104679302</v>
      </c>
      <c r="AO12" s="582">
        <f t="shared" si="94"/>
        <v>17.500069462035832</v>
      </c>
      <c r="AP12" s="585">
        <f t="shared" si="95"/>
        <v>0.73453230451810647</v>
      </c>
      <c r="AQ12" s="586">
        <f t="shared" si="9"/>
        <v>1.0430915162224494</v>
      </c>
      <c r="AS12" s="52">
        <f t="shared" si="116"/>
        <v>0</v>
      </c>
      <c r="AT12" s="72">
        <f>IF(M12="","",Y12+(((AS12-$AS$9)*$AS$6)*-1))</f>
        <v>-0.10898643985810796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1.7881250759745088E-2</v>
      </c>
      <c r="C13" s="708">
        <v>2.8458524074775631</v>
      </c>
      <c r="D13" s="709">
        <v>-0.1670005036735191</v>
      </c>
      <c r="E13" s="710">
        <v>-0.95240874064268588</v>
      </c>
      <c r="F13" s="708">
        <v>0.11215230358065845</v>
      </c>
      <c r="G13" s="711">
        <v>0.28344214850470817</v>
      </c>
      <c r="H13" s="710">
        <v>0.26600000000000001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1.115</v>
      </c>
      <c r="N13" s="632">
        <f t="shared" si="2"/>
        <v>1.7881250759745088E-2</v>
      </c>
      <c r="O13" s="629">
        <f t="shared" si="3"/>
        <v>2.8458524074775631</v>
      </c>
      <c r="P13" s="633">
        <f t="shared" si="4"/>
        <v>-0.1670005036735191</v>
      </c>
      <c r="Q13" s="585">
        <f t="shared" si="113"/>
        <v>89.640000051977566</v>
      </c>
      <c r="R13" s="629">
        <f t="shared" si="79"/>
        <v>2.8459085832602873</v>
      </c>
      <c r="S13" s="634">
        <f t="shared" si="80"/>
        <v>-0.1670005036735191</v>
      </c>
      <c r="T13" s="635">
        <f>IF(M13="","",X13*COS(RADIANS(W13)))</f>
        <v>2.8458584758313461</v>
      </c>
      <c r="U13" s="629">
        <f t="shared" si="82"/>
        <v>-1.6887859943235838E-2</v>
      </c>
      <c r="V13" s="636">
        <f t="shared" si="114"/>
        <v>-0.1670005036735191</v>
      </c>
      <c r="W13" s="585">
        <f t="shared" si="5"/>
        <v>359.66000004908989</v>
      </c>
      <c r="X13" s="629">
        <f t="shared" si="83"/>
        <v>2.8459085832602873</v>
      </c>
      <c r="Y13" s="630">
        <f>IF(M13="","",S13)</f>
        <v>-0.1670005036735191</v>
      </c>
      <c r="Z13" s="632">
        <f t="shared" si="6"/>
        <v>0.95240874064268588</v>
      </c>
      <c r="AA13" s="629">
        <f t="shared" si="7"/>
        <v>-0.11215230358065845</v>
      </c>
      <c r="AB13" s="629">
        <f t="shared" si="8"/>
        <v>-0.28344214850470817</v>
      </c>
      <c r="AC13" s="636">
        <f t="shared" si="84"/>
        <v>1</v>
      </c>
      <c r="AD13" s="637">
        <f>IF(M13="","",Z13*(1/SQRT(Z13^2+AA13^2+AB13^2)))</f>
        <v>0.95240874064268588</v>
      </c>
      <c r="AE13" s="629">
        <f t="shared" si="85"/>
        <v>-0.11215230358065845</v>
      </c>
      <c r="AF13" s="633">
        <f t="shared" si="86"/>
        <v>-0.28344214850470817</v>
      </c>
      <c r="AG13" s="602">
        <f>IF(M13="","",DEGREES(ATAN2(-AF13,AE13)))</f>
        <v>-21.587699773027339</v>
      </c>
      <c r="AH13" s="603">
        <f t="shared" si="88"/>
        <v>17.747567724983917</v>
      </c>
      <c r="AI13" s="585">
        <f t="shared" si="89"/>
        <v>-73.534249209216924</v>
      </c>
      <c r="AJ13" s="586">
        <f t="shared" si="90"/>
        <v>83.283979324026234</v>
      </c>
      <c r="AK13" s="635">
        <f t="shared" si="211"/>
        <v>0.9530946098826929</v>
      </c>
      <c r="AL13" s="629">
        <f t="shared" si="91"/>
        <v>-0.1061659694233166</v>
      </c>
      <c r="AM13" s="634">
        <f t="shared" si="92"/>
        <v>-0.28344214850470817</v>
      </c>
      <c r="AN13" s="581">
        <f t="shared" si="93"/>
        <v>-20.533918402128641</v>
      </c>
      <c r="AO13" s="582">
        <f t="shared" si="94"/>
        <v>17.618192816068284</v>
      </c>
      <c r="AP13" s="585">
        <f t="shared" si="95"/>
        <v>-6.3560207279513161</v>
      </c>
      <c r="AQ13" s="586">
        <f t="shared" si="9"/>
        <v>0.8010018747547748</v>
      </c>
      <c r="AS13" s="52">
        <f t="shared" si="116"/>
        <v>-0.33999995091011215</v>
      </c>
      <c r="AT13" s="72">
        <f t="shared" si="10"/>
        <v>-0.16675050370961461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5.1508953722814915E-2</v>
      </c>
      <c r="C14" s="708">
        <v>3.4314237727781816</v>
      </c>
      <c r="D14" s="709">
        <v>-0.48320145733559533</v>
      </c>
      <c r="E14" s="710">
        <v>-0.92848253576103068</v>
      </c>
      <c r="F14" s="708">
        <v>0.24596424517698567</v>
      </c>
      <c r="G14" s="711">
        <v>0.27824767902227338</v>
      </c>
      <c r="H14" s="710">
        <v>0.26600000000000001</v>
      </c>
      <c r="I14" s="708">
        <v>0.52</v>
      </c>
      <c r="J14" s="570">
        <v>1.1200000000000001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1.1200000000000001</v>
      </c>
      <c r="N14" s="632">
        <f t="shared" si="2"/>
        <v>5.1508953722814915E-2</v>
      </c>
      <c r="O14" s="629">
        <f t="shared" si="3"/>
        <v>3.4314237727781816</v>
      </c>
      <c r="P14" s="633">
        <f t="shared" si="4"/>
        <v>-0.48320145733559533</v>
      </c>
      <c r="Q14" s="585">
        <f t="shared" si="113"/>
        <v>89.140000124168623</v>
      </c>
      <c r="R14" s="629">
        <f t="shared" si="79"/>
        <v>3.4318103503400166</v>
      </c>
      <c r="S14" s="634">
        <f t="shared" si="80"/>
        <v>-0.48320145733559533</v>
      </c>
      <c r="T14" s="635">
        <f t="shared" si="81"/>
        <v>3.4314415437377259</v>
      </c>
      <c r="U14" s="629">
        <f t="shared" si="82"/>
        <v>-5.0311157924653321E-2</v>
      </c>
      <c r="V14" s="636">
        <f t="shared" si="114"/>
        <v>-0.48320145733559533</v>
      </c>
      <c r="W14" s="585">
        <f t="shared" si="5"/>
        <v>359.16000012128097</v>
      </c>
      <c r="X14" s="629">
        <f t="shared" si="83"/>
        <v>3.4318103503400166</v>
      </c>
      <c r="Y14" s="630">
        <f t="shared" ref="Y14:Y75" si="223">IF(M14="","",S14)</f>
        <v>-0.48320145733559533</v>
      </c>
      <c r="Z14" s="632">
        <f t="shared" si="6"/>
        <v>0.92848253576103068</v>
      </c>
      <c r="AA14" s="629">
        <f t="shared" si="7"/>
        <v>-0.24596424517698567</v>
      </c>
      <c r="AB14" s="629">
        <f t="shared" si="8"/>
        <v>-0.27824767902227338</v>
      </c>
      <c r="AC14" s="636">
        <f t="shared" si="84"/>
        <v>1</v>
      </c>
      <c r="AD14" s="637">
        <f>IF(M14="","",Z14*(1/SQRT(Z14^2+AA14^2+AB14^2)))</f>
        <v>0.92848253576103068</v>
      </c>
      <c r="AE14" s="629">
        <f t="shared" si="85"/>
        <v>-0.24596424517698567</v>
      </c>
      <c r="AF14" s="633">
        <f t="shared" si="86"/>
        <v>-0.27824767902227338</v>
      </c>
      <c r="AG14" s="602">
        <f t="shared" si="87"/>
        <v>-41.475907383200379</v>
      </c>
      <c r="AH14" s="603">
        <f t="shared" si="88"/>
        <v>21.800507758540498</v>
      </c>
      <c r="AI14" s="585">
        <f t="shared" si="89"/>
        <v>-73.844351479381672</v>
      </c>
      <c r="AJ14" s="586">
        <f t="shared" si="90"/>
        <v>75.162594961598643</v>
      </c>
      <c r="AK14" s="635">
        <f>IF(M14="","",(COS(RADIANS((90-$Q$8)-W14))*AD14)+(-SIN(RADIANS((90-$Q$8)-W14))*AE14))</f>
        <v>0.93206968923126476</v>
      </c>
      <c r="AL14" s="629">
        <f t="shared" si="91"/>
        <v>-0.23200069727277037</v>
      </c>
      <c r="AM14" s="634">
        <f t="shared" si="92"/>
        <v>-0.27824767902227338</v>
      </c>
      <c r="AN14" s="581">
        <f t="shared" si="93"/>
        <v>-39.821077934926123</v>
      </c>
      <c r="AO14" s="582">
        <f t="shared" si="94"/>
        <v>21.240225089787199</v>
      </c>
      <c r="AP14" s="585">
        <f>IF(M14="","",DEGREES(ATAN2(AK14,AL14)))</f>
        <v>-13.977405162569998</v>
      </c>
      <c r="AQ14" s="586">
        <f t="shared" si="9"/>
        <v>0.66426295692630721</v>
      </c>
      <c r="AS14" s="52">
        <f t="shared" si="116"/>
        <v>-0.83999987871902704</v>
      </c>
      <c r="AT14" s="72">
        <f t="shared" si="10"/>
        <v>-0.48260423519960133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1.1200000000000001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8.5931435369785744E-2</v>
      </c>
      <c r="C15" s="708">
        <v>3.8458516988532461</v>
      </c>
      <c r="D15" s="709">
        <v>-1.0114030503916001</v>
      </c>
      <c r="E15" s="710">
        <v>-0.88803503553497165</v>
      </c>
      <c r="F15" s="708">
        <v>0.39157887694608112</v>
      </c>
      <c r="G15" s="711">
        <v>0.24095592707391017</v>
      </c>
      <c r="H15" s="710">
        <v>0.26600000000000001</v>
      </c>
      <c r="I15" s="708">
        <v>0.52</v>
      </c>
      <c r="J15" s="570">
        <v>1.125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 t="str">
        <f>IF($L14=$JH$22,$JH$29,IF($L14=$JI$22,$JI$29,""))</f>
        <v/>
      </c>
      <c r="M15" s="168">
        <f t="shared" si="1"/>
        <v>1.125</v>
      </c>
      <c r="N15" s="632">
        <f t="shared" si="2"/>
        <v>8.5931435369785744E-2</v>
      </c>
      <c r="O15" s="629">
        <f t="shared" si="3"/>
        <v>3.8458516988532461</v>
      </c>
      <c r="P15" s="633">
        <f t="shared" si="4"/>
        <v>-1.0114030503916001</v>
      </c>
      <c r="Q15" s="585">
        <f t="shared" si="113"/>
        <v>88.720000184809109</v>
      </c>
      <c r="R15" s="629">
        <f t="shared" si="79"/>
        <v>3.8468116019837924</v>
      </c>
      <c r="S15" s="634">
        <f t="shared" si="80"/>
        <v>-1.0114030503916001</v>
      </c>
      <c r="T15" s="635">
        <f t="shared" si="81"/>
        <v>3.8458814602752551</v>
      </c>
      <c r="U15" s="629">
        <f t="shared" si="82"/>
        <v>-8.4588974861867963E-2</v>
      </c>
      <c r="V15" s="636">
        <f t="shared" si="114"/>
        <v>-1.0114030503916001</v>
      </c>
      <c r="W15" s="585">
        <f t="shared" ref="W15:W78" si="224">IF(M15="","",IF(Q15-$Q$8&lt;0,360+Q15-$Q$8,Q15-$Q$8))</f>
        <v>358.74000018192146</v>
      </c>
      <c r="X15" s="629">
        <f>IF(M15="","",R15)</f>
        <v>3.8468116019837924</v>
      </c>
      <c r="Y15" s="630">
        <f>IF(M15="","",S15)</f>
        <v>-1.0114030503916001</v>
      </c>
      <c r="Z15" s="632">
        <f t="shared" si="6"/>
        <v>0.88803503553497165</v>
      </c>
      <c r="AA15" s="629">
        <f t="shared" si="7"/>
        <v>-0.39157887694608112</v>
      </c>
      <c r="AB15" s="629">
        <f t="shared" si="8"/>
        <v>-0.24095592707391017</v>
      </c>
      <c r="AC15" s="636">
        <f t="shared" si="84"/>
        <v>1</v>
      </c>
      <c r="AD15" s="637">
        <f t="shared" si="115"/>
        <v>0.88803503553497165</v>
      </c>
      <c r="AE15" s="629">
        <f t="shared" si="85"/>
        <v>-0.39157887694608112</v>
      </c>
      <c r="AF15" s="633">
        <f t="shared" si="86"/>
        <v>-0.24095592707391017</v>
      </c>
      <c r="AG15" s="602">
        <f t="shared" si="87"/>
        <v>-58.394162895691004</v>
      </c>
      <c r="AH15" s="603">
        <f t="shared" si="88"/>
        <v>27.3726404897408</v>
      </c>
      <c r="AI15" s="585">
        <f t="shared" si="89"/>
        <v>-76.057033191157785</v>
      </c>
      <c r="AJ15" s="586">
        <f t="shared" si="90"/>
        <v>66.204928399177547</v>
      </c>
      <c r="AK15" s="635">
        <f t="shared" si="211"/>
        <v>0.89656066942068291</v>
      </c>
      <c r="AL15" s="629">
        <f t="shared" si="91"/>
        <v>-0.37164392535852026</v>
      </c>
      <c r="AM15" s="634">
        <f t="shared" si="92"/>
        <v>-0.24095592707391017</v>
      </c>
      <c r="AN15" s="581">
        <f>IF(M15="","",DEGREES(ATAN2(-AM15,AL15)))</f>
        <v>-57.042577805651369</v>
      </c>
      <c r="AO15" s="582">
        <f t="shared" si="94"/>
        <v>26.290398146183332</v>
      </c>
      <c r="AP15" s="585">
        <f t="shared" si="95"/>
        <v>-22.515071785631573</v>
      </c>
      <c r="AQ15" s="586">
        <f t="shared" si="9"/>
        <v>0.59260644269034457</v>
      </c>
      <c r="AS15" s="52">
        <f t="shared" si="116"/>
        <v>-1.2599998180785406</v>
      </c>
      <c r="AT15" s="72">
        <f t="shared" si="10"/>
        <v>-1.0105141616310509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0.10232415669899093</v>
      </c>
      <c r="C16" s="708">
        <v>4.014708339722346</v>
      </c>
      <c r="D16" s="709">
        <v>-1.6700050367351909</v>
      </c>
      <c r="E16" s="710">
        <v>-0.8509341308863938</v>
      </c>
      <c r="F16" s="708">
        <v>0.50568114868643543</v>
      </c>
      <c r="G16" s="711">
        <v>0.14211854472863444</v>
      </c>
      <c r="H16" s="710">
        <v>0.26600000000000001</v>
      </c>
      <c r="I16" s="708">
        <v>0.52</v>
      </c>
      <c r="J16" s="570">
        <v>1.1299999999999999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1.1299999999999999</v>
      </c>
      <c r="N16" s="632">
        <f t="shared" si="2"/>
        <v>0.10232415669899093</v>
      </c>
      <c r="O16" s="629">
        <f t="shared" si="3"/>
        <v>4.014708339722346</v>
      </c>
      <c r="P16" s="633">
        <f t="shared" si="4"/>
        <v>-1.6700050367351909</v>
      </c>
      <c r="Q16" s="585">
        <f>IF(M16="","",IF(DEGREES(ATAN2(N16,O16))&lt;0,DEGREES(ATAN2(N16,O16))+360,IF(DEGREES(ATAN2(N16,O16))&gt;360,DEGREES(ATAN2(N16,O16))-360,DEGREES(ATAN2(N16,O16)))))</f>
        <v>88.540000210797885</v>
      </c>
      <c r="R16" s="629">
        <f t="shared" si="79"/>
        <v>4.0160121122925307</v>
      </c>
      <c r="S16" s="634">
        <f t="shared" si="80"/>
        <v>-1.6700050367351909</v>
      </c>
      <c r="T16" s="635">
        <f t="shared" si="81"/>
        <v>4.0147438129952917</v>
      </c>
      <c r="U16" s="629">
        <f t="shared" si="82"/>
        <v>-0.10092275311514026</v>
      </c>
      <c r="V16" s="636">
        <f t="shared" si="114"/>
        <v>-1.6700050367351909</v>
      </c>
      <c r="W16" s="585">
        <f>IF(M16="","",IF(Q16-$Q$8&lt;0,360+Q16-$Q$8,Q16-$Q$8))</f>
        <v>358.56000020791021</v>
      </c>
      <c r="X16" s="629">
        <f t="shared" si="83"/>
        <v>4.0160121122925307</v>
      </c>
      <c r="Y16" s="630">
        <f t="shared" si="223"/>
        <v>-1.6700050367351909</v>
      </c>
      <c r="Z16" s="632">
        <f t="shared" si="6"/>
        <v>0.8509341308863938</v>
      </c>
      <c r="AA16" s="629">
        <f t="shared" si="7"/>
        <v>-0.50568114868643543</v>
      </c>
      <c r="AB16" s="629">
        <f t="shared" si="8"/>
        <v>-0.14211854472863444</v>
      </c>
      <c r="AC16" s="636">
        <f t="shared" si="84"/>
        <v>1</v>
      </c>
      <c r="AD16" s="637">
        <f t="shared" si="115"/>
        <v>0.8509341308863938</v>
      </c>
      <c r="AE16" s="629">
        <f t="shared" si="85"/>
        <v>-0.50568114868643543</v>
      </c>
      <c r="AF16" s="633">
        <f t="shared" si="86"/>
        <v>-0.14211854472863444</v>
      </c>
      <c r="AG16" s="602">
        <f t="shared" si="87"/>
        <v>-74.302311839980504</v>
      </c>
      <c r="AH16" s="603">
        <f t="shared" si="88"/>
        <v>31.686583582416496</v>
      </c>
      <c r="AI16" s="585">
        <f t="shared" si="89"/>
        <v>-81.829544101232926</v>
      </c>
      <c r="AJ16" s="586">
        <f t="shared" si="90"/>
        <v>59.278427451013215</v>
      </c>
      <c r="AK16" s="635">
        <f t="shared" si="211"/>
        <v>0.86354215374669563</v>
      </c>
      <c r="AL16" s="629">
        <f t="shared" si="91"/>
        <v>-0.48383599281857226</v>
      </c>
      <c r="AM16" s="634">
        <f t="shared" si="92"/>
        <v>-0.14211854472863444</v>
      </c>
      <c r="AN16" s="581">
        <f t="shared" si="93"/>
        <v>-73.630751532928699</v>
      </c>
      <c r="AO16" s="582">
        <f t="shared" si="94"/>
        <v>30.283347134293784</v>
      </c>
      <c r="AP16" s="585">
        <f t="shared" si="95"/>
        <v>-29.261572759784656</v>
      </c>
      <c r="AQ16" s="586">
        <f t="shared" si="9"/>
        <v>0.56764072933204379</v>
      </c>
      <c r="AS16" s="52">
        <f t="shared" si="116"/>
        <v>-1.4399997920897931</v>
      </c>
      <c r="AT16" s="72">
        <f t="shared" si="10"/>
        <v>-1.6689911479926893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1.1299999999999999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7.1129405782167171E-2</v>
      </c>
      <c r="C17" s="708">
        <v>4.0536882277954884</v>
      </c>
      <c r="D17" s="709">
        <v>-2.3580071117494494</v>
      </c>
      <c r="E17" s="710">
        <v>-0.79779529866412191</v>
      </c>
      <c r="F17" s="708">
        <v>0.5960272603770671</v>
      </c>
      <c r="G17" s="711">
        <v>9.0962444540769349E-2</v>
      </c>
      <c r="H17" s="710">
        <v>0.26600000000000001</v>
      </c>
      <c r="I17" s="708">
        <v>0.52</v>
      </c>
      <c r="J17" s="570">
        <v>1.135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1.135</v>
      </c>
      <c r="N17" s="632">
        <f t="shared" si="2"/>
        <v>7.1129405782167171E-2</v>
      </c>
      <c r="O17" s="629">
        <f t="shared" si="3"/>
        <v>4.0536882277954884</v>
      </c>
      <c r="P17" s="633">
        <f t="shared" si="4"/>
        <v>-2.3580071117494494</v>
      </c>
      <c r="Q17" s="585">
        <f>IF(M17="","",IF(DEGREES(ATAN2(N17,O17))&lt;0,DEGREES(ATAN2(N17,O17))+360,IF(DEGREES(ATAN2(N17,O17))&gt;360,DEGREES(ATAN2(N17,O17))-360,DEGREES(ATAN2(N17,O17)))))</f>
        <v>88.994743468905241</v>
      </c>
      <c r="R17" s="629">
        <f>IF(M17="","",SQRT(N17^2+O17^2))</f>
        <v>4.0543122278056796</v>
      </c>
      <c r="S17" s="634">
        <f>IF(M17="","",P17)</f>
        <v>-2.3580071117494494</v>
      </c>
      <c r="T17" s="635">
        <f>IF(M17="","",X17*COS(RADIANS(W17)))</f>
        <v>4.0537128096731809</v>
      </c>
      <c r="U17" s="629">
        <f>IF(M17="","",X17*SIN(RADIANS(W17)))</f>
        <v>-6.9714397553268914E-2</v>
      </c>
      <c r="V17" s="636">
        <f>IF(M17="","",Y17)</f>
        <v>-2.3580071117494494</v>
      </c>
      <c r="W17" s="585">
        <f t="shared" si="224"/>
        <v>359.01474346601759</v>
      </c>
      <c r="X17" s="629">
        <f>IF(M17="","",R17)</f>
        <v>4.0543122278056796</v>
      </c>
      <c r="Y17" s="630">
        <f t="shared" si="223"/>
        <v>-2.3580071117494494</v>
      </c>
      <c r="Z17" s="632">
        <f t="shared" si="6"/>
        <v>0.79779529866412191</v>
      </c>
      <c r="AA17" s="629">
        <f t="shared" si="7"/>
        <v>-0.5960272603770671</v>
      </c>
      <c r="AB17" s="629">
        <f t="shared" si="8"/>
        <v>-9.0962444540769349E-2</v>
      </c>
      <c r="AC17" s="636">
        <f>IF(M17="","",SQRT(Z17^2+AA17^2+AB17^2))</f>
        <v>1</v>
      </c>
      <c r="AD17" s="637">
        <f>IF(M17="","",Z17*(1/SQRT(Z17^2+AA17^2+AB17^2)))</f>
        <v>0.79779529866412191</v>
      </c>
      <c r="AE17" s="629">
        <f>IF(M17="","",AA17*(1/SQRT(Z17^2+AA17^2+AB17^2)))</f>
        <v>-0.5960272603770671</v>
      </c>
      <c r="AF17" s="633">
        <f>IF(M17="","",AB17*(1/SQRT(Z17^2+AA17^2+AB17^2)))</f>
        <v>-9.0962444540769349E-2</v>
      </c>
      <c r="AG17" s="602">
        <f>IF(M17="","",DEGREES(ATAN2(-AF17,AE17)))</f>
        <v>-81.322783425608307</v>
      </c>
      <c r="AH17" s="603">
        <f>IF(M17="","",DEGREES(ACOS(AD17)))</f>
        <v>37.07991835809802</v>
      </c>
      <c r="AI17" s="585">
        <f>IF(M17="","",DEGREES(-ACOS(-AF17)))</f>
        <v>-84.781021773305667</v>
      </c>
      <c r="AJ17" s="586">
        <f>IF(M17="","",DEGREES(ATAN2(-AE17,AD17)))</f>
        <v>53.236849878173892</v>
      </c>
      <c r="AK17" s="635">
        <f>IF(M17="","",(COS(RADIANS((90-$Q$8)-W17))*AD17)+(-SIN(RADIANS((90-$Q$8)-W17))*AE17))</f>
        <v>0.80812929324370864</v>
      </c>
      <c r="AL17" s="629">
        <f>IF(M17="","",(SIN(RADIANS((90-$Q$8)-W17))*AD17)+(COS(RADIANS((90-$Q$8)-W17))*AE17))</f>
        <v>-0.58193889634960083</v>
      </c>
      <c r="AM17" s="634">
        <f>IF(M17="","",AF17)</f>
        <v>-9.0962444540769349E-2</v>
      </c>
      <c r="AN17" s="581">
        <f>IF(M17="","",DEGREES(ATAN2(-AM17,AL17)))</f>
        <v>-81.116025845981014</v>
      </c>
      <c r="AO17" s="582">
        <f t="shared" si="94"/>
        <v>36.086441084708113</v>
      </c>
      <c r="AP17" s="585">
        <f>IF(M17="","",DEGREES(ATAN2(AK17,AL17)))</f>
        <v>-35.757893590731371</v>
      </c>
      <c r="AQ17" s="586">
        <f t="shared" si="9"/>
        <v>0.56227870938925284</v>
      </c>
      <c r="AS17" s="52">
        <f t="shared" si="116"/>
        <v>-0.9852565339824082</v>
      </c>
      <c r="AT17" s="72">
        <f t="shared" si="10"/>
        <v>-2.3573090169361892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0.66747295132512263</v>
      </c>
      <c r="C18" s="708">
        <v>0.69969197454975174</v>
      </c>
      <c r="D18" s="709">
        <v>-7.669999999999938E-2</v>
      </c>
      <c r="E18" s="710">
        <v>-1.6410193326446345E-7</v>
      </c>
      <c r="F18" s="708">
        <v>1.5654545870699256E-7</v>
      </c>
      <c r="G18" s="711">
        <v>0.99999999999997435</v>
      </c>
      <c r="H18" s="710">
        <v>0.19500000000000001</v>
      </c>
      <c r="I18" s="708">
        <v>0.438</v>
      </c>
      <c r="J18" s="570">
        <v>1.2030000000000001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Undefined</v>
      </c>
      <c r="L18" s="779" t="s">
        <v>331</v>
      </c>
      <c r="M18" s="168">
        <f t="shared" si="1"/>
        <v>1.2030000000000001</v>
      </c>
      <c r="N18" s="632">
        <f t="shared" si="2"/>
        <v>0.66747295132512263</v>
      </c>
      <c r="O18" s="629">
        <f t="shared" si="3"/>
        <v>0.69969197454975174</v>
      </c>
      <c r="P18" s="633">
        <f t="shared" si="4"/>
        <v>-7.669999999999938E-2</v>
      </c>
      <c r="Q18" s="585">
        <f t="shared" si="113"/>
        <v>46.349999834717188</v>
      </c>
      <c r="R18" s="629">
        <f>IF(M18="","",SQRT(N18^2+O18^2))</f>
        <v>0.96699999999999997</v>
      </c>
      <c r="S18" s="634">
        <f>IF(M18="","",P18)</f>
        <v>-7.669999999999938E-2</v>
      </c>
      <c r="T18" s="635">
        <f>IF(M18="","",X18*COS(RADIANS(W18)))</f>
        <v>0.6999249238970926</v>
      </c>
      <c r="U18" s="629">
        <f>IF(M18="","",X18*SIN(RADIANS(W18)))</f>
        <v>-0.66722867212646753</v>
      </c>
      <c r="V18" s="636">
        <f>IF(M18="","",Y18)</f>
        <v>-7.669999999999938E-2</v>
      </c>
      <c r="W18" s="585">
        <f t="shared" si="224"/>
        <v>316.36999983182955</v>
      </c>
      <c r="X18" s="629">
        <f>IF(M18="","",R18)</f>
        <v>0.96699999999999997</v>
      </c>
      <c r="Y18" s="630">
        <f t="shared" si="223"/>
        <v>-7.669999999999938E-2</v>
      </c>
      <c r="Z18" s="632">
        <f t="shared" si="6"/>
        <v>1.6410193326446345E-7</v>
      </c>
      <c r="AA18" s="629">
        <f t="shared" si="7"/>
        <v>-1.5654545870699256E-7</v>
      </c>
      <c r="AB18" s="629">
        <f t="shared" si="8"/>
        <v>-0.99999999999997435</v>
      </c>
      <c r="AC18" s="636">
        <f>IF(M18="","",SQRT(Z18^2+AA18^2+AB18^2))</f>
        <v>1</v>
      </c>
      <c r="AD18" s="637">
        <f>IF(M18="","",Z18*(1/SQRT(Z18^2+AA18^2+AB18^2)))</f>
        <v>1.6410193326446345E-7</v>
      </c>
      <c r="AE18" s="629">
        <f>IF(M18="","",AA18*(1/SQRT(Z18^2+AA18^2+AB18^2)))</f>
        <v>-1.5654545870699256E-7</v>
      </c>
      <c r="AF18" s="633">
        <f>IF(M18="","",AB18*(1/SQRT(Z18^2+AA18^2+AB18^2)))</f>
        <v>-0.99999999999997435</v>
      </c>
      <c r="AG18" s="602">
        <f>IF(M18="","",DEGREES(ATAN2(-AF18,AE18)))</f>
        <v>-8.9693940858503377E-6</v>
      </c>
      <c r="AH18" s="603">
        <f>IF(M18="","",DEGREES(ACOS(AD18)))</f>
        <v>89.999990597651802</v>
      </c>
      <c r="AI18" s="585">
        <f>IF(M18="","",DEGREES(-ACOS(-AF18)))</f>
        <v>-1.2976235990044085E-5</v>
      </c>
      <c r="AJ18" s="586">
        <f>IF(M18="","",DEGREES(ATAN2(-AE18,AD18)))</f>
        <v>46.349999992696802</v>
      </c>
      <c r="AK18" s="635">
        <f>IF(M18="","",(COS(RADIANS((90-$Q$8)-W18))*AD18)+(-SIN(RADIANS((90-$Q$8)-W18))*AE18))</f>
        <v>2.2679489664213595E-7</v>
      </c>
      <c r="AL18" s="629">
        <f>IF(M18="","",(SIN(RADIANS((90-$Q$8)-W18))*AD18)+(COS(RADIANS((90-$Q$8)-W18))*AE18))</f>
        <v>6.2533338914126695E-16</v>
      </c>
      <c r="AM18" s="634">
        <f>IF(M18="","",AF18)</f>
        <v>-0.99999999999997435</v>
      </c>
      <c r="AN18" s="581">
        <f>IF(M18="","",DEGREES(ATAN2(-AM18,AL18)))</f>
        <v>3.582896398640746E-14</v>
      </c>
      <c r="AO18" s="582">
        <f t="shared" si="94"/>
        <v>0</v>
      </c>
      <c r="AP18" s="585">
        <f>IF(M18="","",DEGREES(ATAN2(AK18,AL18)))</f>
        <v>1.5797958647606499E-7</v>
      </c>
      <c r="AQ18" s="586">
        <f t="shared" si="9"/>
        <v>2.3561958436685684</v>
      </c>
      <c r="AS18" s="52">
        <f t="shared" si="116"/>
        <v>-43.630000168170454</v>
      </c>
      <c r="AT18" s="72">
        <f t="shared" si="10"/>
        <v>-4.6387499885219653E-2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1.2030000000000001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2.1030000000000002</v>
      </c>
      <c r="II18" s="734" cm="1">
        <f t="array" ref="II18">IFERROR(ROUND(VALUE(IF($IH18&lt;1,$IH18+LARGE((IF($M$9:$M$150="",0,$M$9:$M$150)-MOD(IF($M$9:$M$150="",0,$M$9:$M$150),1)),1),$IH18)),4),"")</f>
        <v>2.1030000000000002</v>
      </c>
      <c r="IJ18" s="533">
        <f t="shared" si="112"/>
        <v>1308</v>
      </c>
      <c r="IK18" s="533" t="str">
        <f t="shared" si="66"/>
        <v>Undefined</v>
      </c>
      <c r="IL18" s="727">
        <f t="shared" si="225"/>
        <v>317.64996060458316</v>
      </c>
      <c r="IM18" s="759">
        <v>8.0831724237873007E-2</v>
      </c>
      <c r="IN18" s="5">
        <f t="shared" si="226"/>
        <v>0</v>
      </c>
      <c r="IO18" s="771">
        <v>0</v>
      </c>
      <c r="IP18" s="9">
        <f t="shared" si="227"/>
        <v>-0.71570000000000011</v>
      </c>
      <c r="IQ18" s="5">
        <f t="shared" si="228"/>
        <v>-0.28409999999999996</v>
      </c>
      <c r="IR18" s="5">
        <f t="shared" si="71"/>
        <v>0.26600000000000001</v>
      </c>
      <c r="IS18" s="5">
        <f t="shared" si="229"/>
        <v>0.23036275740666071</v>
      </c>
      <c r="IT18" s="727">
        <f t="shared" si="230"/>
        <v>-7.4999989171341337</v>
      </c>
      <c r="IU18" s="9">
        <f t="shared" si="231"/>
        <v>-0.96699999999999997</v>
      </c>
      <c r="IV18" s="5">
        <f t="shared" si="232"/>
        <v>-7.669999999999938E-2</v>
      </c>
      <c r="IW18" s="5">
        <f t="shared" si="76"/>
        <v>0.19500000000000001</v>
      </c>
      <c r="IX18" s="5">
        <f t="shared" si="233"/>
        <v>0.19500000000000001</v>
      </c>
      <c r="IY18" s="762">
        <f t="shared" si="234"/>
        <v>-3.582896398640746E-14</v>
      </c>
    </row>
    <row r="19" spans="1:269" ht="15" customHeight="1" thickBot="1" x14ac:dyDescent="0.3">
      <c r="A19" s="79"/>
      <c r="B19" s="707">
        <v>0.69124580830025162</v>
      </c>
      <c r="C19" s="708">
        <v>1.2403947889713709</v>
      </c>
      <c r="D19" s="709">
        <v>-1.6999999999998912E-2</v>
      </c>
      <c r="E19" s="710">
        <v>-1.9810930182459907E-7</v>
      </c>
      <c r="F19" s="708">
        <v>1.1040212732868965E-7</v>
      </c>
      <c r="G19" s="711">
        <v>0.99999999999997435</v>
      </c>
      <c r="H19" s="710">
        <v>0.19500000000000001</v>
      </c>
      <c r="I19" s="708">
        <v>0.438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Undefined</v>
      </c>
      <c r="L19" s="775" t="s">
        <v>366</v>
      </c>
      <c r="M19" s="168">
        <f t="shared" si="1"/>
        <v>1.2070000000000001</v>
      </c>
      <c r="N19" s="632">
        <f t="shared" si="2"/>
        <v>0.69124580830025162</v>
      </c>
      <c r="O19" s="629">
        <f t="shared" si="3"/>
        <v>1.2403947889713709</v>
      </c>
      <c r="P19" s="633">
        <f t="shared" si="4"/>
        <v>-1.6999999999998912E-2</v>
      </c>
      <c r="Q19" s="585">
        <f t="shared" si="113"/>
        <v>60.86999980691423</v>
      </c>
      <c r="R19" s="629">
        <f>IF(M19="","",SQRT(N19^2+O19^2))</f>
        <v>1.42</v>
      </c>
      <c r="S19" s="634">
        <f>IF(M19="","",P19)</f>
        <v>-1.6999999999998912E-2</v>
      </c>
      <c r="T19" s="635">
        <f>IF(M19="","",X19*COS(RADIANS(W19)))</f>
        <v>1.2406360036683919</v>
      </c>
      <c r="U19" s="629">
        <f>IF(M19="","",X19*SIN(RADIANS(W19)))</f>
        <v>-0.69081278679662683</v>
      </c>
      <c r="V19" s="636">
        <f>IF(M19="","",Y19)</f>
        <v>-1.6999999999998912E-2</v>
      </c>
      <c r="W19" s="585">
        <f t="shared" si="224"/>
        <v>330.88999980402656</v>
      </c>
      <c r="X19" s="629">
        <f>IF(M19="","",R19)</f>
        <v>1.42</v>
      </c>
      <c r="Y19" s="630">
        <f t="shared" si="223"/>
        <v>-1.6999999999998912E-2</v>
      </c>
      <c r="Z19" s="632">
        <f t="shared" si="6"/>
        <v>1.9810930182459907E-7</v>
      </c>
      <c r="AA19" s="629">
        <f t="shared" si="7"/>
        <v>-1.1040212732868965E-7</v>
      </c>
      <c r="AB19" s="629">
        <f t="shared" si="8"/>
        <v>-0.99999999999997435</v>
      </c>
      <c r="AC19" s="636">
        <f>IF(M19="","",SQRT(Z19^2+AA19^2+AB19^2))</f>
        <v>1</v>
      </c>
      <c r="AD19" s="637">
        <f>IF(M19="","",Z19*(1/SQRT(Z19^2+AA19^2+AB19^2)))</f>
        <v>1.9810930182459907E-7</v>
      </c>
      <c r="AE19" s="629">
        <f>IF(M19="","",AA19*(1/SQRT(Z19^2+AA19^2+AB19^2)))</f>
        <v>-1.1040212732868965E-7</v>
      </c>
      <c r="AF19" s="633">
        <f>IF(M19="","",AB19*(1/SQRT(Z19^2+AA19^2+AB19^2)))</f>
        <v>-0.99999999999997435</v>
      </c>
      <c r="AG19" s="602">
        <f>IF(M19="","",DEGREES(ATAN2(-AF19,AE19)))</f>
        <v>-6.3255759451999789E-6</v>
      </c>
      <c r="AH19" s="603">
        <f>IF(M19="","",DEGREES(ACOS(AD19)))</f>
        <v>89.999988649173119</v>
      </c>
      <c r="AI19" s="585">
        <f>IF(M19="","",DEGREES(-ACOS(-AF19)))</f>
        <v>-1.2976235990044085E-5</v>
      </c>
      <c r="AJ19" s="586">
        <f>IF(M19="","",DEGREES(ATAN2(-AE19,AD19)))</f>
        <v>60.869999992240345</v>
      </c>
      <c r="AK19" s="635">
        <f>IF(M19="","",(COS(RADIANS((90-$Q$8)-W19))*AD19)+(-SIN(RADIANS((90-$Q$8)-W19))*AE19))</f>
        <v>2.2679489674181447E-7</v>
      </c>
      <c r="AL19" s="629">
        <f>IF(M19="","",(SIN(RADIANS((90-$Q$8)-W19))*AD19)+(COS(RADIANS((90-$Q$8)-W19))*AE19))</f>
        <v>7.3357979258206285E-16</v>
      </c>
      <c r="AM19" s="634">
        <f>IF(M19="","",AF19)</f>
        <v>-0.99999999999997435</v>
      </c>
      <c r="AN19" s="581">
        <f>IF(M19="","",DEGREES(ATAN2(-AM19,AL19)))</f>
        <v>4.2031026051035618E-14</v>
      </c>
      <c r="AO19" s="582">
        <f t="shared" si="94"/>
        <v>0</v>
      </c>
      <c r="AP19" s="585">
        <f>IF(M19="","",DEGREES(ATAN2(AK19,AL19)))</f>
        <v>1.8532615440145053E-7</v>
      </c>
      <c r="AQ19" s="586">
        <f t="shared" si="9"/>
        <v>1.6050213259325259</v>
      </c>
      <c r="AS19" s="52">
        <f t="shared" si="116"/>
        <v>-29.110000195973441</v>
      </c>
      <c r="AT19" s="72">
        <f t="shared" si="10"/>
        <v>3.2291668007551101E-3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IFERROR(ROUND(VALUE(IF($IH19&lt;1,$IH19+LARGE((IF($M$9:$M$150="",0,$M$9:$M$150)-MOD(IF($M$9:$M$150="",0,$M$9:$M$150),1)),1),$IH19)),4),"")</f>
        <v>1.107</v>
      </c>
      <c r="IJ19" s="533">
        <f t="shared" si="112"/>
        <v>1308</v>
      </c>
      <c r="IK19" s="533" t="str">
        <f t="shared" si="66"/>
        <v>Undefined</v>
      </c>
      <c r="IL19" s="727">
        <f t="shared" si="225"/>
        <v>29.130000193085777</v>
      </c>
      <c r="IM19" s="759">
        <v>2.1230809722957201E-2</v>
      </c>
      <c r="IN19" s="5">
        <f t="shared" si="226"/>
        <v>0</v>
      </c>
      <c r="IO19" s="771">
        <v>0</v>
      </c>
      <c r="IP19" s="9">
        <f t="shared" si="227"/>
        <v>-1.5555046914021495</v>
      </c>
      <c r="IQ19" s="5">
        <f t="shared" si="228"/>
        <v>-0.19170057816894379</v>
      </c>
      <c r="IR19" s="5">
        <f t="shared" si="71"/>
        <v>0.26600000000000001</v>
      </c>
      <c r="IS19" s="5">
        <f t="shared" si="229"/>
        <v>0.25368871242640822</v>
      </c>
      <c r="IT19" s="727">
        <f t="shared" si="230"/>
        <v>-7.4999989171341355</v>
      </c>
      <c r="IU19" s="9">
        <f t="shared" si="231"/>
        <v>-1.42</v>
      </c>
      <c r="IV19" s="5">
        <f t="shared" si="232"/>
        <v>-1.6999999999998912E-2</v>
      </c>
      <c r="IW19" s="5">
        <f t="shared" si="76"/>
        <v>0.19500000000000001</v>
      </c>
      <c r="IX19" s="5">
        <f t="shared" si="233"/>
        <v>0.19500000000000001</v>
      </c>
      <c r="IY19" s="762">
        <f t="shared" si="234"/>
        <v>-4.2031026051035618E-14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0.71395662524202297</v>
      </c>
      <c r="C20" s="708">
        <v>4.99242152970042E-2</v>
      </c>
      <c r="D20" s="709">
        <v>-0.28409999999999996</v>
      </c>
      <c r="E20" s="710">
        <v>-0.12551439412288684</v>
      </c>
      <c r="F20" s="708">
        <v>0.85936337329382317</v>
      </c>
      <c r="G20" s="711">
        <v>0.49572243192034982</v>
      </c>
      <c r="H20" s="710">
        <v>0.26600000000000001</v>
      </c>
      <c r="I20" s="708">
        <v>0.315</v>
      </c>
      <c r="J20" s="570">
        <v>2.1030000000000002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1308</v>
      </c>
      <c r="L20" s="774">
        <f>IF($L19=$JH$22,$JH$30,IF($L19=$JI$22,$JI$30,""))</f>
        <v>0</v>
      </c>
      <c r="M20" s="168">
        <f t="shared" si="1"/>
        <v>2.1030000000000002</v>
      </c>
      <c r="N20" s="632">
        <f t="shared" si="2"/>
        <v>0.71395662524202297</v>
      </c>
      <c r="O20" s="629">
        <f t="shared" si="3"/>
        <v>4.99242152970042E-2</v>
      </c>
      <c r="P20" s="633">
        <f t="shared" si="4"/>
        <v>-0.28409999999999996</v>
      </c>
      <c r="Q20" s="585">
        <f t="shared" si="113"/>
        <v>3.9999604393003398</v>
      </c>
      <c r="R20" s="629">
        <f>IF(M20="","",SQRT(N20^2+O20^2))</f>
        <v>0.71570000000000011</v>
      </c>
      <c r="S20" s="634">
        <f>IF(M20="","",P20)</f>
        <v>-0.28409999999999996</v>
      </c>
      <c r="T20" s="635">
        <f>IF(M20="","",X20*COS(RADIANS(W20)))</f>
        <v>5.0173430090942349E-2</v>
      </c>
      <c r="U20" s="629">
        <f>IF(M20="","",X20*SIN(RADIANS(W20)))</f>
        <v>-0.71393915490951299</v>
      </c>
      <c r="V20" s="636">
        <f>IF(M20="","",Y20)</f>
        <v>-0.28409999999999996</v>
      </c>
      <c r="W20" s="585">
        <f t="shared" si="224"/>
        <v>274.0199604364127</v>
      </c>
      <c r="X20" s="629">
        <f>IF(M20="","",R20)</f>
        <v>0.71570000000000011</v>
      </c>
      <c r="Y20" s="630">
        <f t="shared" si="223"/>
        <v>-0.28409999999999996</v>
      </c>
      <c r="Z20" s="632">
        <f t="shared" si="6"/>
        <v>0.12551439412288684</v>
      </c>
      <c r="AA20" s="629">
        <f t="shared" si="7"/>
        <v>-0.85936337329382317</v>
      </c>
      <c r="AB20" s="629">
        <f t="shared" si="8"/>
        <v>-0.49572243192034982</v>
      </c>
      <c r="AC20" s="636">
        <f>IF(M20="","",SQRT(Z20^2+AA20^2+AB20^2))</f>
        <v>1</v>
      </c>
      <c r="AD20" s="637">
        <f>IF(M20="","",Z20*(1/SQRT(Z20^2+AA20^2+AB20^2)))</f>
        <v>0.12551439412288684</v>
      </c>
      <c r="AE20" s="629">
        <f>IF(M20="","",AA20*(1/SQRT(Z20^2+AA20^2+AB20^2)))</f>
        <v>-0.85936337329382317</v>
      </c>
      <c r="AF20" s="633">
        <f>IF(M20="","",AB20*(1/SQRT(Z20^2+AA20^2+AB20^2)))</f>
        <v>-0.49572243192034982</v>
      </c>
      <c r="AG20" s="602">
        <f>IF(M20="","",DEGREES(ATAN2(-AF20,AE20)))</f>
        <v>-60.021568674477074</v>
      </c>
      <c r="AH20" s="603">
        <f>IF(M20="","",DEGREES(ACOS(AD20)))</f>
        <v>82.789537646013585</v>
      </c>
      <c r="AI20" s="585">
        <f>IF(M20="","",DEGREES(-ACOS(-AF20)))</f>
        <v>-60.28260039658786</v>
      </c>
      <c r="AJ20" s="586">
        <f>IF(M20="","",DEGREES(ATAN2(-AE20,AD20)))</f>
        <v>8.3095856606407992</v>
      </c>
      <c r="AK20" s="635">
        <f>IF(M20="","",(COS(RADIANS((90-$Q$8)-W20))*AD20)+(-SIN(RADIANS((90-$Q$8)-W20))*AE20))</f>
        <v>0.86602540378443871</v>
      </c>
      <c r="AL20" s="629">
        <f>IF(M20="","",(SIN(RADIANS((90-$Q$8)-W20))*AD20)+(COS(RADIANS((90-$Q$8)-W20))*AE20))</f>
        <v>6.5263086741082665E-2</v>
      </c>
      <c r="AM20" s="634">
        <f>IF(M20="","",AF20)</f>
        <v>-0.49572243192034982</v>
      </c>
      <c r="AN20" s="581">
        <f>IF(M20="","",DEGREES(ATAN2(-AM20,AL20)))</f>
        <v>7.4999989171341337</v>
      </c>
      <c r="AO20" s="582">
        <f t="shared" si="94"/>
        <v>29.999999999999993</v>
      </c>
      <c r="AP20" s="585">
        <f>IF(M20="","",DEGREES(ATAN2(AK20,AL20)))</f>
        <v>4.3096252213404576</v>
      </c>
      <c r="AQ20" s="586">
        <f t="shared" si="9"/>
        <v>3.1820348188716907</v>
      </c>
      <c r="AS20" s="52">
        <f t="shared" si="116"/>
        <v>-85.980039563587297</v>
      </c>
      <c r="AT20" s="72">
        <f t="shared" si="10"/>
        <v>-0.22437775030506965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1308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1.3422265425846809</v>
      </c>
      <c r="C21" s="708">
        <v>9.3856691737590828E-2</v>
      </c>
      <c r="D21" s="709">
        <v>-0.21940066171239575</v>
      </c>
      <c r="E21" s="710">
        <v>-0.10568163825082807</v>
      </c>
      <c r="F21" s="708">
        <v>0.94865589075626078</v>
      </c>
      <c r="G21" s="711">
        <v>0.29813317874746309</v>
      </c>
      <c r="H21" s="710">
        <v>0.26600000000000001</v>
      </c>
      <c r="I21" s="708">
        <v>0.315</v>
      </c>
      <c r="J21" s="570">
        <v>2.1059999999999999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1308</v>
      </c>
      <c r="L21" s="776" t="s">
        <v>367</v>
      </c>
      <c r="M21" s="168">
        <f t="shared" si="1"/>
        <v>2.1059999999999999</v>
      </c>
      <c r="N21" s="632">
        <f t="shared" si="2"/>
        <v>1.3422265425846809</v>
      </c>
      <c r="O21" s="629">
        <f t="shared" si="3"/>
        <v>9.3856691737590828E-2</v>
      </c>
      <c r="P21" s="633">
        <f t="shared" si="4"/>
        <v>-0.21940066171239575</v>
      </c>
      <c r="Q21" s="585">
        <f t="shared" si="113"/>
        <v>3.9999604393003412</v>
      </c>
      <c r="R21" s="629">
        <f>IF(M21="","",SQRT(N21^2+O21^2))</f>
        <v>1.3455040580402393</v>
      </c>
      <c r="S21" s="634">
        <f>IF(M21="","",P21)</f>
        <v>-0.21940066171239575</v>
      </c>
      <c r="T21" s="635">
        <f>IF(M21="","",X21*COS(RADIANS(W21)))</f>
        <v>9.4325211391869737E-2</v>
      </c>
      <c r="U21" s="629">
        <f>IF(M21="","",X21*SIN(RADIANS(W21)))</f>
        <v>-1.342193698651067</v>
      </c>
      <c r="V21" s="636">
        <f>IF(M21="","",Y21)</f>
        <v>-0.21940066171239575</v>
      </c>
      <c r="W21" s="585">
        <f t="shared" si="224"/>
        <v>274.0199604364127</v>
      </c>
      <c r="X21" s="629">
        <f>IF(M21="","",R21)</f>
        <v>1.3455040580402393</v>
      </c>
      <c r="Y21" s="630">
        <f t="shared" si="223"/>
        <v>-0.21940066171239575</v>
      </c>
      <c r="Z21" s="632">
        <f t="shared" si="6"/>
        <v>0.10568163825082807</v>
      </c>
      <c r="AA21" s="629">
        <f t="shared" si="7"/>
        <v>-0.94865589075626078</v>
      </c>
      <c r="AB21" s="629">
        <f t="shared" si="8"/>
        <v>-0.29813317874746309</v>
      </c>
      <c r="AC21" s="636">
        <f>IF(M21="","",SQRT(Z21^2+AA21^2+AB21^2))</f>
        <v>1</v>
      </c>
      <c r="AD21" s="637">
        <f>IF(M21="","",Z21*(1/SQRT(Z21^2+AA21^2+AB21^2)))</f>
        <v>0.10568163825082807</v>
      </c>
      <c r="AE21" s="629">
        <f>IF(M21="","",AA21*(1/SQRT(Z21^2+AA21^2+AB21^2)))</f>
        <v>-0.94865589075626078</v>
      </c>
      <c r="AF21" s="633">
        <f>IF(M21="","",AB21*(1/SQRT(Z21^2+AA21^2+AB21^2)))</f>
        <v>-0.29813317874746309</v>
      </c>
      <c r="AG21" s="602">
        <f>IF(M21="","",DEGREES(ATAN2(-AF21,AE21)))</f>
        <v>-72.553680916756676</v>
      </c>
      <c r="AH21" s="603">
        <f>IF(M21="","",DEGREES(ACOS(AD21)))</f>
        <v>83.933559933346132</v>
      </c>
      <c r="AI21" s="585">
        <f>IF(M21="","",DEGREES(-ACOS(-AF21)))</f>
        <v>-72.654488038208044</v>
      </c>
      <c r="AJ21" s="586">
        <f>IF(M21="","",DEGREES(ATAN2(-AE21,AD21)))</f>
        <v>6.3566233359762716</v>
      </c>
      <c r="AK21" s="635">
        <f>IF(M21="","",(COS(RADIANS((90-$Q$8)-W21))*AD21)+(-SIN(RADIANS((90-$Q$8)-W21))*AE21))</f>
        <v>0.95371696400905348</v>
      </c>
      <c r="AL21" s="629">
        <f>IF(M21="","",(SIN(RADIANS((90-$Q$8)-W21))*AD21)+(COS(RADIANS((90-$Q$8)-W21))*AE21))</f>
        <v>3.9249971863521915E-2</v>
      </c>
      <c r="AM21" s="634">
        <f>IF(M21="","",AF21)</f>
        <v>-0.29813317874746309</v>
      </c>
      <c r="AN21" s="581">
        <f>IF(M21="","",DEGREES(ATAN2(-AM21,AL21)))</f>
        <v>7.4999989171341355</v>
      </c>
      <c r="AO21" s="582">
        <f>IF(ROUND(IF(M21="",0,DEGREES(ACOS(AK21))),4)=90,0,IF(M21="","",DEGREES(ACOS(AK21))))</f>
        <v>17.499997473312952</v>
      </c>
      <c r="AP21" s="585">
        <f>IF(M21="","",DEGREES(ATAN2(AK21,AL21)))</f>
        <v>2.3566628966759304</v>
      </c>
      <c r="AQ21" s="586">
        <f t="shared" si="9"/>
        <v>1.6938354374299558</v>
      </c>
      <c r="AS21" s="52">
        <f t="shared" si="116"/>
        <v>-85.980039563587297</v>
      </c>
      <c r="AT21" s="72">
        <f t="shared" si="10"/>
        <v>-0.15967841201746544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1308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1.9704943066276628</v>
      </c>
      <c r="C22" s="708">
        <v>0.13778901760628998</v>
      </c>
      <c r="D22" s="709">
        <v>-0.13640041138364073</v>
      </c>
      <c r="E22" s="710">
        <v>-9.2671664651536201E-2</v>
      </c>
      <c r="F22" s="708">
        <v>0.94956562770668007</v>
      </c>
      <c r="G22" s="711">
        <v>0.29956148158388446</v>
      </c>
      <c r="H22" s="710">
        <v>0.26600000000000001</v>
      </c>
      <c r="I22" s="708">
        <v>0.315</v>
      </c>
      <c r="J22" s="570">
        <v>2.109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1308</v>
      </c>
      <c r="L22" s="1313" t="str">
        <f>IF($L21=$JH$22,$JH$30,IF($L21=$JI$22,$JI$30,""))</f>
        <v/>
      </c>
      <c r="M22" s="168">
        <f t="shared" si="1"/>
        <v>2.109</v>
      </c>
      <c r="N22" s="632">
        <f t="shared" si="2"/>
        <v>1.9704943066276628</v>
      </c>
      <c r="O22" s="629">
        <f t="shared" si="3"/>
        <v>0.13778901760628998</v>
      </c>
      <c r="P22" s="633">
        <f t="shared" si="4"/>
        <v>-0.13640041138364073</v>
      </c>
      <c r="Q22" s="585">
        <f t="shared" si="113"/>
        <v>3.9999604393003412</v>
      </c>
      <c r="R22" s="629">
        <f t="shared" si="79"/>
        <v>1.9753059575227683</v>
      </c>
      <c r="S22" s="634">
        <f t="shared" si="80"/>
        <v>-0.13640041138364073</v>
      </c>
      <c r="T22" s="635">
        <f t="shared" si="81"/>
        <v>0.13847684136927557</v>
      </c>
      <c r="U22" s="629">
        <f t="shared" si="82"/>
        <v>-1.9704460891456355</v>
      </c>
      <c r="V22" s="636">
        <f t="shared" si="114"/>
        <v>-0.13640041138364073</v>
      </c>
      <c r="W22" s="585">
        <f t="shared" si="224"/>
        <v>274.0199604364127</v>
      </c>
      <c r="X22" s="629">
        <f t="shared" si="83"/>
        <v>1.9753059575227683</v>
      </c>
      <c r="Y22" s="630">
        <f t="shared" si="223"/>
        <v>-0.13640041138364073</v>
      </c>
      <c r="Z22" s="632">
        <f t="shared" si="6"/>
        <v>9.2671664651536201E-2</v>
      </c>
      <c r="AA22" s="629">
        <f t="shared" si="7"/>
        <v>-0.94956562770668007</v>
      </c>
      <c r="AB22" s="629">
        <f t="shared" si="8"/>
        <v>-0.29956148158388446</v>
      </c>
      <c r="AC22" s="636">
        <f t="shared" si="84"/>
        <v>1</v>
      </c>
      <c r="AD22" s="637">
        <f t="shared" si="115"/>
        <v>9.2671664651536201E-2</v>
      </c>
      <c r="AE22" s="629">
        <f t="shared" si="85"/>
        <v>-0.94956562770668007</v>
      </c>
      <c r="AF22" s="633">
        <f t="shared" si="86"/>
        <v>-0.29956148158388446</v>
      </c>
      <c r="AG22" s="602">
        <f t="shared" si="87"/>
        <v>-72.490967324451859</v>
      </c>
      <c r="AH22" s="603">
        <f t="shared" si="88"/>
        <v>84.682675236045213</v>
      </c>
      <c r="AI22" s="585">
        <f t="shared" si="89"/>
        <v>-72.568733396945888</v>
      </c>
      <c r="AJ22" s="586">
        <f t="shared" si="90"/>
        <v>5.5740575790250446</v>
      </c>
      <c r="AK22" s="635">
        <f t="shared" si="211"/>
        <v>0.95371696400905337</v>
      </c>
      <c r="AL22" s="629">
        <f t="shared" si="91"/>
        <v>2.6208229864339849E-2</v>
      </c>
      <c r="AM22" s="634">
        <f t="shared" si="92"/>
        <v>-0.29956148158388446</v>
      </c>
      <c r="AN22" s="581">
        <f t="shared" si="93"/>
        <v>4.999999278089426</v>
      </c>
      <c r="AO22" s="582">
        <f t="shared" si="94"/>
        <v>17.49999747331298</v>
      </c>
      <c r="AP22" s="585">
        <f t="shared" si="95"/>
        <v>1.5740971397247048</v>
      </c>
      <c r="AQ22" s="586">
        <f t="shared" si="9"/>
        <v>1.1539571225664278</v>
      </c>
      <c r="AS22" s="52">
        <f t="shared" si="116"/>
        <v>-85.980039563587297</v>
      </c>
      <c r="AT22" s="72">
        <f t="shared" si="10"/>
        <v>-7.6678161688710417E-2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2.109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1308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2.7107539150569444</v>
      </c>
      <c r="C23" s="708">
        <v>0.17672004577363312</v>
      </c>
      <c r="D23" s="709">
        <v>-0.13390040384361798</v>
      </c>
      <c r="E23" s="710">
        <v>2.207952782798267E-2</v>
      </c>
      <c r="F23" s="708">
        <v>0.95671451322286982</v>
      </c>
      <c r="G23" s="711">
        <v>0.29018930827930361</v>
      </c>
      <c r="H23" s="710">
        <v>0.26600000000000001</v>
      </c>
      <c r="I23" s="708">
        <v>0.52</v>
      </c>
      <c r="J23" s="570">
        <v>2.1139999999999999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2.1139999999999999</v>
      </c>
      <c r="N23" s="632">
        <f t="shared" si="2"/>
        <v>2.7107539150569444</v>
      </c>
      <c r="O23" s="629">
        <f t="shared" si="3"/>
        <v>0.17672004577363312</v>
      </c>
      <c r="P23" s="633">
        <f t="shared" si="4"/>
        <v>-0.13390040384361798</v>
      </c>
      <c r="Q23" s="585">
        <f t="shared" si="113"/>
        <v>3.7299604782835121</v>
      </c>
      <c r="R23" s="629">
        <f t="shared" si="79"/>
        <v>2.71650819298871</v>
      </c>
      <c r="S23" s="634">
        <f t="shared" si="80"/>
        <v>-0.13390040384361798</v>
      </c>
      <c r="T23" s="635">
        <f t="shared" si="81"/>
        <v>0.17766626647198033</v>
      </c>
      <c r="U23" s="629">
        <f t="shared" si="82"/>
        <v>-2.7106920629855202</v>
      </c>
      <c r="V23" s="636">
        <f t="shared" si="114"/>
        <v>-0.13390040384361798</v>
      </c>
      <c r="W23" s="585">
        <f t="shared" si="224"/>
        <v>273.74996047539582</v>
      </c>
      <c r="X23" s="629">
        <f t="shared" si="83"/>
        <v>2.71650819298871</v>
      </c>
      <c r="Y23" s="630">
        <f t="shared" si="223"/>
        <v>-0.13390040384361798</v>
      </c>
      <c r="Z23" s="632">
        <f t="shared" si="6"/>
        <v>-2.207952782798267E-2</v>
      </c>
      <c r="AA23" s="629">
        <f t="shared" si="7"/>
        <v>-0.95671451322286982</v>
      </c>
      <c r="AB23" s="629">
        <f t="shared" si="8"/>
        <v>-0.29018930827930361</v>
      </c>
      <c r="AC23" s="636">
        <f t="shared" si="84"/>
        <v>1</v>
      </c>
      <c r="AD23" s="637">
        <f t="shared" si="115"/>
        <v>-2.207952782798267E-2</v>
      </c>
      <c r="AE23" s="629">
        <f t="shared" si="85"/>
        <v>-0.95671451322286982</v>
      </c>
      <c r="AF23" s="633">
        <f t="shared" si="86"/>
        <v>-0.29018930827930361</v>
      </c>
      <c r="AG23" s="602">
        <f t="shared" si="87"/>
        <v>-73.12647341104379</v>
      </c>
      <c r="AH23" s="603">
        <f t="shared" si="88"/>
        <v>91.265166568341243</v>
      </c>
      <c r="AI23" s="585">
        <f t="shared" si="89"/>
        <v>-73.130710029125297</v>
      </c>
      <c r="AJ23" s="586">
        <f t="shared" si="90"/>
        <v>-1.3220654797143616</v>
      </c>
      <c r="AK23" s="635">
        <f t="shared" si="211"/>
        <v>0.95325157635297963</v>
      </c>
      <c r="AL23" s="629">
        <f t="shared" si="91"/>
        <v>-8.4270976860001359E-2</v>
      </c>
      <c r="AM23" s="634">
        <f t="shared" si="92"/>
        <v>-0.29018930827930361</v>
      </c>
      <c r="AN23" s="581">
        <f t="shared" si="93"/>
        <v>-16.193297472905918</v>
      </c>
      <c r="AO23" s="582">
        <f t="shared" si="94"/>
        <v>17.588454828698556</v>
      </c>
      <c r="AP23" s="585">
        <f t="shared" si="95"/>
        <v>-5.0520259579978344</v>
      </c>
      <c r="AQ23" s="586">
        <f t="shared" si="9"/>
        <v>0.83915212615005774</v>
      </c>
      <c r="AS23" s="52">
        <f t="shared" si="116"/>
        <v>-86.250039524604176</v>
      </c>
      <c r="AT23" s="72">
        <f t="shared" si="10"/>
        <v>-7.3990654175759285E-2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2.1139999999999999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Undefined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3.3201944980077012</v>
      </c>
      <c r="C24" s="708">
        <v>0.18795066716850503</v>
      </c>
      <c r="D24" s="709">
        <v>-0.40090120911804672</v>
      </c>
      <c r="E24" s="710">
        <v>0.15090629478959255</v>
      </c>
      <c r="F24" s="708">
        <v>0.94840638966528112</v>
      </c>
      <c r="G24" s="711">
        <v>0.27884155040980463</v>
      </c>
      <c r="H24" s="710">
        <v>0.26600000000000001</v>
      </c>
      <c r="I24" s="708">
        <v>0.52</v>
      </c>
      <c r="J24" s="570">
        <v>2.1190000000000002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2.1190000000000002</v>
      </c>
      <c r="N24" s="632">
        <f t="shared" si="2"/>
        <v>3.3201944980077012</v>
      </c>
      <c r="O24" s="629">
        <f t="shared" si="3"/>
        <v>0.18795066716850503</v>
      </c>
      <c r="P24" s="633">
        <f t="shared" si="4"/>
        <v>-0.40090120911804672</v>
      </c>
      <c r="Q24" s="585">
        <f t="shared" si="113"/>
        <v>3.2399605490307484</v>
      </c>
      <c r="R24" s="629">
        <f t="shared" si="79"/>
        <v>3.3255100297382501</v>
      </c>
      <c r="S24" s="634">
        <f t="shared" si="80"/>
        <v>-0.40090120911804672</v>
      </c>
      <c r="T24" s="635">
        <f t="shared" si="81"/>
        <v>0.18910962204296258</v>
      </c>
      <c r="U24" s="629">
        <f t="shared" si="82"/>
        <v>-3.3201286885812822</v>
      </c>
      <c r="V24" s="636">
        <f t="shared" si="114"/>
        <v>-0.40090120911804672</v>
      </c>
      <c r="W24" s="585">
        <f t="shared" si="224"/>
        <v>273.25996054614308</v>
      </c>
      <c r="X24" s="629">
        <f t="shared" si="83"/>
        <v>3.3255100297382501</v>
      </c>
      <c r="Y24" s="630">
        <f t="shared" si="223"/>
        <v>-0.40090120911804672</v>
      </c>
      <c r="Z24" s="632">
        <f t="shared" si="6"/>
        <v>-0.15090629478959255</v>
      </c>
      <c r="AA24" s="629">
        <f t="shared" si="7"/>
        <v>-0.94840638966528112</v>
      </c>
      <c r="AB24" s="629">
        <f t="shared" si="8"/>
        <v>-0.27884155040980463</v>
      </c>
      <c r="AC24" s="636">
        <f t="shared" si="84"/>
        <v>1</v>
      </c>
      <c r="AD24" s="637">
        <f t="shared" si="115"/>
        <v>-0.15090629478959255</v>
      </c>
      <c r="AE24" s="629">
        <f t="shared" si="85"/>
        <v>-0.94840638966528112</v>
      </c>
      <c r="AF24" s="633">
        <f t="shared" si="86"/>
        <v>-0.27884155040980463</v>
      </c>
      <c r="AG24" s="602">
        <f t="shared" si="87"/>
        <v>-73.616103808507447</v>
      </c>
      <c r="AH24" s="603">
        <f t="shared" si="88"/>
        <v>98.679451308915205</v>
      </c>
      <c r="AI24" s="585">
        <f t="shared" si="89"/>
        <v>-73.808923012494162</v>
      </c>
      <c r="AJ24" s="586">
        <f t="shared" si="90"/>
        <v>-9.0408650980517873</v>
      </c>
      <c r="AK24" s="635">
        <f>IF(M24="","",(COS(RADIANS((90-$Q$8)-W24))*AD24)+(-SIN(RADIANS((90-$Q$8)-W24))*AE24))</f>
        <v>0.9383615475975573</v>
      </c>
      <c r="AL24" s="629">
        <f t="shared" si="91"/>
        <v>-0.2042669717682562</v>
      </c>
      <c r="AM24" s="634">
        <f t="shared" si="92"/>
        <v>-0.27884155040980463</v>
      </c>
      <c r="AN24" s="581">
        <f t="shared" si="93"/>
        <v>-36.224853911627179</v>
      </c>
      <c r="AO24" s="582">
        <f t="shared" si="94"/>
        <v>20.221804568627732</v>
      </c>
      <c r="AP24" s="585">
        <f t="shared" si="95"/>
        <v>-12.280825647082535</v>
      </c>
      <c r="AQ24" s="586">
        <f t="shared" si="9"/>
        <v>0.68549420595552479</v>
      </c>
      <c r="AS24" s="52">
        <f t="shared" si="116"/>
        <v>-86.740039453856923</v>
      </c>
      <c r="AT24" s="72">
        <f t="shared" si="10"/>
        <v>-0.3406511817215403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2.1190000000000002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3.7770291095437205</v>
      </c>
      <c r="C25" s="708">
        <v>0.18406415211781091</v>
      </c>
      <c r="D25" s="709">
        <v>-0.89220269088331572</v>
      </c>
      <c r="E25" s="710">
        <v>0.29973284629782826</v>
      </c>
      <c r="F25" s="708">
        <v>0.919867245014097</v>
      </c>
      <c r="G25" s="711">
        <v>0.25299105201642585</v>
      </c>
      <c r="H25" s="710">
        <v>0.26600000000000001</v>
      </c>
      <c r="I25" s="708">
        <v>0.52</v>
      </c>
      <c r="J25" s="570">
        <v>2.1240000000000001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2.1240000000000001</v>
      </c>
      <c r="N25" s="632">
        <f t="shared" si="2"/>
        <v>3.7770291095437205</v>
      </c>
      <c r="O25" s="629">
        <f t="shared" si="3"/>
        <v>0.18406415211781091</v>
      </c>
      <c r="P25" s="633">
        <f t="shared" si="4"/>
        <v>-0.89220269088331572</v>
      </c>
      <c r="Q25" s="585">
        <f t="shared" si="113"/>
        <v>2.7899606140027</v>
      </c>
      <c r="R25" s="629">
        <f>IF(M25="","",SQRT(N25^2+O25^2))</f>
        <v>3.781511405038398</v>
      </c>
      <c r="S25" s="634">
        <f>IF(M25="","",P25)</f>
        <v>-0.89220269088331572</v>
      </c>
      <c r="T25" s="635">
        <f>IF(M25="","",X25*COS(RADIANS(W25)))</f>
        <v>0.18538257256495577</v>
      </c>
      <c r="U25" s="629">
        <f>IF(M25="","",X25*SIN(RADIANS(W25)))</f>
        <v>-3.7769646289348113</v>
      </c>
      <c r="V25" s="636">
        <f>IF(M25="","",Y25)</f>
        <v>-0.89220269088331572</v>
      </c>
      <c r="W25" s="585">
        <f t="shared" si="224"/>
        <v>272.80996061111506</v>
      </c>
      <c r="X25" s="629">
        <f>IF(M25="","",R25)</f>
        <v>3.781511405038398</v>
      </c>
      <c r="Y25" s="630">
        <f t="shared" si="223"/>
        <v>-0.89220269088331572</v>
      </c>
      <c r="Z25" s="632">
        <f t="shared" si="6"/>
        <v>-0.29973284629782826</v>
      </c>
      <c r="AA25" s="629">
        <f t="shared" si="7"/>
        <v>-0.919867245014097</v>
      </c>
      <c r="AB25" s="629">
        <f t="shared" si="8"/>
        <v>-0.25299105201642585</v>
      </c>
      <c r="AC25" s="636">
        <f>IF(M25="","",SQRT(Z25^2+AA25^2+AB25^2))</f>
        <v>1</v>
      </c>
      <c r="AD25" s="637">
        <f>IF(M25="","",Z25*(1/SQRT(Z25^2+AA25^2+AB25^2)))</f>
        <v>-0.29973284629782826</v>
      </c>
      <c r="AE25" s="629">
        <f>IF(M25="","",AA25*(1/SQRT(Z25^2+AA25^2+AB25^2)))</f>
        <v>-0.919867245014097</v>
      </c>
      <c r="AF25" s="633">
        <f>IF(M25="","",AB25*(1/SQRT(Z25^2+AA25^2+AB25^2)))</f>
        <v>-0.25299105201642585</v>
      </c>
      <c r="AG25" s="602">
        <f>IF(M25="","",DEGREES(ATAN2(-AF25,AE25)))</f>
        <v>-74.622152847167229</v>
      </c>
      <c r="AH25" s="603">
        <f>IF(M25="","",DEGREES(ACOS(AD25)))</f>
        <v>107.44155796508086</v>
      </c>
      <c r="AI25" s="585">
        <f>IF(M25="","",DEGREES(-ACOS(-AF25)))</f>
        <v>-75.345421904360066</v>
      </c>
      <c r="AJ25" s="586">
        <f>IF(M25="","",DEGREES(ATAN2(-AE25,AD25)))</f>
        <v>-18.047867390500826</v>
      </c>
      <c r="AK25" s="635">
        <f>IF(M25="","",(COS(RADIANS((90-$Q$8)-W25))*AD25)+(-SIN(RADIANS((90-$Q$8)-W25))*AE25))</f>
        <v>0.90418748560766082</v>
      </c>
      <c r="AL25" s="629">
        <f>IF(M25="","",(SIN(RADIANS((90-$Q$8)-W25))*AD25)+(COS(RADIANS((90-$Q$8)-W25))*AE25))</f>
        <v>-0.34415188285133441</v>
      </c>
      <c r="AM25" s="634">
        <f>IF(M25="","",AF25)</f>
        <v>-0.25299105201642585</v>
      </c>
      <c r="AN25" s="581">
        <f>IF(M25="","",DEGREES(ATAN2(-AM25,AL25)))</f>
        <v>-53.679853076820841</v>
      </c>
      <c r="AO25" s="582">
        <f>IF(ROUND(IF(M25="",0,DEGREES(ACOS(AK25))),4)=90,0,IF(M25="","",DEGREES(ACOS(AK25))))</f>
        <v>25.285927603423364</v>
      </c>
      <c r="AP25" s="585">
        <f>IF(M25="","",DEGREES(ATAN2(AK25,AL25)))</f>
        <v>-20.837828004503564</v>
      </c>
      <c r="AQ25" s="586">
        <f t="shared" si="9"/>
        <v>0.60283898773587175</v>
      </c>
      <c r="AS25" s="52">
        <f t="shared" si="116"/>
        <v>-87.190039388884941</v>
      </c>
      <c r="AT25" s="72">
        <f t="shared" si="10"/>
        <v>-0.83164016353192871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2.1240000000000001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4.0003158791172853</v>
      </c>
      <c r="C26" s="708">
        <v>0.17885211022516545</v>
      </c>
      <c r="D26" s="709">
        <v>-1.5328046229387429</v>
      </c>
      <c r="E26" s="710">
        <v>0.4352977843230213</v>
      </c>
      <c r="F26" s="708">
        <v>0.88388959856708982</v>
      </c>
      <c r="G26" s="711">
        <v>0.17104097903244583</v>
      </c>
      <c r="H26" s="710">
        <v>0.26600000000000001</v>
      </c>
      <c r="I26" s="708">
        <v>0.52</v>
      </c>
      <c r="J26" s="570">
        <v>2.129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2.129</v>
      </c>
      <c r="N26" s="632">
        <f t="shared" si="2"/>
        <v>4.0003158791172853</v>
      </c>
      <c r="O26" s="629">
        <f t="shared" si="3"/>
        <v>0.17885211022516545</v>
      </c>
      <c r="P26" s="633">
        <f t="shared" si="4"/>
        <v>-1.5328046229387429</v>
      </c>
      <c r="Q26" s="585">
        <f t="shared" si="113"/>
        <v>2.5599606472105871</v>
      </c>
      <c r="R26" s="629">
        <f>IF(M26="","",SQRT(N26^2+O26^2))</f>
        <v>4.0043120770052241</v>
      </c>
      <c r="S26" s="634">
        <f>IF(M26="","",P26)</f>
        <v>-1.5328046229387429</v>
      </c>
      <c r="T26" s="635">
        <f>IF(M26="","",X26*COS(RADIANS(W26)))</f>
        <v>0.18024847276311148</v>
      </c>
      <c r="U26" s="629">
        <f>IF(M26="","",X26*SIN(RADIANS(W26)))</f>
        <v>-4.0002532042505079</v>
      </c>
      <c r="V26" s="636">
        <f>IF(M26="","",Y26)</f>
        <v>-1.5328046229387429</v>
      </c>
      <c r="W26" s="585">
        <f t="shared" si="224"/>
        <v>272.57996064432291</v>
      </c>
      <c r="X26" s="629">
        <f>IF(M26="","",R26)</f>
        <v>4.0043120770052241</v>
      </c>
      <c r="Y26" s="630">
        <f t="shared" si="223"/>
        <v>-1.5328046229387429</v>
      </c>
      <c r="Z26" s="632">
        <f t="shared" si="6"/>
        <v>-0.4352977843230213</v>
      </c>
      <c r="AA26" s="629">
        <f t="shared" si="7"/>
        <v>-0.88388959856708982</v>
      </c>
      <c r="AB26" s="629">
        <f t="shared" si="8"/>
        <v>-0.17104097903244583</v>
      </c>
      <c r="AC26" s="636">
        <f>IF(M26="","",SQRT(Z26^2+AA26^2+AB26^2))</f>
        <v>1</v>
      </c>
      <c r="AD26" s="637">
        <f>IF(M26="","",Z26*(1/SQRT(Z26^2+AA26^2+AB26^2)))</f>
        <v>-0.4352977843230213</v>
      </c>
      <c r="AE26" s="629">
        <f>IF(M26="","",AA26*(1/SQRT(Z26^2+AA26^2+AB26^2)))</f>
        <v>-0.88388959856708982</v>
      </c>
      <c r="AF26" s="633">
        <f>IF(M26="","",AB26*(1/SQRT(Z26^2+AA26^2+AB26^2)))</f>
        <v>-0.17104097903244583</v>
      </c>
      <c r="AG26" s="602">
        <f>IF(M26="","",DEGREES(ATAN2(-AF26,AE26)))</f>
        <v>-79.048088438585054</v>
      </c>
      <c r="AH26" s="603">
        <f>IF(M26="","",DEGREES(ACOS(AD26)))</f>
        <v>115.80424386868536</v>
      </c>
      <c r="AI26" s="585">
        <f>IF(M26="","",DEGREES(-ACOS(-AF26)))</f>
        <v>-80.151650717357626</v>
      </c>
      <c r="AJ26" s="586">
        <f>IF(M26="","",DEGREES(ATAN2(-AE26,AD26)))</f>
        <v>-26.219315386317362</v>
      </c>
      <c r="AK26" s="635">
        <f>IF(M26="","",(COS(RADIANS((90-$Q$8)-W26))*AD26)+(-SIN(RADIANS((90-$Q$8)-W26))*AE26))</f>
        <v>0.8635649776373584</v>
      </c>
      <c r="AL26" s="629">
        <f>IF(M26="","",(SIN(RADIANS((90-$Q$8)-W26))*AD26)+(COS(RADIANS((90-$Q$8)-W26))*AE26))</f>
        <v>-0.47434218965827973</v>
      </c>
      <c r="AM26" s="634">
        <f>IF(M26="","",AF26)</f>
        <v>-0.17104097903244583</v>
      </c>
      <c r="AN26" s="581">
        <f>IF(M26="","",DEGREES(ATAN2(-AM26,AL26)))</f>
        <v>-70.171424572354212</v>
      </c>
      <c r="AO26" s="582">
        <f t="shared" si="94"/>
        <v>30.280753789418174</v>
      </c>
      <c r="AP26" s="585">
        <f>IF(M26="","",DEGREES(ATAN2(AK26,AL26)))</f>
        <v>-28.779276033527953</v>
      </c>
      <c r="AQ26" s="586">
        <f t="shared" si="9"/>
        <v>0.56929918650436484</v>
      </c>
      <c r="AS26" s="52">
        <f t="shared" si="116"/>
        <v>-87.42003935567709</v>
      </c>
      <c r="AT26" s="72">
        <f t="shared" si="10"/>
        <v>-1.4720823733881947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4.0487755297867825</v>
      </c>
      <c r="C27" s="708">
        <v>0.21181206276887926</v>
      </c>
      <c r="D27" s="709">
        <v>-2.2231067048898221</v>
      </c>
      <c r="E27" s="710">
        <v>0.53892455933717176</v>
      </c>
      <c r="F27" s="708">
        <v>0.83742829724484646</v>
      </c>
      <c r="G27" s="711">
        <v>9.0962444540769183E-2</v>
      </c>
      <c r="H27" s="710">
        <v>0.26600000000000001</v>
      </c>
      <c r="I27" s="708">
        <v>0.52</v>
      </c>
      <c r="J27" s="570">
        <v>2.1339999999999999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843"/>
      <c r="M27" s="168">
        <f t="shared" si="1"/>
        <v>2.1339999999999999</v>
      </c>
      <c r="N27" s="632">
        <f t="shared" si="2"/>
        <v>4.0487755297867825</v>
      </c>
      <c r="O27" s="629">
        <f t="shared" si="3"/>
        <v>0.21181206276887926</v>
      </c>
      <c r="P27" s="633">
        <f t="shared" si="4"/>
        <v>-2.2231067048898221</v>
      </c>
      <c r="Q27" s="585">
        <f t="shared" si="113"/>
        <v>2.9947039082055791</v>
      </c>
      <c r="R27" s="629">
        <f t="shared" si="79"/>
        <v>4.0543122278056796</v>
      </c>
      <c r="S27" s="634">
        <f t="shared" si="80"/>
        <v>-2.2231067048898221</v>
      </c>
      <c r="T27" s="635">
        <f t="shared" si="81"/>
        <v>0.21322533890517784</v>
      </c>
      <c r="U27" s="629">
        <f t="shared" si="82"/>
        <v>-4.0487013467757071</v>
      </c>
      <c r="V27" s="636">
        <f t="shared" si="114"/>
        <v>-2.2231067048898221</v>
      </c>
      <c r="W27" s="585">
        <f t="shared" si="224"/>
        <v>273.0147039053179</v>
      </c>
      <c r="X27" s="629">
        <f t="shared" si="83"/>
        <v>4.0543122278056796</v>
      </c>
      <c r="Y27" s="630">
        <f t="shared" si="223"/>
        <v>-2.2231067048898221</v>
      </c>
      <c r="Z27" s="632">
        <f t="shared" si="6"/>
        <v>-0.53892455933717176</v>
      </c>
      <c r="AA27" s="629">
        <f t="shared" si="7"/>
        <v>-0.83742829724484646</v>
      </c>
      <c r="AB27" s="629">
        <f t="shared" si="8"/>
        <v>-9.0962444540769183E-2</v>
      </c>
      <c r="AC27" s="636">
        <f t="shared" si="84"/>
        <v>1</v>
      </c>
      <c r="AD27" s="637">
        <f t="shared" si="115"/>
        <v>-0.53892455933717176</v>
      </c>
      <c r="AE27" s="629">
        <f t="shared" si="85"/>
        <v>-0.83742829724484646</v>
      </c>
      <c r="AF27" s="633">
        <f t="shared" si="86"/>
        <v>-9.0962444540769183E-2</v>
      </c>
      <c r="AG27" s="602">
        <f t="shared" si="87"/>
        <v>-83.800769605586936</v>
      </c>
      <c r="AH27" s="603">
        <f t="shared" si="88"/>
        <v>122.61045891081042</v>
      </c>
      <c r="AI27" s="585">
        <f t="shared" si="89"/>
        <v>-84.781021773305667</v>
      </c>
      <c r="AJ27" s="586">
        <f t="shared" si="90"/>
        <v>-32.763189682525763</v>
      </c>
      <c r="AK27" s="635">
        <f t="shared" si="211"/>
        <v>0.8081292932437093</v>
      </c>
      <c r="AL27" s="629">
        <f t="shared" si="91"/>
        <v>-0.58193889634960017</v>
      </c>
      <c r="AM27" s="634">
        <f t="shared" si="92"/>
        <v>-9.0962444540769183E-2</v>
      </c>
      <c r="AN27" s="581">
        <f t="shared" si="93"/>
        <v>-81.116025845981014</v>
      </c>
      <c r="AO27" s="582">
        <f t="shared" si="94"/>
        <v>36.086441084708056</v>
      </c>
      <c r="AP27" s="585">
        <f t="shared" si="95"/>
        <v>-35.757893590731314</v>
      </c>
      <c r="AQ27" s="586">
        <f t="shared" si="9"/>
        <v>0.56227870938925284</v>
      </c>
      <c r="AS27" s="52">
        <f t="shared" si="116"/>
        <v>-86.985296094682099</v>
      </c>
      <c r="AT27" s="72">
        <f t="shared" si="10"/>
        <v>-2.1626863603816315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2.1339999999999999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1.0756529741873804</v>
      </c>
      <c r="C28" s="708">
        <v>-0.60882401325986002</v>
      </c>
      <c r="D28" s="709">
        <v>-4.1299999999998949E-2</v>
      </c>
      <c r="E28" s="710">
        <v>1.1171373654340671E-7</v>
      </c>
      <c r="F28" s="708">
        <v>1.9737265832580429E-7</v>
      </c>
      <c r="G28" s="711">
        <v>0.99999999999997435</v>
      </c>
      <c r="H28" s="710">
        <v>0.19500000000000001</v>
      </c>
      <c r="I28" s="708">
        <v>0.438</v>
      </c>
      <c r="J28" s="570">
        <v>2.2050000000000001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Undefined</v>
      </c>
      <c r="L28" s="320"/>
      <c r="M28" s="168">
        <f t="shared" si="1"/>
        <v>2.2050000000000001</v>
      </c>
      <c r="N28" s="632">
        <f t="shared" si="2"/>
        <v>1.0756529741873804</v>
      </c>
      <c r="O28" s="629">
        <f t="shared" si="3"/>
        <v>-0.60882401325986002</v>
      </c>
      <c r="P28" s="633">
        <f t="shared" si="4"/>
        <v>-4.1299999999998949E-2</v>
      </c>
      <c r="Q28" s="585">
        <f t="shared" si="113"/>
        <v>330.48996022272786</v>
      </c>
      <c r="R28" s="629">
        <f t="shared" si="79"/>
        <v>1.2359999999999998</v>
      </c>
      <c r="S28" s="634">
        <f t="shared" si="80"/>
        <v>-4.1299999999998949E-2</v>
      </c>
      <c r="T28" s="635">
        <f t="shared" si="81"/>
        <v>-0.60844850250985916</v>
      </c>
      <c r="U28" s="629">
        <f t="shared" si="82"/>
        <v>-1.0758654282918052</v>
      </c>
      <c r="V28" s="636">
        <f t="shared" si="114"/>
        <v>-4.1299999999998949E-2</v>
      </c>
      <c r="W28" s="585">
        <f t="shared" si="224"/>
        <v>240.5099602198402</v>
      </c>
      <c r="X28" s="629">
        <f t="shared" si="83"/>
        <v>1.2359999999999998</v>
      </c>
      <c r="Y28" s="630">
        <f t="shared" si="223"/>
        <v>-4.1299999999998949E-2</v>
      </c>
      <c r="Z28" s="632">
        <f t="shared" si="6"/>
        <v>-1.1171373654340671E-7</v>
      </c>
      <c r="AA28" s="629">
        <f t="shared" si="7"/>
        <v>-1.9737265832580429E-7</v>
      </c>
      <c r="AB28" s="629">
        <f t="shared" si="8"/>
        <v>-0.99999999999997435</v>
      </c>
      <c r="AC28" s="636">
        <f t="shared" si="84"/>
        <v>1</v>
      </c>
      <c r="AD28" s="637">
        <f t="shared" si="115"/>
        <v>-1.1171373654340671E-7</v>
      </c>
      <c r="AE28" s="629">
        <f t="shared" si="85"/>
        <v>-1.9737265832580429E-7</v>
      </c>
      <c r="AF28" s="633">
        <f t="shared" si="86"/>
        <v>-0.99999999999997435</v>
      </c>
      <c r="AG28" s="602">
        <f t="shared" si="87"/>
        <v>-1.1308620313346358E-5</v>
      </c>
      <c r="AH28" s="603">
        <f t="shared" si="88"/>
        <v>90.00000640072561</v>
      </c>
      <c r="AI28" s="585">
        <f t="shared" si="89"/>
        <v>-1.2976235990044085E-5</v>
      </c>
      <c r="AJ28" s="586">
        <f t="shared" si="90"/>
        <v>-29.510039577131892</v>
      </c>
      <c r="AK28" s="635">
        <f t="shared" si="211"/>
        <v>2.2679489673950858E-7</v>
      </c>
      <c r="AL28" s="629">
        <f t="shared" si="91"/>
        <v>7.9221863944083678E-16</v>
      </c>
      <c r="AM28" s="634">
        <f t="shared" si="92"/>
        <v>-0.99999999999997435</v>
      </c>
      <c r="AN28" s="581">
        <f t="shared" si="93"/>
        <v>4.5390784491557412E-14</v>
      </c>
      <c r="AO28" s="582">
        <f t="shared" si="94"/>
        <v>0</v>
      </c>
      <c r="AP28" s="585">
        <f t="shared" si="95"/>
        <v>2.001402374749687E-7</v>
      </c>
      <c r="AQ28" s="586">
        <f t="shared" si="9"/>
        <v>1.8438022909212568</v>
      </c>
      <c r="AS28" s="52">
        <f t="shared" si="116"/>
        <v>-119.4900397801598</v>
      </c>
      <c r="AT28" s="72">
        <f t="shared" si="10"/>
        <v>4.1693083178662271E-2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2.2050000000000001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4.1050000000000004</v>
      </c>
      <c r="II28" s="734" cm="1">
        <f t="array" ref="II28">IFERROR(ROUND(VALUE(IF($IH28&lt;1,$IH28+LARGE((IF($M$9:$M$150="",0,$M$9:$M$150)-MOD(IF($M$9:$M$150="",0,$M$9:$M$150),1)),1),$IH28)),4),"")</f>
        <v>4.1050000000000004</v>
      </c>
      <c r="IJ28" s="533">
        <f t="shared" si="112"/>
        <v>1308</v>
      </c>
      <c r="IK28" s="533" t="str">
        <f t="shared" si="66"/>
        <v>Undefined</v>
      </c>
      <c r="IL28" s="727">
        <f t="shared" si="225"/>
        <v>260.51001941939387</v>
      </c>
      <c r="IM28" s="759">
        <v>5.70531088736893E-2</v>
      </c>
      <c r="IN28" s="5">
        <f t="shared" si="226"/>
        <v>0</v>
      </c>
      <c r="IO28" s="771">
        <v>0</v>
      </c>
      <c r="IP28" s="9">
        <f t="shared" si="227"/>
        <v>-1.1356034249799298</v>
      </c>
      <c r="IQ28" s="5">
        <f t="shared" si="228"/>
        <v>-0.24700074495424681</v>
      </c>
      <c r="IR28" s="5">
        <f t="shared" si="71"/>
        <v>0.26600000000000001</v>
      </c>
      <c r="IS28" s="5">
        <f t="shared" si="229"/>
        <v>0.25368871242640822</v>
      </c>
      <c r="IT28" s="727">
        <f t="shared" si="230"/>
        <v>-7.4999989171341248</v>
      </c>
      <c r="IU28" s="9">
        <f t="shared" si="231"/>
        <v>-1.2359999999999998</v>
      </c>
      <c r="IV28" s="5">
        <f t="shared" si="232"/>
        <v>-4.1299999999998949E-2</v>
      </c>
      <c r="IW28" s="5">
        <f t="shared" si="76"/>
        <v>0.19500000000000001</v>
      </c>
      <c r="IX28" s="5">
        <f t="shared" si="233"/>
        <v>0.19500000000000001</v>
      </c>
      <c r="IY28" s="762">
        <f t="shared" si="234"/>
        <v>-4.5390784491557412E-14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1.706060968261417</v>
      </c>
      <c r="C29" s="708">
        <v>-0.5924457549640445</v>
      </c>
      <c r="D29" s="709">
        <v>3.3800000000001593E-2</v>
      </c>
      <c r="E29" s="710">
        <v>7.4398489648282016E-8</v>
      </c>
      <c r="F29" s="708">
        <v>2.1424469631661078E-7</v>
      </c>
      <c r="G29" s="711">
        <v>0.99999999999997435</v>
      </c>
      <c r="H29" s="710">
        <v>0.19500000000000001</v>
      </c>
      <c r="I29" s="708">
        <v>0.438</v>
      </c>
      <c r="J29" s="570">
        <v>2.2090000000000001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Undefined</v>
      </c>
      <c r="L29" s="320"/>
      <c r="M29" s="168">
        <f t="shared" si="1"/>
        <v>2.2090000000000001</v>
      </c>
      <c r="N29" s="632">
        <f t="shared" si="2"/>
        <v>1.706060968261417</v>
      </c>
      <c r="O29" s="629">
        <f t="shared" si="3"/>
        <v>-0.5924457549640445</v>
      </c>
      <c r="P29" s="633">
        <f t="shared" si="4"/>
        <v>3.3800000000001593E-2</v>
      </c>
      <c r="Q29" s="585">
        <f t="shared" si="113"/>
        <v>340.84996021696969</v>
      </c>
      <c r="R29" s="629">
        <f>IF(M29="","",SQRT(N29^2+O29^2))</f>
        <v>1.806</v>
      </c>
      <c r="S29" s="634">
        <f>IF(M29="","",P29)</f>
        <v>3.3800000000001593E-2</v>
      </c>
      <c r="T29" s="635">
        <f>IF(M29="","",X29*COS(RADIANS(W29)))</f>
        <v>-0.59185019134555483</v>
      </c>
      <c r="U29" s="629">
        <f>IF(M29="","",X29*SIN(RADIANS(W29)))</f>
        <v>-1.7062676668694834</v>
      </c>
      <c r="V29" s="636">
        <f>IF(M29="","",Y29)</f>
        <v>3.3800000000001593E-2</v>
      </c>
      <c r="W29" s="585">
        <f t="shared" si="224"/>
        <v>250.86996021408203</v>
      </c>
      <c r="X29" s="629">
        <f>IF(M29="","",R29)</f>
        <v>1.806</v>
      </c>
      <c r="Y29" s="630">
        <f t="shared" si="223"/>
        <v>3.3800000000001593E-2</v>
      </c>
      <c r="Z29" s="632">
        <f t="shared" si="6"/>
        <v>-7.4398489648282016E-8</v>
      </c>
      <c r="AA29" s="629">
        <f t="shared" si="7"/>
        <v>-2.1424469631661078E-7</v>
      </c>
      <c r="AB29" s="629">
        <f t="shared" si="8"/>
        <v>-0.99999999999997435</v>
      </c>
      <c r="AC29" s="636">
        <f>IF(M29="","",SQRT(Z29^2+AA29^2+AB29^2))</f>
        <v>1</v>
      </c>
      <c r="AD29" s="637">
        <f>IF(M29="","",Z29*(1/SQRT(Z29^2+AA29^2+AB29^2)))</f>
        <v>-7.4398489648282016E-8</v>
      </c>
      <c r="AE29" s="629">
        <f>IF(M29="","",AA29*(1/SQRT(Z29^2+AA29^2+AB29^2)))</f>
        <v>-2.1424469631661078E-7</v>
      </c>
      <c r="AF29" s="633">
        <f>IF(M29="","",AB29*(1/SQRT(Z29^2+AA29^2+AB29^2)))</f>
        <v>-0.99999999999997435</v>
      </c>
      <c r="AG29" s="602">
        <f>IF(M29="","",DEGREES(ATAN2(-AF29,AE29)))</f>
        <v>-1.2275316882003939E-5</v>
      </c>
      <c r="AH29" s="603">
        <f>IF(M29="","",DEGREES(ACOS(AD29)))</f>
        <v>90.000004262719457</v>
      </c>
      <c r="AI29" s="585">
        <f>IF(M29="","",DEGREES(-ACOS(-AF29)))</f>
        <v>-1.2976235990044085E-5</v>
      </c>
      <c r="AJ29" s="586">
        <f>IF(M29="","",DEGREES(ATAN2(-AE29,AD29)))</f>
        <v>-19.150039563438362</v>
      </c>
      <c r="AK29" s="635">
        <f>IF(M29="","",(COS(RADIANS((90-$Q$8)-W29))*AD29)+(-SIN(RADIANS((90-$Q$8)-W29))*AE29))</f>
        <v>2.2679489668363858E-7</v>
      </c>
      <c r="AL29" s="629">
        <f>IF(M29="","",(SIN(RADIANS((90-$Q$8)-W29))*AD29)+(COS(RADIANS((90-$Q$8)-W29))*AE29))</f>
        <v>8.6921460932563253E-16</v>
      </c>
      <c r="AM29" s="634">
        <f>IF(M29="","",AF29)</f>
        <v>-0.99999999999997435</v>
      </c>
      <c r="AN29" s="581">
        <f>IF(M29="","",DEGREES(ATAN2(-AM29,AL29)))</f>
        <v>4.980232860547271E-14</v>
      </c>
      <c r="AO29" s="582">
        <f t="shared" si="94"/>
        <v>0</v>
      </c>
      <c r="AP29" s="585">
        <f>IF(M29="","",DEGREES(ATAN2(AK29,AL29)))</f>
        <v>2.1959192792129645E-7</v>
      </c>
      <c r="AQ29" s="586">
        <f t="shared" si="9"/>
        <v>1.2621029303938041</v>
      </c>
      <c r="AS29" s="52">
        <f t="shared" si="116"/>
        <v>-109.13003978591797</v>
      </c>
      <c r="AT29" s="72">
        <f t="shared" si="10"/>
        <v>0.1095986387382171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2.2090000000000001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2.109</v>
      </c>
      <c r="II29" s="734" cm="1">
        <f t="array" ref="II29">IFERROR(ROUND(VALUE(IF($IH29&lt;1,$IH29+LARGE((IF($M$9:$M$150="",0,$M$9:$M$150)-MOD(IF($M$9:$M$150="",0,$M$9:$M$150),1)),1),$IH29)),4),"")</f>
        <v>2.109</v>
      </c>
      <c r="IJ29" s="533">
        <f t="shared" si="112"/>
        <v>1308</v>
      </c>
      <c r="IK29" s="533" t="str">
        <f t="shared" si="66"/>
        <v>Undefined</v>
      </c>
      <c r="IL29" s="727">
        <f t="shared" si="225"/>
        <v>23.150000222330675</v>
      </c>
      <c r="IM29" s="759">
        <v>1.5407196572178801E-2</v>
      </c>
      <c r="IN29" s="5">
        <f t="shared" si="226"/>
        <v>0</v>
      </c>
      <c r="IO29" s="771">
        <v>0</v>
      </c>
      <c r="IP29" s="9">
        <f t="shared" si="227"/>
        <v>-1.9753059575227683</v>
      </c>
      <c r="IQ29" s="5">
        <f t="shared" si="228"/>
        <v>-0.13640041138364073</v>
      </c>
      <c r="IR29" s="5">
        <f t="shared" si="71"/>
        <v>0.26600000000000001</v>
      </c>
      <c r="IS29" s="5">
        <f t="shared" si="229"/>
        <v>0.25368871242640822</v>
      </c>
      <c r="IT29" s="727">
        <f t="shared" si="230"/>
        <v>-4.999999278089426</v>
      </c>
      <c r="IU29" s="9">
        <f t="shared" si="231"/>
        <v>-1.806</v>
      </c>
      <c r="IV29" s="5">
        <f t="shared" si="232"/>
        <v>3.3800000000001593E-2</v>
      </c>
      <c r="IW29" s="5">
        <f t="shared" si="76"/>
        <v>0.19500000000000001</v>
      </c>
      <c r="IX29" s="5">
        <f t="shared" si="233"/>
        <v>0.19500000000000001</v>
      </c>
      <c r="IY29" s="762">
        <f t="shared" si="234"/>
        <v>-4.980232860547271E-14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1.0434985670043051</v>
      </c>
      <c r="C30" s="708">
        <v>-2.3648133291629252</v>
      </c>
      <c r="D30" s="709">
        <v>-0.11150033628501424</v>
      </c>
      <c r="E30" s="710">
        <v>0.8971262064478237</v>
      </c>
      <c r="F30" s="708">
        <v>0.32851554852074244</v>
      </c>
      <c r="G30" s="711">
        <v>0.29536774381210418</v>
      </c>
      <c r="H30" s="710">
        <v>0.26600000000000001</v>
      </c>
      <c r="I30" s="708">
        <v>0.52</v>
      </c>
      <c r="J30" s="570">
        <v>3.113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3.113</v>
      </c>
      <c r="N30" s="632">
        <f t="shared" si="2"/>
        <v>1.0434985670043051</v>
      </c>
      <c r="O30" s="629">
        <f t="shared" si="3"/>
        <v>-2.3648133291629252</v>
      </c>
      <c r="P30" s="633">
        <f t="shared" si="4"/>
        <v>-0.11150033628501424</v>
      </c>
      <c r="Q30" s="585">
        <f t="shared" si="113"/>
        <v>293.80997057348105</v>
      </c>
      <c r="R30" s="629">
        <f>IF(M30="","",SQRT(N30^2+O30^2))</f>
        <v>2.5848077957803119</v>
      </c>
      <c r="S30" s="634">
        <f>IF(M30="","",P30)</f>
        <v>-0.11150033628501424</v>
      </c>
      <c r="T30" s="635">
        <f>IF(M30="","",X30*COS(RADIANS(W30)))</f>
        <v>-2.3644489354356084</v>
      </c>
      <c r="U30" s="629">
        <f>IF(M30="","",X30*SIN(RADIANS(W30)))</f>
        <v>-1.0443239788705863</v>
      </c>
      <c r="V30" s="636">
        <f>IF(M30="","",Y30)</f>
        <v>-0.11150033628501424</v>
      </c>
      <c r="W30" s="585">
        <f t="shared" si="224"/>
        <v>203.82997057059339</v>
      </c>
      <c r="X30" s="629">
        <f>IF(M30="","",R30)</f>
        <v>2.5848077957803119</v>
      </c>
      <c r="Y30" s="630">
        <f t="shared" si="223"/>
        <v>-0.11150033628501424</v>
      </c>
      <c r="Z30" s="632">
        <f t="shared" si="6"/>
        <v>-0.8971262064478237</v>
      </c>
      <c r="AA30" s="629">
        <f t="shared" si="7"/>
        <v>-0.32851554852074244</v>
      </c>
      <c r="AB30" s="629">
        <f t="shared" si="8"/>
        <v>-0.29536774381210418</v>
      </c>
      <c r="AC30" s="636">
        <f>IF(M30="","",SQRT(Z30^2+AA30^2+AB30^2))</f>
        <v>1</v>
      </c>
      <c r="AD30" s="637">
        <f>IF(M30="","",Z30*(1/SQRT(Z30^2+AA30^2+AB30^2)))</f>
        <v>-0.8971262064478237</v>
      </c>
      <c r="AE30" s="629">
        <f>IF(M30="","",AA30*(1/SQRT(Z30^2+AA30^2+AB30^2)))</f>
        <v>-0.32851554852074244</v>
      </c>
      <c r="AF30" s="633">
        <f>IF(M30="","",AB30*(1/SQRT(Z30^2+AA30^2+AB30^2)))</f>
        <v>-0.29536774381210418</v>
      </c>
      <c r="AG30" s="602">
        <f>IF(M30="","",DEGREES(ATAN2(-AF30,AE30)))</f>
        <v>-48.041346374377888</v>
      </c>
      <c r="AH30" s="603">
        <f>IF(M30="","",DEGREES(ACOS(AD30)))</f>
        <v>153.78285392320745</v>
      </c>
      <c r="AI30" s="585">
        <f>IF(M30="","",DEGREES(-ACOS(-AF30)))</f>
        <v>-72.820409795792273</v>
      </c>
      <c r="AJ30" s="586">
        <f>IF(M30="","",DEGREES(ATAN2(-AE30,AD30)))</f>
        <v>-69.887949015407031</v>
      </c>
      <c r="AK30" s="635">
        <f>IF(M30="","",(COS(RADIANS((90-$Q$8)-W30))*AD30)+(-SIN(RADIANS((90-$Q$8)-W30))*AE30))</f>
        <v>0.95339449188146164</v>
      </c>
      <c r="AL30" s="629">
        <f>IF(M30="","",(SIN(RADIANS((90-$Q$8)-W30))*AD30)+(COS(RADIANS((90-$Q$8)-W30))*AE30))</f>
        <v>-6.1618493696592003E-2</v>
      </c>
      <c r="AM30" s="634">
        <f>IF(M30="","",AF30)</f>
        <v>-0.29536774381210418</v>
      </c>
      <c r="AN30" s="581">
        <f>IF(M30="","",DEGREES(ATAN2(-AM30,AL30)))</f>
        <v>-11.783820462717388</v>
      </c>
      <c r="AO30" s="582">
        <f>IF(ROUND(IF(M30="",0,DEGREES(ACOS(AK30))),4)=90,0,IF(M30="","",DEGREES(ACOS(AK30))))</f>
        <v>17.561336443048067</v>
      </c>
      <c r="AP30" s="585">
        <f>IF(M30="","",DEGREES(ATAN2(AK30,AL30)))</f>
        <v>-3.6979195888880891</v>
      </c>
      <c r="AQ30" s="586">
        <f t="shared" si="9"/>
        <v>0.88190177928699232</v>
      </c>
      <c r="AS30" s="52">
        <f t="shared" si="116"/>
        <v>-156.17002942940661</v>
      </c>
      <c r="AT30" s="72">
        <f t="shared" si="10"/>
        <v>-3.0350380721538561E-3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1.2733064504989231</v>
      </c>
      <c r="C31" s="708">
        <v>-2.9509161626267644</v>
      </c>
      <c r="D31" s="709">
        <v>-0.32780098864778195</v>
      </c>
      <c r="E31" s="710">
        <v>0.9372612970470765</v>
      </c>
      <c r="F31" s="708">
        <v>0.21151686694379712</v>
      </c>
      <c r="G31" s="711">
        <v>0.27713151400718028</v>
      </c>
      <c r="H31" s="710">
        <v>0.26600000000000001</v>
      </c>
      <c r="I31" s="708">
        <v>0.52</v>
      </c>
      <c r="J31" s="570">
        <v>3.1179999999999999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3.1179999999999999</v>
      </c>
      <c r="N31" s="632">
        <f t="shared" si="2"/>
        <v>1.2733064504989231</v>
      </c>
      <c r="O31" s="629">
        <f t="shared" si="3"/>
        <v>-2.9509161626267644</v>
      </c>
      <c r="P31" s="633">
        <f t="shared" si="4"/>
        <v>-0.32780098864778195</v>
      </c>
      <c r="Q31" s="585">
        <f t="shared" si="113"/>
        <v>293.33997064134064</v>
      </c>
      <c r="R31" s="629">
        <f>IF(M31="","",SQRT(N31^2+O31^2))</f>
        <v>3.2139096931516349</v>
      </c>
      <c r="S31" s="634">
        <f>IF(M31="","",P31)</f>
        <v>-0.32780098864778195</v>
      </c>
      <c r="T31" s="635">
        <f>IF(M31="","",X31*COS(RADIANS(W31)))</f>
        <v>-2.9504715151209631</v>
      </c>
      <c r="U31" s="629">
        <f>IF(M31="","",X31*SIN(RADIANS(W31)))</f>
        <v>-1.2743364368148009</v>
      </c>
      <c r="V31" s="636">
        <f>IF(M31="","",Y31)</f>
        <v>-0.32780098864778195</v>
      </c>
      <c r="W31" s="585">
        <f t="shared" si="224"/>
        <v>203.35997063845298</v>
      </c>
      <c r="X31" s="629">
        <f>IF(M31="","",R31)</f>
        <v>3.2139096931516349</v>
      </c>
      <c r="Y31" s="630">
        <f t="shared" si="223"/>
        <v>-0.32780098864778195</v>
      </c>
      <c r="Z31" s="632">
        <f t="shared" si="6"/>
        <v>-0.9372612970470765</v>
      </c>
      <c r="AA31" s="629">
        <f t="shared" si="7"/>
        <v>-0.21151686694379712</v>
      </c>
      <c r="AB31" s="629">
        <f t="shared" si="8"/>
        <v>-0.27713151400718028</v>
      </c>
      <c r="AC31" s="636">
        <f>IF(M31="","",SQRT(Z31^2+AA31^2+AB31^2))</f>
        <v>1</v>
      </c>
      <c r="AD31" s="637">
        <f>IF(M31="","",Z31*(1/SQRT(Z31^2+AA31^2+AB31^2)))</f>
        <v>-0.9372612970470765</v>
      </c>
      <c r="AE31" s="629">
        <f>IF(M31="","",AA31*(1/SQRT(Z31^2+AA31^2+AB31^2)))</f>
        <v>-0.21151686694379712</v>
      </c>
      <c r="AF31" s="633">
        <f>IF(M31="","",AB31*(1/SQRT(Z31^2+AA31^2+AB31^2)))</f>
        <v>-0.27713151400718028</v>
      </c>
      <c r="AG31" s="602">
        <f>IF(M31="","",DEGREES(ATAN2(-AF31,AE31)))</f>
        <v>-37.352192477286522</v>
      </c>
      <c r="AH31" s="603">
        <f>IF(M31="","",DEGREES(ACOS(AD31)))</f>
        <v>159.59659899536814</v>
      </c>
      <c r="AI31" s="585">
        <f>IF(M31="","",DEGREES(-ACOS(-AF31)))</f>
        <v>-73.910921157120541</v>
      </c>
      <c r="AJ31" s="586">
        <f>IF(M31="","",DEGREES(ATAN2(-AE31,AD31)))</f>
        <v>-77.282786096086511</v>
      </c>
      <c r="AK31" s="635">
        <f>IF(M31="","",(COS(RADIANS((90-$Q$8)-W31))*AD31)+(-SIN(RADIANS((90-$Q$8)-W31))*AE31))</f>
        <v>0.94436545855565335</v>
      </c>
      <c r="AL31" s="629">
        <f>IF(M31="","",(SIN(RADIANS((90-$Q$8)-W31))*AD31)+(COS(RADIANS((90-$Q$8)-W31))*AE31))</f>
        <v>-0.17712144034830701</v>
      </c>
      <c r="AM31" s="634">
        <f>IF(M31="","",AF31)</f>
        <v>-0.27713151400718028</v>
      </c>
      <c r="AN31" s="581">
        <f>IF(M31="","",DEGREES(ATAN2(-AM31,AL31)))</f>
        <v>-32.5836279447999</v>
      </c>
      <c r="AO31" s="582">
        <f t="shared" si="94"/>
        <v>19.201900963631832</v>
      </c>
      <c r="AP31" s="585">
        <f>IF(M31="","",DEGREES(ATAN2(AK31,AL31)))</f>
        <v>-10.622756737427146</v>
      </c>
      <c r="AQ31" s="586">
        <f t="shared" si="9"/>
        <v>0.70929503010511319</v>
      </c>
      <c r="AS31" s="52">
        <f t="shared" si="116"/>
        <v>-156.64002936154702</v>
      </c>
      <c r="AT31" s="72">
        <f t="shared" si="10"/>
        <v>-0.2190093015931574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1.4406191530293382</v>
      </c>
      <c r="C32" s="708">
        <v>-3.4154158719238206</v>
      </c>
      <c r="D32" s="709">
        <v>-0.779102349772687</v>
      </c>
      <c r="E32" s="710">
        <v>0.96280631832668018</v>
      </c>
      <c r="F32" s="708">
        <v>6.288253485280354E-2</v>
      </c>
      <c r="G32" s="711">
        <v>0.26277324863979096</v>
      </c>
      <c r="H32" s="710">
        <v>0.26600000000000001</v>
      </c>
      <c r="I32" s="708">
        <v>0.52</v>
      </c>
      <c r="J32" s="570">
        <v>3.1230000000000002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3.1230000000000002</v>
      </c>
      <c r="N32" s="632">
        <f t="shared" si="2"/>
        <v>1.4406191530293382</v>
      </c>
      <c r="O32" s="629">
        <f t="shared" si="3"/>
        <v>-3.4154158719238206</v>
      </c>
      <c r="P32" s="633">
        <f t="shared" si="4"/>
        <v>-0.779102349772687</v>
      </c>
      <c r="Q32" s="585">
        <f t="shared" si="113"/>
        <v>292.86997070920023</v>
      </c>
      <c r="R32" s="629">
        <f t="shared" si="79"/>
        <v>3.7068111797425183</v>
      </c>
      <c r="S32" s="634">
        <f t="shared" si="80"/>
        <v>-0.779102349772687</v>
      </c>
      <c r="T32" s="635">
        <f t="shared" si="81"/>
        <v>-3.4149127929779142</v>
      </c>
      <c r="U32" s="629">
        <f t="shared" si="82"/>
        <v>-1.44181127011128</v>
      </c>
      <c r="V32" s="636">
        <f t="shared" si="114"/>
        <v>-0.779102349772687</v>
      </c>
      <c r="W32" s="585">
        <f t="shared" si="224"/>
        <v>202.88997070631257</v>
      </c>
      <c r="X32" s="629">
        <f t="shared" si="83"/>
        <v>3.7068111797425183</v>
      </c>
      <c r="Y32" s="630">
        <f t="shared" si="223"/>
        <v>-0.779102349772687</v>
      </c>
      <c r="Z32" s="632">
        <f t="shared" si="6"/>
        <v>-0.96280631832668018</v>
      </c>
      <c r="AA32" s="629">
        <f t="shared" si="7"/>
        <v>-6.288253485280354E-2</v>
      </c>
      <c r="AB32" s="629">
        <f t="shared" si="8"/>
        <v>-0.26277324863979096</v>
      </c>
      <c r="AC32" s="636">
        <f t="shared" si="84"/>
        <v>1</v>
      </c>
      <c r="AD32" s="637">
        <f t="shared" si="115"/>
        <v>-0.96280631832668018</v>
      </c>
      <c r="AE32" s="629">
        <f t="shared" si="85"/>
        <v>-6.288253485280354E-2</v>
      </c>
      <c r="AF32" s="633">
        <f t="shared" si="86"/>
        <v>-0.26277324863979096</v>
      </c>
      <c r="AG32" s="602">
        <f t="shared" si="87"/>
        <v>-13.457989441082811</v>
      </c>
      <c r="AH32" s="603">
        <f t="shared" si="88"/>
        <v>164.32427726227084</v>
      </c>
      <c r="AI32" s="585">
        <f t="shared" si="89"/>
        <v>-74.765319245779239</v>
      </c>
      <c r="AJ32" s="586">
        <f t="shared" si="90"/>
        <v>-86.263221395981034</v>
      </c>
      <c r="AK32" s="635">
        <f t="shared" si="211"/>
        <v>0.91155810249179603</v>
      </c>
      <c r="AL32" s="629">
        <f t="shared" si="91"/>
        <v>-0.31624681117893816</v>
      </c>
      <c r="AM32" s="634">
        <f t="shared" si="92"/>
        <v>-0.26277324863979096</v>
      </c>
      <c r="AN32" s="581">
        <f t="shared" si="93"/>
        <v>-50.276403524755864</v>
      </c>
      <c r="AO32" s="582">
        <f t="shared" si="94"/>
        <v>24.278434367755509</v>
      </c>
      <c r="AP32" s="585">
        <f t="shared" si="95"/>
        <v>-19.133192105181262</v>
      </c>
      <c r="AQ32" s="586">
        <f t="shared" si="9"/>
        <v>0.61498656728982182</v>
      </c>
      <c r="AS32" s="52">
        <f t="shared" si="116"/>
        <v>-157.11002929368743</v>
      </c>
      <c r="AT32" s="72">
        <f t="shared" si="10"/>
        <v>-0.66998427387629822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1.5287145905493074</v>
      </c>
      <c r="C33" s="708">
        <v>-3.6761225500241892</v>
      </c>
      <c r="D33" s="709">
        <v>-1.3974042145711101</v>
      </c>
      <c r="E33" s="710">
        <v>0.97814172335237148</v>
      </c>
      <c r="F33" s="708">
        <v>-8.0685812074518068E-2</v>
      </c>
      <c r="G33" s="711">
        <v>0.19164698997669738</v>
      </c>
      <c r="H33" s="710">
        <v>0.26600000000000001</v>
      </c>
      <c r="I33" s="708">
        <v>0.52</v>
      </c>
      <c r="J33" s="570">
        <v>3.1280000000000001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3.1280000000000001</v>
      </c>
      <c r="N33" s="632">
        <f t="shared" si="2"/>
        <v>1.5287145905493074</v>
      </c>
      <c r="O33" s="629">
        <f t="shared" si="3"/>
        <v>-3.6761225500241892</v>
      </c>
      <c r="P33" s="633">
        <f t="shared" si="4"/>
        <v>-1.3974042145711101</v>
      </c>
      <c r="Q33" s="585">
        <f t="shared" si="113"/>
        <v>292.57997075107107</v>
      </c>
      <c r="R33" s="629">
        <f t="shared" si="79"/>
        <v>3.9813120076370154</v>
      </c>
      <c r="S33" s="634">
        <f t="shared" si="80"/>
        <v>-1.3974042145711101</v>
      </c>
      <c r="T33" s="635">
        <f t="shared" si="81"/>
        <v>-3.6755887040913779</v>
      </c>
      <c r="U33" s="629">
        <f t="shared" si="82"/>
        <v>-1.5299977060474788</v>
      </c>
      <c r="V33" s="636">
        <f t="shared" si="114"/>
        <v>-1.3974042145711101</v>
      </c>
      <c r="W33" s="585">
        <f t="shared" si="224"/>
        <v>202.59997074818341</v>
      </c>
      <c r="X33" s="629">
        <f t="shared" si="83"/>
        <v>3.9813120076370154</v>
      </c>
      <c r="Y33" s="630">
        <f t="shared" si="223"/>
        <v>-1.3974042145711101</v>
      </c>
      <c r="Z33" s="632">
        <f t="shared" si="6"/>
        <v>-0.97814172335237148</v>
      </c>
      <c r="AA33" s="629">
        <f t="shared" si="7"/>
        <v>8.0685812074518068E-2</v>
      </c>
      <c r="AB33" s="629">
        <f t="shared" si="8"/>
        <v>-0.19164698997669738</v>
      </c>
      <c r="AC33" s="636">
        <f t="shared" si="84"/>
        <v>1</v>
      </c>
      <c r="AD33" s="637">
        <f t="shared" si="115"/>
        <v>-0.97814172335237148</v>
      </c>
      <c r="AE33" s="629">
        <f t="shared" si="85"/>
        <v>8.0685812074518068E-2</v>
      </c>
      <c r="AF33" s="633">
        <f t="shared" si="86"/>
        <v>-0.19164698997669738</v>
      </c>
      <c r="AG33" s="602">
        <f t="shared" si="87"/>
        <v>22.831709597814069</v>
      </c>
      <c r="AH33" s="603">
        <f t="shared" si="88"/>
        <v>167.99838043373254</v>
      </c>
      <c r="AI33" s="585">
        <f t="shared" si="89"/>
        <v>-78.951083726291813</v>
      </c>
      <c r="AJ33" s="586">
        <f t="shared" si="90"/>
        <v>-94.715588227633802</v>
      </c>
      <c r="AK33" s="635">
        <f t="shared" si="211"/>
        <v>0.87218064334211487</v>
      </c>
      <c r="AL33" s="629">
        <f t="shared" si="91"/>
        <v>-0.45008038905534009</v>
      </c>
      <c r="AM33" s="634">
        <f t="shared" si="92"/>
        <v>-0.19164698997669738</v>
      </c>
      <c r="AN33" s="581">
        <f t="shared" si="93"/>
        <v>-66.935397682368944</v>
      </c>
      <c r="AO33" s="582">
        <f t="shared" si="94"/>
        <v>29.286958303205004</v>
      </c>
      <c r="AP33" s="585">
        <f t="shared" si="95"/>
        <v>-27.295558978704868</v>
      </c>
      <c r="AQ33" s="586">
        <f t="shared" si="9"/>
        <v>0.57258781384016155</v>
      </c>
      <c r="AS33" s="52">
        <f t="shared" si="116"/>
        <v>-157.40002925181659</v>
      </c>
      <c r="AT33" s="72">
        <f t="shared" si="10"/>
        <v>-1.2880847498149095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3.1280000000000001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1.5838016777067681</v>
      </c>
      <c r="C34" s="708">
        <v>-3.7321602171166068</v>
      </c>
      <c r="D34" s="709">
        <v>-2.0883062983317964</v>
      </c>
      <c r="E34" s="710">
        <v>0.9712482910130551</v>
      </c>
      <c r="F34" s="708">
        <v>-0.22000592771186497</v>
      </c>
      <c r="G34" s="711">
        <v>9.0962349221321612E-2</v>
      </c>
      <c r="H34" s="710">
        <v>0.26600000000000001</v>
      </c>
      <c r="I34" s="708">
        <v>0.52</v>
      </c>
      <c r="J34" s="570">
        <v>3.133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3.133</v>
      </c>
      <c r="N34" s="632">
        <f t="shared" si="2"/>
        <v>1.5838016777067681</v>
      </c>
      <c r="O34" s="629">
        <f t="shared" si="3"/>
        <v>-3.7321602171166068</v>
      </c>
      <c r="P34" s="633">
        <f t="shared" si="4"/>
        <v>-2.0883062983317964</v>
      </c>
      <c r="Q34" s="585">
        <f t="shared" si="113"/>
        <v>292.99471401495367</v>
      </c>
      <c r="R34" s="629">
        <f>IF(M34="","",SQRT(N34^2+O34^2))</f>
        <v>4.0543122278056796</v>
      </c>
      <c r="S34" s="634">
        <f>IF(M34="","",P34)</f>
        <v>-2.0883062983317964</v>
      </c>
      <c r="T34" s="635">
        <f>IF(M34="","",X34*COS(RADIANS(W34)))</f>
        <v>-3.7316071387520298</v>
      </c>
      <c r="U34" s="629">
        <f>IF(M34="","",X34*SIN(RADIANS(W34)))</f>
        <v>-1.5851043506815379</v>
      </c>
      <c r="V34" s="636">
        <f>IF(M34="","",Y34)</f>
        <v>-2.0883062983317964</v>
      </c>
      <c r="W34" s="585">
        <f t="shared" si="224"/>
        <v>203.01471401206601</v>
      </c>
      <c r="X34" s="629">
        <f>IF(M34="","",R34)</f>
        <v>4.0543122278056796</v>
      </c>
      <c r="Y34" s="630">
        <f t="shared" si="223"/>
        <v>-2.0883062983317964</v>
      </c>
      <c r="Z34" s="632">
        <f t="shared" si="6"/>
        <v>-0.9712482910130551</v>
      </c>
      <c r="AA34" s="629">
        <f t="shared" si="7"/>
        <v>0.22000592771186497</v>
      </c>
      <c r="AB34" s="629">
        <f t="shared" si="8"/>
        <v>-9.0962349221321612E-2</v>
      </c>
      <c r="AC34" s="636">
        <f>IF(M34="","",SQRT(Z34^2+AA34^2+AB34^2))</f>
        <v>1</v>
      </c>
      <c r="AD34" s="637">
        <f>IF(M34="","",Z34*(1/SQRT(Z34^2+AA34^2+AB34^2)))</f>
        <v>-0.9712482910130551</v>
      </c>
      <c r="AE34" s="629">
        <f>IF(M34="","",AA34*(1/SQRT(Z34^2+AA34^2+AB34^2)))</f>
        <v>0.22000592771186497</v>
      </c>
      <c r="AF34" s="633">
        <f>IF(M34="","",AB34*(1/SQRT(Z34^2+AA34^2+AB34^2)))</f>
        <v>-9.0962349221321612E-2</v>
      </c>
      <c r="AG34" s="602">
        <f>IF(M34="","",DEGREES(ATAN2(-AF34,AE34)))</f>
        <v>67.5371522870402</v>
      </c>
      <c r="AH34" s="603">
        <f>IF(M34="","",DEGREES(ACOS(AD34)))</f>
        <v>166.22741218577713</v>
      </c>
      <c r="AI34" s="585">
        <f>IF(M34="","",DEGREES(-ACOS(-AF34)))</f>
        <v>-84.781027257443156</v>
      </c>
      <c r="AJ34" s="586">
        <f>IF(M34="","",DEGREES(ATAN2(-AE34,AD34)))</f>
        <v>-102.76318027140695</v>
      </c>
      <c r="AK34" s="635">
        <f>IF(M34="","",(COS(RADIANS((90-$Q$8)-W34))*AD34)+(-SIN(RADIANS((90-$Q$8)-W34))*AE34))</f>
        <v>0.8081292932437093</v>
      </c>
      <c r="AL34" s="629">
        <f>IF(M34="","",(SIN(RADIANS((90-$Q$8)-W34))*AD34)+(COS(RADIANS((90-$Q$8)-W34))*AE34))</f>
        <v>-0.58193891124890551</v>
      </c>
      <c r="AM34" s="634">
        <f>IF(M34="","",AF34)</f>
        <v>-9.0962349221321612E-2</v>
      </c>
      <c r="AN34" s="581">
        <f>IF(M34="","",DEGREES(ATAN2(-AM34,AL34)))</f>
        <v>-81.116035230818511</v>
      </c>
      <c r="AO34" s="582">
        <f t="shared" si="94"/>
        <v>36.086441084708056</v>
      </c>
      <c r="AP34" s="585">
        <f>IF(M34="","",DEGREES(ATAN2(AK34,AL34)))</f>
        <v>-35.757894286360624</v>
      </c>
      <c r="AQ34" s="586">
        <f t="shared" si="9"/>
        <v>0.56227870938925284</v>
      </c>
      <c r="AS34" s="52">
        <f t="shared" si="116"/>
        <v>-156.98528598793399</v>
      </c>
      <c r="AT34" s="72">
        <f t="shared" si="10"/>
        <v>-1.9792748497310697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-0.31824842122970287</v>
      </c>
      <c r="C35" s="708">
        <v>-0.39300378493108684</v>
      </c>
      <c r="D35" s="709">
        <v>-0.31169999999999998</v>
      </c>
      <c r="E35" s="710">
        <v>0.7140993607125532</v>
      </c>
      <c r="F35" s="708">
        <v>-0.49428875520377452</v>
      </c>
      <c r="G35" s="711">
        <v>0.49572243192034982</v>
      </c>
      <c r="H35" s="710">
        <v>0.26600000000000001</v>
      </c>
      <c r="I35" s="708">
        <v>0.315</v>
      </c>
      <c r="J35" s="570">
        <v>4.1020000000000003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1308</v>
      </c>
      <c r="L35" s="320"/>
      <c r="M35" s="168">
        <f t="shared" si="1"/>
        <v>4.1020000000000003</v>
      </c>
      <c r="N35" s="632">
        <f t="shared" si="2"/>
        <v>-0.31824842122970287</v>
      </c>
      <c r="O35" s="629">
        <f t="shared" si="3"/>
        <v>-0.39300378493108684</v>
      </c>
      <c r="P35" s="633">
        <f t="shared" si="4"/>
        <v>-0.31169999999999998</v>
      </c>
      <c r="Q35" s="585">
        <f t="shared" si="113"/>
        <v>230.99997964212173</v>
      </c>
      <c r="R35" s="629">
        <f>IF(M35="","",SQRT(N35^2+O35^2))</f>
        <v>0.50570152519580003</v>
      </c>
      <c r="S35" s="634">
        <f>IF(M35="","",P35)</f>
        <v>-0.31169999999999998</v>
      </c>
      <c r="T35" s="635">
        <f>IF(M35="","",X35*COS(RADIANS(W35)))</f>
        <v>-0.39311485062543339</v>
      </c>
      <c r="U35" s="629">
        <f>IF(M35="","",X35*SIN(RADIANS(W35)))</f>
        <v>0.31811121766310213</v>
      </c>
      <c r="V35" s="636">
        <f>IF(M35="","",Y35)</f>
        <v>-0.31169999999999998</v>
      </c>
      <c r="W35" s="585">
        <f t="shared" si="224"/>
        <v>141.01997963923407</v>
      </c>
      <c r="X35" s="629">
        <f>IF(M35="","",R35)</f>
        <v>0.50570152519580003</v>
      </c>
      <c r="Y35" s="630">
        <f t="shared" si="223"/>
        <v>-0.31169999999999998</v>
      </c>
      <c r="Z35" s="632">
        <f t="shared" si="6"/>
        <v>-0.7140993607125532</v>
      </c>
      <c r="AA35" s="629">
        <f t="shared" si="7"/>
        <v>0.49428875520377452</v>
      </c>
      <c r="AB35" s="629">
        <f t="shared" si="8"/>
        <v>-0.49572243192034982</v>
      </c>
      <c r="AC35" s="636">
        <f>IF(M35="","",SQRT(Z35^2+AA35^2+AB35^2))</f>
        <v>1</v>
      </c>
      <c r="AD35" s="637">
        <f>IF(M35="","",Z35*(1/SQRT(Z35^2+AA35^2+AB35^2)))</f>
        <v>-0.7140993607125532</v>
      </c>
      <c r="AE35" s="629">
        <f>IF(M35="","",AA35*(1/SQRT(Z35^2+AA35^2+AB35^2)))</f>
        <v>0.49428875520377452</v>
      </c>
      <c r="AF35" s="633">
        <f>IF(M35="","",AB35*(1/SQRT(Z35^2+AA35^2+AB35^2)))</f>
        <v>-0.49572243192034982</v>
      </c>
      <c r="AG35" s="602">
        <f>IF(M35="","",DEGREES(ATAN2(-AF35,AE35)))</f>
        <v>44.917027636967333</v>
      </c>
      <c r="AH35" s="603">
        <f>IF(M35="","",DEGREES(ACOS(AD35)))</f>
        <v>135.56943705023593</v>
      </c>
      <c r="AI35" s="585">
        <f>IF(M35="","",DEGREES(-ACOS(-AF35)))</f>
        <v>-60.28260039658786</v>
      </c>
      <c r="AJ35" s="586">
        <f>IF(M35="","",DEGREES(ATAN2(-AE35,AD35)))</f>
        <v>-124.69039513653782</v>
      </c>
      <c r="AK35" s="635">
        <f>IF(M35="","",(COS(RADIANS((90-$Q$8)-W35))*AD35)+(-SIN(RADIANS((90-$Q$8)-W35))*AE35))</f>
        <v>0.8660254037844386</v>
      </c>
      <c r="AL35" s="629">
        <f>IF(M35="","",(SIN(RADIANS((90-$Q$8)-W35))*AD35)+(COS(RADIANS((90-$Q$8)-W35))*AE35))</f>
        <v>6.526308674108261E-2</v>
      </c>
      <c r="AM35" s="634">
        <f>IF(M35="","",AF35)</f>
        <v>-0.49572243192034982</v>
      </c>
      <c r="AN35" s="581">
        <f>IF(M35="","",DEGREES(ATAN2(-AM35,AL35)))</f>
        <v>7.4999989171341275</v>
      </c>
      <c r="AO35" s="582">
        <f t="shared" si="94"/>
        <v>30.000000000000004</v>
      </c>
      <c r="AP35" s="585">
        <f>IF(M35="","",DEGREES(ATAN2(AK35,AL35)))</f>
        <v>4.3096252213404549</v>
      </c>
      <c r="AQ35" s="586">
        <f t="shared" si="9"/>
        <v>4.4987796830466742</v>
      </c>
      <c r="AS35" s="52">
        <f t="shared" si="116"/>
        <v>-218.98002036076593</v>
      </c>
      <c r="AT35" s="72">
        <f t="shared" si="10"/>
        <v>-0.15961665252925117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4.1020000000000003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1308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-0.71465870505922602</v>
      </c>
      <c r="C36" s="708">
        <v>-0.88252936161309525</v>
      </c>
      <c r="D36" s="709">
        <v>-0.24700074495424681</v>
      </c>
      <c r="E36" s="710">
        <v>0.76587789217653701</v>
      </c>
      <c r="F36" s="708">
        <v>-0.5696908477456506</v>
      </c>
      <c r="G36" s="711">
        <v>0.29813317874746309</v>
      </c>
      <c r="H36" s="710">
        <v>0.26600000000000001</v>
      </c>
      <c r="I36" s="708">
        <v>0.315</v>
      </c>
      <c r="J36" s="570">
        <v>4.1050000000000004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1308</v>
      </c>
      <c r="L36" s="320"/>
      <c r="M36" s="168">
        <f t="shared" si="1"/>
        <v>4.1050000000000004</v>
      </c>
      <c r="N36" s="632">
        <f t="shared" si="2"/>
        <v>-0.71465870505922602</v>
      </c>
      <c r="O36" s="629">
        <f t="shared" si="3"/>
        <v>-0.88252936161309525</v>
      </c>
      <c r="P36" s="633">
        <f t="shared" si="4"/>
        <v>-0.24700074495424681</v>
      </c>
      <c r="Q36" s="585">
        <f t="shared" si="113"/>
        <v>230.99997964212173</v>
      </c>
      <c r="R36" s="629">
        <f>IF(M36="","",SQRT(N36^2+O36^2))</f>
        <v>1.1356034249799298</v>
      </c>
      <c r="S36" s="634">
        <f>IF(M36="","",P36)</f>
        <v>-0.24700074495424681</v>
      </c>
      <c r="T36" s="635">
        <f>IF(M36="","",X36*COS(RADIANS(W36)))</f>
        <v>-0.88277877075389</v>
      </c>
      <c r="U36" s="629">
        <f>IF(M36="","",X36*SIN(RADIANS(W36)))</f>
        <v>0.7143506007083622</v>
      </c>
      <c r="V36" s="636">
        <f>IF(M36="","",Y36)</f>
        <v>-0.24700074495424681</v>
      </c>
      <c r="W36" s="585">
        <f t="shared" si="224"/>
        <v>141.01997963923407</v>
      </c>
      <c r="X36" s="629">
        <f>IF(M36="","",R36)</f>
        <v>1.1356034249799298</v>
      </c>
      <c r="Y36" s="630">
        <f t="shared" si="223"/>
        <v>-0.24700074495424681</v>
      </c>
      <c r="Z36" s="632">
        <f t="shared" si="6"/>
        <v>-0.76587789217653701</v>
      </c>
      <c r="AA36" s="629">
        <f t="shared" si="7"/>
        <v>0.5696908477456506</v>
      </c>
      <c r="AB36" s="629">
        <f t="shared" si="8"/>
        <v>-0.29813317874746309</v>
      </c>
      <c r="AC36" s="636">
        <f>IF(M36="","",SQRT(Z36^2+AA36^2+AB36^2))</f>
        <v>1</v>
      </c>
      <c r="AD36" s="637">
        <f>IF(M36="","",Z36*(1/SQRT(Z36^2+AA36^2+AB36^2)))</f>
        <v>-0.76587789217653701</v>
      </c>
      <c r="AE36" s="629">
        <f>IF(M36="","",AA36*(1/SQRT(Z36^2+AA36^2+AB36^2)))</f>
        <v>0.5696908477456506</v>
      </c>
      <c r="AF36" s="633">
        <f>IF(M36="","",AB36*(1/SQRT(Z36^2+AA36^2+AB36^2)))</f>
        <v>-0.29813317874746309</v>
      </c>
      <c r="AG36" s="602">
        <f>IF(M36="","",DEGREES(ATAN2(-AF36,AE36)))</f>
        <v>62.375835528832333</v>
      </c>
      <c r="AH36" s="603">
        <f>IF(M36="","",DEGREES(ACOS(AD36)))</f>
        <v>139.98515653826561</v>
      </c>
      <c r="AI36" s="585">
        <f>IF(M36="","",DEGREES(-ACOS(-AF36)))</f>
        <v>-72.654488038208044</v>
      </c>
      <c r="AJ36" s="586">
        <f>IF(M36="","",DEGREES(ATAN2(-AE36,AD36)))</f>
        <v>-126.64335746120234</v>
      </c>
      <c r="AK36" s="635">
        <f>IF(M36="","",(COS(RADIANS((90-$Q$8)-W36))*AD36)+(-SIN(RADIANS((90-$Q$8)-W36))*AE36))</f>
        <v>0.95371696400905348</v>
      </c>
      <c r="AL36" s="629">
        <f>IF(M36="","",(SIN(RADIANS((90-$Q$8)-W36))*AD36)+(COS(RADIANS((90-$Q$8)-W36))*AE36))</f>
        <v>3.924997186352186E-2</v>
      </c>
      <c r="AM36" s="634">
        <f>IF(M36="","",AF36)</f>
        <v>-0.29813317874746309</v>
      </c>
      <c r="AN36" s="581">
        <f>IF(M36="","",DEGREES(ATAN2(-AM36,AL36)))</f>
        <v>7.4999989171341248</v>
      </c>
      <c r="AO36" s="582">
        <f t="shared" si="94"/>
        <v>17.499997473312952</v>
      </c>
      <c r="AP36" s="585">
        <f>IF(M36="","",DEGREES(ATAN2(AK36,AL36)))</f>
        <v>2.3566628966759273</v>
      </c>
      <c r="AQ36" s="586">
        <f t="shared" si="9"/>
        <v>2.0066815427982618</v>
      </c>
      <c r="AS36" s="52">
        <f t="shared" si="116"/>
        <v>-218.98002036076593</v>
      </c>
      <c r="AT36" s="72">
        <f t="shared" si="10"/>
        <v>-9.4917397483498006E-2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4.1050000000000004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1308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-1.1110060566322275</v>
      </c>
      <c r="C37" s="708">
        <v>-1.3719772234869305</v>
      </c>
      <c r="D37" s="709">
        <v>-0.16410049492709269</v>
      </c>
      <c r="E37" s="710">
        <v>0.76587789217653723</v>
      </c>
      <c r="F37" s="708">
        <v>-0.56969084774565037</v>
      </c>
      <c r="G37" s="711">
        <v>0.29813317874746309</v>
      </c>
      <c r="H37" s="710">
        <v>0.26600000000000001</v>
      </c>
      <c r="I37" s="708">
        <v>0.315</v>
      </c>
      <c r="J37" s="570">
        <v>4.1079999999999997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1308</v>
      </c>
      <c r="L37" s="320"/>
      <c r="M37" s="168">
        <f t="shared" si="1"/>
        <v>4.1079999999999997</v>
      </c>
      <c r="N37" s="632">
        <f t="shared" si="2"/>
        <v>-1.1110060566322275</v>
      </c>
      <c r="O37" s="629">
        <f t="shared" si="3"/>
        <v>-1.3719772234869305</v>
      </c>
      <c r="P37" s="633">
        <f t="shared" si="4"/>
        <v>-0.16410049492709269</v>
      </c>
      <c r="Q37" s="585">
        <f t="shared" si="113"/>
        <v>230.99997964212173</v>
      </c>
      <c r="R37" s="629">
        <f t="shared" si="79"/>
        <v>1.7654053244624586</v>
      </c>
      <c r="S37" s="634">
        <f t="shared" si="80"/>
        <v>-0.16410049492709269</v>
      </c>
      <c r="T37" s="635">
        <f t="shared" si="81"/>
        <v>-1.37236495411141</v>
      </c>
      <c r="U37" s="629">
        <f t="shared" si="82"/>
        <v>1.1105270786285157</v>
      </c>
      <c r="V37" s="636">
        <f t="shared" si="114"/>
        <v>-0.16410049492709269</v>
      </c>
      <c r="W37" s="585">
        <f t="shared" si="224"/>
        <v>141.01997963923407</v>
      </c>
      <c r="X37" s="629">
        <f t="shared" si="83"/>
        <v>1.7654053244624586</v>
      </c>
      <c r="Y37" s="630">
        <f t="shared" si="223"/>
        <v>-0.16410049492709269</v>
      </c>
      <c r="Z37" s="632">
        <f t="shared" si="6"/>
        <v>-0.76587789217653723</v>
      </c>
      <c r="AA37" s="629">
        <f t="shared" si="7"/>
        <v>0.56969084774565037</v>
      </c>
      <c r="AB37" s="629">
        <f t="shared" si="8"/>
        <v>-0.29813317874746309</v>
      </c>
      <c r="AC37" s="636">
        <f t="shared" si="84"/>
        <v>1</v>
      </c>
      <c r="AD37" s="637">
        <f t="shared" si="115"/>
        <v>-0.76587789217653723</v>
      </c>
      <c r="AE37" s="629">
        <f t="shared" si="85"/>
        <v>0.56969084774565037</v>
      </c>
      <c r="AF37" s="633">
        <f t="shared" si="86"/>
        <v>-0.29813317874746309</v>
      </c>
      <c r="AG37" s="602">
        <f t="shared" si="87"/>
        <v>62.375835528832326</v>
      </c>
      <c r="AH37" s="603">
        <f t="shared" si="88"/>
        <v>139.98515653826561</v>
      </c>
      <c r="AI37" s="585">
        <f t="shared" si="89"/>
        <v>-72.654488038208044</v>
      </c>
      <c r="AJ37" s="586">
        <f t="shared" si="90"/>
        <v>-126.64335746120234</v>
      </c>
      <c r="AK37" s="635">
        <f t="shared" si="211"/>
        <v>0.95371696400905348</v>
      </c>
      <c r="AL37" s="629">
        <f t="shared" si="91"/>
        <v>3.9249971863522193E-2</v>
      </c>
      <c r="AM37" s="634">
        <f t="shared" si="92"/>
        <v>-0.29813317874746309</v>
      </c>
      <c r="AN37" s="581">
        <f t="shared" si="93"/>
        <v>7.4999989171341879</v>
      </c>
      <c r="AO37" s="582">
        <f t="shared" si="94"/>
        <v>17.499997473312952</v>
      </c>
      <c r="AP37" s="585">
        <f t="shared" si="95"/>
        <v>2.3566628966759473</v>
      </c>
      <c r="AQ37" s="586">
        <f t="shared" si="9"/>
        <v>1.2911146879234427</v>
      </c>
      <c r="AS37" s="52">
        <f t="shared" si="116"/>
        <v>-218.98002036076593</v>
      </c>
      <c r="AT37" s="72">
        <f t="shared" si="10"/>
        <v>-1.2017147456343885E-2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4.1079999999999997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1308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-1.5470234575331818</v>
      </c>
      <c r="C38" s="708">
        <v>-1.9022534781847111</v>
      </c>
      <c r="D38" s="709">
        <v>-9.9800300997707814E-2</v>
      </c>
      <c r="E38" s="710">
        <v>0.71547540480657545</v>
      </c>
      <c r="F38" s="708">
        <v>-0.63147988578314751</v>
      </c>
      <c r="G38" s="711">
        <v>0.29887806705773862</v>
      </c>
      <c r="H38" s="710">
        <v>0.26600000000000001</v>
      </c>
      <c r="I38" s="708">
        <v>0.52</v>
      </c>
      <c r="J38" s="570">
        <v>4.1120000000000001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4.1120000000000001</v>
      </c>
      <c r="N38" s="632">
        <f t="shared" si="2"/>
        <v>-1.5470234575331818</v>
      </c>
      <c r="O38" s="629">
        <f t="shared" si="3"/>
        <v>-1.9022534781847111</v>
      </c>
      <c r="P38" s="633">
        <f t="shared" si="4"/>
        <v>-9.9800300997707814E-2</v>
      </c>
      <c r="Q38" s="585">
        <f t="shared" si="113"/>
        <v>230.8799796594476</v>
      </c>
      <c r="R38" s="629">
        <f t="shared" si="79"/>
        <v>2.4519073949527033</v>
      </c>
      <c r="S38" s="634">
        <f t="shared" si="80"/>
        <v>-9.9800300997707814E-2</v>
      </c>
      <c r="T38" s="635">
        <f t="shared" si="81"/>
        <v>-1.902793375262692</v>
      </c>
      <c r="U38" s="629">
        <f t="shared" si="82"/>
        <v>1.5463593516644714</v>
      </c>
      <c r="V38" s="636">
        <f t="shared" si="114"/>
        <v>-9.9800300997707814E-2</v>
      </c>
      <c r="W38" s="585">
        <f t="shared" si="224"/>
        <v>140.89997965655994</v>
      </c>
      <c r="X38" s="629">
        <f t="shared" si="83"/>
        <v>2.4519073949527033</v>
      </c>
      <c r="Y38" s="630">
        <f t="shared" si="223"/>
        <v>-9.9800300997707814E-2</v>
      </c>
      <c r="Z38" s="632">
        <f t="shared" si="6"/>
        <v>-0.71547540480657545</v>
      </c>
      <c r="AA38" s="629">
        <f t="shared" si="7"/>
        <v>0.63147988578314751</v>
      </c>
      <c r="AB38" s="629">
        <f t="shared" si="8"/>
        <v>-0.29887806705773862</v>
      </c>
      <c r="AC38" s="636">
        <f t="shared" si="84"/>
        <v>1</v>
      </c>
      <c r="AD38" s="637">
        <f t="shared" si="115"/>
        <v>-0.71547540480657545</v>
      </c>
      <c r="AE38" s="629">
        <f t="shared" si="85"/>
        <v>0.63147988578314751</v>
      </c>
      <c r="AF38" s="633">
        <f t="shared" si="86"/>
        <v>-0.29887806705773862</v>
      </c>
      <c r="AG38" s="602">
        <f t="shared" si="87"/>
        <v>64.671907224542082</v>
      </c>
      <c r="AH38" s="603">
        <f t="shared" si="88"/>
        <v>135.68217386651727</v>
      </c>
      <c r="AI38" s="585">
        <f t="shared" si="89"/>
        <v>-72.609770303916889</v>
      </c>
      <c r="AJ38" s="586">
        <f t="shared" si="90"/>
        <v>-131.43168186201345</v>
      </c>
      <c r="AK38" s="635">
        <f t="shared" si="211"/>
        <v>0.9535147120272558</v>
      </c>
      <c r="AL38" s="629">
        <f t="shared" si="91"/>
        <v>-3.8491492299070285E-2</v>
      </c>
      <c r="AM38" s="634">
        <f t="shared" si="92"/>
        <v>-0.29887806705773862</v>
      </c>
      <c r="AN38" s="581">
        <f t="shared" si="93"/>
        <v>-7.3385346826840356</v>
      </c>
      <c r="AO38" s="582">
        <f t="shared" si="94"/>
        <v>17.538493085567097</v>
      </c>
      <c r="AP38" s="585">
        <f t="shared" si="95"/>
        <v>-2.3116615214610197</v>
      </c>
      <c r="AQ38" s="586">
        <f t="shared" si="9"/>
        <v>0.92969520627445135</v>
      </c>
      <c r="AS38" s="52">
        <f t="shared" si="116"/>
        <v>-219.10002034344006</v>
      </c>
      <c r="AT38" s="72">
        <f t="shared" si="10"/>
        <v>5.2366379794342471E-2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4.1120000000000001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-1.9711050067879383</v>
      </c>
      <c r="C39" s="708">
        <v>-2.3860446013060952</v>
      </c>
      <c r="D39" s="709">
        <v>-0.26420079682960323</v>
      </c>
      <c r="E39" s="710">
        <v>0.63657348581476325</v>
      </c>
      <c r="F39" s="708">
        <v>-0.72118644092029027</v>
      </c>
      <c r="G39" s="711">
        <v>0.27324771653275731</v>
      </c>
      <c r="H39" s="710">
        <v>0.26600000000000001</v>
      </c>
      <c r="I39" s="708">
        <v>0.52</v>
      </c>
      <c r="J39" s="570">
        <v>4.117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4.117</v>
      </c>
      <c r="N39" s="632">
        <f t="shared" si="2"/>
        <v>-1.9711050067879383</v>
      </c>
      <c r="O39" s="629">
        <f t="shared" si="3"/>
        <v>-2.3860446013060952</v>
      </c>
      <c r="P39" s="633">
        <f t="shared" si="4"/>
        <v>-0.26420079682960323</v>
      </c>
      <c r="Q39" s="585">
        <f t="shared" si="113"/>
        <v>230.43997972297572</v>
      </c>
      <c r="R39" s="629">
        <f t="shared" si="79"/>
        <v>3.094909334246553</v>
      </c>
      <c r="S39" s="634">
        <f t="shared" si="80"/>
        <v>-0.26420079682960323</v>
      </c>
      <c r="T39" s="635">
        <f t="shared" si="81"/>
        <v>-2.3867325012720952</v>
      </c>
      <c r="U39" s="629">
        <f t="shared" si="82"/>
        <v>1.9702720001507126</v>
      </c>
      <c r="V39" s="636">
        <f t="shared" si="114"/>
        <v>-0.26420079682960323</v>
      </c>
      <c r="W39" s="585">
        <f t="shared" si="224"/>
        <v>140.45997972008809</v>
      </c>
      <c r="X39" s="629">
        <f t="shared" si="83"/>
        <v>3.094909334246553</v>
      </c>
      <c r="Y39" s="630">
        <f t="shared" si="223"/>
        <v>-0.26420079682960323</v>
      </c>
      <c r="Z39" s="632">
        <f t="shared" si="6"/>
        <v>-0.63657348581476325</v>
      </c>
      <c r="AA39" s="629">
        <f t="shared" si="7"/>
        <v>0.72118644092029027</v>
      </c>
      <c r="AB39" s="629">
        <f t="shared" si="8"/>
        <v>-0.27324771653275731</v>
      </c>
      <c r="AC39" s="636">
        <f t="shared" si="84"/>
        <v>1</v>
      </c>
      <c r="AD39" s="637">
        <f t="shared" si="115"/>
        <v>-0.63657348581476325</v>
      </c>
      <c r="AE39" s="629">
        <f t="shared" si="85"/>
        <v>0.72118644092029027</v>
      </c>
      <c r="AF39" s="633">
        <f t="shared" si="86"/>
        <v>-0.27324771653275731</v>
      </c>
      <c r="AG39" s="602">
        <f t="shared" si="87"/>
        <v>69.248984569894304</v>
      </c>
      <c r="AH39" s="603">
        <f t="shared" si="88"/>
        <v>129.53678490623477</v>
      </c>
      <c r="AI39" s="585">
        <f t="shared" si="89"/>
        <v>-74.142383309912645</v>
      </c>
      <c r="AJ39" s="586">
        <f t="shared" si="90"/>
        <v>-138.56595002695337</v>
      </c>
      <c r="AK39" s="635">
        <f t="shared" si="211"/>
        <v>0.95008499963192428</v>
      </c>
      <c r="AL39" s="629">
        <f t="shared" si="91"/>
        <v>-0.15057947696827806</v>
      </c>
      <c r="AM39" s="634">
        <f t="shared" si="92"/>
        <v>-0.27324771653275731</v>
      </c>
      <c r="AN39" s="581">
        <f t="shared" si="93"/>
        <v>-28.857978765223873</v>
      </c>
      <c r="AO39" s="582">
        <f t="shared" si="94"/>
        <v>18.179269007513717</v>
      </c>
      <c r="AP39" s="585">
        <f t="shared" si="95"/>
        <v>-9.0059297499291286</v>
      </c>
      <c r="AQ39" s="586">
        <f t="shared" si="9"/>
        <v>0.73656472590411481</v>
      </c>
      <c r="AS39" s="52">
        <f t="shared" si="116"/>
        <v>-219.54002027991191</v>
      </c>
      <c r="AT39" s="72">
        <f t="shared" si="10"/>
        <v>-0.11172856052611416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-2.3313772986561148</v>
      </c>
      <c r="C40" s="708">
        <v>-2.7735063218282199</v>
      </c>
      <c r="D40" s="709">
        <v>-0.67280202917092002</v>
      </c>
      <c r="E40" s="710">
        <v>0.51784981567862975</v>
      </c>
      <c r="F40" s="708">
        <v>-0.81165286528087444</v>
      </c>
      <c r="G40" s="711">
        <v>0.2702798451289995</v>
      </c>
      <c r="H40" s="710">
        <v>0.26600000000000001</v>
      </c>
      <c r="I40" s="708">
        <v>0.52</v>
      </c>
      <c r="J40" s="570">
        <v>4.1219999999999999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4.1219999999999999</v>
      </c>
      <c r="N40" s="632">
        <f t="shared" si="2"/>
        <v>-2.3313772986561148</v>
      </c>
      <c r="O40" s="629">
        <f t="shared" si="3"/>
        <v>-2.7735063218282199</v>
      </c>
      <c r="P40" s="633">
        <f t="shared" si="4"/>
        <v>-0.67280202917092002</v>
      </c>
      <c r="Q40" s="585">
        <f t="shared" si="113"/>
        <v>229.94997979372295</v>
      </c>
      <c r="R40" s="629">
        <f t="shared" si="79"/>
        <v>3.6232109276041577</v>
      </c>
      <c r="S40" s="634">
        <f t="shared" si="80"/>
        <v>-0.67280202917092002</v>
      </c>
      <c r="T40" s="635">
        <f t="shared" si="81"/>
        <v>-2.7743199569219326</v>
      </c>
      <c r="U40" s="629">
        <f t="shared" si="82"/>
        <v>2.3304090204371564</v>
      </c>
      <c r="V40" s="636">
        <f t="shared" si="114"/>
        <v>-0.67280202917092002</v>
      </c>
      <c r="W40" s="585">
        <f t="shared" si="224"/>
        <v>139.96997979083528</v>
      </c>
      <c r="X40" s="629">
        <f t="shared" si="83"/>
        <v>3.6232109276041577</v>
      </c>
      <c r="Y40" s="630">
        <f t="shared" si="223"/>
        <v>-0.67280202917092002</v>
      </c>
      <c r="Z40" s="632">
        <f t="shared" si="6"/>
        <v>-0.51784981567862975</v>
      </c>
      <c r="AA40" s="629">
        <f t="shared" si="7"/>
        <v>0.81165286528087444</v>
      </c>
      <c r="AB40" s="629">
        <f t="shared" si="8"/>
        <v>-0.2702798451289995</v>
      </c>
      <c r="AC40" s="636">
        <f t="shared" si="84"/>
        <v>1</v>
      </c>
      <c r="AD40" s="637">
        <f t="shared" si="115"/>
        <v>-0.51784981567862975</v>
      </c>
      <c r="AE40" s="629">
        <f t="shared" si="85"/>
        <v>0.81165286528087444</v>
      </c>
      <c r="AF40" s="633">
        <f t="shared" si="86"/>
        <v>-0.2702798451289995</v>
      </c>
      <c r="AG40" s="602">
        <f t="shared" si="87"/>
        <v>71.582277151750347</v>
      </c>
      <c r="AH40" s="603">
        <f t="shared" si="88"/>
        <v>121.18813158951892</v>
      </c>
      <c r="AI40" s="585">
        <f t="shared" si="89"/>
        <v>-74.319080059805486</v>
      </c>
      <c r="AJ40" s="586">
        <f t="shared" si="90"/>
        <v>-147.46135745717683</v>
      </c>
      <c r="AK40" s="635">
        <f t="shared" si="211"/>
        <v>0.91866823890605287</v>
      </c>
      <c r="AL40" s="629">
        <f t="shared" si="91"/>
        <v>-0.28809281862326147</v>
      </c>
      <c r="AM40" s="634">
        <f t="shared" si="92"/>
        <v>-0.2702798451289995</v>
      </c>
      <c r="AN40" s="581">
        <f t="shared" si="93"/>
        <v>-46.827206543528384</v>
      </c>
      <c r="AO40" s="582">
        <f t="shared" si="94"/>
        <v>23.267842407639588</v>
      </c>
      <c r="AP40" s="585">
        <f t="shared" si="95"/>
        <v>-17.411337250899788</v>
      </c>
      <c r="AQ40" s="586">
        <f t="shared" si="9"/>
        <v>0.62917534809086917</v>
      </c>
      <c r="AS40" s="52">
        <f t="shared" si="116"/>
        <v>-220.03002020916472</v>
      </c>
      <c r="AT40" s="72">
        <f t="shared" si="10"/>
        <v>-0.51998951513878322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4.1219999999999999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-2.5571534300916325</v>
      </c>
      <c r="C41" s="708">
        <v>-3.0067688174406353</v>
      </c>
      <c r="D41" s="709">
        <v>-1.2648038146483052</v>
      </c>
      <c r="E41" s="710">
        <v>0.39557643803170683</v>
      </c>
      <c r="F41" s="708">
        <v>-0.89405569401785623</v>
      </c>
      <c r="G41" s="711">
        <v>0.21019918569870055</v>
      </c>
      <c r="H41" s="710">
        <v>0.26600000000000001</v>
      </c>
      <c r="I41" s="708">
        <v>0.52</v>
      </c>
      <c r="J41" s="570">
        <v>4.1269999999999998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4.1269999999999998</v>
      </c>
      <c r="N41" s="632">
        <f t="shared" ref="N41:N72" si="240">IF(M41="","",B41)</f>
        <v>-2.5571534300916325</v>
      </c>
      <c r="O41" s="629">
        <f t="shared" ref="O41:O72" si="241">IF(M41="","",C41)</f>
        <v>-3.0067688174406353</v>
      </c>
      <c r="P41" s="633">
        <f t="shared" ref="P41:P72" si="242">IF(M41="","",D41)</f>
        <v>-1.2648038146483052</v>
      </c>
      <c r="Q41" s="585">
        <f t="shared" si="113"/>
        <v>229.61997984136903</v>
      </c>
      <c r="R41" s="629">
        <f t="shared" si="79"/>
        <v>3.9471119044895038</v>
      </c>
      <c r="S41" s="634">
        <f t="shared" si="80"/>
        <v>-1.2648038146483052</v>
      </c>
      <c r="T41" s="635">
        <f t="shared" si="81"/>
        <v>-3.0076612490475285</v>
      </c>
      <c r="U41" s="629">
        <f t="shared" si="82"/>
        <v>2.5561037141596228</v>
      </c>
      <c r="V41" s="636">
        <f t="shared" si="114"/>
        <v>-1.2648038146483052</v>
      </c>
      <c r="W41" s="585">
        <f t="shared" si="224"/>
        <v>139.63997983848139</v>
      </c>
      <c r="X41" s="629">
        <f t="shared" si="83"/>
        <v>3.9471119044895038</v>
      </c>
      <c r="Y41" s="630">
        <f t="shared" si="223"/>
        <v>-1.2648038146483052</v>
      </c>
      <c r="Z41" s="632">
        <f t="shared" ref="Z41:Z72" si="243">IF(M41="","",-E41)</f>
        <v>-0.39557643803170683</v>
      </c>
      <c r="AA41" s="629">
        <f t="shared" ref="AA41:AA72" si="244">IF(M41="","",-F41)</f>
        <v>0.89405569401785623</v>
      </c>
      <c r="AB41" s="629">
        <f t="shared" ref="AB41:AB72" si="245">IF(M41="","",-G41)</f>
        <v>-0.21019918569870055</v>
      </c>
      <c r="AC41" s="636">
        <f t="shared" si="84"/>
        <v>1</v>
      </c>
      <c r="AD41" s="637">
        <f t="shared" si="115"/>
        <v>-0.39557643803170683</v>
      </c>
      <c r="AE41" s="629">
        <f t="shared" si="85"/>
        <v>0.89405569401785623</v>
      </c>
      <c r="AF41" s="633">
        <f t="shared" si="86"/>
        <v>-0.21019918569870055</v>
      </c>
      <c r="AG41" s="602">
        <f t="shared" si="87"/>
        <v>76.769612809551404</v>
      </c>
      <c r="AH41" s="603">
        <f t="shared" si="88"/>
        <v>113.30192987275944</v>
      </c>
      <c r="AI41" s="585">
        <f t="shared" si="89"/>
        <v>-77.865974712881467</v>
      </c>
      <c r="AJ41" s="586">
        <f t="shared" si="90"/>
        <v>-156.13292548871121</v>
      </c>
      <c r="AK41" s="635">
        <f t="shared" si="211"/>
        <v>0.88055382455345144</v>
      </c>
      <c r="AL41" s="629">
        <f t="shared" si="91"/>
        <v>-0.42478378546725754</v>
      </c>
      <c r="AM41" s="634">
        <f t="shared" si="92"/>
        <v>-0.21019918569870055</v>
      </c>
      <c r="AN41" s="581">
        <f t="shared" si="93"/>
        <v>-63.672042770106664</v>
      </c>
      <c r="AO41" s="582">
        <f t="shared" si="94"/>
        <v>28.290756731551504</v>
      </c>
      <c r="AP41" s="585">
        <f t="shared" si="95"/>
        <v>-25.752905330080267</v>
      </c>
      <c r="AQ41" s="586">
        <f t="shared" ref="AQ41:AQ72" si="246">IF(M41="","",DEGREES(ATAN(($AS$5*SIN(RADIANS(90)))/(($X41*2*PI())-($AS$5*COS(RADIANS(90)))))))</f>
        <v>0.57754871740274882</v>
      </c>
      <c r="AS41" s="52">
        <f t="shared" si="116"/>
        <v>-220.36002016151861</v>
      </c>
      <c r="AT41" s="72">
        <f t="shared" ref="AT41:AT72" si="247">IF(M41="","",Y41+(((AS41-$AS$9)*$AS$6)*-1))</f>
        <v>-1.1117621339825892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4.1269999999999998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-2.6063476945918134</v>
      </c>
      <c r="C42" s="708">
        <v>-3.1055433237085248</v>
      </c>
      <c r="D42" s="709">
        <v>-1.9534058914721688</v>
      </c>
      <c r="E42" s="710">
        <v>0.24491094287763271</v>
      </c>
      <c r="F42" s="708">
        <v>-0.9652691146731861</v>
      </c>
      <c r="G42" s="711">
        <v>9.0962444540769252E-2</v>
      </c>
      <c r="H42" s="710">
        <v>0.26600000000000001</v>
      </c>
      <c r="I42" s="708">
        <v>0.52</v>
      </c>
      <c r="J42" s="570">
        <v>4.1319999999999997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4.1319999999999997</v>
      </c>
      <c r="N42" s="632">
        <f t="shared" si="240"/>
        <v>-2.6063476945918134</v>
      </c>
      <c r="O42" s="629">
        <f t="shared" si="241"/>
        <v>-3.1055433237085248</v>
      </c>
      <c r="P42" s="633">
        <f t="shared" si="242"/>
        <v>-1.9534058914721688</v>
      </c>
      <c r="Q42" s="585">
        <f t="shared" si="113"/>
        <v>229.99472311102696</v>
      </c>
      <c r="R42" s="629">
        <f t="shared" ref="R42:R47" si="385">IF(M42="","",SQRT(N42^2+O42^2))</f>
        <v>4.0543122278056796</v>
      </c>
      <c r="S42" s="634">
        <f t="shared" ref="S42:S47" si="386">IF(M42="","",P42)</f>
        <v>-1.9534058914721688</v>
      </c>
      <c r="T42" s="635">
        <f t="shared" ref="T42:T47" si="387">IF(M42="","",X42*COS(RADIANS(W42)))</f>
        <v>-3.1064529213326786</v>
      </c>
      <c r="U42" s="629">
        <f t="shared" ref="U42:U47" si="388">IF(M42="","",X42*SIN(RADIANS(W42)))</f>
        <v>2.6052634968613675</v>
      </c>
      <c r="V42" s="636">
        <f t="shared" ref="V42:V47" si="389">IF(M42="","",Y42)</f>
        <v>-1.9534058914721688</v>
      </c>
      <c r="W42" s="585">
        <f t="shared" si="224"/>
        <v>140.01472310813932</v>
      </c>
      <c r="X42" s="629">
        <f t="shared" ref="X42:X47" si="390">IF(M42="","",R42)</f>
        <v>4.0543122278056796</v>
      </c>
      <c r="Y42" s="630">
        <f t="shared" si="223"/>
        <v>-1.9534058914721688</v>
      </c>
      <c r="Z42" s="632">
        <f t="shared" si="243"/>
        <v>-0.24491094287763271</v>
      </c>
      <c r="AA42" s="629">
        <f t="shared" si="244"/>
        <v>0.9652691146731861</v>
      </c>
      <c r="AB42" s="629">
        <f t="shared" si="245"/>
        <v>-9.0962444540769252E-2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-0.24491094287763271</v>
      </c>
      <c r="AE42" s="629">
        <f t="shared" ref="AE42:AE47" si="393">IF(M42="","",AA42*(1/SQRT(Z42^2+AA42^2+AB42^2)))</f>
        <v>0.9652691146731861</v>
      </c>
      <c r="AF42" s="633">
        <f t="shared" ref="AF42:AF47" si="394">IF(M42="","",AB42*(1/SQRT(Z42^2+AA42^2+AB42^2)))</f>
        <v>-9.0962444540769252E-2</v>
      </c>
      <c r="AG42" s="602">
        <f t="shared" ref="AG42:AG47" si="395">IF(M42="","",DEGREES(ATAN2(-AF42,AE42)))</f>
        <v>84.616611643760265</v>
      </c>
      <c r="AH42" s="603">
        <f t="shared" ref="AH42:AH47" si="396">IF(M42="","",DEGREES(ACOS(AD42)))</f>
        <v>104.17657079243878</v>
      </c>
      <c r="AI42" s="585">
        <f t="shared" ref="AI42:AI47" si="397">IF(M42="","",DEGREES(-ACOS(-AF42)))</f>
        <v>-84.781021773305667</v>
      </c>
      <c r="AJ42" s="586">
        <f t="shared" ref="AJ42:AJ47" si="398">IF(M42="","",DEGREES(ATAN2(-AE42,AD42)))</f>
        <v>-165.76317047970437</v>
      </c>
      <c r="AK42" s="635">
        <f t="shared" ref="AK42:AK47" si="399">IF(M42="","",(COS(RADIANS((90-$Q$8)-W42))*AD42)+(-SIN(RADIANS((90-$Q$8)-W42))*AE42))</f>
        <v>0.80812929324370864</v>
      </c>
      <c r="AL42" s="629">
        <f t="shared" ref="AL42:AL47" si="400">IF(M42="","",(SIN(RADIANS((90-$Q$8)-W42))*AD42)+(COS(RADIANS((90-$Q$8)-W42))*AE42))</f>
        <v>-0.58193889634960083</v>
      </c>
      <c r="AM42" s="634">
        <f t="shared" ref="AM42:AM47" si="401">IF(M42="","",AF42)</f>
        <v>-9.0962444540769252E-2</v>
      </c>
      <c r="AN42" s="581">
        <f t="shared" ref="AN42:AN47" si="402">IF(M42="","",DEGREES(ATAN2(-AM42,AL42)))</f>
        <v>-81.116025845981014</v>
      </c>
      <c r="AO42" s="582">
        <f t="shared" si="94"/>
        <v>36.086441084708113</v>
      </c>
      <c r="AP42" s="585">
        <f t="shared" ref="AP42:AP47" si="403">IF(M42="","",DEGREES(ATAN2(AK42,AL42)))</f>
        <v>-35.757893590731371</v>
      </c>
      <c r="AQ42" s="586">
        <f t="shared" si="246"/>
        <v>0.56227870938925284</v>
      </c>
      <c r="AS42" s="52">
        <f t="shared" si="116"/>
        <v>-219.98527689186068</v>
      </c>
      <c r="AT42" s="72">
        <f t="shared" si="247"/>
        <v>-1.8006244491881598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4.1319999999999997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-1.0391802215712984</v>
      </c>
      <c r="C43" s="708">
        <v>-0.21406883728143866</v>
      </c>
      <c r="D43" s="709">
        <v>-6.4299999999998941E-2</v>
      </c>
      <c r="E43" s="710">
        <v>4.5758455104787989E-8</v>
      </c>
      <c r="F43" s="708">
        <v>-2.2213079245510003E-7</v>
      </c>
      <c r="G43" s="711">
        <v>0.99999999999997435</v>
      </c>
      <c r="H43" s="710">
        <v>0.19500000000000001</v>
      </c>
      <c r="I43" s="708">
        <v>0.438</v>
      </c>
      <c r="J43" s="570">
        <v>4.2039999999999997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Undefined</v>
      </c>
      <c r="L43" s="320"/>
      <c r="M43" s="168">
        <f t="shared" si="239"/>
        <v>4.2039999999999997</v>
      </c>
      <c r="N43" s="632">
        <f t="shared" si="240"/>
        <v>-1.0391802215712984</v>
      </c>
      <c r="O43" s="629">
        <f t="shared" si="241"/>
        <v>-0.21406883728143866</v>
      </c>
      <c r="P43" s="633">
        <f t="shared" si="242"/>
        <v>-6.4299999999998941E-2</v>
      </c>
      <c r="Q43" s="585">
        <f t="shared" si="113"/>
        <v>191.63997939227832</v>
      </c>
      <c r="R43" s="629">
        <f t="shared" si="385"/>
        <v>1.0609999999999999</v>
      </c>
      <c r="S43" s="634">
        <f t="shared" si="386"/>
        <v>-6.4299999999998941E-2</v>
      </c>
      <c r="T43" s="635">
        <f t="shared" si="387"/>
        <v>-0.21443156650764339</v>
      </c>
      <c r="U43" s="629">
        <f t="shared" si="388"/>
        <v>1.0391054341524146</v>
      </c>
      <c r="V43" s="636">
        <f t="shared" si="389"/>
        <v>-6.4299999999998941E-2</v>
      </c>
      <c r="W43" s="585">
        <f t="shared" si="224"/>
        <v>101.65997938939067</v>
      </c>
      <c r="X43" s="629">
        <f t="shared" si="390"/>
        <v>1.0609999999999999</v>
      </c>
      <c r="Y43" s="630">
        <f t="shared" si="223"/>
        <v>-6.4299999999998941E-2</v>
      </c>
      <c r="Z43" s="632">
        <f t="shared" si="243"/>
        <v>-4.5758455104787989E-8</v>
      </c>
      <c r="AA43" s="629">
        <f t="shared" si="244"/>
        <v>2.2213079245510003E-7</v>
      </c>
      <c r="AB43" s="629">
        <f t="shared" si="245"/>
        <v>-0.99999999999997435</v>
      </c>
      <c r="AC43" s="636">
        <f t="shared" si="391"/>
        <v>1</v>
      </c>
      <c r="AD43" s="637">
        <f t="shared" si="392"/>
        <v>-4.5758455104787989E-8</v>
      </c>
      <c r="AE43" s="629">
        <f t="shared" si="393"/>
        <v>2.2213079245510003E-7</v>
      </c>
      <c r="AF43" s="633">
        <f t="shared" si="394"/>
        <v>-0.99999999999997435</v>
      </c>
      <c r="AG43" s="602">
        <f t="shared" si="395"/>
        <v>1.2727156907573779E-5</v>
      </c>
      <c r="AH43" s="603">
        <f t="shared" si="396"/>
        <v>90.000002621766356</v>
      </c>
      <c r="AI43" s="585">
        <f t="shared" si="397"/>
        <v>-1.2976235990044085E-5</v>
      </c>
      <c r="AJ43" s="586">
        <f t="shared" si="398"/>
        <v>-168.36002035787828</v>
      </c>
      <c r="AK43" s="635">
        <f t="shared" si="399"/>
        <v>2.2679489670252201E-7</v>
      </c>
      <c r="AL43" s="629">
        <f t="shared" si="400"/>
        <v>9.8895954458240966E-16</v>
      </c>
      <c r="AM43" s="634">
        <f t="shared" si="401"/>
        <v>-0.99999999999997435</v>
      </c>
      <c r="AN43" s="581">
        <f t="shared" si="402"/>
        <v>5.6663208013753511E-14</v>
      </c>
      <c r="AO43" s="582">
        <f t="shared" si="94"/>
        <v>0</v>
      </c>
      <c r="AP43" s="585">
        <f t="shared" si="403"/>
        <v>2.4984339964260728E-7</v>
      </c>
      <c r="AQ43" s="586">
        <f t="shared" si="246"/>
        <v>2.1476520683961859</v>
      </c>
      <c r="AS43" s="52">
        <f t="shared" ref="AS43:AS74" si="406">IF(G43="","",IF(AND(W43&lt;(AS42+180),W43&gt;(AS42-180)),W43,IF(W43&gt;(AS42+180),W43-360,IF(W43&lt;(AS42-180),W43+360,"Error"))))</f>
        <v>-258.34002061060932</v>
      </c>
      <c r="AT43" s="72">
        <f t="shared" si="247"/>
        <v>0.11511668097758554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4.2039999999999997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1.1040000000000001</v>
      </c>
      <c r="II43" s="734" cm="1">
        <f t="array" ref="II43">IFERROR(ROUND(VALUE(IF($IH43&lt;1,$IH43+LARGE((IF($M$9:$M$150="",0,$M$9:$M$150)-MOD(IF($M$9:$M$150="",0,$M$9:$M$150),1)),1),$IH43)),4),"")</f>
        <v>1.1040000000000001</v>
      </c>
      <c r="IJ43" s="533">
        <f t="shared" si="112"/>
        <v>1308</v>
      </c>
      <c r="IK43" s="533" t="str">
        <f t="shared" si="382"/>
        <v>Undefined</v>
      </c>
      <c r="IL43" s="727">
        <f t="shared" si="225"/>
        <v>258.36002060772165</v>
      </c>
      <c r="IM43" s="759">
        <v>5.5935496751085501E-2</v>
      </c>
      <c r="IN43" s="5">
        <f t="shared" si="226"/>
        <v>0</v>
      </c>
      <c r="IO43" s="771">
        <v>0</v>
      </c>
      <c r="IP43" s="9">
        <f t="shared" si="227"/>
        <v>-0.9256027916180195</v>
      </c>
      <c r="IQ43" s="5">
        <f t="shared" si="228"/>
        <v>-0.27460082819609788</v>
      </c>
      <c r="IR43" s="5">
        <f t="shared" si="383"/>
        <v>0.26600000000000001</v>
      </c>
      <c r="IS43" s="5">
        <f t="shared" si="229"/>
        <v>0.25368871242640822</v>
      </c>
      <c r="IT43" s="727">
        <f t="shared" si="230"/>
        <v>-7.4999989171341355</v>
      </c>
      <c r="IU43" s="9">
        <f t="shared" si="231"/>
        <v>-1.0609999999999999</v>
      </c>
      <c r="IV43" s="5">
        <f t="shared" si="232"/>
        <v>-6.4299999999998941E-2</v>
      </c>
      <c r="IW43" s="5">
        <f t="shared" si="384"/>
        <v>0.19500000000000001</v>
      </c>
      <c r="IX43" s="5">
        <f t="shared" si="233"/>
        <v>0.19500000000000001</v>
      </c>
      <c r="IY43" s="762">
        <f t="shared" si="234"/>
        <v>-5.6663208013753511E-14</v>
      </c>
    </row>
    <row r="44" spans="1:267" ht="15" customHeight="1" x14ac:dyDescent="0.25">
      <c r="A44" s="79"/>
      <c r="B44" s="707">
        <v>-1.4574371038646647</v>
      </c>
      <c r="C44" s="708">
        <v>-0.68643869957817594</v>
      </c>
      <c r="D44" s="709">
        <v>8.1000000000011375E-3</v>
      </c>
      <c r="E44" s="710">
        <v>9.6636123547434312E-8</v>
      </c>
      <c r="F44" s="708">
        <v>-2.0517647233999331E-7</v>
      </c>
      <c r="G44" s="711">
        <v>0.99999999999997435</v>
      </c>
      <c r="H44" s="710">
        <v>0.19500000000000001</v>
      </c>
      <c r="I44" s="708">
        <v>0.438</v>
      </c>
      <c r="J44" s="570">
        <v>4.2069999999999999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Undefined</v>
      </c>
      <c r="L44" s="320"/>
      <c r="M44" s="168">
        <f t="shared" si="239"/>
        <v>4.2069999999999999</v>
      </c>
      <c r="N44" s="632">
        <f t="shared" si="240"/>
        <v>-1.4574371038646647</v>
      </c>
      <c r="O44" s="629">
        <f t="shared" si="241"/>
        <v>-0.68643869957817594</v>
      </c>
      <c r="P44" s="633">
        <f t="shared" si="242"/>
        <v>8.1000000000011375E-3</v>
      </c>
      <c r="Q44" s="585">
        <f t="shared" si="113"/>
        <v>205.21997946386151</v>
      </c>
      <c r="R44" s="629">
        <f t="shared" si="385"/>
        <v>1.6109999999999995</v>
      </c>
      <c r="S44" s="634">
        <f t="shared" si="386"/>
        <v>8.1000000000011375E-3</v>
      </c>
      <c r="T44" s="635">
        <f t="shared" si="387"/>
        <v>-0.6869473991962296</v>
      </c>
      <c r="U44" s="629">
        <f t="shared" si="388"/>
        <v>1.4571974028035921</v>
      </c>
      <c r="V44" s="636">
        <f t="shared" si="389"/>
        <v>8.1000000000011375E-3</v>
      </c>
      <c r="W44" s="585">
        <f t="shared" si="224"/>
        <v>115.23997946097386</v>
      </c>
      <c r="X44" s="629">
        <f t="shared" si="390"/>
        <v>1.6109999999999995</v>
      </c>
      <c r="Y44" s="630">
        <f t="shared" si="223"/>
        <v>8.1000000000011375E-3</v>
      </c>
      <c r="Z44" s="632">
        <f t="shared" si="243"/>
        <v>-9.6636123547434312E-8</v>
      </c>
      <c r="AA44" s="629">
        <f t="shared" si="244"/>
        <v>2.0517647233999331E-7</v>
      </c>
      <c r="AB44" s="629">
        <f t="shared" si="245"/>
        <v>-0.99999999999997435</v>
      </c>
      <c r="AC44" s="636">
        <f t="shared" si="391"/>
        <v>1</v>
      </c>
      <c r="AD44" s="637">
        <f t="shared" si="392"/>
        <v>-9.6636123547434312E-8</v>
      </c>
      <c r="AE44" s="629">
        <f t="shared" si="393"/>
        <v>2.0517647233999331E-7</v>
      </c>
      <c r="AF44" s="633">
        <f t="shared" si="394"/>
        <v>-0.99999999999997435</v>
      </c>
      <c r="AG44" s="602">
        <f t="shared" si="395"/>
        <v>1.1755745920464427E-5</v>
      </c>
      <c r="AH44" s="603">
        <f t="shared" si="396"/>
        <v>90.000005536842025</v>
      </c>
      <c r="AI44" s="585">
        <f t="shared" si="397"/>
        <v>-1.2976235990044085E-5</v>
      </c>
      <c r="AJ44" s="586">
        <f t="shared" si="398"/>
        <v>-154.78002035194442</v>
      </c>
      <c r="AK44" s="635">
        <f t="shared" si="399"/>
        <v>2.2679489671542219E-7</v>
      </c>
      <c r="AL44" s="629">
        <f t="shared" si="400"/>
        <v>7.2909867065373238E-16</v>
      </c>
      <c r="AM44" s="634">
        <f t="shared" si="401"/>
        <v>-0.99999999999997435</v>
      </c>
      <c r="AN44" s="581">
        <f t="shared" si="402"/>
        <v>4.1774276677058749E-14</v>
      </c>
      <c r="AO44" s="582">
        <f t="shared" si="94"/>
        <v>0</v>
      </c>
      <c r="AP44" s="585">
        <f t="shared" si="403"/>
        <v>1.8419407703637716E-7</v>
      </c>
      <c r="AQ44" s="586">
        <f t="shared" si="246"/>
        <v>1.4148126988195613</v>
      </c>
      <c r="AS44" s="52">
        <f t="shared" si="406"/>
        <v>-244.76002053902613</v>
      </c>
      <c r="AT44" s="72">
        <f t="shared" si="247"/>
        <v>0.17808612537231952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Nose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4.2069999999999999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1.2070000000000001</v>
      </c>
      <c r="II44" s="734" cm="1">
        <f t="array" ref="II44">IFERROR(ROUND(VALUE(IF($IH44&lt;1,$IH44+LARGE((IF($M$9:$M$150="",0,$M$9:$M$150)-MOD(IF($M$9:$M$150="",0,$M$9:$M$150),1)),1),$IH44)),4),"")</f>
        <v>1.2070000000000001</v>
      </c>
      <c r="IJ44" s="533" t="str">
        <f t="shared" si="112"/>
        <v>Undefined</v>
      </c>
      <c r="IK44" s="533" t="str">
        <f t="shared" si="382"/>
        <v>Undefined</v>
      </c>
      <c r="IL44" s="727">
        <f t="shared" si="225"/>
        <v>215.65002034305269</v>
      </c>
      <c r="IM44" s="759">
        <v>5.9869895747467696E-4</v>
      </c>
      <c r="IN44" s="5">
        <f t="shared" si="226"/>
        <v>0</v>
      </c>
      <c r="IO44" s="771">
        <v>0</v>
      </c>
      <c r="IP44" s="9">
        <f t="shared" si="227"/>
        <v>-1.42</v>
      </c>
      <c r="IQ44" s="5">
        <f t="shared" si="228"/>
        <v>-1.6999999999998912E-2</v>
      </c>
      <c r="IR44" s="5">
        <f t="shared" si="383"/>
        <v>0.19500000000000001</v>
      </c>
      <c r="IS44" s="5">
        <f t="shared" si="229"/>
        <v>0.19500000000000001</v>
      </c>
      <c r="IT44" s="727">
        <f t="shared" si="230"/>
        <v>-4.2031026051035618E-14</v>
      </c>
      <c r="IU44" s="9">
        <f t="shared" si="231"/>
        <v>-1.6109999999999995</v>
      </c>
      <c r="IV44" s="5">
        <f t="shared" si="232"/>
        <v>8.1000000000011375E-3</v>
      </c>
      <c r="IW44" s="5">
        <f t="shared" si="384"/>
        <v>0.19500000000000001</v>
      </c>
      <c r="IX44" s="5">
        <f t="shared" si="233"/>
        <v>0.19500000000000001</v>
      </c>
      <c r="IY44" s="762">
        <f t="shared" si="234"/>
        <v>-4.1774276677058749E-14</v>
      </c>
    </row>
    <row r="45" spans="1:267" ht="15" customHeight="1" x14ac:dyDescent="0.25">
      <c r="A45" s="79"/>
      <c r="B45" s="707">
        <v>-2.1486787228639033</v>
      </c>
      <c r="C45" s="708">
        <v>0.8707414816863257</v>
      </c>
      <c r="D45" s="709">
        <v>-9.9000298584900545E-2</v>
      </c>
      <c r="E45" s="710">
        <v>-0.37190392340970524</v>
      </c>
      <c r="F45" s="708">
        <v>-0.87822742998565628</v>
      </c>
      <c r="G45" s="711">
        <v>0.30067266748618388</v>
      </c>
      <c r="H45" s="710">
        <v>0.26600000000000001</v>
      </c>
      <c r="I45" s="708">
        <v>0.52</v>
      </c>
      <c r="J45" s="570">
        <v>5.1109999999999998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5.1109999999999998</v>
      </c>
      <c r="N45" s="632">
        <f t="shared" si="240"/>
        <v>-2.1486787228639033</v>
      </c>
      <c r="O45" s="629">
        <f t="shared" si="241"/>
        <v>0.8707414816863257</v>
      </c>
      <c r="P45" s="633">
        <f t="shared" si="242"/>
        <v>-9.9000298584900545E-2</v>
      </c>
      <c r="Q45" s="585">
        <f t="shared" si="113"/>
        <v>157.93999019067908</v>
      </c>
      <c r="R45" s="629">
        <f t="shared" si="385"/>
        <v>2.3184069923154893</v>
      </c>
      <c r="S45" s="634">
        <f t="shared" si="386"/>
        <v>-9.9000298584900545E-2</v>
      </c>
      <c r="T45" s="635">
        <f t="shared" si="387"/>
        <v>0.86999139839562933</v>
      </c>
      <c r="U45" s="629">
        <f t="shared" si="388"/>
        <v>2.1489825380246743</v>
      </c>
      <c r="V45" s="636">
        <f t="shared" si="389"/>
        <v>-9.9000298584900545E-2</v>
      </c>
      <c r="W45" s="585">
        <f t="shared" si="224"/>
        <v>67.959990187791433</v>
      </c>
      <c r="X45" s="629">
        <f t="shared" si="390"/>
        <v>2.3184069923154893</v>
      </c>
      <c r="Y45" s="630">
        <f t="shared" si="223"/>
        <v>-9.9000298584900545E-2</v>
      </c>
      <c r="Z45" s="632">
        <f t="shared" si="243"/>
        <v>0.37190392340970524</v>
      </c>
      <c r="AA45" s="629">
        <f t="shared" si="244"/>
        <v>0.87822742998565628</v>
      </c>
      <c r="AB45" s="629">
        <f t="shared" si="245"/>
        <v>-0.30067266748618388</v>
      </c>
      <c r="AC45" s="636">
        <f t="shared" si="391"/>
        <v>1</v>
      </c>
      <c r="AD45" s="637">
        <f t="shared" si="392"/>
        <v>0.37190392340970524</v>
      </c>
      <c r="AE45" s="629">
        <f t="shared" si="393"/>
        <v>0.87822742998565628</v>
      </c>
      <c r="AF45" s="633">
        <f t="shared" si="394"/>
        <v>-0.30067266748618388</v>
      </c>
      <c r="AG45" s="602">
        <f t="shared" si="395"/>
        <v>71.100688410312358</v>
      </c>
      <c r="AH45" s="603">
        <f t="shared" si="396"/>
        <v>68.166914819717135</v>
      </c>
      <c r="AI45" s="585">
        <f t="shared" si="397"/>
        <v>-72.501990437944585</v>
      </c>
      <c r="AJ45" s="586">
        <f t="shared" si="398"/>
        <v>157.04874707503586</v>
      </c>
      <c r="AK45" s="635">
        <f t="shared" si="399"/>
        <v>0.95361201604739565</v>
      </c>
      <c r="AL45" s="629">
        <f t="shared" si="400"/>
        <v>-1.4834752332422207E-2</v>
      </c>
      <c r="AM45" s="634">
        <f t="shared" si="401"/>
        <v>-0.30067266748618388</v>
      </c>
      <c r="AN45" s="581">
        <f t="shared" si="402"/>
        <v>-2.8245999902680428</v>
      </c>
      <c r="AO45" s="582">
        <f t="shared" si="94"/>
        <v>17.519982960700506</v>
      </c>
      <c r="AP45" s="585">
        <f t="shared" si="403"/>
        <v>-0.89124311564323111</v>
      </c>
      <c r="AQ45" s="586">
        <f t="shared" si="246"/>
        <v>0.9832194507797809</v>
      </c>
      <c r="AS45" s="52">
        <f t="shared" si="406"/>
        <v>-292.04000981220855</v>
      </c>
      <c r="AT45" s="72">
        <f t="shared" si="247"/>
        <v>0.10381915267157231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5.1109999999999998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-2.7468486463344073</v>
      </c>
      <c r="C46" s="708">
        <v>1.1355364787103133</v>
      </c>
      <c r="D46" s="709">
        <v>-0.21050063486991497</v>
      </c>
      <c r="E46" s="710">
        <v>-0.48180594856144088</v>
      </c>
      <c r="F46" s="708">
        <v>-0.831960458256781</v>
      </c>
      <c r="G46" s="711">
        <v>0.27514509595480224</v>
      </c>
      <c r="H46" s="710">
        <v>0.26600000000000001</v>
      </c>
      <c r="I46" s="708">
        <v>0.52</v>
      </c>
      <c r="J46" s="570">
        <v>5.1159999999999997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5.1159999999999997</v>
      </c>
      <c r="N46" s="632">
        <f t="shared" si="240"/>
        <v>-2.7468486463344073</v>
      </c>
      <c r="O46" s="629">
        <f t="shared" si="241"/>
        <v>1.1355364787103133</v>
      </c>
      <c r="P46" s="633">
        <f t="shared" si="242"/>
        <v>-0.21050063486991497</v>
      </c>
      <c r="Q46" s="585">
        <f t="shared" si="113"/>
        <v>157.53999024843193</v>
      </c>
      <c r="R46" s="629">
        <f t="shared" si="385"/>
        <v>2.9723089644838376</v>
      </c>
      <c r="S46" s="634">
        <f t="shared" si="386"/>
        <v>-0.21050063486991497</v>
      </c>
      <c r="T46" s="635">
        <f t="shared" si="387"/>
        <v>1.1345775786287555</v>
      </c>
      <c r="U46" s="629">
        <f t="shared" si="388"/>
        <v>2.7472448559281886</v>
      </c>
      <c r="V46" s="636">
        <f t="shared" si="389"/>
        <v>-0.21050063486991497</v>
      </c>
      <c r="W46" s="585">
        <f t="shared" si="224"/>
        <v>67.559990245544284</v>
      </c>
      <c r="X46" s="629">
        <f t="shared" si="390"/>
        <v>2.9723089644838376</v>
      </c>
      <c r="Y46" s="630">
        <f t="shared" si="223"/>
        <v>-0.21050063486991497</v>
      </c>
      <c r="Z46" s="632">
        <f t="shared" si="243"/>
        <v>0.48180594856144088</v>
      </c>
      <c r="AA46" s="629">
        <f t="shared" si="244"/>
        <v>0.831960458256781</v>
      </c>
      <c r="AB46" s="629">
        <f t="shared" si="245"/>
        <v>-0.27514509595480224</v>
      </c>
      <c r="AC46" s="636">
        <f t="shared" si="391"/>
        <v>1</v>
      </c>
      <c r="AD46" s="637">
        <f t="shared" si="392"/>
        <v>0.48180594856144088</v>
      </c>
      <c r="AE46" s="629">
        <f t="shared" si="393"/>
        <v>0.831960458256781</v>
      </c>
      <c r="AF46" s="633">
        <f t="shared" si="394"/>
        <v>-0.27514509595480224</v>
      </c>
      <c r="AG46" s="602">
        <f t="shared" si="395"/>
        <v>71.699970145558041</v>
      </c>
      <c r="AH46" s="603">
        <f t="shared" si="396"/>
        <v>61.196582069837127</v>
      </c>
      <c r="AI46" s="585">
        <f t="shared" si="397"/>
        <v>-74.029338881796704</v>
      </c>
      <c r="AJ46" s="586">
        <f t="shared" si="398"/>
        <v>149.92395771400481</v>
      </c>
      <c r="AK46" s="635">
        <f t="shared" si="399"/>
        <v>0.95292169241544344</v>
      </c>
      <c r="AL46" s="629">
        <f t="shared" si="400"/>
        <v>-0.12741830439975954</v>
      </c>
      <c r="AM46" s="634">
        <f t="shared" si="401"/>
        <v>-0.27514509595480224</v>
      </c>
      <c r="AN46" s="581">
        <f t="shared" si="402"/>
        <v>-24.848616308150348</v>
      </c>
      <c r="AO46" s="582">
        <f t="shared" si="94"/>
        <v>17.650896628627613</v>
      </c>
      <c r="AP46" s="585">
        <f t="shared" si="403"/>
        <v>-7.6160325344271111</v>
      </c>
      <c r="AQ46" s="586">
        <f t="shared" si="246"/>
        <v>0.76694263615407177</v>
      </c>
      <c r="AS46" s="52">
        <f t="shared" si="406"/>
        <v>-292.44000975445573</v>
      </c>
      <c r="AT46" s="72">
        <f t="shared" si="247"/>
        <v>-7.4034058757704579E-3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5.1159999999999997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-3.251791218771499</v>
      </c>
      <c r="C47" s="708">
        <v>1.3769563462149237</v>
      </c>
      <c r="D47" s="709">
        <v>-0.57400173118922126</v>
      </c>
      <c r="E47" s="710">
        <v>-0.6002977238121322</v>
      </c>
      <c r="F47" s="708">
        <v>-0.75086515792165653</v>
      </c>
      <c r="G47" s="711">
        <v>0.27539817974209468</v>
      </c>
      <c r="H47" s="710">
        <v>0.26600000000000001</v>
      </c>
      <c r="I47" s="708">
        <v>0.52</v>
      </c>
      <c r="J47" s="570">
        <v>5.1210000000000004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5.1210000000000004</v>
      </c>
      <c r="N47" s="632">
        <f t="shared" si="240"/>
        <v>-3.251791218771499</v>
      </c>
      <c r="O47" s="629">
        <f t="shared" si="241"/>
        <v>1.3769563462149237</v>
      </c>
      <c r="P47" s="633">
        <f t="shared" si="242"/>
        <v>-0.57400173118922126</v>
      </c>
      <c r="Q47" s="585">
        <f t="shared" si="113"/>
        <v>157.04999031917916</v>
      </c>
      <c r="R47" s="629">
        <f t="shared" si="385"/>
        <v>3.5313106504329217</v>
      </c>
      <c r="S47" s="634">
        <f t="shared" si="386"/>
        <v>-0.57400173118922126</v>
      </c>
      <c r="T47" s="635">
        <f t="shared" si="387"/>
        <v>1.3758211732458092</v>
      </c>
      <c r="U47" s="629">
        <f t="shared" si="388"/>
        <v>3.2522716690199038</v>
      </c>
      <c r="V47" s="636">
        <f t="shared" si="389"/>
        <v>-0.57400173118922126</v>
      </c>
      <c r="W47" s="585">
        <f t="shared" si="224"/>
        <v>67.069990316291509</v>
      </c>
      <c r="X47" s="629">
        <f t="shared" si="390"/>
        <v>3.5313106504329217</v>
      </c>
      <c r="Y47" s="630">
        <f t="shared" si="223"/>
        <v>-0.57400173118922126</v>
      </c>
      <c r="Z47" s="632">
        <f t="shared" si="243"/>
        <v>0.6002977238121322</v>
      </c>
      <c r="AA47" s="629">
        <f t="shared" si="244"/>
        <v>0.75086515792165653</v>
      </c>
      <c r="AB47" s="629">
        <f t="shared" si="245"/>
        <v>-0.27539817974209468</v>
      </c>
      <c r="AC47" s="636">
        <f t="shared" si="391"/>
        <v>1</v>
      </c>
      <c r="AD47" s="637">
        <f t="shared" si="392"/>
        <v>0.6002977238121322</v>
      </c>
      <c r="AE47" s="629">
        <f t="shared" si="393"/>
        <v>0.75086515792165653</v>
      </c>
      <c r="AF47" s="633">
        <f t="shared" si="394"/>
        <v>-0.27539817974209468</v>
      </c>
      <c r="AG47" s="602">
        <f t="shared" si="395"/>
        <v>69.858251458640751</v>
      </c>
      <c r="AH47" s="603">
        <f t="shared" si="396"/>
        <v>53.108776479681239</v>
      </c>
      <c r="AI47" s="585">
        <f t="shared" si="397"/>
        <v>-74.014255525866133</v>
      </c>
      <c r="AJ47" s="586">
        <f t="shared" si="398"/>
        <v>141.3585473125558</v>
      </c>
      <c r="AK47" s="635">
        <f t="shared" si="399"/>
        <v>0.9255035342279887</v>
      </c>
      <c r="AL47" s="629">
        <f t="shared" si="400"/>
        <v>-0.25999817446713602</v>
      </c>
      <c r="AM47" s="634">
        <f t="shared" si="401"/>
        <v>-0.27539817974209468</v>
      </c>
      <c r="AN47" s="581">
        <f t="shared" si="402"/>
        <v>-43.35241297271989</v>
      </c>
      <c r="AO47" s="582">
        <f t="shared" si="94"/>
        <v>22.255593471409519</v>
      </c>
      <c r="AP47" s="585">
        <f t="shared" si="403"/>
        <v>-15.69144300662335</v>
      </c>
      <c r="AQ47" s="586">
        <f t="shared" si="246"/>
        <v>0.64554789737789553</v>
      </c>
      <c r="AS47" s="52">
        <f t="shared" si="406"/>
        <v>-292.93000968370848</v>
      </c>
      <c r="AT47" s="72">
        <f t="shared" si="247"/>
        <v>-0.370564224466429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5.1210000000000004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-3.58316335173792</v>
      </c>
      <c r="C48" s="708">
        <v>1.5453792691233208</v>
      </c>
      <c r="D48" s="709">
        <v>-1.1359034258847325</v>
      </c>
      <c r="E48" s="710">
        <v>-0.7179526074828424</v>
      </c>
      <c r="F48" s="708">
        <v>-0.6581655468802502</v>
      </c>
      <c r="G48" s="711">
        <v>0.22663222698550398</v>
      </c>
      <c r="H48" s="710">
        <v>0.26600000000000001</v>
      </c>
      <c r="I48" s="708">
        <v>0.52</v>
      </c>
      <c r="J48" s="570">
        <v>5.1260000000000003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5.1260000000000003</v>
      </c>
      <c r="N48" s="632">
        <f t="shared" si="240"/>
        <v>-3.58316335173792</v>
      </c>
      <c r="O48" s="629">
        <f t="shared" si="241"/>
        <v>1.5453792691233208</v>
      </c>
      <c r="P48" s="633">
        <f t="shared" si="242"/>
        <v>-1.1359034258847325</v>
      </c>
      <c r="Q48" s="585">
        <f t="shared" si="113"/>
        <v>156.66999037404437</v>
      </c>
      <c r="R48" s="629">
        <f t="shared" si="79"/>
        <v>3.9022117690706963</v>
      </c>
      <c r="S48" s="634">
        <f t="shared" si="80"/>
        <v>-1.1359034258847325</v>
      </c>
      <c r="T48" s="635">
        <f t="shared" si="81"/>
        <v>1.544128415216955</v>
      </c>
      <c r="U48" s="629">
        <f t="shared" si="82"/>
        <v>3.5837025724791154</v>
      </c>
      <c r="V48" s="636">
        <f t="shared" si="114"/>
        <v>-1.1359034258847325</v>
      </c>
      <c r="W48" s="585">
        <f t="shared" si="224"/>
        <v>66.689990371156725</v>
      </c>
      <c r="X48" s="629">
        <f t="shared" si="83"/>
        <v>3.9022117690706963</v>
      </c>
      <c r="Y48" s="630">
        <f t="shared" si="223"/>
        <v>-1.1359034258847325</v>
      </c>
      <c r="Z48" s="632">
        <f t="shared" si="243"/>
        <v>0.7179526074828424</v>
      </c>
      <c r="AA48" s="629">
        <f t="shared" si="244"/>
        <v>0.6581655468802502</v>
      </c>
      <c r="AB48" s="629">
        <f t="shared" si="245"/>
        <v>-0.22663222698550398</v>
      </c>
      <c r="AC48" s="636">
        <f t="shared" si="84"/>
        <v>1</v>
      </c>
      <c r="AD48" s="637">
        <f t="shared" si="115"/>
        <v>0.7179526074828424</v>
      </c>
      <c r="AE48" s="629">
        <f t="shared" si="85"/>
        <v>0.6581655468802502</v>
      </c>
      <c r="AF48" s="633">
        <f t="shared" si="86"/>
        <v>-0.22663222698550398</v>
      </c>
      <c r="AG48" s="602">
        <f t="shared" si="87"/>
        <v>70.999404233984464</v>
      </c>
      <c r="AH48" s="603">
        <f t="shared" si="88"/>
        <v>44.11429839908147</v>
      </c>
      <c r="AI48" s="585">
        <f t="shared" si="89"/>
        <v>-76.901122437183787</v>
      </c>
      <c r="AJ48" s="586">
        <f t="shared" si="90"/>
        <v>132.51228239379097</v>
      </c>
      <c r="AK48" s="635">
        <f t="shared" si="211"/>
        <v>0.88868158572560785</v>
      </c>
      <c r="AL48" s="629">
        <f t="shared" si="91"/>
        <v>-0.39860114511101258</v>
      </c>
      <c r="AM48" s="634">
        <f t="shared" si="92"/>
        <v>-0.22663222698550398</v>
      </c>
      <c r="AN48" s="581">
        <f t="shared" si="93"/>
        <v>-60.378785017390172</v>
      </c>
      <c r="AO48" s="582">
        <f t="shared" si="94"/>
        <v>27.29195974218543</v>
      </c>
      <c r="AP48" s="585">
        <f t="shared" si="95"/>
        <v>-24.157707980253413</v>
      </c>
      <c r="AQ48" s="586">
        <f t="shared" si="246"/>
        <v>0.58419372545060566</v>
      </c>
      <c r="AS48" s="52">
        <f t="shared" si="406"/>
        <v>-293.31000962884326</v>
      </c>
      <c r="AT48" s="72">
        <f t="shared" si="247"/>
        <v>-0.93220203031115223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5.1260000000000003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-3.7318684603558014</v>
      </c>
      <c r="C49" s="708">
        <v>1.5844890138894212</v>
      </c>
      <c r="D49" s="709">
        <v>-1.8185054846125417</v>
      </c>
      <c r="E49" s="710">
        <v>-0.85148632027204552</v>
      </c>
      <c r="F49" s="708">
        <v>-0.51642703267038514</v>
      </c>
      <c r="G49" s="711">
        <v>9.09624445407691E-2</v>
      </c>
      <c r="H49" s="710">
        <v>0.26600000000000001</v>
      </c>
      <c r="I49" s="708">
        <v>0.52</v>
      </c>
      <c r="J49" s="570">
        <v>5.1310000000000002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5.1310000000000002</v>
      </c>
      <c r="N49" s="632">
        <f t="shared" si="240"/>
        <v>-3.7318684603558014</v>
      </c>
      <c r="O49" s="629">
        <f t="shared" si="241"/>
        <v>1.5844890138894212</v>
      </c>
      <c r="P49" s="633">
        <f t="shared" si="242"/>
        <v>-1.8185054846125417</v>
      </c>
      <c r="Q49" s="585">
        <f t="shared" si="113"/>
        <v>156.9947336509214</v>
      </c>
      <c r="R49" s="629">
        <f t="shared" si="79"/>
        <v>4.0543122278056796</v>
      </c>
      <c r="S49" s="634">
        <f t="shared" si="80"/>
        <v>-1.8185054846125417</v>
      </c>
      <c r="T49" s="635">
        <f t="shared" si="81"/>
        <v>1.5831862497337039</v>
      </c>
      <c r="U49" s="629">
        <f t="shared" si="82"/>
        <v>3.7324213239114341</v>
      </c>
      <c r="V49" s="636">
        <f t="shared" si="114"/>
        <v>-1.8185054846125417</v>
      </c>
      <c r="W49" s="585">
        <f t="shared" si="224"/>
        <v>67.014733648033754</v>
      </c>
      <c r="X49" s="629">
        <f t="shared" si="83"/>
        <v>4.0543122278056796</v>
      </c>
      <c r="Y49" s="630">
        <f t="shared" si="223"/>
        <v>-1.8185054846125417</v>
      </c>
      <c r="Z49" s="632">
        <f t="shared" si="243"/>
        <v>0.85148632027204552</v>
      </c>
      <c r="AA49" s="629">
        <f t="shared" si="244"/>
        <v>0.51642703267038514</v>
      </c>
      <c r="AB49" s="629">
        <f t="shared" si="245"/>
        <v>-9.09624445407691E-2</v>
      </c>
      <c r="AC49" s="636">
        <f t="shared" si="84"/>
        <v>1</v>
      </c>
      <c r="AD49" s="637">
        <f t="shared" si="115"/>
        <v>0.85148632027204552</v>
      </c>
      <c r="AE49" s="629">
        <f t="shared" si="85"/>
        <v>0.51642703267038514</v>
      </c>
      <c r="AF49" s="633">
        <f t="shared" si="86"/>
        <v>-9.09624445407691E-2</v>
      </c>
      <c r="AG49" s="602">
        <f t="shared" si="87"/>
        <v>80.010499501120023</v>
      </c>
      <c r="AH49" s="603">
        <f t="shared" si="88"/>
        <v>31.626300361037845</v>
      </c>
      <c r="AI49" s="585">
        <f t="shared" si="89"/>
        <v>-84.781021773305667</v>
      </c>
      <c r="AJ49" s="586">
        <f t="shared" si="90"/>
        <v>121.23684006019005</v>
      </c>
      <c r="AK49" s="635">
        <f t="shared" si="211"/>
        <v>0.80812929324370875</v>
      </c>
      <c r="AL49" s="629">
        <f t="shared" si="91"/>
        <v>-0.58193889634960072</v>
      </c>
      <c r="AM49" s="634">
        <f t="shared" si="92"/>
        <v>-9.09624445407691E-2</v>
      </c>
      <c r="AN49" s="581">
        <f t="shared" si="93"/>
        <v>-81.116025845981028</v>
      </c>
      <c r="AO49" s="582">
        <f t="shared" si="94"/>
        <v>36.086441084708099</v>
      </c>
      <c r="AP49" s="585">
        <f t="shared" si="95"/>
        <v>-35.757893590731356</v>
      </c>
      <c r="AQ49" s="586">
        <f t="shared" si="246"/>
        <v>0.56227870938925284</v>
      </c>
      <c r="AS49" s="52">
        <f t="shared" si="406"/>
        <v>-292.98526635196623</v>
      </c>
      <c r="AT49" s="72">
        <f t="shared" si="247"/>
        <v>-1.6150296052034594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5.1310000000000002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0.86602540378443871</v>
      </c>
      <c r="F154" s="170">
        <f t="shared" si="929"/>
        <v>6.5263086741082638E-2</v>
      </c>
      <c r="G154" s="170">
        <f t="shared" si="929"/>
        <v>-0.49572243192034987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0.95371696400905348</v>
      </c>
      <c r="F155" s="170">
        <f t="shared" si="929"/>
        <v>3.9249971863521901E-2</v>
      </c>
      <c r="G155" s="170">
        <f t="shared" si="929"/>
        <v>-0.29813317874746298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2.7745331185652675E-17</v>
      </c>
      <c r="AM155">
        <v>0.29580000000000001</v>
      </c>
      <c r="AN155">
        <v>-0.33939999999999992</v>
      </c>
      <c r="AO155">
        <v>-0.86602540378443871</v>
      </c>
      <c r="AP155">
        <v>-6.5263086741082638E-2</v>
      </c>
      <c r="AQ155">
        <v>0.49572243192034987</v>
      </c>
      <c r="AR155">
        <v>0.26600000000000001</v>
      </c>
      <c r="AS155">
        <v>0.315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0.95371696400905348</v>
      </c>
      <c r="F156" s="170">
        <f t="shared" si="929"/>
        <v>3.9249971863521901E-2</v>
      </c>
      <c r="G156" s="170">
        <f t="shared" si="929"/>
        <v>-0.29813317874746298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0.9256027916180195</v>
      </c>
      <c r="AN156">
        <v>-0.27460082819609788</v>
      </c>
      <c r="AO156">
        <v>-0.95371696400905348</v>
      </c>
      <c r="AP156">
        <v>-3.9249971863521901E-2</v>
      </c>
      <c r="AQ156">
        <v>0.29813317874746298</v>
      </c>
      <c r="AR156">
        <v>0.26600000000000001</v>
      </c>
      <c r="AS156">
        <v>0.315</v>
      </c>
      <c r="AT156">
        <v>1.1040000000000001</v>
      </c>
    </row>
    <row r="157" spans="1:259" x14ac:dyDescent="0.25">
      <c r="E157" s="170">
        <f t="shared" si="929"/>
        <v>0.95372079622608763</v>
      </c>
      <c r="F157" s="170">
        <f t="shared" si="929"/>
        <v>1.1894412769018019E-2</v>
      </c>
      <c r="G157" s="170">
        <f t="shared" si="929"/>
        <v>-0.30045825964808759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0</v>
      </c>
      <c r="AM157">
        <v>1.5555046914021495</v>
      </c>
      <c r="AN157">
        <v>-0.19170057816894379</v>
      </c>
      <c r="AO157">
        <v>-0.95371696400905348</v>
      </c>
      <c r="AP157">
        <v>-3.9249971863521901E-2</v>
      </c>
      <c r="AQ157">
        <v>0.29813317874746298</v>
      </c>
      <c r="AR157">
        <v>0.26600000000000001</v>
      </c>
      <c r="AS157">
        <v>0.315</v>
      </c>
      <c r="AT157">
        <v>1.107</v>
      </c>
    </row>
    <row r="158" spans="1:259" x14ac:dyDescent="0.25">
      <c r="E158" s="170">
        <f t="shared" si="929"/>
        <v>0.95240874064268588</v>
      </c>
      <c r="F158" s="170">
        <f t="shared" si="929"/>
        <v>-0.11215230358065845</v>
      </c>
      <c r="G158" s="170">
        <f t="shared" si="929"/>
        <v>-0.28344214850470817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7.6281577790128573E-4</v>
      </c>
      <c r="AM158">
        <v>2.1853064577482275</v>
      </c>
      <c r="AN158">
        <v>-0.10900032874499153</v>
      </c>
      <c r="AO158">
        <v>-0.95372079622608763</v>
      </c>
      <c r="AP158">
        <v>-1.1894412769018019E-2</v>
      </c>
      <c r="AQ158">
        <v>0.30045825964808759</v>
      </c>
      <c r="AR158">
        <v>0.26600000000000001</v>
      </c>
      <c r="AS158">
        <v>0.52</v>
      </c>
      <c r="AT158">
        <v>1.1100000000000001</v>
      </c>
    </row>
    <row r="159" spans="1:259" x14ac:dyDescent="0.25">
      <c r="E159" s="170">
        <f t="shared" si="929"/>
        <v>0.92848253576103068</v>
      </c>
      <c r="F159" s="170">
        <f t="shared" si="929"/>
        <v>-0.24596424517698567</v>
      </c>
      <c r="G159" s="170">
        <f t="shared" si="929"/>
        <v>-0.27824767902227338</v>
      </c>
      <c r="H159" s="139"/>
      <c r="I159" s="86"/>
      <c r="J159" s="79">
        <f t="shared" si="930"/>
        <v>1.1200000000000001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1.7881250759745088E-2</v>
      </c>
      <c r="AM159">
        <v>2.8458524074775631</v>
      </c>
      <c r="AN159">
        <v>-0.1670005036735191</v>
      </c>
      <c r="AO159">
        <v>-0.95240874064268588</v>
      </c>
      <c r="AP159">
        <v>0.11215230358065845</v>
      </c>
      <c r="AQ159">
        <v>0.28344214850470817</v>
      </c>
      <c r="AR159">
        <v>0.26600000000000001</v>
      </c>
      <c r="AS159">
        <v>0.52</v>
      </c>
      <c r="AT159">
        <v>1.115</v>
      </c>
    </row>
    <row r="160" spans="1:259" x14ac:dyDescent="0.25">
      <c r="E160" s="170">
        <f t="shared" si="929"/>
        <v>0.88803503553497165</v>
      </c>
      <c r="F160" s="170">
        <f t="shared" si="929"/>
        <v>-0.39157887694608112</v>
      </c>
      <c r="G160" s="170">
        <f t="shared" si="929"/>
        <v>-0.24095592707391017</v>
      </c>
      <c r="H160" s="139"/>
      <c r="I160" s="86"/>
      <c r="J160" s="79">
        <f t="shared" si="930"/>
        <v>1.125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5.1508953722814915E-2</v>
      </c>
      <c r="AM160">
        <v>3.4314237727781816</v>
      </c>
      <c r="AN160">
        <v>-0.48320145733559533</v>
      </c>
      <c r="AO160">
        <v>-0.92848253576103068</v>
      </c>
      <c r="AP160">
        <v>0.24596424517698567</v>
      </c>
      <c r="AQ160">
        <v>0.27824767902227338</v>
      </c>
      <c r="AR160">
        <v>0.26600000000000001</v>
      </c>
      <c r="AS160">
        <v>0.52</v>
      </c>
      <c r="AT160">
        <v>1.1200000000000001</v>
      </c>
    </row>
    <row r="161" spans="5:46" x14ac:dyDescent="0.25">
      <c r="E161" s="170">
        <f t="shared" si="929"/>
        <v>0.8509341308863938</v>
      </c>
      <c r="F161" s="170">
        <f t="shared" si="929"/>
        <v>-0.50568114868643543</v>
      </c>
      <c r="G161" s="170">
        <f t="shared" si="929"/>
        <v>-0.14211854472863444</v>
      </c>
      <c r="H161" s="139"/>
      <c r="I161" s="86"/>
      <c r="J161" s="79">
        <f t="shared" si="930"/>
        <v>1.1299999999999999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8.5931435369785744E-2</v>
      </c>
      <c r="AM161">
        <v>3.8458516988532461</v>
      </c>
      <c r="AN161">
        <v>-1.0114030503916001</v>
      </c>
      <c r="AO161">
        <v>-0.88803503553497165</v>
      </c>
      <c r="AP161">
        <v>0.39157887694608112</v>
      </c>
      <c r="AQ161">
        <v>0.24095592707391017</v>
      </c>
      <c r="AR161">
        <v>0.26600000000000001</v>
      </c>
      <c r="AS161">
        <v>0.52</v>
      </c>
      <c r="AT161">
        <v>1.125</v>
      </c>
    </row>
    <row r="162" spans="5:46" x14ac:dyDescent="0.25">
      <c r="E162" s="170">
        <f t="shared" si="929"/>
        <v>0.79779529866412191</v>
      </c>
      <c r="F162" s="170">
        <f t="shared" si="929"/>
        <v>-0.5960272603770671</v>
      </c>
      <c r="G162" s="170">
        <f t="shared" si="929"/>
        <v>-9.0962444540769349E-2</v>
      </c>
      <c r="H162" s="139"/>
      <c r="I162" s="86"/>
      <c r="J162" s="79">
        <f t="shared" si="930"/>
        <v>1.135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0.10232415669899093</v>
      </c>
      <c r="AM162">
        <v>4.014708339722346</v>
      </c>
      <c r="AN162">
        <v>-1.6700050367351909</v>
      </c>
      <c r="AO162">
        <v>-0.8509341308863938</v>
      </c>
      <c r="AP162">
        <v>0.50568114868643543</v>
      </c>
      <c r="AQ162">
        <v>0.14211854472863444</v>
      </c>
      <c r="AR162">
        <v>0.26600000000000001</v>
      </c>
      <c r="AS162">
        <v>0.52</v>
      </c>
      <c r="AT162">
        <v>1.1299999999999999</v>
      </c>
    </row>
    <row r="163" spans="5:46" x14ac:dyDescent="0.25">
      <c r="E163" s="170">
        <f t="shared" si="929"/>
        <v>1.6410193326446345E-7</v>
      </c>
      <c r="F163" s="170">
        <f t="shared" si="929"/>
        <v>-1.5654545870699256E-7</v>
      </c>
      <c r="G163" s="170">
        <f t="shared" si="929"/>
        <v>-0.99999999999997435</v>
      </c>
      <c r="H163" s="139"/>
      <c r="I163" s="86"/>
      <c r="J163" s="79">
        <f t="shared" si="930"/>
        <v>1.2030000000000001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7.1129405782167171E-2</v>
      </c>
      <c r="AM163">
        <v>4.0536882277954884</v>
      </c>
      <c r="AN163">
        <v>-2.3580071117494494</v>
      </c>
      <c r="AO163">
        <v>-0.79779529866412191</v>
      </c>
      <c r="AP163">
        <v>0.5960272603770671</v>
      </c>
      <c r="AQ163">
        <v>9.0962444540769349E-2</v>
      </c>
      <c r="AR163">
        <v>0.26600000000000001</v>
      </c>
      <c r="AS163">
        <v>0.52</v>
      </c>
      <c r="AT163">
        <v>1.135</v>
      </c>
    </row>
    <row r="164" spans="5:46" x14ac:dyDescent="0.25">
      <c r="E164" s="170">
        <f t="shared" si="929"/>
        <v>1.9810930182459907E-7</v>
      </c>
      <c r="F164" s="170">
        <f t="shared" si="929"/>
        <v>-1.1040212732868965E-7</v>
      </c>
      <c r="G164" s="170">
        <f t="shared" si="929"/>
        <v>-0.99999999999997435</v>
      </c>
      <c r="H164" s="139"/>
      <c r="I164" s="86"/>
      <c r="J164" s="79">
        <f t="shared" si="930"/>
        <v>1.2070000000000001</v>
      </c>
      <c r="AL164">
        <v>0.66747295132512263</v>
      </c>
      <c r="AM164">
        <v>0.69969197454975174</v>
      </c>
      <c r="AN164">
        <v>-7.669999999999938E-2</v>
      </c>
      <c r="AO164">
        <v>-1.6410193326446345E-7</v>
      </c>
      <c r="AP164">
        <v>1.5654545870699256E-7</v>
      </c>
      <c r="AQ164">
        <v>0.99999999999997435</v>
      </c>
      <c r="AR164">
        <v>0.19500000000000001</v>
      </c>
      <c r="AS164">
        <v>0.438</v>
      </c>
      <c r="AT164">
        <v>1.2030000000000001</v>
      </c>
    </row>
    <row r="165" spans="5:46" x14ac:dyDescent="0.25">
      <c r="E165" s="170">
        <f t="shared" si="929"/>
        <v>0.12551439412288684</v>
      </c>
      <c r="F165" s="170">
        <f t="shared" si="929"/>
        <v>-0.85936337329382317</v>
      </c>
      <c r="G165" s="170">
        <f t="shared" si="929"/>
        <v>-0.49572243192034982</v>
      </c>
      <c r="H165" s="139"/>
      <c r="I165" s="86"/>
      <c r="J165" s="79">
        <f t="shared" si="930"/>
        <v>2.1030000000000002</v>
      </c>
      <c r="AL165">
        <v>0.69124580830025162</v>
      </c>
      <c r="AM165">
        <v>1.2403947889713709</v>
      </c>
      <c r="AN165">
        <v>-1.6999999999998912E-2</v>
      </c>
      <c r="AO165">
        <v>-1.9810930182459907E-7</v>
      </c>
      <c r="AP165">
        <v>1.1040212732868965E-7</v>
      </c>
      <c r="AQ165">
        <v>0.99999999999997435</v>
      </c>
      <c r="AR165">
        <v>0.19500000000000001</v>
      </c>
      <c r="AS165">
        <v>0.438</v>
      </c>
      <c r="AT165">
        <v>1.2070000000000001</v>
      </c>
    </row>
    <row r="166" spans="5:46" x14ac:dyDescent="0.25">
      <c r="E166" s="170">
        <f t="shared" si="929"/>
        <v>0.10568163825082807</v>
      </c>
      <c r="F166" s="170">
        <f t="shared" si="929"/>
        <v>-0.94865589075626078</v>
      </c>
      <c r="G166" s="170">
        <f t="shared" si="929"/>
        <v>-0.29813317874746309</v>
      </c>
      <c r="H166" s="139"/>
      <c r="I166" s="86"/>
      <c r="J166" s="79">
        <f t="shared" si="930"/>
        <v>2.1059999999999999</v>
      </c>
      <c r="AL166">
        <v>0.71395662524202297</v>
      </c>
      <c r="AM166">
        <v>4.99242152970042E-2</v>
      </c>
      <c r="AN166">
        <v>-0.28409999999999996</v>
      </c>
      <c r="AO166">
        <v>-0.12551439412288684</v>
      </c>
      <c r="AP166">
        <v>0.85936337329382317</v>
      </c>
      <c r="AQ166">
        <v>0.49572243192034982</v>
      </c>
      <c r="AR166">
        <v>0.26600000000000001</v>
      </c>
      <c r="AS166">
        <v>0.315</v>
      </c>
      <c r="AT166">
        <v>2.1030000000000002</v>
      </c>
    </row>
    <row r="167" spans="5:46" x14ac:dyDescent="0.25">
      <c r="E167" s="170">
        <f t="shared" si="929"/>
        <v>9.2671664651536201E-2</v>
      </c>
      <c r="F167" s="170">
        <f t="shared" si="929"/>
        <v>-0.94956562770668007</v>
      </c>
      <c r="G167" s="170">
        <f t="shared" si="929"/>
        <v>-0.29956148158388446</v>
      </c>
      <c r="H167" s="139"/>
      <c r="I167" s="86"/>
      <c r="J167" s="79">
        <f t="shared" si="930"/>
        <v>2.109</v>
      </c>
      <c r="AL167">
        <v>1.3422265425846809</v>
      </c>
      <c r="AM167">
        <v>9.3856691737590828E-2</v>
      </c>
      <c r="AN167">
        <v>-0.21940066171239575</v>
      </c>
      <c r="AO167">
        <v>-0.10568163825082807</v>
      </c>
      <c r="AP167">
        <v>0.94865589075626078</v>
      </c>
      <c r="AQ167">
        <v>0.29813317874746309</v>
      </c>
      <c r="AR167">
        <v>0.26600000000000001</v>
      </c>
      <c r="AS167">
        <v>0.315</v>
      </c>
      <c r="AT167">
        <v>2.1059999999999999</v>
      </c>
    </row>
    <row r="168" spans="5:46" x14ac:dyDescent="0.25">
      <c r="E168" s="170">
        <f t="shared" si="929"/>
        <v>-2.207952782798267E-2</v>
      </c>
      <c r="F168" s="170">
        <f t="shared" si="929"/>
        <v>-0.95671451322286982</v>
      </c>
      <c r="G168" s="170">
        <f t="shared" si="929"/>
        <v>-0.29018930827930361</v>
      </c>
      <c r="H168" s="139"/>
      <c r="I168" s="86"/>
      <c r="J168" s="79">
        <f t="shared" si="930"/>
        <v>2.1139999999999999</v>
      </c>
      <c r="AL168">
        <v>1.9704943066276628</v>
      </c>
      <c r="AM168">
        <v>0.13778901760628998</v>
      </c>
      <c r="AN168">
        <v>-0.13640041138364073</v>
      </c>
      <c r="AO168">
        <v>-9.2671664651536201E-2</v>
      </c>
      <c r="AP168">
        <v>0.94956562770668007</v>
      </c>
      <c r="AQ168">
        <v>0.29956148158388446</v>
      </c>
      <c r="AR168">
        <v>0.26600000000000001</v>
      </c>
      <c r="AS168">
        <v>0.315</v>
      </c>
      <c r="AT168">
        <v>2.109</v>
      </c>
    </row>
    <row r="169" spans="5:46" x14ac:dyDescent="0.25">
      <c r="E169" s="170">
        <f t="shared" si="929"/>
        <v>-0.15090629478959255</v>
      </c>
      <c r="F169" s="170">
        <f t="shared" si="929"/>
        <v>-0.94840638966528112</v>
      </c>
      <c r="G169" s="170">
        <f t="shared" si="929"/>
        <v>-0.27884155040980463</v>
      </c>
      <c r="H169" s="139"/>
      <c r="I169" s="86"/>
      <c r="J169" s="79">
        <f t="shared" si="930"/>
        <v>2.1190000000000002</v>
      </c>
      <c r="AL169">
        <v>2.7107539150569444</v>
      </c>
      <c r="AM169">
        <v>0.17672004577363312</v>
      </c>
      <c r="AN169">
        <v>-0.13390040384361798</v>
      </c>
      <c r="AO169">
        <v>2.207952782798267E-2</v>
      </c>
      <c r="AP169">
        <v>0.95671451322286982</v>
      </c>
      <c r="AQ169">
        <v>0.29018930827930361</v>
      </c>
      <c r="AR169">
        <v>0.26600000000000001</v>
      </c>
      <c r="AS169">
        <v>0.52</v>
      </c>
      <c r="AT169">
        <v>2.1139999999999999</v>
      </c>
    </row>
    <row r="170" spans="5:46" x14ac:dyDescent="0.25">
      <c r="E170" s="170">
        <f t="shared" si="929"/>
        <v>-0.29973284629782826</v>
      </c>
      <c r="F170" s="170">
        <f t="shared" si="929"/>
        <v>-0.919867245014097</v>
      </c>
      <c r="G170" s="170">
        <f t="shared" si="929"/>
        <v>-0.25299105201642585</v>
      </c>
      <c r="H170" s="139"/>
      <c r="I170" s="86"/>
      <c r="J170" s="79">
        <f t="shared" si="930"/>
        <v>2.1240000000000001</v>
      </c>
      <c r="AL170">
        <v>3.3201944980077012</v>
      </c>
      <c r="AM170">
        <v>0.18795066716850503</v>
      </c>
      <c r="AN170">
        <v>-0.40090120911804672</v>
      </c>
      <c r="AO170">
        <v>0.15090629478959255</v>
      </c>
      <c r="AP170">
        <v>0.94840638966528112</v>
      </c>
      <c r="AQ170">
        <v>0.27884155040980463</v>
      </c>
      <c r="AR170">
        <v>0.26600000000000001</v>
      </c>
      <c r="AS170">
        <v>0.52</v>
      </c>
      <c r="AT170">
        <v>2.1190000000000002</v>
      </c>
    </row>
    <row r="171" spans="5:46" x14ac:dyDescent="0.25">
      <c r="E171" s="170">
        <f t="shared" si="929"/>
        <v>-0.4352977843230213</v>
      </c>
      <c r="F171" s="170">
        <f t="shared" si="929"/>
        <v>-0.88388959856708982</v>
      </c>
      <c r="G171" s="170">
        <f t="shared" si="929"/>
        <v>-0.17104097903244583</v>
      </c>
      <c r="H171" s="139"/>
      <c r="I171" s="86"/>
      <c r="J171" s="79">
        <f t="shared" si="930"/>
        <v>2.129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3.7770291095437205</v>
      </c>
      <c r="AM171">
        <v>0.18406415211781091</v>
      </c>
      <c r="AN171">
        <v>-0.89220269088331572</v>
      </c>
      <c r="AO171">
        <v>0.29973284629782826</v>
      </c>
      <c r="AP171">
        <v>0.919867245014097</v>
      </c>
      <c r="AQ171">
        <v>0.25299105201642585</v>
      </c>
      <c r="AR171">
        <v>0.26600000000000001</v>
      </c>
      <c r="AS171">
        <v>0.52</v>
      </c>
      <c r="AT171">
        <v>2.1240000000000001</v>
      </c>
    </row>
    <row r="172" spans="5:46" x14ac:dyDescent="0.25">
      <c r="E172" s="170">
        <f t="shared" si="929"/>
        <v>-0.53892455933717176</v>
      </c>
      <c r="F172" s="170">
        <f t="shared" si="929"/>
        <v>-0.83742829724484646</v>
      </c>
      <c r="G172" s="170">
        <f t="shared" si="929"/>
        <v>-9.0962444540769183E-2</v>
      </c>
      <c r="H172" s="139"/>
      <c r="I172" s="86"/>
      <c r="J172" s="79">
        <f t="shared" si="930"/>
        <v>2.1339999999999999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4.0003158791172853</v>
      </c>
      <c r="AM172">
        <v>0.17885211022516545</v>
      </c>
      <c r="AN172">
        <v>-1.5328046229387429</v>
      </c>
      <c r="AO172">
        <v>0.4352977843230213</v>
      </c>
      <c r="AP172">
        <v>0.88388959856708982</v>
      </c>
      <c r="AQ172">
        <v>0.17104097903244583</v>
      </c>
      <c r="AR172">
        <v>0.26600000000000001</v>
      </c>
      <c r="AS172">
        <v>0.52</v>
      </c>
      <c r="AT172">
        <v>2.129</v>
      </c>
    </row>
    <row r="173" spans="5:46" x14ac:dyDescent="0.25">
      <c r="E173" s="170">
        <f t="shared" si="929"/>
        <v>-1.1171373654340671E-7</v>
      </c>
      <c r="F173" s="170">
        <f t="shared" si="929"/>
        <v>-1.9737265832580429E-7</v>
      </c>
      <c r="G173" s="170">
        <f t="shared" si="929"/>
        <v>-0.99999999999997435</v>
      </c>
      <c r="H173" s="139"/>
      <c r="I173" s="86"/>
      <c r="J173" s="79">
        <f t="shared" si="930"/>
        <v>2.2050000000000001</v>
      </c>
      <c r="O173">
        <f>IF($J24="","",IFERROR(INDEX(Settings!$AK$14:$AK$32,MATCH((((ROUND($H24,6)*2)*1000000)+ROUND($I24,6)),Settings!$AI$14:$AI$32,0)),"Undefined"))</f>
        <v>1313</v>
      </c>
      <c r="AL173">
        <v>4.0487755297867825</v>
      </c>
      <c r="AM173">
        <v>0.21181206276887926</v>
      </c>
      <c r="AN173">
        <v>-2.2231067048898221</v>
      </c>
      <c r="AO173">
        <v>0.53892455933717176</v>
      </c>
      <c r="AP173">
        <v>0.83742829724484646</v>
      </c>
      <c r="AQ173">
        <v>9.0962444540769183E-2</v>
      </c>
      <c r="AR173">
        <v>0.26600000000000001</v>
      </c>
      <c r="AS173">
        <v>0.52</v>
      </c>
      <c r="AT173">
        <v>2.1339999999999999</v>
      </c>
    </row>
    <row r="174" spans="5:46" x14ac:dyDescent="0.25">
      <c r="E174" s="170">
        <f t="shared" ref="E174:G193" si="933">E29*-1</f>
        <v>-7.4398489648282016E-8</v>
      </c>
      <c r="F174" s="170">
        <f t="shared" si="933"/>
        <v>-2.1424469631661078E-7</v>
      </c>
      <c r="G174" s="170">
        <f t="shared" si="933"/>
        <v>-0.99999999999997435</v>
      </c>
      <c r="H174" s="139"/>
      <c r="I174" s="86"/>
      <c r="J174" s="79">
        <f t="shared" si="930"/>
        <v>2.2090000000000001</v>
      </c>
      <c r="AL174">
        <v>1.0756529741873804</v>
      </c>
      <c r="AM174">
        <v>-0.60882401325986002</v>
      </c>
      <c r="AN174">
        <v>-4.1299999999998949E-2</v>
      </c>
      <c r="AO174">
        <v>1.1171373654340671E-7</v>
      </c>
      <c r="AP174">
        <v>1.9737265832580429E-7</v>
      </c>
      <c r="AQ174">
        <v>0.99999999999997435</v>
      </c>
      <c r="AR174">
        <v>0.19500000000000001</v>
      </c>
      <c r="AS174">
        <v>0.438</v>
      </c>
      <c r="AT174">
        <v>2.2050000000000001</v>
      </c>
    </row>
    <row r="175" spans="5:46" x14ac:dyDescent="0.25">
      <c r="E175" s="170">
        <f t="shared" si="933"/>
        <v>-0.8971262064478237</v>
      </c>
      <c r="F175" s="170">
        <f t="shared" si="933"/>
        <v>-0.32851554852074244</v>
      </c>
      <c r="G175" s="170">
        <f t="shared" si="933"/>
        <v>-0.29536774381210418</v>
      </c>
      <c r="H175" s="139"/>
      <c r="I175" s="86"/>
      <c r="J175" s="79">
        <f t="shared" si="930"/>
        <v>3.113</v>
      </c>
      <c r="AL175">
        <v>1.706060968261417</v>
      </c>
      <c r="AM175">
        <v>-0.5924457549640445</v>
      </c>
      <c r="AN175">
        <v>3.3800000000001593E-2</v>
      </c>
      <c r="AO175">
        <v>7.4398489648282016E-8</v>
      </c>
      <c r="AP175">
        <v>2.1424469631661078E-7</v>
      </c>
      <c r="AQ175">
        <v>0.99999999999997435</v>
      </c>
      <c r="AR175">
        <v>0.19500000000000001</v>
      </c>
      <c r="AS175">
        <v>0.438</v>
      </c>
      <c r="AT175">
        <v>2.2090000000000001</v>
      </c>
    </row>
    <row r="176" spans="5:46" x14ac:dyDescent="0.25">
      <c r="E176" s="170">
        <f t="shared" si="933"/>
        <v>-0.9372612970470765</v>
      </c>
      <c r="F176" s="170">
        <f t="shared" si="933"/>
        <v>-0.21151686694379712</v>
      </c>
      <c r="G176" s="170">
        <f t="shared" si="933"/>
        <v>-0.27713151400718028</v>
      </c>
      <c r="H176" s="139"/>
      <c r="I176" s="86"/>
      <c r="J176" s="79">
        <f t="shared" si="930"/>
        <v>3.1179999999999999</v>
      </c>
      <c r="AL176">
        <v>1.0434985670043051</v>
      </c>
      <c r="AM176">
        <v>-2.3648133291629252</v>
      </c>
      <c r="AN176">
        <v>-0.11150033628501424</v>
      </c>
      <c r="AO176">
        <v>0.8971262064478237</v>
      </c>
      <c r="AP176">
        <v>0.32851554852074244</v>
      </c>
      <c r="AQ176">
        <v>0.29536774381210418</v>
      </c>
      <c r="AR176">
        <v>0.26600000000000001</v>
      </c>
      <c r="AS176">
        <v>0.52</v>
      </c>
      <c r="AT176">
        <v>3.113</v>
      </c>
    </row>
    <row r="177" spans="5:46" x14ac:dyDescent="0.25">
      <c r="E177" s="170">
        <f t="shared" si="933"/>
        <v>-0.96280631832668018</v>
      </c>
      <c r="F177" s="170">
        <f t="shared" si="933"/>
        <v>-6.288253485280354E-2</v>
      </c>
      <c r="G177" s="170">
        <f t="shared" si="933"/>
        <v>-0.26277324863979096</v>
      </c>
      <c r="H177" s="139"/>
      <c r="I177" s="86"/>
      <c r="J177" s="79">
        <f t="shared" si="930"/>
        <v>3.1230000000000002</v>
      </c>
      <c r="AL177">
        <v>1.2733064504989231</v>
      </c>
      <c r="AM177">
        <v>-2.9509161626267644</v>
      </c>
      <c r="AN177">
        <v>-0.32780098864778195</v>
      </c>
      <c r="AO177">
        <v>0.9372612970470765</v>
      </c>
      <c r="AP177">
        <v>0.21151686694379712</v>
      </c>
      <c r="AQ177">
        <v>0.27713151400718028</v>
      </c>
      <c r="AR177">
        <v>0.26600000000000001</v>
      </c>
      <c r="AS177">
        <v>0.52</v>
      </c>
      <c r="AT177">
        <v>3.1179999999999999</v>
      </c>
    </row>
    <row r="178" spans="5:46" x14ac:dyDescent="0.25">
      <c r="E178" s="170">
        <f t="shared" si="933"/>
        <v>-0.97814172335237148</v>
      </c>
      <c r="F178" s="170">
        <f t="shared" si="933"/>
        <v>8.0685812074518068E-2</v>
      </c>
      <c r="G178" s="170">
        <f t="shared" si="933"/>
        <v>-0.19164698997669738</v>
      </c>
      <c r="H178" s="139"/>
      <c r="I178" s="86"/>
      <c r="J178" s="79">
        <f t="shared" si="930"/>
        <v>3.1280000000000001</v>
      </c>
      <c r="AL178">
        <v>1.4406191530293382</v>
      </c>
      <c r="AM178">
        <v>-3.4154158719238206</v>
      </c>
      <c r="AN178">
        <v>-0.779102349772687</v>
      </c>
      <c r="AO178">
        <v>0.96280631832668018</v>
      </c>
      <c r="AP178">
        <v>6.288253485280354E-2</v>
      </c>
      <c r="AQ178">
        <v>0.26277324863979096</v>
      </c>
      <c r="AR178">
        <v>0.26600000000000001</v>
      </c>
      <c r="AS178">
        <v>0.52</v>
      </c>
      <c r="AT178">
        <v>3.1230000000000002</v>
      </c>
    </row>
    <row r="179" spans="5:46" x14ac:dyDescent="0.25">
      <c r="E179" s="170">
        <f t="shared" si="933"/>
        <v>-0.9712482910130551</v>
      </c>
      <c r="F179" s="170">
        <f t="shared" si="933"/>
        <v>0.22000592771186497</v>
      </c>
      <c r="G179" s="170">
        <f t="shared" si="933"/>
        <v>-9.0962349221321612E-2</v>
      </c>
      <c r="H179" s="139"/>
      <c r="I179" s="86"/>
      <c r="J179" s="79">
        <f t="shared" si="930"/>
        <v>3.133</v>
      </c>
      <c r="AL179">
        <v>1.5287145905493074</v>
      </c>
      <c r="AM179">
        <v>-3.6761225500241892</v>
      </c>
      <c r="AN179">
        <v>-1.3974042145711101</v>
      </c>
      <c r="AO179">
        <v>0.97814172335237148</v>
      </c>
      <c r="AP179">
        <v>-8.0685812074518068E-2</v>
      </c>
      <c r="AQ179">
        <v>0.19164698997669738</v>
      </c>
      <c r="AR179">
        <v>0.26600000000000001</v>
      </c>
      <c r="AS179">
        <v>0.52</v>
      </c>
      <c r="AT179">
        <v>3.1280000000000001</v>
      </c>
    </row>
    <row r="180" spans="5:46" x14ac:dyDescent="0.25">
      <c r="E180" s="170">
        <f t="shared" si="933"/>
        <v>-0.7140993607125532</v>
      </c>
      <c r="F180" s="170">
        <f t="shared" si="933"/>
        <v>0.49428875520377452</v>
      </c>
      <c r="G180" s="170">
        <f t="shared" si="933"/>
        <v>-0.49572243192034982</v>
      </c>
      <c r="H180" s="139"/>
      <c r="I180" s="86"/>
      <c r="J180" s="79">
        <f t="shared" si="930"/>
        <v>4.1020000000000003</v>
      </c>
      <c r="AL180">
        <v>1.5838016777067681</v>
      </c>
      <c r="AM180">
        <v>-3.7321602171166068</v>
      </c>
      <c r="AN180">
        <v>-2.0883062983317964</v>
      </c>
      <c r="AO180">
        <v>0.9712482910130551</v>
      </c>
      <c r="AP180">
        <v>-0.22000592771186497</v>
      </c>
      <c r="AQ180">
        <v>9.0962349221321612E-2</v>
      </c>
      <c r="AR180">
        <v>0.26600000000000001</v>
      </c>
      <c r="AS180">
        <v>0.52</v>
      </c>
      <c r="AT180">
        <v>3.133</v>
      </c>
    </row>
    <row r="181" spans="5:46" x14ac:dyDescent="0.25">
      <c r="E181" s="170">
        <f t="shared" si="933"/>
        <v>-0.76587789217653701</v>
      </c>
      <c r="F181" s="170">
        <f t="shared" si="933"/>
        <v>0.5696908477456506</v>
      </c>
      <c r="G181" s="170">
        <f t="shared" si="933"/>
        <v>-0.29813317874746309</v>
      </c>
      <c r="H181" s="139"/>
      <c r="I181" s="86"/>
      <c r="J181" s="79">
        <f t="shared" si="930"/>
        <v>4.1050000000000004</v>
      </c>
      <c r="AL181">
        <v>-0.31824842122970287</v>
      </c>
      <c r="AM181">
        <v>-0.39300378493108684</v>
      </c>
      <c r="AN181">
        <v>-0.31169999999999998</v>
      </c>
      <c r="AO181">
        <v>0.7140993607125532</v>
      </c>
      <c r="AP181">
        <v>-0.49428875520377452</v>
      </c>
      <c r="AQ181">
        <v>0.49572243192034982</v>
      </c>
      <c r="AR181">
        <v>0.26600000000000001</v>
      </c>
      <c r="AS181">
        <v>0.315</v>
      </c>
      <c r="AT181">
        <v>4.1020000000000003</v>
      </c>
    </row>
    <row r="182" spans="5:46" x14ac:dyDescent="0.25">
      <c r="E182" s="170">
        <f t="shared" si="933"/>
        <v>-0.76587789217653723</v>
      </c>
      <c r="F182" s="170">
        <f t="shared" si="933"/>
        <v>0.56969084774565037</v>
      </c>
      <c r="G182" s="170">
        <f t="shared" si="933"/>
        <v>-0.29813317874746309</v>
      </c>
      <c r="H182" s="139"/>
      <c r="I182" s="86"/>
      <c r="J182" s="79">
        <f t="shared" si="930"/>
        <v>4.1079999999999997</v>
      </c>
      <c r="AL182">
        <v>-0.71465870505922602</v>
      </c>
      <c r="AM182">
        <v>-0.88252936161309525</v>
      </c>
      <c r="AN182">
        <v>-0.24700074495424681</v>
      </c>
      <c r="AO182">
        <v>0.76587789217653701</v>
      </c>
      <c r="AP182">
        <v>-0.5696908477456506</v>
      </c>
      <c r="AQ182">
        <v>0.29813317874746309</v>
      </c>
      <c r="AR182">
        <v>0.26600000000000001</v>
      </c>
      <c r="AS182">
        <v>0.315</v>
      </c>
      <c r="AT182">
        <v>4.1050000000000004</v>
      </c>
    </row>
    <row r="183" spans="5:46" x14ac:dyDescent="0.25">
      <c r="E183" s="170">
        <f t="shared" si="933"/>
        <v>-0.71547540480657545</v>
      </c>
      <c r="F183" s="170">
        <f t="shared" si="933"/>
        <v>0.63147988578314751</v>
      </c>
      <c r="G183" s="170">
        <f t="shared" si="933"/>
        <v>-0.29887806705773862</v>
      </c>
      <c r="H183" s="139"/>
      <c r="I183" s="86"/>
      <c r="J183" s="79">
        <f t="shared" si="930"/>
        <v>4.1120000000000001</v>
      </c>
      <c r="AL183">
        <v>-1.1110060566322275</v>
      </c>
      <c r="AM183">
        <v>-1.3719772234869305</v>
      </c>
      <c r="AN183">
        <v>-0.16410049492709269</v>
      </c>
      <c r="AO183">
        <v>0.76587789217653723</v>
      </c>
      <c r="AP183">
        <v>-0.56969084774565037</v>
      </c>
      <c r="AQ183">
        <v>0.29813317874746309</v>
      </c>
      <c r="AR183">
        <v>0.26600000000000001</v>
      </c>
      <c r="AS183">
        <v>0.315</v>
      </c>
      <c r="AT183">
        <v>4.1079999999999997</v>
      </c>
    </row>
    <row r="184" spans="5:46" x14ac:dyDescent="0.25">
      <c r="E184" s="170">
        <f t="shared" si="933"/>
        <v>-0.63657348581476325</v>
      </c>
      <c r="F184" s="170">
        <f t="shared" si="933"/>
        <v>0.72118644092029027</v>
      </c>
      <c r="G184" s="170">
        <f t="shared" si="933"/>
        <v>-0.27324771653275731</v>
      </c>
      <c r="H184" s="139"/>
      <c r="I184" s="86"/>
      <c r="J184" s="79">
        <f t="shared" si="930"/>
        <v>4.117</v>
      </c>
      <c r="AL184">
        <v>-1.5470234575331818</v>
      </c>
      <c r="AM184">
        <v>-1.9022534781847111</v>
      </c>
      <c r="AN184">
        <v>-9.9800300997707814E-2</v>
      </c>
      <c r="AO184">
        <v>0.71547540480657545</v>
      </c>
      <c r="AP184">
        <v>-0.63147988578314751</v>
      </c>
      <c r="AQ184">
        <v>0.29887806705773862</v>
      </c>
      <c r="AR184">
        <v>0.26600000000000001</v>
      </c>
      <c r="AS184">
        <v>0.52</v>
      </c>
      <c r="AT184">
        <v>4.1120000000000001</v>
      </c>
    </row>
    <row r="185" spans="5:46" x14ac:dyDescent="0.25">
      <c r="E185" s="170">
        <f t="shared" si="933"/>
        <v>-0.51784981567862975</v>
      </c>
      <c r="F185" s="170">
        <f t="shared" si="933"/>
        <v>0.81165286528087444</v>
      </c>
      <c r="G185" s="170">
        <f t="shared" si="933"/>
        <v>-0.2702798451289995</v>
      </c>
      <c r="H185" s="139"/>
      <c r="I185" s="86"/>
      <c r="J185" s="79">
        <f t="shared" si="930"/>
        <v>4.1219999999999999</v>
      </c>
      <c r="AL185">
        <v>-1.9711050067879383</v>
      </c>
      <c r="AM185">
        <v>-2.3860446013060952</v>
      </c>
      <c r="AN185">
        <v>-0.26420079682960323</v>
      </c>
      <c r="AO185">
        <v>0.63657348581476325</v>
      </c>
      <c r="AP185">
        <v>-0.72118644092029027</v>
      </c>
      <c r="AQ185">
        <v>0.27324771653275731</v>
      </c>
      <c r="AR185">
        <v>0.26600000000000001</v>
      </c>
      <c r="AS185">
        <v>0.52</v>
      </c>
      <c r="AT185">
        <v>4.117</v>
      </c>
    </row>
    <row r="186" spans="5:46" x14ac:dyDescent="0.25">
      <c r="E186" s="170">
        <f t="shared" si="933"/>
        <v>-0.39557643803170683</v>
      </c>
      <c r="F186" s="170">
        <f t="shared" si="933"/>
        <v>0.89405569401785623</v>
      </c>
      <c r="G186" s="170">
        <f t="shared" si="933"/>
        <v>-0.21019918569870055</v>
      </c>
      <c r="H186" s="139"/>
      <c r="I186" s="86"/>
      <c r="J186" s="79">
        <f t="shared" si="930"/>
        <v>4.1269999999999998</v>
      </c>
      <c r="AL186">
        <v>-2.3313772986561148</v>
      </c>
      <c r="AM186">
        <v>-2.7735063218282199</v>
      </c>
      <c r="AN186">
        <v>-0.67280202917092002</v>
      </c>
      <c r="AO186">
        <v>0.51784981567862975</v>
      </c>
      <c r="AP186">
        <v>-0.81165286528087444</v>
      </c>
      <c r="AQ186">
        <v>0.2702798451289995</v>
      </c>
      <c r="AR186">
        <v>0.26600000000000001</v>
      </c>
      <c r="AS186">
        <v>0.52</v>
      </c>
      <c r="AT186">
        <v>4.1219999999999999</v>
      </c>
    </row>
    <row r="187" spans="5:46" x14ac:dyDescent="0.25">
      <c r="E187" s="170">
        <f t="shared" si="933"/>
        <v>-0.24491094287763271</v>
      </c>
      <c r="F187" s="170">
        <f t="shared" si="933"/>
        <v>0.9652691146731861</v>
      </c>
      <c r="G187" s="170">
        <f t="shared" si="933"/>
        <v>-9.0962444540769252E-2</v>
      </c>
      <c r="H187" s="139"/>
      <c r="I187" s="86"/>
      <c r="J187" s="79">
        <f t="shared" si="930"/>
        <v>4.1319999999999997</v>
      </c>
      <c r="AL187">
        <v>-2.5571534300916325</v>
      </c>
      <c r="AM187">
        <v>-3.0067688174406353</v>
      </c>
      <c r="AN187">
        <v>-1.2648038146483052</v>
      </c>
      <c r="AO187">
        <v>0.39557643803170683</v>
      </c>
      <c r="AP187">
        <v>-0.89405569401785623</v>
      </c>
      <c r="AQ187">
        <v>0.21019918569870055</v>
      </c>
      <c r="AR187">
        <v>0.26600000000000001</v>
      </c>
      <c r="AS187">
        <v>0.52</v>
      </c>
      <c r="AT187">
        <v>4.1269999999999998</v>
      </c>
    </row>
    <row r="188" spans="5:46" x14ac:dyDescent="0.25">
      <c r="E188" s="170">
        <f t="shared" si="933"/>
        <v>-4.5758455104787989E-8</v>
      </c>
      <c r="F188" s="170">
        <f t="shared" si="933"/>
        <v>2.2213079245510003E-7</v>
      </c>
      <c r="G188" s="170">
        <f t="shared" si="933"/>
        <v>-0.99999999999997435</v>
      </c>
      <c r="H188" s="139"/>
      <c r="I188" s="86"/>
      <c r="J188" s="79">
        <f t="shared" si="930"/>
        <v>4.2039999999999997</v>
      </c>
      <c r="AL188">
        <v>-2.6063476945918134</v>
      </c>
      <c r="AM188">
        <v>-3.1055433237085248</v>
      </c>
      <c r="AN188">
        <v>-1.9534058914721688</v>
      </c>
      <c r="AO188">
        <v>0.24491094287763271</v>
      </c>
      <c r="AP188">
        <v>-0.9652691146731861</v>
      </c>
      <c r="AQ188">
        <v>9.0962444540769252E-2</v>
      </c>
      <c r="AR188">
        <v>0.26600000000000001</v>
      </c>
      <c r="AS188">
        <v>0.52</v>
      </c>
      <c r="AT188">
        <v>4.1319999999999997</v>
      </c>
    </row>
    <row r="189" spans="5:46" x14ac:dyDescent="0.25">
      <c r="E189" s="170">
        <f t="shared" si="933"/>
        <v>-9.6636123547434312E-8</v>
      </c>
      <c r="F189" s="170">
        <f t="shared" si="933"/>
        <v>2.0517647233999331E-7</v>
      </c>
      <c r="G189" s="170">
        <f t="shared" si="933"/>
        <v>-0.99999999999997435</v>
      </c>
      <c r="H189" s="139"/>
      <c r="I189" s="86"/>
      <c r="J189" s="79">
        <f t="shared" si="930"/>
        <v>4.2069999999999999</v>
      </c>
      <c r="AL189">
        <v>-1.0391802215712984</v>
      </c>
      <c r="AM189">
        <v>-0.21406883728143866</v>
      </c>
      <c r="AN189">
        <v>-6.4299999999998941E-2</v>
      </c>
      <c r="AO189">
        <v>4.5758455104787989E-8</v>
      </c>
      <c r="AP189">
        <v>-2.2213079245510003E-7</v>
      </c>
      <c r="AQ189">
        <v>0.99999999999997435</v>
      </c>
      <c r="AR189">
        <v>0.19500000000000001</v>
      </c>
      <c r="AS189">
        <v>0.438</v>
      </c>
      <c r="AT189">
        <v>4.2039999999999997</v>
      </c>
    </row>
    <row r="190" spans="5:46" x14ac:dyDescent="0.25">
      <c r="E190" s="170">
        <f t="shared" si="933"/>
        <v>0.37190392340970524</v>
      </c>
      <c r="F190" s="170">
        <f t="shared" si="933"/>
        <v>0.87822742998565628</v>
      </c>
      <c r="G190" s="170">
        <f t="shared" si="933"/>
        <v>-0.30067266748618388</v>
      </c>
      <c r="H190" s="139"/>
      <c r="I190" s="86"/>
      <c r="J190" s="79">
        <f t="shared" si="930"/>
        <v>5.1109999999999998</v>
      </c>
      <c r="AL190">
        <v>-1.4574371038646647</v>
      </c>
      <c r="AM190">
        <v>-0.68643869957817594</v>
      </c>
      <c r="AN190">
        <v>8.1000000000011375E-3</v>
      </c>
      <c r="AO190">
        <v>9.6636123547434312E-8</v>
      </c>
      <c r="AP190">
        <v>-2.0517647233999331E-7</v>
      </c>
      <c r="AQ190">
        <v>0.99999999999997435</v>
      </c>
      <c r="AR190">
        <v>0.19500000000000001</v>
      </c>
      <c r="AS190">
        <v>0.438</v>
      </c>
      <c r="AT190">
        <v>4.2069999999999999</v>
      </c>
    </row>
    <row r="191" spans="5:46" x14ac:dyDescent="0.25">
      <c r="E191" s="170">
        <f t="shared" si="933"/>
        <v>0.48180594856144088</v>
      </c>
      <c r="F191" s="170">
        <f t="shared" si="933"/>
        <v>0.831960458256781</v>
      </c>
      <c r="G191" s="170">
        <f t="shared" si="933"/>
        <v>-0.27514509595480224</v>
      </c>
      <c r="H191" s="139"/>
      <c r="I191" s="86"/>
      <c r="J191" s="79">
        <f t="shared" si="930"/>
        <v>5.1159999999999997</v>
      </c>
      <c r="AL191">
        <v>-2.1486787228639033</v>
      </c>
      <c r="AM191">
        <v>0.8707414816863257</v>
      </c>
      <c r="AN191">
        <v>-9.9000298584900545E-2</v>
      </c>
      <c r="AO191">
        <v>-0.37190392340970524</v>
      </c>
      <c r="AP191">
        <v>-0.87822742998565628</v>
      </c>
      <c r="AQ191">
        <v>0.30067266748618388</v>
      </c>
      <c r="AR191">
        <v>0.26600000000000001</v>
      </c>
      <c r="AS191">
        <v>0.52</v>
      </c>
      <c r="AT191">
        <v>5.1109999999999998</v>
      </c>
    </row>
    <row r="192" spans="5:46" x14ac:dyDescent="0.25">
      <c r="E192" s="170">
        <f t="shared" si="933"/>
        <v>0.6002977238121322</v>
      </c>
      <c r="F192" s="170">
        <f t="shared" si="933"/>
        <v>0.75086515792165653</v>
      </c>
      <c r="G192" s="170">
        <f t="shared" si="933"/>
        <v>-0.27539817974209468</v>
      </c>
      <c r="H192" s="139"/>
      <c r="I192" s="86"/>
      <c r="J192" s="79">
        <f t="shared" si="930"/>
        <v>5.1210000000000004</v>
      </c>
      <c r="AL192">
        <v>-2.7468486463344073</v>
      </c>
      <c r="AM192">
        <v>1.1355364787103133</v>
      </c>
      <c r="AN192">
        <v>-0.21050063486991497</v>
      </c>
      <c r="AO192">
        <v>-0.48180594856144088</v>
      </c>
      <c r="AP192">
        <v>-0.831960458256781</v>
      </c>
      <c r="AQ192">
        <v>0.27514509595480224</v>
      </c>
      <c r="AR192">
        <v>0.26600000000000001</v>
      </c>
      <c r="AS192">
        <v>0.52</v>
      </c>
      <c r="AT192">
        <v>5.1159999999999997</v>
      </c>
    </row>
    <row r="193" spans="5:46" x14ac:dyDescent="0.25">
      <c r="E193" s="170">
        <f t="shared" si="933"/>
        <v>0.7179526074828424</v>
      </c>
      <c r="F193" s="170">
        <f t="shared" si="933"/>
        <v>0.6581655468802502</v>
      </c>
      <c r="G193" s="170">
        <f t="shared" si="933"/>
        <v>-0.22663222698550398</v>
      </c>
      <c r="H193" s="139"/>
      <c r="I193" s="86"/>
      <c r="J193" s="79">
        <f t="shared" si="930"/>
        <v>5.1260000000000003</v>
      </c>
      <c r="AL193">
        <v>-3.251791218771499</v>
      </c>
      <c r="AM193">
        <v>1.3769563462149237</v>
      </c>
      <c r="AN193">
        <v>-0.57400173118922126</v>
      </c>
      <c r="AO193">
        <v>-0.6002977238121322</v>
      </c>
      <c r="AP193">
        <v>-0.75086515792165653</v>
      </c>
      <c r="AQ193">
        <v>0.27539817974209468</v>
      </c>
      <c r="AR193">
        <v>0.26600000000000001</v>
      </c>
      <c r="AS193">
        <v>0.52</v>
      </c>
      <c r="AT193">
        <v>5.1210000000000004</v>
      </c>
    </row>
    <row r="194" spans="5:46" x14ac:dyDescent="0.25">
      <c r="E194" s="170">
        <f t="shared" ref="E194:G213" si="934">E49*-1</f>
        <v>0.85148632027204552</v>
      </c>
      <c r="F194" s="170">
        <f t="shared" si="934"/>
        <v>0.51642703267038514</v>
      </c>
      <c r="G194" s="170">
        <f t="shared" si="934"/>
        <v>-9.09624445407691E-2</v>
      </c>
      <c r="H194" s="139"/>
      <c r="I194" s="86"/>
      <c r="J194" s="79">
        <f t="shared" si="930"/>
        <v>5.1310000000000002</v>
      </c>
      <c r="AL194">
        <v>-3.58316335173792</v>
      </c>
      <c r="AM194">
        <v>1.5453792691233208</v>
      </c>
      <c r="AN194">
        <v>-1.1359034258847325</v>
      </c>
      <c r="AO194">
        <v>-0.7179526074828424</v>
      </c>
      <c r="AP194">
        <v>-0.6581655468802502</v>
      </c>
      <c r="AQ194">
        <v>0.22663222698550398</v>
      </c>
      <c r="AR194">
        <v>0.26600000000000001</v>
      </c>
      <c r="AS194">
        <v>0.52</v>
      </c>
      <c r="AT194">
        <v>5.1260000000000003</v>
      </c>
    </row>
    <row r="195" spans="5:46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  <c r="AL195">
        <v>-3.7318684603558014</v>
      </c>
      <c r="AM195">
        <v>1.5844890138894212</v>
      </c>
      <c r="AN195">
        <v>-1.8185054846125417</v>
      </c>
      <c r="AO195">
        <v>-0.85148632027204552</v>
      </c>
      <c r="AP195">
        <v>-0.51642703267038514</v>
      </c>
      <c r="AQ195">
        <v>9.09624445407691E-2</v>
      </c>
      <c r="AR195">
        <v>0.26600000000000001</v>
      </c>
      <c r="AS195">
        <v>0.52</v>
      </c>
      <c r="AT195">
        <v>5.1310000000000002</v>
      </c>
    </row>
    <row r="196" spans="5:46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46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46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46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46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46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46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46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46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46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6100213-9F54-4457-B3CA-B026B5AFBA86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BA33B30-F71A-455F-934D-4D872E8E76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1308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1308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1308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1.1200000000000001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1.1299999999999999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1.2030000000000001</v>
      </c>
      <c r="N173" s="869" t="str">
        <f>Assy.Model!K18</f>
        <v>Undefined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Undefined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2.1030000000000002</v>
      </c>
      <c r="N175" s="869">
        <f>Assy.Model!K20</f>
        <v>1308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2.1059999999999999</v>
      </c>
      <c r="N176" s="869">
        <f>Assy.Model!K21</f>
        <v>1308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2.109</v>
      </c>
      <c r="N177" s="869">
        <f>Assy.Model!K22</f>
        <v>1308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2.1139999999999999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2.1190000000000002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2.1240000000000001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2.1339999999999999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2.2050000000000001</v>
      </c>
      <c r="N183" s="869" t="str">
        <f>Assy.Model!K28</f>
        <v>Undefined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2.2090000000000001</v>
      </c>
      <c r="N184" s="869" t="str">
        <f>Assy.Model!K29</f>
        <v>Undefined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3.113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3.1179999999999999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3.1230000000000002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3.1280000000000001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3.133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4.1020000000000003</v>
      </c>
      <c r="N190" s="869">
        <f>Assy.Model!K35</f>
        <v>1308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4.1050000000000004</v>
      </c>
      <c r="N191" s="869">
        <f>Assy.Model!K36</f>
        <v>1308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4.1079999999999997</v>
      </c>
      <c r="N192" s="869">
        <f>Assy.Model!K37</f>
        <v>1308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4.1120000000000001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4.117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4.1219999999999999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4.1269999999999998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4.1319999999999997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4.2039999999999997</v>
      </c>
      <c r="N198" s="869" t="str">
        <f>Assy.Model!K43</f>
        <v>Undefined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4.2069999999999999</v>
      </c>
      <c r="N199" s="869" t="str">
        <f>Assy.Model!K44</f>
        <v>Undefined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5.1109999999999998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5.1159999999999997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5.1210000000000004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5.1260000000000003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5.1310000000000002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2023-03-28T18:49:42Z</dcterms:modified>
</cp:coreProperties>
</file>