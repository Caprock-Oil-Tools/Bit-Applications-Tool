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curtis.stephens\Documents\GitHub\Bit Applications Tool\"/>
    </mc:Choice>
  </mc:AlternateContent>
  <xr:revisionPtr revIDLastSave="0" documentId="8_{6E4F48B1-E3F2-474B-95C1-4ACCF3124CDC}" xr6:coauthVersionLast="47" xr6:coauthVersionMax="47" xr10:uidLastSave="{00000000-0000-0000-0000-000000000000}"/>
  <bookViews>
    <workbookView xWindow="-120" yWindow="-120" windowWidth="29040" windowHeight="15840" xr2:uid="{D5E78313-663A-4794-B02F-723C36641BB2}"/>
  </bookViews>
  <sheets>
    <sheet name="Sheet1" sheetId="1" r:id="rId1"/>
  </sheets>
  <externalReferences>
    <externalReference r:id="rId2"/>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156" i="1" l="1"/>
  <c r="BJ156" i="1"/>
  <c r="AX156" i="1"/>
  <c r="AV156" i="1"/>
  <c r="AT156" i="1"/>
  <c r="AU156" i="1" s="1"/>
  <c r="AG156" i="1"/>
  <c r="AF156" i="1"/>
  <c r="AD156" i="1"/>
  <c r="AE156" i="1" s="1"/>
  <c r="AC156" i="1"/>
  <c r="AB156" i="1"/>
  <c r="AA156" i="1"/>
  <c r="Z156" i="1"/>
  <c r="W156" i="1"/>
  <c r="R156" i="1"/>
  <c r="BN155" i="1"/>
  <c r="BJ155" i="1"/>
  <c r="AU155" i="1"/>
  <c r="AG155" i="1"/>
  <c r="AF155" i="1"/>
  <c r="AD155" i="1"/>
  <c r="AC155" i="1"/>
  <c r="AB155" i="1"/>
  <c r="AA155" i="1"/>
  <c r="Z155" i="1"/>
  <c r="W155" i="1"/>
  <c r="R155" i="1"/>
  <c r="BJ154" i="1"/>
  <c r="AV154" i="1"/>
  <c r="AU154" i="1"/>
  <c r="AG154" i="1"/>
  <c r="AF154" i="1"/>
  <c r="AD154" i="1"/>
  <c r="AE154" i="1" s="1"/>
  <c r="AC154" i="1"/>
  <c r="AB154" i="1"/>
  <c r="AA154" i="1"/>
  <c r="Z154" i="1"/>
  <c r="W154" i="1"/>
  <c r="R154" i="1"/>
  <c r="BJ153" i="1"/>
  <c r="AV153" i="1"/>
  <c r="AU153" i="1"/>
  <c r="AG153" i="1"/>
  <c r="AF153" i="1"/>
  <c r="AD153" i="1"/>
  <c r="AC153" i="1"/>
  <c r="AB153" i="1"/>
  <c r="AA153" i="1"/>
  <c r="Z153" i="1"/>
  <c r="W153" i="1"/>
  <c r="R153" i="1"/>
  <c r="BJ152" i="1"/>
  <c r="AU152" i="1"/>
  <c r="AG152" i="1"/>
  <c r="AF152" i="1"/>
  <c r="AD152" i="1"/>
  <c r="AC152" i="1"/>
  <c r="AB152" i="1"/>
  <c r="AA152" i="1"/>
  <c r="Z152" i="1"/>
  <c r="W152" i="1"/>
  <c r="R152" i="1"/>
  <c r="BN151" i="1"/>
  <c r="BJ151" i="1"/>
  <c r="AV151" i="1"/>
  <c r="AU151" i="1"/>
  <c r="AG151" i="1"/>
  <c r="AF151" i="1"/>
  <c r="AD151" i="1"/>
  <c r="AE151" i="1" s="1"/>
  <c r="AC151" i="1"/>
  <c r="AB151" i="1"/>
  <c r="AA151" i="1"/>
  <c r="Z151" i="1"/>
  <c r="W151" i="1"/>
  <c r="R151" i="1"/>
  <c r="BJ150" i="1"/>
  <c r="AV150" i="1"/>
  <c r="AU150" i="1"/>
  <c r="AG150" i="1"/>
  <c r="AF150" i="1"/>
  <c r="AD150" i="1"/>
  <c r="AC150" i="1"/>
  <c r="AB150" i="1"/>
  <c r="AA150" i="1"/>
  <c r="Z150" i="1"/>
  <c r="W150" i="1"/>
  <c r="R150" i="1"/>
  <c r="BJ149" i="1"/>
  <c r="AV149" i="1"/>
  <c r="AU149" i="1"/>
  <c r="AG149" i="1"/>
  <c r="AF149" i="1"/>
  <c r="AD149" i="1"/>
  <c r="AE149" i="1" s="1"/>
  <c r="AC149" i="1"/>
  <c r="AB149" i="1"/>
  <c r="AA149" i="1"/>
  <c r="Z149" i="1"/>
  <c r="W149" i="1"/>
  <c r="R149" i="1"/>
  <c r="BJ148" i="1"/>
  <c r="AV148" i="1"/>
  <c r="AU148" i="1"/>
  <c r="AG148" i="1"/>
  <c r="AF148" i="1"/>
  <c r="AD148" i="1"/>
  <c r="AE148" i="1" s="1"/>
  <c r="AC148" i="1"/>
  <c r="AB148" i="1"/>
  <c r="AA148" i="1"/>
  <c r="Z148" i="1"/>
  <c r="W148" i="1"/>
  <c r="R148" i="1"/>
  <c r="BN147" i="1"/>
  <c r="BJ147" i="1"/>
  <c r="AV147" i="1"/>
  <c r="AU147" i="1"/>
  <c r="AG147" i="1"/>
  <c r="AF147" i="1"/>
  <c r="AD147" i="1"/>
  <c r="AE147" i="1" s="1"/>
  <c r="AC147" i="1"/>
  <c r="AB147" i="1"/>
  <c r="AA147" i="1"/>
  <c r="Z147" i="1"/>
  <c r="W147" i="1"/>
  <c r="R147" i="1"/>
  <c r="BN146" i="1"/>
  <c r="BJ146" i="1"/>
  <c r="AV146" i="1"/>
  <c r="AU146" i="1"/>
  <c r="AG146" i="1"/>
  <c r="AF146" i="1"/>
  <c r="AD146" i="1"/>
  <c r="AE146" i="1" s="1"/>
  <c r="AC146" i="1"/>
  <c r="AB146" i="1"/>
  <c r="AA146" i="1"/>
  <c r="Z146" i="1"/>
  <c r="W146" i="1"/>
  <c r="R146" i="1"/>
  <c r="BN145" i="1"/>
  <c r="BJ145" i="1"/>
  <c r="AV145" i="1"/>
  <c r="AU145" i="1"/>
  <c r="AG145" i="1"/>
  <c r="AF145" i="1"/>
  <c r="AD145" i="1"/>
  <c r="AE145" i="1" s="1"/>
  <c r="AC145" i="1"/>
  <c r="AB145" i="1"/>
  <c r="AA145" i="1"/>
  <c r="Z145" i="1"/>
  <c r="W145" i="1"/>
  <c r="R145" i="1"/>
  <c r="BJ144" i="1"/>
  <c r="AX144" i="1"/>
  <c r="AT144" i="1"/>
  <c r="AU144" i="1" s="1"/>
  <c r="AG144" i="1"/>
  <c r="AF144" i="1"/>
  <c r="AD144" i="1"/>
  <c r="AE144" i="1" s="1"/>
  <c r="AC144" i="1"/>
  <c r="AB144" i="1"/>
  <c r="AA144" i="1"/>
  <c r="Z144" i="1"/>
  <c r="W144" i="1"/>
  <c r="R144" i="1"/>
  <c r="BJ143" i="1"/>
  <c r="AT143" i="1"/>
  <c r="AU143" i="1" s="1"/>
  <c r="AG143" i="1"/>
  <c r="AF143" i="1"/>
  <c r="AD143" i="1"/>
  <c r="AE143" i="1" s="1"/>
  <c r="AC143" i="1"/>
  <c r="AB143" i="1"/>
  <c r="AA143" i="1"/>
  <c r="Z143" i="1"/>
  <c r="W143" i="1"/>
  <c r="R143" i="1"/>
  <c r="BJ142" i="1"/>
  <c r="AV142" i="1"/>
  <c r="AU142" i="1"/>
  <c r="AG142" i="1"/>
  <c r="AF142" i="1"/>
  <c r="AD142" i="1"/>
  <c r="AC142" i="1"/>
  <c r="AB142" i="1"/>
  <c r="AA142" i="1"/>
  <c r="Z142" i="1"/>
  <c r="W142" i="1"/>
  <c r="R142" i="1"/>
  <c r="BJ141" i="1"/>
  <c r="AV141" i="1"/>
  <c r="AU141" i="1"/>
  <c r="AG141" i="1"/>
  <c r="AF141" i="1"/>
  <c r="AD141" i="1"/>
  <c r="AE141" i="1" s="1"/>
  <c r="AC141" i="1"/>
  <c r="AB141" i="1"/>
  <c r="AA141" i="1"/>
  <c r="Z141" i="1"/>
  <c r="W141" i="1"/>
  <c r="R141" i="1"/>
  <c r="BJ140" i="1"/>
  <c r="AV140" i="1"/>
  <c r="AU140" i="1"/>
  <c r="AG140" i="1"/>
  <c r="AF140" i="1"/>
  <c r="AD140" i="1"/>
  <c r="AE140" i="1" s="1"/>
  <c r="AC140" i="1"/>
  <c r="AB140" i="1"/>
  <c r="AA140" i="1"/>
  <c r="Z140" i="1"/>
  <c r="W140" i="1"/>
  <c r="R140" i="1"/>
  <c r="BJ139" i="1"/>
  <c r="AX139" i="1"/>
  <c r="AU139" i="1"/>
  <c r="AG139" i="1"/>
  <c r="AF139" i="1"/>
  <c r="AD139" i="1"/>
  <c r="AC139" i="1"/>
  <c r="AB139" i="1"/>
  <c r="AA139" i="1"/>
  <c r="Z139" i="1"/>
  <c r="W139" i="1"/>
  <c r="R139" i="1"/>
  <c r="BN138" i="1"/>
  <c r="BJ138" i="1"/>
  <c r="AV138" i="1"/>
  <c r="AU138" i="1"/>
  <c r="AG138" i="1"/>
  <c r="AF138" i="1"/>
  <c r="AD138" i="1"/>
  <c r="AE138" i="1" s="1"/>
  <c r="AC138" i="1"/>
  <c r="AB138" i="1"/>
  <c r="AA138" i="1"/>
  <c r="Z138" i="1"/>
  <c r="W138" i="1"/>
  <c r="R138" i="1"/>
  <c r="BJ137" i="1"/>
  <c r="AV137" i="1"/>
  <c r="AU137" i="1"/>
  <c r="AG137" i="1"/>
  <c r="AF137" i="1"/>
  <c r="AD137" i="1"/>
  <c r="AE137" i="1" s="1"/>
  <c r="AC137" i="1"/>
  <c r="AB137" i="1"/>
  <c r="AA137" i="1"/>
  <c r="Z137" i="1"/>
  <c r="W137" i="1"/>
  <c r="R137" i="1"/>
  <c r="BJ136" i="1"/>
  <c r="AV136" i="1"/>
  <c r="AU136" i="1"/>
  <c r="AG136" i="1"/>
  <c r="AF136" i="1"/>
  <c r="AD136" i="1"/>
  <c r="AC136" i="1"/>
  <c r="AB136" i="1"/>
  <c r="AA136" i="1"/>
  <c r="Z136" i="1"/>
  <c r="W136" i="1"/>
  <c r="R136" i="1"/>
  <c r="BJ135" i="1"/>
  <c r="AV135" i="1"/>
  <c r="AU135" i="1"/>
  <c r="AG135" i="1"/>
  <c r="AF135" i="1"/>
  <c r="AD135" i="1"/>
  <c r="AC135" i="1"/>
  <c r="AB135" i="1"/>
  <c r="AA135" i="1"/>
  <c r="Z135" i="1"/>
  <c r="W135" i="1"/>
  <c r="R135" i="1"/>
  <c r="BJ134" i="1"/>
  <c r="AU134" i="1"/>
  <c r="AG134" i="1"/>
  <c r="AF134" i="1"/>
  <c r="AD134" i="1"/>
  <c r="AC134" i="1"/>
  <c r="AB134" i="1"/>
  <c r="AA134" i="1"/>
  <c r="Z134" i="1"/>
  <c r="W134" i="1"/>
  <c r="R134" i="1"/>
  <c r="BN133" i="1"/>
  <c r="BJ133" i="1"/>
  <c r="AV133" i="1"/>
  <c r="AG133" i="1"/>
  <c r="AF133" i="1"/>
  <c r="AD133" i="1"/>
  <c r="AC133" i="1"/>
  <c r="AB133" i="1"/>
  <c r="AA133" i="1"/>
  <c r="Z133" i="1"/>
  <c r="W133" i="1"/>
  <c r="R133" i="1"/>
  <c r="BJ132" i="1"/>
  <c r="AV132" i="1"/>
  <c r="AU132" i="1"/>
  <c r="AG132" i="1"/>
  <c r="AF132" i="1"/>
  <c r="AC132" i="1"/>
  <c r="Z132" i="1"/>
  <c r="W132" i="1"/>
  <c r="R132" i="1"/>
  <c r="BN131" i="1"/>
  <c r="BJ131" i="1"/>
  <c r="AV131" i="1"/>
  <c r="AU131" i="1"/>
  <c r="AG131" i="1"/>
  <c r="AF131" i="1"/>
  <c r="AD131" i="1"/>
  <c r="AE131" i="1" s="1"/>
  <c r="AC131" i="1"/>
  <c r="AB131" i="1"/>
  <c r="AA131" i="1"/>
  <c r="Z131" i="1"/>
  <c r="W131" i="1"/>
  <c r="R131" i="1"/>
  <c r="BN130" i="1"/>
  <c r="BJ130" i="1"/>
  <c r="AV130" i="1"/>
  <c r="AU130" i="1"/>
  <c r="AG130" i="1"/>
  <c r="AF130" i="1"/>
  <c r="AD130" i="1"/>
  <c r="AE130" i="1" s="1"/>
  <c r="AC130" i="1"/>
  <c r="AB130" i="1"/>
  <c r="AA130" i="1"/>
  <c r="Z130" i="1"/>
  <c r="W130" i="1"/>
  <c r="R130" i="1"/>
  <c r="BN129" i="1"/>
  <c r="BJ129" i="1"/>
  <c r="AV129" i="1"/>
  <c r="AU129" i="1"/>
  <c r="AG129" i="1"/>
  <c r="AF129" i="1"/>
  <c r="AD129" i="1"/>
  <c r="AE129" i="1" s="1"/>
  <c r="AC129" i="1"/>
  <c r="AB129" i="1"/>
  <c r="AA129" i="1"/>
  <c r="Z129" i="1"/>
  <c r="W129" i="1"/>
  <c r="R129" i="1"/>
  <c r="BJ128" i="1"/>
  <c r="AV128" i="1"/>
  <c r="AU128" i="1"/>
  <c r="AG128" i="1"/>
  <c r="AF128" i="1"/>
  <c r="AD128" i="1"/>
  <c r="AE128" i="1" s="1"/>
  <c r="AC128" i="1"/>
  <c r="AB128" i="1"/>
  <c r="AA128" i="1"/>
  <c r="Z128" i="1"/>
  <c r="W128" i="1"/>
  <c r="R128" i="1"/>
  <c r="BJ127" i="1"/>
  <c r="AV127" i="1"/>
  <c r="AU127" i="1"/>
  <c r="AG127" i="1"/>
  <c r="AF127" i="1"/>
  <c r="AD127" i="1"/>
  <c r="AC127" i="1"/>
  <c r="AB127" i="1"/>
  <c r="AA127" i="1"/>
  <c r="Z127" i="1"/>
  <c r="W127" i="1"/>
  <c r="R127" i="1"/>
  <c r="BJ126" i="1"/>
  <c r="AV126" i="1"/>
  <c r="AU126" i="1"/>
  <c r="AG126" i="1"/>
  <c r="AF126" i="1"/>
  <c r="AD126" i="1"/>
  <c r="AC126" i="1"/>
  <c r="AB126" i="1"/>
  <c r="AA126" i="1"/>
  <c r="Z126" i="1"/>
  <c r="W126" i="1"/>
  <c r="R126" i="1"/>
  <c r="BJ125" i="1"/>
  <c r="AU125" i="1"/>
  <c r="AG125" i="1"/>
  <c r="AF125" i="1"/>
  <c r="AD125" i="1"/>
  <c r="AC125" i="1"/>
  <c r="AB125" i="1"/>
  <c r="AA125" i="1"/>
  <c r="Z125" i="1"/>
  <c r="W125" i="1"/>
  <c r="R125" i="1"/>
  <c r="BJ124" i="1"/>
  <c r="AU124" i="1"/>
  <c r="AG124" i="1"/>
  <c r="AF124" i="1"/>
  <c r="AD124" i="1"/>
  <c r="AC124" i="1"/>
  <c r="AB124" i="1"/>
  <c r="AA124" i="1"/>
  <c r="Z124" i="1"/>
  <c r="W124" i="1"/>
  <c r="R124" i="1"/>
  <c r="BN123" i="1"/>
  <c r="BJ123" i="1"/>
  <c r="AX123" i="1"/>
  <c r="AV123" i="1"/>
  <c r="AT123" i="1"/>
  <c r="AU123" i="1" s="1"/>
  <c r="AG123" i="1"/>
  <c r="AF123" i="1"/>
  <c r="AD123" i="1"/>
  <c r="AE123" i="1" s="1"/>
  <c r="AC123" i="1"/>
  <c r="AB123" i="1"/>
  <c r="AA123" i="1"/>
  <c r="Z123" i="1"/>
  <c r="W123" i="1"/>
  <c r="R123" i="1"/>
  <c r="BJ122" i="1"/>
  <c r="AV122" i="1"/>
  <c r="AU122" i="1"/>
  <c r="AG122" i="1"/>
  <c r="AF122" i="1"/>
  <c r="AD122" i="1"/>
  <c r="AC122" i="1"/>
  <c r="AB122" i="1"/>
  <c r="AA122" i="1"/>
  <c r="Z122" i="1"/>
  <c r="W122" i="1"/>
  <c r="R122" i="1"/>
  <c r="BJ121" i="1"/>
  <c r="AV121" i="1"/>
  <c r="AG121" i="1"/>
  <c r="AF121" i="1"/>
  <c r="AD121" i="1"/>
  <c r="AE121" i="1" s="1"/>
  <c r="AC121" i="1"/>
  <c r="AB121" i="1"/>
  <c r="AA121" i="1"/>
  <c r="Z121" i="1"/>
  <c r="W121" i="1"/>
  <c r="R121" i="1"/>
  <c r="BN120" i="1"/>
  <c r="BJ120" i="1"/>
  <c r="AX120" i="1"/>
  <c r="AV120" i="1"/>
  <c r="AT120" i="1"/>
  <c r="AU120" i="1" s="1"/>
  <c r="AG120" i="1"/>
  <c r="AF120" i="1"/>
  <c r="AD120" i="1"/>
  <c r="AE120" i="1" s="1"/>
  <c r="AC120" i="1"/>
  <c r="AB120" i="1"/>
  <c r="AA120" i="1"/>
  <c r="Z120" i="1"/>
  <c r="W120" i="1"/>
  <c r="R120" i="1"/>
  <c r="BJ119" i="1"/>
  <c r="AU119" i="1"/>
  <c r="AQ119" i="1"/>
  <c r="AM119" i="1"/>
  <c r="AG119" i="1"/>
  <c r="AF119" i="1"/>
  <c r="AD119" i="1"/>
  <c r="AC119" i="1"/>
  <c r="AB119" i="1"/>
  <c r="AA119" i="1"/>
  <c r="Z119" i="1"/>
  <c r="W119" i="1"/>
  <c r="R119" i="1"/>
  <c r="BJ118" i="1"/>
  <c r="AU118" i="1"/>
  <c r="AQ118" i="1"/>
  <c r="AM118" i="1"/>
  <c r="AG118" i="1"/>
  <c r="AF118" i="1"/>
  <c r="AD118" i="1"/>
  <c r="AC118" i="1"/>
  <c r="AB118" i="1"/>
  <c r="AA118" i="1"/>
  <c r="Z118" i="1"/>
  <c r="W118" i="1"/>
  <c r="R118" i="1"/>
  <c r="BJ117" i="1"/>
  <c r="AV117" i="1"/>
  <c r="AU117" i="1"/>
  <c r="AQ117" i="1"/>
  <c r="AM117" i="1"/>
  <c r="AG117" i="1"/>
  <c r="AF117" i="1"/>
  <c r="AD117" i="1"/>
  <c r="AC117" i="1"/>
  <c r="AB117" i="1"/>
  <c r="AA117" i="1"/>
  <c r="Z117" i="1"/>
  <c r="W117" i="1"/>
  <c r="R117" i="1"/>
  <c r="BJ116" i="1"/>
  <c r="AU116" i="1"/>
  <c r="AQ116" i="1"/>
  <c r="AM116" i="1"/>
  <c r="AG116" i="1"/>
  <c r="AF116" i="1"/>
  <c r="AD116" i="1"/>
  <c r="AE116" i="1" s="1"/>
  <c r="AC116" i="1"/>
  <c r="AB116" i="1"/>
  <c r="AA116" i="1"/>
  <c r="Z116" i="1"/>
  <c r="W116" i="1"/>
  <c r="R116" i="1"/>
  <c r="BJ115" i="1"/>
  <c r="AU115" i="1"/>
  <c r="AQ115" i="1"/>
  <c r="AM115" i="1"/>
  <c r="AG115" i="1"/>
  <c r="AF115" i="1"/>
  <c r="AD115" i="1"/>
  <c r="AE115" i="1" s="1"/>
  <c r="AC115" i="1"/>
  <c r="AB115" i="1"/>
  <c r="AA115" i="1"/>
  <c r="Z115" i="1"/>
  <c r="W115" i="1"/>
  <c r="R115" i="1"/>
  <c r="BJ114" i="1"/>
  <c r="AU114" i="1"/>
  <c r="AQ114" i="1"/>
  <c r="AM114" i="1"/>
  <c r="AG114" i="1"/>
  <c r="AF114" i="1"/>
  <c r="AD114" i="1"/>
  <c r="AE114" i="1" s="1"/>
  <c r="AC114" i="1"/>
  <c r="AB114" i="1"/>
  <c r="AA114" i="1"/>
  <c r="Z114" i="1"/>
  <c r="W114" i="1"/>
  <c r="R114" i="1"/>
  <c r="BJ113" i="1"/>
  <c r="AU113" i="1"/>
  <c r="AQ113" i="1"/>
  <c r="AM113" i="1"/>
  <c r="AG113" i="1"/>
  <c r="AF113" i="1"/>
  <c r="AD113" i="1"/>
  <c r="AE113" i="1" s="1"/>
  <c r="AC113" i="1"/>
  <c r="AB113" i="1"/>
  <c r="AA113" i="1"/>
  <c r="Z113" i="1"/>
  <c r="W113" i="1"/>
  <c r="R113" i="1"/>
  <c r="BJ112" i="1"/>
  <c r="AU112" i="1"/>
  <c r="AQ112" i="1"/>
  <c r="AM112" i="1"/>
  <c r="AG112" i="1"/>
  <c r="AF112" i="1"/>
  <c r="AD112" i="1"/>
  <c r="AC112" i="1"/>
  <c r="AB112" i="1"/>
  <c r="AA112" i="1"/>
  <c r="Z112" i="1"/>
  <c r="W112" i="1"/>
  <c r="R112" i="1"/>
  <c r="BJ111" i="1"/>
  <c r="AX111" i="1"/>
  <c r="AT111" i="1"/>
  <c r="AU111" i="1" s="1"/>
  <c r="AQ111" i="1"/>
  <c r="AM111" i="1"/>
  <c r="AG111" i="1"/>
  <c r="AF111" i="1"/>
  <c r="AD111" i="1"/>
  <c r="AE111" i="1" s="1"/>
  <c r="AC111" i="1"/>
  <c r="AB111" i="1"/>
  <c r="AA111" i="1"/>
  <c r="Z111" i="1"/>
  <c r="W111" i="1"/>
  <c r="R111" i="1"/>
  <c r="BJ110" i="1"/>
  <c r="AU110" i="1"/>
  <c r="AQ110" i="1"/>
  <c r="AM110" i="1"/>
  <c r="AG110" i="1"/>
  <c r="AF110" i="1"/>
  <c r="AD110" i="1"/>
  <c r="AE110" i="1" s="1"/>
  <c r="AC110" i="1"/>
  <c r="AB110" i="1"/>
  <c r="AA110" i="1"/>
  <c r="Z110" i="1"/>
  <c r="W110" i="1"/>
  <c r="R110" i="1"/>
  <c r="BJ109" i="1"/>
  <c r="AT109" i="1"/>
  <c r="AU109" i="1" s="1"/>
  <c r="AQ109" i="1"/>
  <c r="AM109" i="1"/>
  <c r="AG109" i="1"/>
  <c r="AF109" i="1"/>
  <c r="AC109" i="1"/>
  <c r="Z109" i="1"/>
  <c r="W109" i="1"/>
  <c r="R109" i="1"/>
  <c r="BJ108" i="1"/>
  <c r="AT108" i="1"/>
  <c r="AU108" i="1" s="1"/>
  <c r="AQ108" i="1"/>
  <c r="AM108" i="1"/>
  <c r="AG108" i="1"/>
  <c r="AF108" i="1"/>
  <c r="AD108" i="1"/>
  <c r="AC108" i="1"/>
  <c r="AB108" i="1"/>
  <c r="AA108" i="1"/>
  <c r="Z108" i="1"/>
  <c r="W108" i="1"/>
  <c r="R108" i="1"/>
  <c r="BJ107" i="1"/>
  <c r="AU107" i="1"/>
  <c r="AQ107" i="1"/>
  <c r="AM107" i="1"/>
  <c r="AG107" i="1"/>
  <c r="AF107" i="1"/>
  <c r="AC107" i="1"/>
  <c r="Z107" i="1"/>
  <c r="W107" i="1"/>
  <c r="R107" i="1"/>
  <c r="BJ106" i="1"/>
  <c r="AU106" i="1"/>
  <c r="AQ106" i="1"/>
  <c r="AM106" i="1"/>
  <c r="AG106" i="1"/>
  <c r="AF106" i="1"/>
  <c r="AC106" i="1"/>
  <c r="Z106" i="1"/>
  <c r="W106" i="1"/>
  <c r="R106" i="1"/>
  <c r="BJ105" i="1"/>
  <c r="AT105" i="1"/>
  <c r="AU105" i="1" s="1"/>
  <c r="AQ105" i="1"/>
  <c r="AM105" i="1"/>
  <c r="AG105" i="1"/>
  <c r="AF105" i="1"/>
  <c r="AC105" i="1"/>
  <c r="Z105" i="1"/>
  <c r="W105" i="1"/>
  <c r="R105" i="1"/>
  <c r="BJ104" i="1"/>
  <c r="AU104" i="1"/>
  <c r="AQ104" i="1"/>
  <c r="AM104" i="1"/>
  <c r="AG104" i="1"/>
  <c r="AF104" i="1"/>
  <c r="AD104" i="1"/>
  <c r="AE104" i="1" s="1"/>
  <c r="AC104" i="1"/>
  <c r="AB104" i="1"/>
  <c r="AA104" i="1"/>
  <c r="Z104" i="1"/>
  <c r="W104" i="1"/>
  <c r="R104" i="1"/>
  <c r="BJ103" i="1"/>
  <c r="AU103" i="1"/>
  <c r="AQ103" i="1"/>
  <c r="AM103" i="1"/>
  <c r="AG103" i="1"/>
  <c r="AF103" i="1"/>
  <c r="AD103" i="1"/>
  <c r="AC103" i="1"/>
  <c r="AB103" i="1"/>
  <c r="AA103" i="1"/>
  <c r="Z103" i="1"/>
  <c r="W103" i="1"/>
  <c r="R103" i="1"/>
  <c r="BJ102" i="1"/>
  <c r="AX102" i="1"/>
  <c r="AU102" i="1"/>
  <c r="AQ102" i="1"/>
  <c r="AM102" i="1"/>
  <c r="AG102" i="1"/>
  <c r="AF102" i="1"/>
  <c r="AC102" i="1"/>
  <c r="Z102" i="1"/>
  <c r="W102" i="1"/>
  <c r="R102" i="1"/>
  <c r="BJ101" i="1"/>
  <c r="AT101" i="1"/>
  <c r="AU101" i="1" s="1"/>
  <c r="AQ101" i="1"/>
  <c r="AM101" i="1"/>
  <c r="AG101" i="1"/>
  <c r="AF101" i="1"/>
  <c r="AD101" i="1"/>
  <c r="AC101" i="1"/>
  <c r="AB101" i="1"/>
  <c r="AA101" i="1"/>
  <c r="Z101" i="1"/>
  <c r="W101" i="1"/>
  <c r="R101" i="1"/>
  <c r="BJ100" i="1"/>
  <c r="AT100" i="1"/>
  <c r="AU100" i="1" s="1"/>
  <c r="AQ100" i="1"/>
  <c r="AM100" i="1"/>
  <c r="AG100" i="1"/>
  <c r="AF100" i="1"/>
  <c r="AD100" i="1"/>
  <c r="AC100" i="1"/>
  <c r="AB100" i="1"/>
  <c r="AA100" i="1"/>
  <c r="Z100" i="1"/>
  <c r="W100" i="1"/>
  <c r="R100" i="1"/>
  <c r="BJ99" i="1"/>
  <c r="AU99" i="1"/>
  <c r="AQ99" i="1"/>
  <c r="AM99" i="1"/>
  <c r="AG99" i="1"/>
  <c r="AF99" i="1"/>
  <c r="AD99" i="1"/>
  <c r="AC99" i="1"/>
  <c r="AB99" i="1"/>
  <c r="AA99" i="1"/>
  <c r="Z99" i="1"/>
  <c r="W99" i="1"/>
  <c r="R99" i="1"/>
  <c r="BJ98" i="1"/>
  <c r="AX98" i="1"/>
  <c r="AT98" i="1"/>
  <c r="AU98" i="1" s="1"/>
  <c r="AQ98" i="1"/>
  <c r="AM98" i="1"/>
  <c r="AG98" i="1"/>
  <c r="AF98" i="1"/>
  <c r="AD98" i="1"/>
  <c r="AC98" i="1"/>
  <c r="AB98" i="1"/>
  <c r="AA98" i="1"/>
  <c r="Z98" i="1"/>
  <c r="W98" i="1"/>
  <c r="R98" i="1"/>
  <c r="BJ97" i="1"/>
  <c r="AU97" i="1"/>
  <c r="AQ97" i="1"/>
  <c r="AM97" i="1"/>
  <c r="AG97" i="1"/>
  <c r="AF97" i="1"/>
  <c r="AD97" i="1"/>
  <c r="AE97" i="1" s="1"/>
  <c r="AC97" i="1"/>
  <c r="AB97" i="1"/>
  <c r="AA97" i="1"/>
  <c r="Z97" i="1"/>
  <c r="W97" i="1"/>
  <c r="R97" i="1"/>
  <c r="BJ96" i="1"/>
  <c r="AU96" i="1"/>
  <c r="AQ96" i="1"/>
  <c r="AM96" i="1"/>
  <c r="AG96" i="1"/>
  <c r="AF96" i="1"/>
  <c r="AD96" i="1"/>
  <c r="AC96" i="1"/>
  <c r="AB96" i="1"/>
  <c r="AA96" i="1"/>
  <c r="Z96" i="1"/>
  <c r="W96" i="1"/>
  <c r="R96" i="1"/>
  <c r="BJ95" i="1"/>
  <c r="AU95" i="1"/>
  <c r="AQ95" i="1"/>
  <c r="AM95" i="1"/>
  <c r="AG95" i="1"/>
  <c r="AF95" i="1"/>
  <c r="AD95" i="1"/>
  <c r="AE95" i="1" s="1"/>
  <c r="AC95" i="1"/>
  <c r="AB95" i="1"/>
  <c r="AA95" i="1"/>
  <c r="Z95" i="1"/>
  <c r="W95" i="1"/>
  <c r="R95" i="1"/>
  <c r="BJ94" i="1"/>
  <c r="AU94" i="1"/>
  <c r="AQ94" i="1"/>
  <c r="AM94" i="1"/>
  <c r="AG94" i="1"/>
  <c r="AF94" i="1"/>
  <c r="AD94" i="1"/>
  <c r="AE94" i="1" s="1"/>
  <c r="AC94" i="1"/>
  <c r="AB94" i="1"/>
  <c r="AA94" i="1"/>
  <c r="Z94" i="1"/>
  <c r="W94" i="1"/>
  <c r="R94" i="1"/>
  <c r="BJ93" i="1"/>
  <c r="AU93" i="1"/>
  <c r="AQ93" i="1"/>
  <c r="AM93" i="1"/>
  <c r="AG93" i="1"/>
  <c r="AF93" i="1"/>
  <c r="AD93" i="1"/>
  <c r="AE93" i="1" s="1"/>
  <c r="AC93" i="1"/>
  <c r="AB93" i="1"/>
  <c r="AA93" i="1"/>
  <c r="Z93" i="1"/>
  <c r="W93" i="1"/>
  <c r="R93" i="1"/>
  <c r="BJ92" i="1"/>
  <c r="AU92" i="1"/>
  <c r="AQ92" i="1"/>
  <c r="AM92" i="1"/>
  <c r="AG92" i="1"/>
  <c r="AF92" i="1"/>
  <c r="AD92" i="1"/>
  <c r="AE92" i="1" s="1"/>
  <c r="AC92" i="1"/>
  <c r="AB92" i="1"/>
  <c r="AA92" i="1"/>
  <c r="Z92" i="1"/>
  <c r="W92" i="1"/>
  <c r="R92" i="1"/>
  <c r="BJ91" i="1"/>
  <c r="AU91" i="1"/>
  <c r="AQ91" i="1"/>
  <c r="AM91" i="1"/>
  <c r="AG91" i="1"/>
  <c r="AF91" i="1"/>
  <c r="AD91" i="1"/>
  <c r="AE91" i="1" s="1"/>
  <c r="AC91" i="1"/>
  <c r="AB91" i="1"/>
  <c r="AA91" i="1"/>
  <c r="Z91" i="1"/>
  <c r="W91" i="1"/>
  <c r="R91" i="1"/>
  <c r="BJ90" i="1"/>
  <c r="AU90" i="1"/>
  <c r="AQ90" i="1"/>
  <c r="AM90" i="1"/>
  <c r="AG90" i="1"/>
  <c r="AF90" i="1"/>
  <c r="AD90" i="1"/>
  <c r="AE90" i="1" s="1"/>
  <c r="AC90" i="1"/>
  <c r="AB90" i="1"/>
  <c r="AA90" i="1"/>
  <c r="Z90" i="1"/>
  <c r="W90" i="1"/>
  <c r="R90" i="1"/>
  <c r="BJ89" i="1"/>
  <c r="AU89" i="1"/>
  <c r="AQ89" i="1"/>
  <c r="AM89" i="1"/>
  <c r="AG89" i="1"/>
  <c r="AF89" i="1"/>
  <c r="AD89" i="1"/>
  <c r="AC89" i="1"/>
  <c r="AB89" i="1"/>
  <c r="AA89" i="1"/>
  <c r="Z89" i="1"/>
  <c r="W89" i="1"/>
  <c r="R89" i="1"/>
  <c r="BJ88" i="1"/>
  <c r="AU88" i="1"/>
  <c r="AQ88" i="1"/>
  <c r="AM88" i="1"/>
  <c r="AG88" i="1"/>
  <c r="AF88" i="1"/>
  <c r="AC88" i="1"/>
  <c r="Z88" i="1"/>
  <c r="W88" i="1"/>
  <c r="R88" i="1"/>
  <c r="BJ87" i="1"/>
  <c r="AU87" i="1"/>
  <c r="AR87" i="1"/>
  <c r="AQ87" i="1"/>
  <c r="AM87" i="1"/>
  <c r="AG87" i="1"/>
  <c r="AF87" i="1"/>
  <c r="AD87" i="1"/>
  <c r="AE87" i="1" s="1"/>
  <c r="AC87" i="1"/>
  <c r="AB87" i="1"/>
  <c r="AA87" i="1"/>
  <c r="Z87" i="1"/>
  <c r="W87" i="1"/>
  <c r="R87" i="1"/>
  <c r="BJ86" i="1"/>
  <c r="AU86" i="1"/>
  <c r="AQ86" i="1"/>
  <c r="AM86" i="1"/>
  <c r="AG86" i="1"/>
  <c r="AF86" i="1"/>
  <c r="AD86" i="1"/>
  <c r="AC86" i="1"/>
  <c r="AB86" i="1"/>
  <c r="AA86" i="1"/>
  <c r="Z86" i="1"/>
  <c r="W86" i="1"/>
  <c r="R86" i="1"/>
  <c r="BJ85" i="1"/>
  <c r="AU85" i="1"/>
  <c r="AQ85" i="1"/>
  <c r="AM85" i="1"/>
  <c r="AG85" i="1"/>
  <c r="AF85" i="1"/>
  <c r="AD85" i="1"/>
  <c r="AC85" i="1"/>
  <c r="AB85" i="1"/>
  <c r="AA85" i="1"/>
  <c r="Z85" i="1"/>
  <c r="W85" i="1"/>
  <c r="R85" i="1"/>
  <c r="BJ84" i="1"/>
  <c r="AU84" i="1"/>
  <c r="AQ84" i="1"/>
  <c r="AM84" i="1"/>
  <c r="AG84" i="1"/>
  <c r="AF84" i="1"/>
  <c r="AD84" i="1"/>
  <c r="AC84" i="1"/>
  <c r="AB84" i="1"/>
  <c r="AA84" i="1"/>
  <c r="Z84" i="1"/>
  <c r="W84" i="1"/>
  <c r="R84" i="1"/>
  <c r="BJ83" i="1"/>
  <c r="AU83" i="1"/>
  <c r="AR83" i="1"/>
  <c r="AQ83" i="1"/>
  <c r="AM83" i="1"/>
  <c r="AG83" i="1"/>
  <c r="AF83" i="1"/>
  <c r="AD83" i="1"/>
  <c r="AE83" i="1" s="1"/>
  <c r="AC83" i="1"/>
  <c r="AB83" i="1"/>
  <c r="AA83" i="1"/>
  <c r="Z83" i="1"/>
  <c r="W83" i="1"/>
  <c r="R83" i="1"/>
  <c r="BJ82" i="1"/>
  <c r="AU82" i="1"/>
  <c r="AQ82" i="1"/>
  <c r="AM82" i="1"/>
  <c r="AG82" i="1"/>
  <c r="AF82" i="1"/>
  <c r="AD82" i="1"/>
  <c r="AC82" i="1"/>
  <c r="AB82" i="1"/>
  <c r="AA82" i="1"/>
  <c r="Z82" i="1"/>
  <c r="W82" i="1"/>
  <c r="R82" i="1"/>
  <c r="BJ81" i="1"/>
  <c r="AU81" i="1"/>
  <c r="AQ81" i="1"/>
  <c r="AM81" i="1"/>
  <c r="AG81" i="1"/>
  <c r="AF81" i="1"/>
  <c r="AD81" i="1"/>
  <c r="AC81" i="1"/>
  <c r="AB81" i="1"/>
  <c r="AA81" i="1"/>
  <c r="Z81" i="1"/>
  <c r="W81" i="1"/>
  <c r="R81" i="1"/>
  <c r="BJ80" i="1"/>
  <c r="AX80" i="1"/>
  <c r="AT80" i="1"/>
  <c r="AU80" i="1" s="1"/>
  <c r="AQ80" i="1"/>
  <c r="AM80" i="1"/>
  <c r="AG80" i="1"/>
  <c r="AF80" i="1"/>
  <c r="AD80" i="1"/>
  <c r="AC80" i="1"/>
  <c r="AB80" i="1"/>
  <c r="AA80" i="1"/>
  <c r="Z80" i="1"/>
  <c r="W80" i="1"/>
  <c r="R80" i="1"/>
  <c r="BJ79" i="1"/>
  <c r="AU79" i="1"/>
  <c r="AQ79" i="1"/>
  <c r="AM79" i="1"/>
  <c r="AG79" i="1"/>
  <c r="AF79" i="1"/>
  <c r="AD79" i="1"/>
  <c r="AC79" i="1"/>
  <c r="AB79" i="1"/>
  <c r="AA79" i="1"/>
  <c r="Z79" i="1"/>
  <c r="W79" i="1"/>
  <c r="R79" i="1"/>
  <c r="BJ78" i="1"/>
  <c r="AU78" i="1"/>
  <c r="AQ78" i="1"/>
  <c r="AM78" i="1"/>
  <c r="AG78" i="1"/>
  <c r="AF78" i="1"/>
  <c r="AD78" i="1"/>
  <c r="AC78" i="1"/>
  <c r="AB78" i="1"/>
  <c r="AA78" i="1"/>
  <c r="Z78" i="1"/>
  <c r="W78" i="1"/>
  <c r="R78" i="1"/>
  <c r="BJ77" i="1"/>
  <c r="AT77" i="1"/>
  <c r="AU77" i="1" s="1"/>
  <c r="AR77" i="1"/>
  <c r="AQ77" i="1"/>
  <c r="AM77" i="1"/>
  <c r="AG77" i="1"/>
  <c r="AF77" i="1"/>
  <c r="AD77" i="1"/>
  <c r="AE77" i="1" s="1"/>
  <c r="AC77" i="1"/>
  <c r="AB77" i="1"/>
  <c r="AA77" i="1"/>
  <c r="Z77" i="1"/>
  <c r="W77" i="1"/>
  <c r="R77" i="1"/>
  <c r="BJ76" i="1"/>
  <c r="AV76" i="1"/>
  <c r="AU76" i="1"/>
  <c r="AR76" i="1"/>
  <c r="AQ76" i="1"/>
  <c r="AM76" i="1"/>
  <c r="AG76" i="1"/>
  <c r="AF76" i="1"/>
  <c r="AD76" i="1"/>
  <c r="AC76" i="1"/>
  <c r="AB76" i="1"/>
  <c r="AA76" i="1"/>
  <c r="Z76" i="1"/>
  <c r="W76" i="1"/>
  <c r="R76" i="1"/>
  <c r="BJ75" i="1"/>
  <c r="AU75" i="1"/>
  <c r="AQ75" i="1"/>
  <c r="AM75" i="1"/>
  <c r="AG75" i="1"/>
  <c r="AF75" i="1"/>
  <c r="AD75" i="1"/>
  <c r="AC75" i="1"/>
  <c r="AB75" i="1"/>
  <c r="AA75" i="1"/>
  <c r="Z75" i="1"/>
  <c r="W75" i="1"/>
  <c r="R75" i="1"/>
  <c r="BJ74" i="1"/>
  <c r="AU74" i="1"/>
  <c r="AQ74" i="1"/>
  <c r="AM74" i="1"/>
  <c r="AG74" i="1"/>
  <c r="AF74" i="1"/>
  <c r="AD74" i="1"/>
  <c r="AC74" i="1"/>
  <c r="AB74" i="1"/>
  <c r="AA74" i="1"/>
  <c r="Z74" i="1"/>
  <c r="W74" i="1"/>
  <c r="R74" i="1"/>
  <c r="BJ73" i="1"/>
  <c r="AU73" i="1"/>
  <c r="AQ73" i="1"/>
  <c r="AM73" i="1"/>
  <c r="AG73" i="1"/>
  <c r="AF73" i="1"/>
  <c r="AD73" i="1"/>
  <c r="AC73" i="1"/>
  <c r="AB73" i="1"/>
  <c r="AA73" i="1"/>
  <c r="Z73" i="1"/>
  <c r="W73" i="1"/>
  <c r="R73" i="1"/>
  <c r="BJ72" i="1"/>
  <c r="AU72" i="1"/>
  <c r="AQ72" i="1"/>
  <c r="AM72" i="1"/>
  <c r="AG72" i="1"/>
  <c r="AF72" i="1"/>
  <c r="AD72" i="1"/>
  <c r="AE72" i="1" s="1"/>
  <c r="AC72" i="1"/>
  <c r="AB72" i="1"/>
  <c r="AA72" i="1"/>
  <c r="Z72" i="1"/>
  <c r="W72" i="1"/>
  <c r="R72" i="1"/>
  <c r="BJ71" i="1"/>
  <c r="AU71" i="1"/>
  <c r="AQ71" i="1"/>
  <c r="AM71" i="1"/>
  <c r="AG71" i="1"/>
  <c r="AF71" i="1"/>
  <c r="AD71" i="1"/>
  <c r="AC71" i="1"/>
  <c r="AB71" i="1"/>
  <c r="AA71" i="1"/>
  <c r="Z71" i="1"/>
  <c r="W71" i="1"/>
  <c r="R71" i="1"/>
  <c r="BJ70" i="1"/>
  <c r="AU70" i="1"/>
  <c r="AQ70" i="1"/>
  <c r="AM70" i="1"/>
  <c r="AG70" i="1"/>
  <c r="AF70" i="1"/>
  <c r="AD70" i="1"/>
  <c r="AC70" i="1"/>
  <c r="AB70" i="1"/>
  <c r="AA70" i="1"/>
  <c r="Z70" i="1"/>
  <c r="W70" i="1"/>
  <c r="R70" i="1"/>
  <c r="BJ69" i="1"/>
  <c r="AX69" i="1"/>
  <c r="AU69" i="1"/>
  <c r="AQ69" i="1"/>
  <c r="AM69" i="1"/>
  <c r="AG69" i="1"/>
  <c r="AF69" i="1"/>
  <c r="AD69" i="1"/>
  <c r="AC69" i="1"/>
  <c r="AB69" i="1"/>
  <c r="AA69" i="1"/>
  <c r="Z69" i="1"/>
  <c r="W69" i="1"/>
  <c r="R69" i="1"/>
  <c r="BJ68" i="1"/>
  <c r="AU68" i="1"/>
  <c r="AR68" i="1"/>
  <c r="AQ68" i="1"/>
  <c r="AM68" i="1"/>
  <c r="AG68" i="1"/>
  <c r="AF68" i="1"/>
  <c r="AD68" i="1"/>
  <c r="AE68" i="1" s="1"/>
  <c r="AC68" i="1"/>
  <c r="AB68" i="1"/>
  <c r="AA68" i="1"/>
  <c r="Z68" i="1"/>
  <c r="W68" i="1"/>
  <c r="R68" i="1"/>
  <c r="BJ67" i="1"/>
  <c r="AU67" i="1"/>
  <c r="AQ67" i="1"/>
  <c r="AM67" i="1"/>
  <c r="AG67" i="1"/>
  <c r="AF67" i="1"/>
  <c r="AD67" i="1"/>
  <c r="AE67" i="1" s="1"/>
  <c r="AC67" i="1"/>
  <c r="AB67" i="1"/>
  <c r="AA67" i="1"/>
  <c r="Z67" i="1"/>
  <c r="W67" i="1"/>
  <c r="R67" i="1"/>
  <c r="BJ66" i="1"/>
  <c r="AU66" i="1"/>
  <c r="AR66" i="1"/>
  <c r="AQ66" i="1"/>
  <c r="AM66" i="1"/>
  <c r="AG66" i="1"/>
  <c r="AF66" i="1"/>
  <c r="AD66" i="1"/>
  <c r="AE66" i="1" s="1"/>
  <c r="AC66" i="1"/>
  <c r="AB66" i="1"/>
  <c r="AA66" i="1"/>
  <c r="Z66" i="1"/>
  <c r="W66" i="1"/>
  <c r="R66" i="1"/>
  <c r="BJ65" i="1"/>
  <c r="AU65" i="1"/>
  <c r="AR65" i="1"/>
  <c r="AQ65" i="1"/>
  <c r="AM65" i="1"/>
  <c r="AG65" i="1"/>
  <c r="AF65" i="1"/>
  <c r="AD65" i="1"/>
  <c r="AE65" i="1" s="1"/>
  <c r="AC65" i="1"/>
  <c r="AB65" i="1"/>
  <c r="AA65" i="1"/>
  <c r="Z65" i="1"/>
  <c r="W65" i="1"/>
  <c r="R65" i="1"/>
  <c r="BJ64" i="1"/>
  <c r="AX64" i="1"/>
  <c r="AT64" i="1"/>
  <c r="AU64" i="1" s="1"/>
  <c r="AQ64" i="1"/>
  <c r="AM64" i="1"/>
  <c r="AG64" i="1"/>
  <c r="AF64" i="1"/>
  <c r="AD64" i="1"/>
  <c r="AE64" i="1" s="1"/>
  <c r="AC64" i="1"/>
  <c r="AB64" i="1"/>
  <c r="AA64" i="1"/>
  <c r="Z64" i="1"/>
  <c r="W64" i="1"/>
  <c r="R64" i="1"/>
  <c r="BJ63" i="1"/>
  <c r="AU63" i="1"/>
  <c r="AQ63" i="1"/>
  <c r="AM63" i="1"/>
  <c r="AG63" i="1"/>
  <c r="AF63" i="1"/>
  <c r="AD63" i="1"/>
  <c r="AC63" i="1"/>
  <c r="AB63" i="1"/>
  <c r="AA63" i="1"/>
  <c r="Z63" i="1"/>
  <c r="W63" i="1"/>
  <c r="R63" i="1"/>
  <c r="BJ62" i="1"/>
  <c r="AT62" i="1"/>
  <c r="AU62" i="1" s="1"/>
  <c r="AQ62" i="1"/>
  <c r="AM62" i="1"/>
  <c r="AG62" i="1"/>
  <c r="AF62" i="1"/>
  <c r="AD62" i="1"/>
  <c r="AC62" i="1"/>
  <c r="AB62" i="1"/>
  <c r="AA62" i="1"/>
  <c r="Z62" i="1"/>
  <c r="W62" i="1"/>
  <c r="R62" i="1"/>
  <c r="BJ61" i="1"/>
  <c r="AU61" i="1"/>
  <c r="AQ61" i="1"/>
  <c r="AM61" i="1"/>
  <c r="AG61" i="1"/>
  <c r="AF61" i="1"/>
  <c r="AD61" i="1"/>
  <c r="AC61" i="1"/>
  <c r="AB61" i="1"/>
  <c r="AA61" i="1"/>
  <c r="Z61" i="1"/>
  <c r="W61" i="1"/>
  <c r="R61" i="1"/>
  <c r="BJ60" i="1"/>
  <c r="AT60" i="1"/>
  <c r="AU60" i="1" s="1"/>
  <c r="AQ60" i="1"/>
  <c r="AM60" i="1"/>
  <c r="AG60" i="1"/>
  <c r="AF60" i="1"/>
  <c r="AD60" i="1"/>
  <c r="AE60" i="1" s="1"/>
  <c r="AC60" i="1"/>
  <c r="AB60" i="1"/>
  <c r="AA60" i="1"/>
  <c r="Z60" i="1"/>
  <c r="W60" i="1"/>
  <c r="R60" i="1"/>
  <c r="BJ59" i="1"/>
  <c r="AU59" i="1"/>
  <c r="AQ59" i="1"/>
  <c r="AM59" i="1"/>
  <c r="AG59" i="1"/>
  <c r="AF59" i="1"/>
  <c r="AD59" i="1"/>
  <c r="AC59" i="1"/>
  <c r="AB59" i="1"/>
  <c r="AA59" i="1"/>
  <c r="Z59" i="1"/>
  <c r="W59" i="1"/>
  <c r="R59" i="1"/>
  <c r="BJ58" i="1"/>
  <c r="AU58" i="1"/>
  <c r="AQ58" i="1"/>
  <c r="AM58" i="1"/>
  <c r="AG58" i="1"/>
  <c r="AF58" i="1"/>
  <c r="AD58" i="1"/>
  <c r="AC58" i="1"/>
  <c r="AB58" i="1"/>
  <c r="AA58" i="1"/>
  <c r="Z58" i="1"/>
  <c r="W58" i="1"/>
  <c r="R58" i="1"/>
  <c r="BJ57" i="1"/>
  <c r="AU57" i="1"/>
  <c r="AQ57" i="1"/>
  <c r="AM57" i="1"/>
  <c r="AG57" i="1"/>
  <c r="AF57" i="1"/>
  <c r="AD57" i="1"/>
  <c r="AC57" i="1"/>
  <c r="AB57" i="1"/>
  <c r="AA57" i="1"/>
  <c r="Z57" i="1"/>
  <c r="W57" i="1"/>
  <c r="R57" i="1"/>
  <c r="BJ56" i="1"/>
  <c r="AT56" i="1"/>
  <c r="AU56" i="1" s="1"/>
  <c r="AQ56" i="1"/>
  <c r="AM56" i="1"/>
  <c r="AG56" i="1"/>
  <c r="AF56" i="1"/>
  <c r="AD56" i="1"/>
  <c r="AE56" i="1" s="1"/>
  <c r="AC56" i="1"/>
  <c r="AB56" i="1"/>
  <c r="AA56" i="1"/>
  <c r="Z56" i="1"/>
  <c r="W56" i="1"/>
  <c r="R56" i="1"/>
  <c r="BJ55" i="1"/>
  <c r="AU55" i="1"/>
  <c r="AQ55" i="1"/>
  <c r="AM55" i="1"/>
  <c r="AG55" i="1"/>
  <c r="AF55" i="1"/>
  <c r="AD55" i="1"/>
  <c r="AC55" i="1"/>
  <c r="AB55" i="1"/>
  <c r="AA55" i="1"/>
  <c r="Z55" i="1"/>
  <c r="W55" i="1"/>
  <c r="R55" i="1"/>
  <c r="BJ54" i="1"/>
  <c r="AU54" i="1"/>
  <c r="AQ54" i="1"/>
  <c r="AM54" i="1"/>
  <c r="AG54" i="1"/>
  <c r="AF54" i="1"/>
  <c r="AD54" i="1"/>
  <c r="AE54" i="1" s="1"/>
  <c r="AC54" i="1"/>
  <c r="AB54" i="1"/>
  <c r="AA54" i="1"/>
  <c r="Z54" i="1"/>
  <c r="W54" i="1"/>
  <c r="R54" i="1"/>
  <c r="BJ53" i="1"/>
  <c r="AU53" i="1"/>
  <c r="AQ53" i="1"/>
  <c r="AM53" i="1"/>
  <c r="AG53" i="1"/>
  <c r="AF53" i="1"/>
  <c r="AD53" i="1"/>
  <c r="AC53" i="1"/>
  <c r="AB53" i="1"/>
  <c r="AA53" i="1"/>
  <c r="Z53" i="1"/>
  <c r="W53" i="1"/>
  <c r="R53" i="1"/>
  <c r="BJ52" i="1"/>
  <c r="AU52" i="1"/>
  <c r="AQ52" i="1"/>
  <c r="AM52" i="1"/>
  <c r="AG52" i="1"/>
  <c r="AF52" i="1"/>
  <c r="AD52" i="1"/>
  <c r="AC52" i="1"/>
  <c r="AB52" i="1"/>
  <c r="AA52" i="1"/>
  <c r="Z52" i="1"/>
  <c r="W52" i="1"/>
  <c r="R52" i="1"/>
  <c r="BJ51" i="1"/>
  <c r="AT51" i="1"/>
  <c r="AU51" i="1" s="1"/>
  <c r="AQ51" i="1"/>
  <c r="AM51" i="1"/>
  <c r="AG51" i="1"/>
  <c r="AF51" i="1"/>
  <c r="AD51" i="1"/>
  <c r="AE51" i="1" s="1"/>
  <c r="AC51" i="1"/>
  <c r="AB51" i="1"/>
  <c r="AA51" i="1"/>
  <c r="Z51" i="1"/>
  <c r="W51" i="1"/>
  <c r="R51" i="1"/>
  <c r="BJ50" i="1"/>
  <c r="AU50" i="1"/>
  <c r="AQ50" i="1"/>
  <c r="AM50" i="1"/>
  <c r="AG50" i="1"/>
  <c r="AF50" i="1"/>
  <c r="AD50" i="1"/>
  <c r="AC50" i="1"/>
  <c r="AB50" i="1"/>
  <c r="AA50" i="1"/>
  <c r="Z50" i="1"/>
  <c r="W50" i="1"/>
  <c r="R50" i="1"/>
  <c r="BJ49" i="1"/>
  <c r="AU49" i="1"/>
  <c r="AQ49" i="1"/>
  <c r="AG49" i="1"/>
  <c r="AF49" i="1"/>
  <c r="AD49" i="1"/>
  <c r="AC49" i="1"/>
  <c r="AB49" i="1"/>
  <c r="AA49" i="1"/>
  <c r="Z49" i="1"/>
  <c r="W49" i="1"/>
  <c r="R49" i="1"/>
  <c r="BJ48" i="1"/>
  <c r="AU48" i="1"/>
  <c r="AQ48" i="1"/>
  <c r="AG48" i="1"/>
  <c r="AF48" i="1"/>
  <c r="AD48" i="1"/>
  <c r="AE48" i="1" s="1"/>
  <c r="AC48" i="1"/>
  <c r="AB48" i="1"/>
  <c r="AA48" i="1"/>
  <c r="Z48" i="1"/>
  <c r="W48" i="1"/>
  <c r="R48" i="1"/>
  <c r="BJ47" i="1"/>
  <c r="AU47" i="1"/>
  <c r="AQ47" i="1"/>
  <c r="AG47" i="1"/>
  <c r="AF47" i="1"/>
  <c r="AD47" i="1"/>
  <c r="AE47" i="1" s="1"/>
  <c r="AC47" i="1"/>
  <c r="AB47" i="1"/>
  <c r="AA47" i="1"/>
  <c r="Z47" i="1"/>
  <c r="W47" i="1"/>
  <c r="R47" i="1"/>
  <c r="BJ46" i="1"/>
  <c r="AU46" i="1"/>
  <c r="AQ46" i="1"/>
  <c r="AM46" i="1"/>
  <c r="AG46" i="1"/>
  <c r="AF46" i="1"/>
  <c r="AD46" i="1"/>
  <c r="AC46" i="1"/>
  <c r="AB46" i="1"/>
  <c r="AA46" i="1"/>
  <c r="Z46" i="1"/>
  <c r="W46" i="1"/>
  <c r="R46" i="1"/>
  <c r="BJ45" i="1"/>
  <c r="AU45" i="1"/>
  <c r="AQ45" i="1"/>
  <c r="AM45" i="1"/>
  <c r="AG45" i="1"/>
  <c r="AF45" i="1"/>
  <c r="AD45" i="1"/>
  <c r="AC45" i="1"/>
  <c r="AB45" i="1"/>
  <c r="AA45" i="1"/>
  <c r="Z45" i="1"/>
  <c r="W45" i="1"/>
  <c r="R45" i="1"/>
  <c r="BJ44" i="1"/>
  <c r="AU44" i="1"/>
  <c r="AQ44" i="1"/>
  <c r="AG44" i="1"/>
  <c r="AF44" i="1"/>
  <c r="AD44" i="1"/>
  <c r="AE44" i="1" s="1"/>
  <c r="AC44" i="1"/>
  <c r="AB44" i="1"/>
  <c r="AA44" i="1"/>
  <c r="Z44" i="1"/>
  <c r="W44" i="1"/>
  <c r="R44" i="1"/>
  <c r="BJ43" i="1"/>
  <c r="AU43" i="1"/>
  <c r="AQ43" i="1"/>
  <c r="AG43" i="1"/>
  <c r="AF43" i="1"/>
  <c r="AD43" i="1"/>
  <c r="AC43" i="1"/>
  <c r="AB43" i="1"/>
  <c r="AA43" i="1"/>
  <c r="Z43" i="1"/>
  <c r="W43" i="1"/>
  <c r="R43" i="1"/>
  <c r="BJ42" i="1"/>
  <c r="AU42" i="1"/>
  <c r="AQ42" i="1"/>
  <c r="AG42" i="1"/>
  <c r="AF42" i="1"/>
  <c r="AD42" i="1"/>
  <c r="AC42" i="1"/>
  <c r="AB42" i="1"/>
  <c r="AA42" i="1"/>
  <c r="Z42" i="1"/>
  <c r="W42" i="1"/>
  <c r="R42" i="1"/>
  <c r="BJ41" i="1"/>
  <c r="AU41" i="1"/>
  <c r="AQ41" i="1"/>
  <c r="AG41" i="1"/>
  <c r="AF41" i="1"/>
  <c r="AD41" i="1"/>
  <c r="AC41" i="1"/>
  <c r="AB41" i="1"/>
  <c r="AA41" i="1"/>
  <c r="Z41" i="1"/>
  <c r="W41" i="1"/>
  <c r="R41" i="1"/>
  <c r="BJ40" i="1"/>
  <c r="AU40" i="1"/>
  <c r="AQ40" i="1"/>
  <c r="AG40" i="1"/>
  <c r="AF40" i="1"/>
  <c r="AD40" i="1"/>
  <c r="AC40" i="1"/>
  <c r="AB40" i="1"/>
  <c r="AA40" i="1"/>
  <c r="Z40" i="1"/>
  <c r="W40" i="1"/>
  <c r="R40" i="1"/>
  <c r="BJ39" i="1"/>
  <c r="AU39" i="1"/>
  <c r="AQ39" i="1"/>
  <c r="AG39" i="1"/>
  <c r="AF39" i="1"/>
  <c r="AD39" i="1"/>
  <c r="AC39" i="1"/>
  <c r="AB39" i="1"/>
  <c r="AA39" i="1"/>
  <c r="Z39" i="1"/>
  <c r="W39" i="1"/>
  <c r="R39" i="1"/>
  <c r="BJ38" i="1"/>
  <c r="AU38" i="1"/>
  <c r="AQ38" i="1"/>
  <c r="AG38" i="1"/>
  <c r="AF38" i="1"/>
  <c r="AD38" i="1"/>
  <c r="AC38" i="1"/>
  <c r="AB38" i="1"/>
  <c r="AA38" i="1"/>
  <c r="Z38" i="1"/>
  <c r="W38" i="1"/>
  <c r="R38" i="1"/>
  <c r="BJ37" i="1"/>
  <c r="AU37" i="1"/>
  <c r="AQ37" i="1"/>
  <c r="AG37" i="1"/>
  <c r="AF37" i="1"/>
  <c r="AD37" i="1"/>
  <c r="AC37" i="1"/>
  <c r="AB37" i="1"/>
  <c r="AA37" i="1"/>
  <c r="Z37" i="1"/>
  <c r="W37" i="1"/>
  <c r="R37" i="1"/>
  <c r="BJ36" i="1"/>
  <c r="AU36" i="1"/>
  <c r="AQ36" i="1"/>
  <c r="AG36" i="1"/>
  <c r="AF36" i="1"/>
  <c r="AD36" i="1"/>
  <c r="AC36" i="1"/>
  <c r="AB36" i="1"/>
  <c r="AA36" i="1"/>
  <c r="Z36" i="1"/>
  <c r="W36" i="1"/>
  <c r="R36" i="1"/>
  <c r="BJ35" i="1"/>
  <c r="AU35" i="1"/>
  <c r="AQ35" i="1"/>
  <c r="AG35" i="1"/>
  <c r="AF35" i="1"/>
  <c r="AD35" i="1"/>
  <c r="AC35" i="1"/>
  <c r="AB35" i="1"/>
  <c r="AA35" i="1"/>
  <c r="Z35" i="1"/>
  <c r="W35" i="1"/>
  <c r="R35" i="1"/>
  <c r="BJ34" i="1"/>
  <c r="AU34" i="1"/>
  <c r="AQ34" i="1"/>
  <c r="AG34" i="1"/>
  <c r="AF34" i="1"/>
  <c r="AD34" i="1"/>
  <c r="AC34" i="1"/>
  <c r="AB34" i="1"/>
  <c r="AA34" i="1"/>
  <c r="Z34" i="1"/>
  <c r="W34" i="1"/>
  <c r="R34" i="1"/>
  <c r="BJ33" i="1"/>
  <c r="AU33" i="1"/>
  <c r="AQ33" i="1"/>
  <c r="AG33" i="1"/>
  <c r="AF33" i="1"/>
  <c r="AD33" i="1"/>
  <c r="AC33" i="1"/>
  <c r="AB33" i="1"/>
  <c r="AA33" i="1"/>
  <c r="Z33" i="1"/>
  <c r="W33" i="1"/>
  <c r="R33" i="1"/>
  <c r="BJ32" i="1"/>
  <c r="AU32" i="1"/>
  <c r="AQ32" i="1"/>
  <c r="AG32" i="1"/>
  <c r="AF32" i="1"/>
  <c r="AD32" i="1"/>
  <c r="AC32" i="1"/>
  <c r="AB32" i="1"/>
  <c r="AA32" i="1"/>
  <c r="Z32" i="1"/>
  <c r="W32" i="1"/>
  <c r="R32" i="1"/>
  <c r="BJ31" i="1"/>
  <c r="AU31" i="1"/>
  <c r="AQ31" i="1"/>
  <c r="AM31" i="1"/>
  <c r="AG31" i="1"/>
  <c r="AF31" i="1"/>
  <c r="AD31" i="1"/>
  <c r="AC31" i="1"/>
  <c r="AB31" i="1"/>
  <c r="AA31" i="1"/>
  <c r="Z31" i="1"/>
  <c r="W31" i="1"/>
  <c r="R31" i="1"/>
  <c r="BJ30" i="1"/>
  <c r="AU30" i="1"/>
  <c r="AQ30" i="1"/>
  <c r="AG30" i="1"/>
  <c r="AF30" i="1"/>
  <c r="AD30" i="1"/>
  <c r="AC30" i="1"/>
  <c r="AB30" i="1"/>
  <c r="AA30" i="1"/>
  <c r="Z30" i="1"/>
  <c r="W30" i="1"/>
  <c r="R30" i="1"/>
  <c r="BJ29" i="1"/>
  <c r="AU29" i="1"/>
  <c r="AQ29" i="1"/>
  <c r="AG29" i="1"/>
  <c r="AF29" i="1"/>
  <c r="AD29" i="1"/>
  <c r="AC29" i="1"/>
  <c r="AB29" i="1"/>
  <c r="AA29" i="1"/>
  <c r="Z29" i="1"/>
  <c r="W29" i="1"/>
  <c r="R29" i="1"/>
  <c r="BJ28" i="1"/>
  <c r="AU28" i="1"/>
  <c r="AQ28" i="1"/>
  <c r="AG28" i="1"/>
  <c r="AF28" i="1"/>
  <c r="AD28" i="1"/>
  <c r="AE28" i="1" s="1"/>
  <c r="AC28" i="1"/>
  <c r="AB28" i="1"/>
  <c r="AA28" i="1"/>
  <c r="Z28" i="1"/>
  <c r="W28" i="1"/>
  <c r="R28" i="1"/>
  <c r="BJ27" i="1"/>
  <c r="AU27" i="1"/>
  <c r="AQ27" i="1"/>
  <c r="AG27" i="1"/>
  <c r="AF27" i="1"/>
  <c r="AD27" i="1"/>
  <c r="AE27" i="1" s="1"/>
  <c r="AC27" i="1"/>
  <c r="AB27" i="1"/>
  <c r="AA27" i="1"/>
  <c r="Z27" i="1"/>
  <c r="W27" i="1"/>
  <c r="R27" i="1"/>
  <c r="BJ26" i="1"/>
  <c r="AU26" i="1"/>
  <c r="AQ26" i="1"/>
  <c r="AG26" i="1"/>
  <c r="AF26" i="1"/>
  <c r="AD26" i="1"/>
  <c r="AE26" i="1" s="1"/>
  <c r="AC26" i="1"/>
  <c r="AB26" i="1"/>
  <c r="AA26" i="1"/>
  <c r="Z26" i="1"/>
  <c r="W26" i="1"/>
  <c r="R26" i="1"/>
  <c r="BJ25" i="1"/>
  <c r="AU25" i="1"/>
  <c r="AQ25" i="1"/>
  <c r="AG25" i="1"/>
  <c r="AF25" i="1"/>
  <c r="AD25" i="1"/>
  <c r="AC25" i="1"/>
  <c r="AB25" i="1"/>
  <c r="AA25" i="1"/>
  <c r="Z25" i="1"/>
  <c r="W25" i="1"/>
  <c r="R25" i="1"/>
  <c r="BJ24" i="1"/>
  <c r="AU24" i="1"/>
  <c r="AQ24" i="1"/>
  <c r="AG24" i="1"/>
  <c r="AF24" i="1"/>
  <c r="AD24" i="1"/>
  <c r="AC24" i="1"/>
  <c r="AB24" i="1"/>
  <c r="AA24" i="1"/>
  <c r="Z24" i="1"/>
  <c r="W24" i="1"/>
  <c r="R24" i="1"/>
  <c r="BJ23" i="1"/>
  <c r="AU23" i="1"/>
  <c r="AQ23" i="1"/>
  <c r="AG23" i="1"/>
  <c r="AF23" i="1"/>
  <c r="AD23" i="1"/>
  <c r="AE23" i="1" s="1"/>
  <c r="AC23" i="1"/>
  <c r="AB23" i="1"/>
  <c r="AA23" i="1"/>
  <c r="Z23" i="1"/>
  <c r="W23" i="1"/>
  <c r="R23" i="1"/>
  <c r="BJ22" i="1"/>
  <c r="AU22" i="1"/>
  <c r="AQ22" i="1"/>
  <c r="AG22" i="1"/>
  <c r="AF22" i="1"/>
  <c r="AD22" i="1"/>
  <c r="AC22" i="1"/>
  <c r="AB22" i="1"/>
  <c r="AA22" i="1"/>
  <c r="Z22" i="1"/>
  <c r="W22" i="1"/>
  <c r="R22" i="1"/>
  <c r="BJ21" i="1"/>
  <c r="AU21" i="1"/>
  <c r="AQ21" i="1"/>
  <c r="AG21" i="1"/>
  <c r="AF21" i="1"/>
  <c r="AD21" i="1"/>
  <c r="AE21" i="1" s="1"/>
  <c r="AC21" i="1"/>
  <c r="AB21" i="1"/>
  <c r="AA21" i="1"/>
  <c r="Z21" i="1"/>
  <c r="W21" i="1"/>
  <c r="R21" i="1"/>
  <c r="BJ20" i="1"/>
  <c r="AU20" i="1"/>
  <c r="AQ20" i="1"/>
  <c r="AG20" i="1"/>
  <c r="AF20" i="1"/>
  <c r="AD20" i="1"/>
  <c r="AE20" i="1" s="1"/>
  <c r="AC20" i="1"/>
  <c r="AB20" i="1"/>
  <c r="AA20" i="1"/>
  <c r="Z20" i="1"/>
  <c r="W20" i="1"/>
  <c r="R20" i="1"/>
  <c r="BJ19" i="1"/>
  <c r="AU19" i="1"/>
  <c r="AQ19" i="1"/>
  <c r="AG19" i="1"/>
  <c r="AF19" i="1"/>
  <c r="AD19" i="1"/>
  <c r="AC19" i="1"/>
  <c r="AB19" i="1"/>
  <c r="AA19" i="1"/>
  <c r="Z19" i="1"/>
  <c r="W19" i="1"/>
  <c r="R19" i="1"/>
  <c r="BJ18" i="1"/>
  <c r="AU18" i="1"/>
  <c r="AQ18" i="1"/>
  <c r="AG18" i="1"/>
  <c r="AF18" i="1"/>
  <c r="AD18" i="1"/>
  <c r="AE18" i="1" s="1"/>
  <c r="AC18" i="1"/>
  <c r="AB18" i="1"/>
  <c r="AA18" i="1"/>
  <c r="Z18" i="1"/>
  <c r="W18" i="1"/>
  <c r="R18" i="1"/>
  <c r="BJ17" i="1"/>
  <c r="AU17" i="1"/>
  <c r="AG17" i="1"/>
  <c r="AF17" i="1"/>
  <c r="AD17" i="1"/>
  <c r="AE17" i="1" s="1"/>
  <c r="AC17" i="1"/>
  <c r="AB17" i="1"/>
  <c r="AA17" i="1"/>
  <c r="Z17" i="1"/>
  <c r="W17" i="1"/>
  <c r="R17" i="1"/>
  <c r="BJ16" i="1"/>
  <c r="AU16" i="1"/>
  <c r="AQ16" i="1"/>
  <c r="AG16" i="1"/>
  <c r="AF16" i="1"/>
  <c r="AD16" i="1"/>
  <c r="AC16" i="1"/>
  <c r="AB16" i="1"/>
  <c r="AA16" i="1"/>
  <c r="Z16" i="1"/>
  <c r="W16" i="1"/>
  <c r="R16" i="1"/>
  <c r="BJ15" i="1"/>
  <c r="AU15" i="1"/>
  <c r="AG15" i="1"/>
  <c r="AF15" i="1"/>
  <c r="AD15" i="1"/>
  <c r="AC15" i="1"/>
  <c r="AB15" i="1"/>
  <c r="AA15" i="1"/>
  <c r="Z15" i="1"/>
  <c r="W15" i="1"/>
  <c r="R15" i="1"/>
  <c r="BJ14" i="1"/>
  <c r="AT14" i="1"/>
  <c r="AU14" i="1" s="1"/>
  <c r="AQ14" i="1"/>
  <c r="AG14" i="1"/>
  <c r="AF14" i="1"/>
  <c r="AD14" i="1"/>
  <c r="AE14" i="1" s="1"/>
  <c r="AC14" i="1"/>
  <c r="AB14" i="1"/>
  <c r="AA14" i="1"/>
  <c r="Z14" i="1"/>
  <c r="W14" i="1"/>
  <c r="R14" i="1"/>
  <c r="BJ13" i="1"/>
  <c r="AU13" i="1"/>
  <c r="AQ13" i="1"/>
  <c r="AG13" i="1"/>
  <c r="AF13" i="1"/>
  <c r="AD13" i="1"/>
  <c r="AC13" i="1"/>
  <c r="AB13" i="1"/>
  <c r="AA13" i="1"/>
  <c r="Z13" i="1"/>
  <c r="W13" i="1"/>
  <c r="R13" i="1"/>
  <c r="BJ12" i="1"/>
  <c r="AU12" i="1"/>
  <c r="AQ12" i="1"/>
  <c r="AG12" i="1"/>
  <c r="AF12" i="1"/>
  <c r="AD12" i="1"/>
  <c r="AC12" i="1"/>
  <c r="AB12" i="1"/>
  <c r="AA12" i="1"/>
  <c r="Z12" i="1"/>
  <c r="W12" i="1"/>
  <c r="R12" i="1"/>
  <c r="BJ11" i="1"/>
  <c r="AU11" i="1"/>
  <c r="AG11" i="1"/>
  <c r="AF11" i="1"/>
  <c r="AD11" i="1"/>
  <c r="AE11" i="1" s="1"/>
  <c r="AC11" i="1"/>
  <c r="AB11" i="1"/>
  <c r="AA11" i="1"/>
  <c r="Z11" i="1"/>
  <c r="W11" i="1"/>
  <c r="R11" i="1"/>
  <c r="BJ10" i="1"/>
  <c r="AX10" i="1"/>
  <c r="AU10" i="1"/>
  <c r="AQ10" i="1"/>
  <c r="AG10" i="1"/>
  <c r="AF10" i="1"/>
  <c r="AD10" i="1"/>
  <c r="AE10" i="1" s="1"/>
  <c r="AC10" i="1"/>
  <c r="AB10" i="1"/>
  <c r="AA10" i="1"/>
  <c r="Z10" i="1"/>
  <c r="W10" i="1"/>
  <c r="R10" i="1"/>
  <c r="BJ9" i="1"/>
  <c r="AU9" i="1"/>
  <c r="AQ9" i="1"/>
  <c r="AG9" i="1"/>
  <c r="AF9" i="1"/>
  <c r="AD9" i="1"/>
  <c r="AC9" i="1"/>
  <c r="AB9" i="1"/>
  <c r="AA9" i="1"/>
  <c r="Z9" i="1"/>
  <c r="W9" i="1"/>
  <c r="R9" i="1"/>
  <c r="BJ8" i="1"/>
  <c r="AU8" i="1"/>
  <c r="AQ8" i="1"/>
  <c r="AG8" i="1"/>
  <c r="AF8" i="1"/>
  <c r="AD8" i="1"/>
  <c r="AC8" i="1"/>
  <c r="AB8" i="1"/>
  <c r="AA8" i="1"/>
  <c r="Z8" i="1"/>
  <c r="W8" i="1"/>
  <c r="R8" i="1"/>
  <c r="BJ7" i="1"/>
  <c r="AU7" i="1"/>
  <c r="AG7" i="1"/>
  <c r="AF7" i="1"/>
  <c r="AD7" i="1"/>
  <c r="AE7" i="1" s="1"/>
  <c r="AC7" i="1"/>
  <c r="AB7" i="1"/>
  <c r="AA7" i="1"/>
  <c r="Z7" i="1"/>
  <c r="W7" i="1"/>
  <c r="R7" i="1"/>
  <c r="BJ6" i="1"/>
  <c r="AU6" i="1"/>
  <c r="AG6" i="1"/>
  <c r="AF6" i="1"/>
  <c r="AD6" i="1"/>
  <c r="AE6" i="1" s="1"/>
  <c r="AC6" i="1"/>
  <c r="AB6" i="1"/>
  <c r="AA6" i="1"/>
  <c r="Z6" i="1"/>
  <c r="W6" i="1"/>
  <c r="R6" i="1"/>
  <c r="BJ5" i="1"/>
  <c r="AU5" i="1"/>
  <c r="AQ5" i="1"/>
  <c r="AG5" i="1"/>
  <c r="AF5" i="1"/>
  <c r="AD5" i="1"/>
  <c r="AC5" i="1"/>
  <c r="AB5" i="1"/>
  <c r="AA5" i="1"/>
  <c r="Z5" i="1"/>
  <c r="W5" i="1"/>
  <c r="R5" i="1"/>
  <c r="AE55" i="1" l="1"/>
  <c r="AE81" i="1"/>
  <c r="AE136" i="1"/>
  <c r="AE133" i="1"/>
  <c r="AE5" i="1"/>
  <c r="AE71" i="1"/>
  <c r="AE79" i="1"/>
  <c r="AE22" i="1"/>
  <c r="AE30" i="1"/>
  <c r="AE37" i="1"/>
  <c r="AE122" i="1"/>
  <c r="AE86" i="1"/>
  <c r="AE36" i="1"/>
  <c r="AE40" i="1"/>
  <c r="AE43" i="1"/>
  <c r="AE57" i="1"/>
  <c r="AE78" i="1"/>
  <c r="AE42" i="1"/>
  <c r="AE99" i="1"/>
  <c r="AE139" i="1"/>
  <c r="AE76" i="1"/>
  <c r="AE38" i="1"/>
  <c r="AE117" i="1"/>
  <c r="AE126" i="1"/>
  <c r="AE62" i="1"/>
  <c r="AE16" i="1"/>
  <c r="AE35" i="1"/>
  <c r="AE45" i="1"/>
  <c r="AE75" i="1"/>
  <c r="AE98" i="1"/>
  <c r="AE101" i="1"/>
  <c r="AE103" i="1"/>
  <c r="AE112" i="1"/>
  <c r="AE41" i="1"/>
  <c r="AE63" i="1"/>
  <c r="AE70" i="1"/>
  <c r="AE127" i="1"/>
  <c r="AE52" i="1"/>
  <c r="AE84" i="1"/>
  <c r="AE100" i="1"/>
  <c r="AE134" i="1"/>
  <c r="AE9" i="1"/>
  <c r="AE61" i="1"/>
  <c r="AE82" i="1"/>
  <c r="AE89" i="1"/>
  <c r="AE125" i="1"/>
  <c r="AE155" i="1"/>
  <c r="AE13" i="1"/>
  <c r="AE34" i="1"/>
  <c r="AE58" i="1"/>
  <c r="AE150" i="1"/>
  <c r="AE152" i="1"/>
  <c r="AE39" i="1"/>
  <c r="AE85" i="1"/>
  <c r="AE108" i="1"/>
  <c r="AE153" i="1"/>
  <c r="AE29" i="1"/>
  <c r="AE15" i="1"/>
  <c r="AE59" i="1"/>
  <c r="AE142" i="1"/>
  <c r="AE25" i="1"/>
  <c r="AE32" i="1"/>
  <c r="AE69" i="1"/>
  <c r="AE33" i="1"/>
  <c r="AE50" i="1"/>
  <c r="AE73" i="1"/>
  <c r="AE118" i="1"/>
  <c r="AE8" i="1"/>
  <c r="AE96" i="1"/>
  <c r="AE135" i="1"/>
  <c r="AE31" i="1"/>
  <c r="AE53" i="1"/>
  <c r="AE124" i="1"/>
  <c r="AE74" i="1"/>
  <c r="AE80" i="1"/>
  <c r="AE46" i="1"/>
  <c r="AE19" i="1"/>
  <c r="AE12" i="1"/>
  <c r="AE24" i="1"/>
  <c r="AE49" i="1"/>
  <c r="AE119" i="1"/>
</calcChain>
</file>

<file path=xl/sharedStrings.xml><?xml version="1.0" encoding="utf-8"?>
<sst xmlns="http://schemas.openxmlformats.org/spreadsheetml/2006/main" count="4890" uniqueCount="1763">
  <si>
    <t>Bit Applications Tool</t>
  </si>
  <si>
    <t>Engineering File Links</t>
  </si>
  <si>
    <t>Bit Information</t>
  </si>
  <si>
    <t>NDR</t>
  </si>
  <si>
    <t>Auto CAD</t>
  </si>
  <si>
    <t>Excel</t>
  </si>
  <si>
    <t>SE</t>
  </si>
  <si>
    <t>Word</t>
  </si>
  <si>
    <t>Key Shot</t>
  </si>
  <si>
    <t>PDF</t>
  </si>
  <si>
    <t>Auto CAD Files</t>
  </si>
  <si>
    <t>?</t>
  </si>
  <si>
    <t>Bit</t>
  </si>
  <si>
    <t>M1</t>
  </si>
  <si>
    <t>Std. cost</t>
  </si>
  <si>
    <t>Profile</t>
  </si>
  <si>
    <t>Gauge</t>
  </si>
  <si>
    <t>Blades</t>
  </si>
  <si>
    <t>Nozzles</t>
  </si>
  <si>
    <t>Old Assy #</t>
  </si>
  <si>
    <t>Long TJ</t>
  </si>
  <si>
    <t>Design Request</t>
  </si>
  <si>
    <t>Design</t>
  </si>
  <si>
    <t>Cutter Layout</t>
  </si>
  <si>
    <t>Solid Edge Assy File</t>
  </si>
  <si>
    <t>Design Summary</t>
  </si>
  <si>
    <t>Top</t>
  </si>
  <si>
    <t>ISO</t>
  </si>
  <si>
    <t>Spec Sheet</t>
  </si>
  <si>
    <t>Import Model</t>
  </si>
  <si>
    <t>Layout with Cuttlets</t>
  </si>
  <si>
    <t>Layout</t>
  </si>
  <si>
    <t>Cuttlet IPR (1)</t>
  </si>
  <si>
    <t>Cuttlet IPR (2)</t>
  </si>
  <si>
    <t>Profitability Projections</t>
  </si>
  <si>
    <t>Blank</t>
  </si>
  <si>
    <t xml:space="preserve">Created Date (.BB) </t>
  </si>
  <si>
    <t>Design Flaw</t>
  </si>
  <si>
    <t>Phase Out</t>
  </si>
  <si>
    <t>Zero Inventory</t>
  </si>
  <si>
    <t>Phase out &amp; Zero Inventory</t>
  </si>
  <si>
    <t>Size</t>
  </si>
  <si>
    <t>Model</t>
  </si>
  <si>
    <t>Model Series</t>
  </si>
  <si>
    <t>Blade Count</t>
  </si>
  <si>
    <t>Primary Cutter Size</t>
  </si>
  <si>
    <t>Matrix</t>
  </si>
  <si>
    <t>Model Type</t>
  </si>
  <si>
    <t>Nozzle Count</t>
  </si>
  <si>
    <t>(K)</t>
  </si>
  <si>
    <t>(BR)</t>
  </si>
  <si>
    <t>Bit material</t>
  </si>
  <si>
    <t>API Thread</t>
  </si>
  <si>
    <t>Notes</t>
  </si>
  <si>
    <t xml:space="preserve">X Notes </t>
  </si>
  <si>
    <t>App (V, C, L)</t>
  </si>
  <si>
    <t>App Interval Type</t>
  </si>
  <si>
    <t>App Std cost</t>
  </si>
  <si>
    <t>Layout Durability 0-9</t>
  </si>
  <si>
    <t>Steerability 0-9</t>
  </si>
  <si>
    <t>App Six Three</t>
  </si>
  <si>
    <t>App Cutter Layout</t>
  </si>
  <si>
    <t>Pattern Order</t>
  </si>
  <si>
    <t>Above gauge Ø</t>
  </si>
  <si>
    <t>Above gauge exposure</t>
  </si>
  <si>
    <t>Apex Exposure after HM (%)</t>
  </si>
  <si>
    <t>Profile Type</t>
  </si>
  <si>
    <t>Gauge Ø</t>
  </si>
  <si>
    <t>Shoulder Shape</t>
  </si>
  <si>
    <t>Cone Angle</t>
  </si>
  <si>
    <t>6-3 --- Pri. PDC's on Sec. Blades Engage --- (min fthr·100rpm)</t>
  </si>
  <si>
    <t>Nose --- Sec. PDC's Engage --- (min fthr·100rpm)</t>
  </si>
  <si>
    <t>Taper --- Sec. PDC Engage --- (min fthr·100rpm)</t>
  </si>
  <si>
    <t>Nose --- Knuckles Engage --- (min fthr·100rpm)</t>
  </si>
  <si>
    <t>Taper --- Knuckles Engage --- (min fthr·100rpm)</t>
  </si>
  <si>
    <t>Back Rake (Cone ≈25% Ø)</t>
  </si>
  <si>
    <t>Back Rake (Nose ≈55% Ø)</t>
  </si>
  <si>
    <t>Back Rake (Taper ≈80% Ø)</t>
  </si>
  <si>
    <t>Back Rake (Gauge 100% Ø)</t>
  </si>
  <si>
    <t>Summary</t>
  </si>
  <si>
    <t>Primary Cutting Structure</t>
  </si>
  <si>
    <t>Wear Pad Length</t>
  </si>
  <si>
    <t>Wear Pad Type</t>
  </si>
  <si>
    <r>
      <t>Wear pad in</t>
    </r>
    <r>
      <rPr>
        <vertAlign val="superscript"/>
        <sz val="11"/>
        <color theme="1"/>
        <rFont val="Aptos Narrow"/>
        <family val="2"/>
        <scheme val="minor"/>
      </rPr>
      <t>2</t>
    </r>
  </si>
  <si>
    <t>JSA</t>
  </si>
  <si>
    <t>Blade Relief?</t>
  </si>
  <si>
    <t>Cone Relief?</t>
  </si>
  <si>
    <t>Sec. Blade Webbing?</t>
  </si>
  <si>
    <t>Pri. Nozzle Series</t>
  </si>
  <si>
    <t>Sec. Nozzle Series</t>
  </si>
  <si>
    <t>Pri. Nozzle Count</t>
  </si>
  <si>
    <t>Sec. Nozzle Count</t>
  </si>
  <si>
    <t>Max TFA</t>
  </si>
  <si>
    <t>DNE</t>
  </si>
  <si>
    <t>\\COT-SQL01\SEData\cot-i\eg\se\rel\Fixed Cutter Rockbits SKF\Size 07.625\Blade 6\SKF-01941r02.asm</t>
  </si>
  <si>
    <t>..\02_Spec Sheets\WIP 2.0\7348.1941\1941.Top.C.png</t>
  </si>
  <si>
    <t>..\02_Spec Sheets\WIP 2.0\7348.1941\1941.ISO.C.png</t>
  </si>
  <si>
    <t>..\02_Spec Sheets\Original Assy Spec Sheets\1941.pdf</t>
  </si>
  <si>
    <t>1941\1941 @ 0.25 IPR.xls</t>
  </si>
  <si>
    <t>1941\1941.dwg</t>
  </si>
  <si>
    <t>1941\1941 at 0.25 IPR.dwg</t>
  </si>
  <si>
    <t>Y</t>
  </si>
  <si>
    <t>CR613-SR(K)</t>
  </si>
  <si>
    <t>Steel</t>
  </si>
  <si>
    <t>4-1/2"</t>
  </si>
  <si>
    <t>Wrong CS</t>
  </si>
  <si>
    <t>V</t>
  </si>
  <si>
    <t>Vertical</t>
  </si>
  <si>
    <t>Production</t>
  </si>
  <si>
    <t>Redundant</t>
  </si>
  <si>
    <r>
      <rPr>
        <sz val="11"/>
        <color theme="1"/>
        <rFont val="Aptos Narrow"/>
        <family val="2"/>
        <scheme val="minor"/>
      </rPr>
      <t>14-25-36</t>
    </r>
  </si>
  <si>
    <t>Angled</t>
  </si>
  <si>
    <t>1.5625 radius</t>
  </si>
  <si>
    <t>20-15</t>
  </si>
  <si>
    <t>15-25</t>
  </si>
  <si>
    <t>HM</t>
  </si>
  <si>
    <t>N</t>
  </si>
  <si>
    <t>-</t>
  </si>
  <si>
    <t>\\COT-SQL01\SEData\cot-i\eg\se\rel\Fixed Cutter Rockbits SKF\Size 11.000\Blade 6\SKF-01959r06.asm</t>
  </si>
  <si>
    <t>..\02_Spec Sheets\WIP 2.0\2326.1959\1959.Top.C.png</t>
  </si>
  <si>
    <t>..\02_Spec Sheets\WIP 2.0\2326.1959\1959.ISO.C.png</t>
  </si>
  <si>
    <t>..\02_Spec Sheets\Original Assy Spec Sheets\1959.pdf</t>
  </si>
  <si>
    <t>1959\1959 @ 0.25 IPR.xls</t>
  </si>
  <si>
    <t>1959\1959.dwg</t>
  </si>
  <si>
    <t>1959\1959 @ 0.25 IPR.dwg</t>
  </si>
  <si>
    <t>CR616-SR9</t>
  </si>
  <si>
    <t>6-5/8"</t>
  </si>
  <si>
    <t>Intermediate</t>
  </si>
  <si>
    <t>14-25-36</t>
  </si>
  <si>
    <t>2.1250 radius</t>
  </si>
  <si>
    <t>20.2-15</t>
  </si>
  <si>
    <t>1961\CDG-38231r1.dwg</t>
  </si>
  <si>
    <t>\\COT-SQL01\SEData\cot-i\eg\se\rel\Fixed Cutter Rockbits SKF</t>
  </si>
  <si>
    <t>..\02_Spec Sheets\WIP 2.0\8904.1961\1961.Top.C.png</t>
  </si>
  <si>
    <t>..\02_Spec Sheets\WIP 2.0\8904.1961\1961.ISO.C.png</t>
  </si>
  <si>
    <t>..\02_Spec Sheets\Original Assy Spec Sheets\1961.pdf</t>
  </si>
  <si>
    <t>1961\1961 @ 0.25 IPR.xls</t>
  </si>
  <si>
    <t>1961\1961.dwg</t>
  </si>
  <si>
    <t>1961\1961 @ 0.25 IPR.dwg</t>
  </si>
  <si>
    <t>Surface</t>
  </si>
  <si>
    <t>2.125 radius</t>
  </si>
  <si>
    <t>20.4-15</t>
  </si>
  <si>
    <t>15-25.5</t>
  </si>
  <si>
    <t>1967\CDG-38241r1.dwg</t>
  </si>
  <si>
    <t>1967\CDG-38241r1.xls</t>
  </si>
  <si>
    <t>\\COT-SQL01\SEData\cot-i\eg\se\rel\Fixed Cutter Rockbits SKF\Size 08.750\Blade 6\SKF-01967r05.asm</t>
  </si>
  <si>
    <t>..\02_Spec Sheets\WIP 2.0\4718.1967\1967.Top.C.png</t>
  </si>
  <si>
    <t>..\02_Spec Sheets\WIP 2.0\4718.1967\1967.ISO.C.png</t>
  </si>
  <si>
    <t>..\02_Spec Sheets\Original Assy Spec Sheets\1967.pdf</t>
  </si>
  <si>
    <t>1967\1967 @ 0.25 IPR.xls</t>
  </si>
  <si>
    <t>1967\1967.dwg</t>
  </si>
  <si>
    <t>1967\1967 @ 0.25 IPR.dwg</t>
  </si>
  <si>
    <t>CR616-SR(BR)</t>
  </si>
  <si>
    <t>1970\CDG-38249r1.dwg</t>
  </si>
  <si>
    <t>1970\CDG-38249r1.xls</t>
  </si>
  <si>
    <t>\\COT-SQL01\SEData\cot-i\eg\se\rel\Fixed Cutter Rockbits SKF\Size 06.000\Blade 6\SKF-01970r01.asm</t>
  </si>
  <si>
    <t>..\02_Spec Sheets\WIP 2.0\6784.1970\1970.Top.C.png</t>
  </si>
  <si>
    <t>..\02_Spec Sheets\WIP 2.0\6784.1970\1970.ISO.C.png</t>
  </si>
  <si>
    <t>..\02_Spec Sheets\Original Assy Spec Sheets\1970.pdf</t>
  </si>
  <si>
    <t>1970\1970 @ 0.25 IPR.xls</t>
  </si>
  <si>
    <t>1970\1970.dwg</t>
  </si>
  <si>
    <t>1970\1970 @ 0.25 IPR.dwg</t>
  </si>
  <si>
    <t>CR613-SR</t>
  </si>
  <si>
    <t>3-1/2"</t>
  </si>
  <si>
    <t>1.1875 radius</t>
  </si>
  <si>
    <t>25-27.5</t>
  </si>
  <si>
    <t>CR616-SR</t>
  </si>
  <si>
    <t>15-20</t>
  </si>
  <si>
    <t>1991\CDG-38311r1.dwg</t>
  </si>
  <si>
    <t>1991\CDG-38311r1.xls</t>
  </si>
  <si>
    <t>\\COT-SQL01\SEData\cot-i\eg\se\rel\Fixed Cutter Rockbits SKF\Size 08.500\Blade 4\SKF-01991r02.asm</t>
  </si>
  <si>
    <t>1991\_design summary.docx</t>
  </si>
  <si>
    <t>..\02_Spec Sheets\WIP 2.0\5960.1991\1991.Top.C.png</t>
  </si>
  <si>
    <t>..\02_Spec Sheets\WIP 2.0\5960.1991\1991.ISO.C.png</t>
  </si>
  <si>
    <t>..\02_Spec Sheets\Original Assy Spec Sheets\1991.pdf</t>
  </si>
  <si>
    <t>1991\1991 @ 0.25 IPR.xls</t>
  </si>
  <si>
    <t>1991\1991.dwg</t>
  </si>
  <si>
    <t>1991\1991 @ 0.25 IPR.dwg</t>
  </si>
  <si>
    <t>CR419-SR6</t>
  </si>
  <si>
    <t>SingleSet - F</t>
  </si>
  <si>
    <t>Step</t>
  </si>
  <si>
    <t>1.375 radius</t>
  </si>
  <si>
    <t>O</t>
  </si>
  <si>
    <t>20-25</t>
  </si>
  <si>
    <t>WP Ele</t>
  </si>
  <si>
    <t>\\COT-SQL01\SEData\cot-i\eg\se\rel\Fixed Cutter Rockbits SKF\Size 12.250\Blade 6\SKF-02001r01.asm</t>
  </si>
  <si>
    <t>2001\2001 122 Summary.doc</t>
  </si>
  <si>
    <t>..\02_Spec Sheets\WIP 2.0\7622.2001\2001.Top.C.png</t>
  </si>
  <si>
    <t>..\02_Spec Sheets\WIP 2.0\7622.2001\2001.ISO.C.png</t>
  </si>
  <si>
    <t>..\02_Spec Sheets\Original Assy Spec Sheets\2001.pdf</t>
  </si>
  <si>
    <t>2001\2001 @ 0.25 IPR.xls</t>
  </si>
  <si>
    <t>2001\2001.dwg</t>
  </si>
  <si>
    <t>2001\2001 @ 0.25 IPR.dwg</t>
  </si>
  <si>
    <t>16-25.5</t>
  </si>
  <si>
    <t>2004\086 616-YR PDC Bit Design Request rev C.docx</t>
  </si>
  <si>
    <t>\\COT-SQL01\SEData\cot-i\eg\se\rel\Fixed Cutter Rockbits SKF\Size 08.750\Blade 6\SKF-02004r01.asm</t>
  </si>
  <si>
    <t>2004\Summary.doc</t>
  </si>
  <si>
    <t>..\02_Spec Sheets\WIP 2.0\3123.2004\2004.Top.C.png</t>
  </si>
  <si>
    <t>..\02_Spec Sheets\WIP 2.0\3123.2004\2004.ISO.C.png</t>
  </si>
  <si>
    <t>..\02_Spec Sheets\Original Assy Spec Sheets\2004.pdf</t>
  </si>
  <si>
    <t>2004\2004 @ 0.25 IPR.xls</t>
  </si>
  <si>
    <t>2004\2004.dwg</t>
  </si>
  <si>
    <t>2004\2004 @ 0.25 IPR.dwg</t>
  </si>
  <si>
    <t>CR616-YR</t>
  </si>
  <si>
    <t>17.5-22.5</t>
  </si>
  <si>
    <t>3 Start; Opposed; Redundant; Variable exposure; forward spiral pattern; Secondary Blade cutters have equal exposure to primary blade cutters</t>
  </si>
  <si>
    <t>2005\084 PNR Lateral Bit Design Request rev C.docx</t>
  </si>
  <si>
    <t>2005\CDG-38368r1.dwg</t>
  </si>
  <si>
    <t>2005\CDG-38368r1.xls</t>
  </si>
  <si>
    <t>\\COT-SQL01\SEData\cot-i\eg\se\rel\Fixed Cutter Rockbits SKF\Size 08.500\Blade 6\SKF-02005r2.asm</t>
  </si>
  <si>
    <t>..\02_Spec Sheets\WIP 2.0\3285.2005\2005.Top.C.png</t>
  </si>
  <si>
    <t>..\02_Spec Sheets\WIP 2.0\3285.2005\2005.ISO.C.png</t>
  </si>
  <si>
    <t>..\02_Spec Sheets\Original Assy Spec Sheets\2005.pdf</t>
  </si>
  <si>
    <t>2005\2005 @ 0.25 IPR.xls</t>
  </si>
  <si>
    <t>2005\2005.dwg</t>
  </si>
  <si>
    <t>2005\2005 @ 0.25 IPR.dwg</t>
  </si>
  <si>
    <t>CR619-SR</t>
  </si>
  <si>
    <t>1.75 radius</t>
  </si>
  <si>
    <t>Blade “Z” offsets to equalize cutlet depths @ 0.180 in/rev or 250 rpm @ 150 ft/hr</t>
  </si>
  <si>
    <t>1.188 radius</t>
  </si>
  <si>
    <t>2010\105 616-YR PDC Bit Design Request rev C.docx</t>
  </si>
  <si>
    <t>2010\CDG-38381r1.dwg</t>
  </si>
  <si>
    <t>2010\CDG-38381r1.xls</t>
  </si>
  <si>
    <t>\\COT-SQL01\SEData\cot-i\eg\se\rel\Fixed Cutter Rockbits SKF\Size 10.625\Blade 6\SKF-02010r2.asm</t>
  </si>
  <si>
    <t>..\02_Spec Sheets\WIP 2.0\3442.2010\2010.Top.C.png</t>
  </si>
  <si>
    <t>..\02_Spec Sheets\WIP 2.0\3442.2010\2010.ISO.C.png</t>
  </si>
  <si>
    <t>..\02_Spec Sheets\Original Assy Spec Sheets\2010.pdf</t>
  </si>
  <si>
    <t>2010\2010 @ 0.25 IPR.xls</t>
  </si>
  <si>
    <t>2010\2010A.dwg</t>
  </si>
  <si>
    <t>2010\2010 LO.dwg</t>
  </si>
  <si>
    <t>2010\2010 @ 0.25 IPR.dwg</t>
  </si>
  <si>
    <t>CR616-YR9</t>
  </si>
  <si>
    <t>2.0 radius</t>
  </si>
  <si>
    <t>2012\097 619-YR PDC Bit Design Request rev C.docx</t>
  </si>
  <si>
    <t>2012\CDG-38392r1.dwg</t>
  </si>
  <si>
    <t>2012\CDG-38392r1.xls</t>
  </si>
  <si>
    <t>\\COT-SQL01\SEData\cot-i\eg\se\rel\Fixed Cutter Rockbits SKF\Size 09.875\Blade 6\SKF-02012r02.asm</t>
  </si>
  <si>
    <t>..\02_Spec Sheets\WIP 2.0\5817.2012\2012.Top.C.png</t>
  </si>
  <si>
    <t>..\02_Spec Sheets\WIP 2.0\5817.2012\2012.ISO.C.png</t>
  </si>
  <si>
    <t>..\02_Spec Sheets\Original Assy Spec Sheets\2012.pdf</t>
  </si>
  <si>
    <t>2012\2012 @ 0.25 IPR.xls</t>
  </si>
  <si>
    <t>2012\2012.dwg</t>
  </si>
  <si>
    <t>2012\2012 @ 0.25 IPR.dwg</t>
  </si>
  <si>
    <t>1.9375 radius</t>
  </si>
  <si>
    <t>2017\086 619-SR (South Texas) PDC Bit Design Request rev C.docx</t>
  </si>
  <si>
    <t>2017\CDG-38408r1.dwg</t>
  </si>
  <si>
    <t>2017\CDG-38408r1.xls</t>
  </si>
  <si>
    <t>\\COT-SQL01\SEData\cot-i\eg\se\rel\Fixed Cutter Rockbits SKF\Size 08.750\Blade 6\SKF-02017r02.asm</t>
  </si>
  <si>
    <t>2017\2017 Summary Performance Analysis.docx</t>
  </si>
  <si>
    <t>..\02_Spec Sheets\WIP 2.0\4543.2017\2017.Top.C.png</t>
  </si>
  <si>
    <t>..\02_Spec Sheets\WIP 2.0\4543.2017\2017.ISO.C.png</t>
  </si>
  <si>
    <t>..\02_Spec Sheets\Original Assy Spec Sheets\2017.pdf</t>
  </si>
  <si>
    <t>2017\2017 @ 0.25 IPR.xls</t>
  </si>
  <si>
    <t>2017\2017A.dwg</t>
  </si>
  <si>
    <t>2017\2017 LO.dwg</t>
  </si>
  <si>
    <t>2017\2017 @ 0.25 IPR.dwg</t>
  </si>
  <si>
    <t>2017\2017A at 0.359 inRev.dwg</t>
  </si>
  <si>
    <t>15-17.5</t>
  </si>
  <si>
    <t>20-35</t>
  </si>
  <si>
    <t>L</t>
  </si>
  <si>
    <t>2018L\134 PDC Bit Design Request rev C.docx</t>
  </si>
  <si>
    <t>\\COT-SQL01\SEData\cot-i\eg\se\rel\Fixed Cutter Rockbits SKF\Size 13.500\blade 6\SKF-02018r02.asm</t>
  </si>
  <si>
    <t>2018L\2018A_Summary.doc</t>
  </si>
  <si>
    <t>..\02_Spec Sheets\WIP 2.0\8037L.2018L\2018L.Top.C.png</t>
  </si>
  <si>
    <t>..\02_Spec Sheets\WIP 2.0\8037L.2018L\2018L.ISO.C.png</t>
  </si>
  <si>
    <t>..\02_Spec Sheets\Original Assy Spec Sheets\2018L.pdf</t>
  </si>
  <si>
    <t>2018L\2018 @ 0.25 IPR.xls</t>
  </si>
  <si>
    <t>2018L\2018A.dwg</t>
  </si>
  <si>
    <t>2018L\2018 LO.dwg</t>
  </si>
  <si>
    <t>2018L\2018 @ 0.25 IPR.dwg</t>
  </si>
  <si>
    <t>3.0 radius</t>
  </si>
  <si>
    <t>3 Pattern start to position 10; Reverse Spiral; Redundant; Variable exposure from 0.19 to 0.141; Feathered gauge; Secondary blades are under exposed by .100”;</t>
  </si>
  <si>
    <t>2019\122 519-SR PDC Bit Design Request rev C.docx</t>
  </si>
  <si>
    <t>\\COT-SQL01\SEData\cot-i\eg\se\rel\Fixed Cutter Rockbits SKF\Size 12.250\Blade 5\SKF-02019r01.asm</t>
  </si>
  <si>
    <t>2019\Summary.doc</t>
  </si>
  <si>
    <t>..\02_Spec Sheets\WIP 2.0\8595.2019\2019.Top.C.png</t>
  </si>
  <si>
    <t>..\02_Spec Sheets\WIP 2.0\8595.2019\2019.ISO.C.png</t>
  </si>
  <si>
    <t>..\02_Spec Sheets\Original Assy Spec Sheets\2019.pdf</t>
  </si>
  <si>
    <t>2019\2019 @ 0.25 IPR.xls</t>
  </si>
  <si>
    <t>2019\2019A.dwg</t>
  </si>
  <si>
    <t>2019\2019 LO.dwg</t>
  </si>
  <si>
    <t>2019\2019 @ 0.25 IPR.dwg</t>
  </si>
  <si>
    <t>CR519-SR7</t>
  </si>
  <si>
    <t>forward spiral cone to reverse spiral at sec.; gap between transition</t>
  </si>
  <si>
    <t>SingleSet - R</t>
  </si>
  <si>
    <t>3 Pattern; forward spiral; Non-Redundant; to position 8. Then 5 Pattern; Reverse Spiral; Non. Redundant; to gage. Variable exposure from 0.273 to 0.250; Variable cutter “Z” exposure to equalize cutlet depths @ 0.300 in/rev or 100 rpm @ 150 ft/hr. Feathered gage 6 @ 0.020” Tip Grind</t>
  </si>
  <si>
    <t>2020\061 South Texas Vertical Production PDC Bit Design Request rev C.docx</t>
  </si>
  <si>
    <t>2020\CDG-38413r1.dwg</t>
  </si>
  <si>
    <t>2020\CDG-38413r1.xls</t>
  </si>
  <si>
    <t>\\COT-SQL01\SEData\cot-i\eg\se\rel\Fixed Cutter Rockbits SKF\Size 06.125\Blade 6\SKF-02020r03.asm</t>
  </si>
  <si>
    <t>..\02_Spec Sheets\WIP 2.0\6902.2020\2020.Top.C.png</t>
  </si>
  <si>
    <t>..\02_Spec Sheets\WIP 2.0\6902.2020\2020.ISO.C.png</t>
  </si>
  <si>
    <t>..\02_Spec Sheets\Original Assy Spec Sheets\2020.pdf</t>
  </si>
  <si>
    <t>2020\2020 @ 0.25 IPR.xls</t>
  </si>
  <si>
    <t>2020\2020A.dwg</t>
  </si>
  <si>
    <t>2020\2020 LO.dwg</t>
  </si>
  <si>
    <t>2020\2020 @ 0.25 IPR.dwg</t>
  </si>
  <si>
    <t>\\COT-SQL01\SEData\cot-i\eg\se\rel\Fixed Cutter Rockbits SKF\Size 08.500\Blade 5\SKF-02027r01.asm</t>
  </si>
  <si>
    <t>2027\2027A_Summary.doc</t>
  </si>
  <si>
    <t>..\02_Spec Sheets\WIP 2.0\8691.2027\2027.Top.C.png</t>
  </si>
  <si>
    <t>..\02_Spec Sheets\WIP 2.0\8691.2027\2027.ISO.C.png</t>
  </si>
  <si>
    <t>..\02_Spec Sheets\Original Assy Spec Sheets\2027.pdf</t>
  </si>
  <si>
    <t>2027\2027 @ 0.25 IPR.xls</t>
  </si>
  <si>
    <t>2027\2027A.dwg</t>
  </si>
  <si>
    <t>2027\2027 LO.dwg</t>
  </si>
  <si>
    <t>2027\2027 @ 0.25 IPR.dwg</t>
  </si>
  <si>
    <t>CR516-SR7</t>
  </si>
  <si>
    <t>1.6875 radius</t>
  </si>
  <si>
    <t>20-29</t>
  </si>
  <si>
    <t>3 Pattern start to position 7; Forward Spiral; Non-Redundant; Variable exposure from 0.234 to 0.188; All Blades have equal exposure; feathered gage; 0.020” Tip Grind</t>
  </si>
  <si>
    <t>\\COT-SQL01\SEData\cot-i\eg\se\rel\Fixed Cutter Rockbits SKF\Size 08.500\Blade 5\SKF-02028r01.asm</t>
  </si>
  <si>
    <t>2028\2028A_Summary.docx</t>
  </si>
  <si>
    <t>..\02_Spec Sheets\WIP 2.0\7221.2028\2028.Top.C.png</t>
  </si>
  <si>
    <t>..\02_Spec Sheets\WIP 2.0\7221.2028\2028.ISO.C.png</t>
  </si>
  <si>
    <t>..\02_Spec Sheets\Original Assy Spec Sheets\2028.pdf</t>
  </si>
  <si>
    <t>2028\2028 @ 0.25 IPR.xls</t>
  </si>
  <si>
    <t>2028\2028A.dwg</t>
  </si>
  <si>
    <t>2028\2028 LO.dwg</t>
  </si>
  <si>
    <t>2028\2028 @ 0.25 IPR.dwg</t>
  </si>
  <si>
    <t>CR513-YR7(BR)</t>
  </si>
  <si>
    <t>C</t>
  </si>
  <si>
    <t>Curve</t>
  </si>
  <si>
    <t>15-30</t>
  </si>
  <si>
    <t>3 Pattern start to position 8; Forward Spiral; Non-Redundant; Cut pattern is balanced. Secondary blades are equally exposed;</t>
  </si>
  <si>
    <t>2033\Slawson 061 516 Bit Request.docx</t>
  </si>
  <si>
    <t>\\COT-SQL01\SEData\cot-i\eg\se\rel\Fixed Cutter Rockbits SKF\Size 06.125\Blade 5\SKF-02033r01.asm</t>
  </si>
  <si>
    <t>2033\2033A_Summary.doc</t>
  </si>
  <si>
    <t>..\02_Spec Sheets\WIP 2.0\4318.2033\2033.Top.C.png</t>
  </si>
  <si>
    <t>..\02_Spec Sheets\WIP 2.0\4318.2033\2033.ISO.C.png</t>
  </si>
  <si>
    <t>..\02_Spec Sheets\Original Assy Spec Sheets\2033.pdf</t>
  </si>
  <si>
    <t>2033\2033 @ 0.25 IPR.xls</t>
  </si>
  <si>
    <t>2033\2033A.dwg</t>
  </si>
  <si>
    <t>2033\2033 LO.dwg</t>
  </si>
  <si>
    <t>2033\2033 @ 0.25 IPR.dwg</t>
  </si>
  <si>
    <t>2033\2033A at 0.1639 inRev.dwg</t>
  </si>
  <si>
    <t>CR516-SR</t>
  </si>
  <si>
    <t>16-24</t>
  </si>
  <si>
    <t>3 Pattern start to position 6; Reverse Spiral; Non-Redundant; Variable exposure; All Blades have equal exposure; feathered gage; 0.020” Tip Grind</t>
  </si>
  <si>
    <t>2036\17.5 616 SR design request.docx</t>
  </si>
  <si>
    <t>\\COT-SQL01\SEData\cot-i\eg\se\rel\Fixed Cutter Rockbits SKF\Size 17.500\Blade 6\SKF-02036r4.asm</t>
  </si>
  <si>
    <t>2036\2036A_Summary.docx</t>
  </si>
  <si>
    <t>..\02_Spec Sheets\WIP 2.0\2495.2036\2036.Top.C.png</t>
  </si>
  <si>
    <t>..\02_Spec Sheets\WIP 2.0\2495.2036\2036.ISO.C.png</t>
  </si>
  <si>
    <t>..\02_Spec Sheets\Original Assy Spec Sheets\2036.pdf</t>
  </si>
  <si>
    <t>2036\2036 @ 0.25 IPR.xls</t>
  </si>
  <si>
    <t>2036\2036A.dwg</t>
  </si>
  <si>
    <t>2036\2036 LO.dwg</t>
  </si>
  <si>
    <t>2036\2036 @ 0.25 IPR.dwg</t>
  </si>
  <si>
    <t>14-36-25</t>
  </si>
  <si>
    <t>3.5 radius</t>
  </si>
  <si>
    <t>3 Pattern start to position 10; Forward Spiral; Opposed redundant;</t>
  </si>
  <si>
    <t>2043\1001 New Design Request and Priority Rev K 060 616-SR 2020 Scale.docx</t>
  </si>
  <si>
    <t xml:space="preserve">DNE </t>
  </si>
  <si>
    <t>\\COT-SQL01\SEData\cot-i\eg\se\rel\Fixed Cutter Rockbits SKF\Size 06.000\Blade 6\SKF-02043r02.asm</t>
  </si>
  <si>
    <t>2043\2043A_Summary.doc</t>
  </si>
  <si>
    <t>..\02_Spec Sheets\WIP 2.0\6545.2043\2043.Top.C.png</t>
  </si>
  <si>
    <t>..\02_Spec Sheets\WIP 2.0\6545.2043\2043.ISO.C.png</t>
  </si>
  <si>
    <t>..\02_Spec Sheets\Original Assy Spec Sheets\2043.pdf</t>
  </si>
  <si>
    <t>2043\2043 @ 0.25 IPR.xls</t>
  </si>
  <si>
    <t>2043\2043A.dwg</t>
  </si>
  <si>
    <t>2043\2043 LO.dwg</t>
  </si>
  <si>
    <t>2043\2043 @ 0.25 IPR.dwg</t>
  </si>
  <si>
    <t>2043\2043A at 0.1500 inRev.dwg</t>
  </si>
  <si>
    <t>16-23</t>
  </si>
  <si>
    <t>3 Pattern start to position 6; Reverse Spiral; Redundant; Variable exposure; All Blades have equal exposure; feathered gage; 0.025” Tip Grind</t>
  </si>
  <si>
    <t>2046\Chaparral Energy 061 313YR Design Request.docx</t>
  </si>
  <si>
    <t>\\COT-SQL01\SEData\cot-i\eg\se\rel\Fixed Cutter Rockbits SKF\Size 06.125\Blade 3\SKF-02046r01.asm</t>
  </si>
  <si>
    <t>2046\2046A_Summary.docx</t>
  </si>
  <si>
    <t>..\02_Spec Sheets\WIP 2.0\9326.2046\2046.Top.C.png</t>
  </si>
  <si>
    <t>..\02_Spec Sheets\WIP 2.0\9326.2046\2046.ISO.C.png</t>
  </si>
  <si>
    <t>..\02_Spec Sheets\Original Assy Spec Sheets\2046.pdf</t>
  </si>
  <si>
    <t>2046\2046 @ 0.25 IPR.xls</t>
  </si>
  <si>
    <t>2046\2046A.dwg</t>
  </si>
  <si>
    <t>2046\2046 LO.dwg</t>
  </si>
  <si>
    <t>2046\2046 @ 0.25 IPR.dwg</t>
  </si>
  <si>
    <t>CR313-YR</t>
  </si>
  <si>
    <t>20-12.5</t>
  </si>
  <si>
    <t>15-27.5</t>
  </si>
  <si>
    <t>3 Pattern; Forward Spiral; Non-redundant; Backup cutters are 0.0284-.0256” under exposed. Backup cutters are trailing by one blade</t>
  </si>
  <si>
    <t>\\COT-SQL01\SEData\cot-i\eg\se\rel\Fixed Cutter Rockbits SKF\Size 13.500\blade 6\SKF-02049r02.asm</t>
  </si>
  <si>
    <t>2049L\2049A_Summary.doc</t>
  </si>
  <si>
    <t>..\02_Spec Sheets\WIP 2.0\8577L.2049L\2049L.Top.C.png</t>
  </si>
  <si>
    <t>..\02_Spec Sheets\WIP 2.0\8577L.2049L\2049L.ISO.C.png</t>
  </si>
  <si>
    <t>..\02_Spec Sheets\Original Assy Spec Sheets\2049L.pdf</t>
  </si>
  <si>
    <t>2049L\2049 @ 0.25 IPR.xls</t>
  </si>
  <si>
    <t>2049L\2049A.dwg</t>
  </si>
  <si>
    <t>2049L\2049 LO.dwg</t>
  </si>
  <si>
    <t>2049L\2049 @ 0.25 IPR.dwg</t>
  </si>
  <si>
    <t>B4C6 Cuttlet placement error</t>
  </si>
  <si>
    <t xml:space="preserve">3 Pattern start to position 10; Reverse Spiral; Redundant; Variable exposure from 0.19 to 0.141; </t>
  </si>
  <si>
    <t>\\COT-SQL01\SEData\cot-i\eg\se\rel\Fixed Cutter Rockbits SKF\Size 16.000\Blade 6\SKF-02050r02.asm</t>
  </si>
  <si>
    <t>2050\2050A_Summary.doc</t>
  </si>
  <si>
    <t>..\02_Spec Sheets\WIP 2.0\5136.2050\2050.Top.C.png</t>
  </si>
  <si>
    <t>..\02_Spec Sheets\WIP 2.0\5136.2050\2050.ISO.C.png</t>
  </si>
  <si>
    <t>..\02_Spec Sheets\Original Assy Spec Sheets\2050.pdf</t>
  </si>
  <si>
    <t>2050\2050 @ 0.25 IPR.xls</t>
  </si>
  <si>
    <t>2050\2050A.dwg</t>
  </si>
  <si>
    <t>2050\2050 LO.dwg</t>
  </si>
  <si>
    <t>2050\2050 @ 0.25 IPR.dwg</t>
  </si>
  <si>
    <t>CR616-SR9(LTJ)</t>
  </si>
  <si>
    <t>3.375 radius</t>
  </si>
  <si>
    <t>3 Pattern start to position 10; Reverse Spiral; Redundant</t>
  </si>
  <si>
    <t>\\COT-SQL01\SEData\cot-i\eg\se\rel\Fixed Cutter Rockbits SKF\Size 14.750\Blade 6\SKF-02051r01.asm</t>
  </si>
  <si>
    <t>2051\2051A_Summary.doc</t>
  </si>
  <si>
    <t>..\02_Spec Sheets\WIP 2.0\5699.2051\2051.Top.C.png</t>
  </si>
  <si>
    <t>..\02_Spec Sheets\WIP 2.0\5699.2051\2051.ISO.C.png</t>
  </si>
  <si>
    <t>..\02_Spec Sheets\Original Assy Spec Sheets\2051.pdf</t>
  </si>
  <si>
    <t>2051\2051 @ 0.25 IPR.xls</t>
  </si>
  <si>
    <t>2051\2051A.dwg</t>
  </si>
  <si>
    <t>2051\2051 LO.dwg</t>
  </si>
  <si>
    <t>2051\2051 @ 0.25 IPR.dwg</t>
  </si>
  <si>
    <t>3.25 radius</t>
  </si>
  <si>
    <t>3 Pattern start to position 10; Reverse Spiral; Redundant;</t>
  </si>
  <si>
    <t>2053\DR 10014.docx</t>
  </si>
  <si>
    <t>\\COT-SQL01\SEData\cot-i\eg\se\rel\Fixed Cutter Rockbits SKF\Size 08.500\Blade 6</t>
  </si>
  <si>
    <t>2053\2053A_Summary.docx</t>
  </si>
  <si>
    <t>..\02_Spec Sheets\WIP 2.0\6945.2053\2053.Top.C.png</t>
  </si>
  <si>
    <t>..\02_Spec Sheets\WIP 2.0\6945.2053\2053.ISO.C.png</t>
  </si>
  <si>
    <t>..\02_Spec Sheets\Original Assy Spec Sheets\2053.pdf</t>
  </si>
  <si>
    <t>2053\2053 @ 0.25 IPR.xls</t>
  </si>
  <si>
    <t>2053\2053A.dwg</t>
  </si>
  <si>
    <t>2053\2053 LO.dwg</t>
  </si>
  <si>
    <t>2053\2053 @ 0.25 IPR.dwg</t>
  </si>
  <si>
    <t>CR616-YR(BR)</t>
  </si>
  <si>
    <t>3 Pattern start to position 9; Reverse Spiral; Backup cutters trail one blade and are 5° more durable; Back reaming cutters;</t>
  </si>
  <si>
    <t>2054\8.5  616-YR Curve XTO  1001 New Design Request and Priority RevM.doc</t>
  </si>
  <si>
    <t>2054\CDG-38531r1.dwg</t>
  </si>
  <si>
    <t>2054\CDG-38531r1.xls</t>
  </si>
  <si>
    <t>\\COT-SQL01\SEData\cot-i\eg\se\rel\Fixed Cutter Rockbits SKF\Size 08.500\Blade 6\SKF-02054r01.asm</t>
  </si>
  <si>
    <t>2054\Summary.docx</t>
  </si>
  <si>
    <t>..\02_Spec Sheets\WIP 2.0\2529.2054\2054.Top.C.png</t>
  </si>
  <si>
    <t>..\02_Spec Sheets\WIP 2.0\2529.2054\2054.ISO.C.png</t>
  </si>
  <si>
    <t>..\02_Spec Sheets\Original Assy Spec Sheets\2054.pdf</t>
  </si>
  <si>
    <t>2054\2054 @ 0.25 IPR.xls</t>
  </si>
  <si>
    <t>2054\2054A.dwg</t>
  </si>
  <si>
    <t>2054\2054 LO.dwg</t>
  </si>
  <si>
    <t>2054\2054 @ 0.25 IPR.dwg</t>
  </si>
  <si>
    <t>20-22.5</t>
  </si>
  <si>
    <t>The only big differences are that it has back reaming cutters and PDC components in the gage.</t>
  </si>
  <si>
    <t>17.5-30</t>
  </si>
  <si>
    <t>2070\CDG-38577r1.dwg</t>
  </si>
  <si>
    <t>2070\CDG-38577.xlsm</t>
  </si>
  <si>
    <t>\\COT-SQL01\SEData\cot-i\eg\se\rel\Fixed Cutter Rockbits SKF\Size 08.500\Blade 5\SKF-02070r01.asm</t>
  </si>
  <si>
    <t>2070\2070A_Summary.docx</t>
  </si>
  <si>
    <t>..\02_Spec Sheets\WIP 2.0\5128.2070\2070.Top.C.png</t>
  </si>
  <si>
    <t>..\02_Spec Sheets\WIP 2.0\5128.2070\2070.ISO.C.png</t>
  </si>
  <si>
    <t>..\02_Spec Sheets\Original Assy Spec Sheets\2070.pdf</t>
  </si>
  <si>
    <t>2070\2070 @ 0.25 IPR.xls</t>
  </si>
  <si>
    <t>2070\2070A.dwg</t>
  </si>
  <si>
    <t>2070\2070 LO.dwg</t>
  </si>
  <si>
    <t>2070\2070 @ 0.25 IPR.dwg</t>
  </si>
  <si>
    <t>CR516-YR(K)(BR)</t>
  </si>
  <si>
    <t>Inactive Element</t>
  </si>
  <si>
    <t>1308 Cutters in cone</t>
  </si>
  <si>
    <t>1.5 radius</t>
  </si>
  <si>
    <t>Non-redundant; Reverse Spiral; Secondary blades are flush to primary; Knuckles are trailing one blade and set up to engage at .090” per rev. Back reaming cutters and 5 PDC in gage per blade.</t>
  </si>
  <si>
    <t>\\COT-SQL01\SEData\cot-i\eg\se\rel\Fixed Cutter Rockbits SKF\Size 08.500\Blade 5\SKF-02074r01.asm</t>
  </si>
  <si>
    <t>2074\2074A_Summary.docx</t>
  </si>
  <si>
    <t>..\02_Spec Sheets\WIP 2.0\8911.2027\2074.Top.C.png</t>
  </si>
  <si>
    <t>..\02_Spec Sheets\WIP 2.0\8911.2027\2074.ISO.C.png</t>
  </si>
  <si>
    <t>..\02_Spec Sheets\Original Assy Spec Sheets\2074.pdf</t>
  </si>
  <si>
    <t>2074\2074 @ 0.25 IPR.xls</t>
  </si>
  <si>
    <t>2074\2074A.dwg</t>
  </si>
  <si>
    <t>2074\2074 LO.dwg</t>
  </si>
  <si>
    <t>2074\2074 @ 0.25 IPR.dwg</t>
  </si>
  <si>
    <t>CR513-SR(K)(BR)</t>
  </si>
  <si>
    <t>Non-redundant; Reverse Spiral; Secondary blades are flush to primary; Back reaming cutters and 5 PDC in gage per blade.</t>
  </si>
  <si>
    <t>2075\CDG-38591r1.dwg</t>
  </si>
  <si>
    <t>2075\CDG-38591.xlsm</t>
  </si>
  <si>
    <t>\\COT-SQL01\SEData\cot-i\eg\se\rel\Fixed Cutter Rockbits SKF\Size 08.500\Blade 6\SKF-02075r01.asm</t>
  </si>
  <si>
    <t>2075\2075A_Summary.docx</t>
  </si>
  <si>
    <t>..\02_Spec Sheets\WIP 2.0\9807.2075\2075.Top.C.png</t>
  </si>
  <si>
    <t>..\02_Spec Sheets\WIP 2.0\9807.2075\2075.ISO.C.png</t>
  </si>
  <si>
    <t>..\02_Spec Sheets\Original Assy Spec Sheets\2075.pdf</t>
  </si>
  <si>
    <t>2075\2075 @ 0.25 IPR.xls</t>
  </si>
  <si>
    <t>2075\2075A.dwg</t>
  </si>
  <si>
    <t>2075\2075 LO.dwg</t>
  </si>
  <si>
    <t>2075\2075 @ 0.25 IPR.dwg</t>
  </si>
  <si>
    <t>CR611-SR(K)(BR)</t>
  </si>
  <si>
    <t>2077\CDG-38594r1.dwg</t>
  </si>
  <si>
    <t>2077\CDG-38594.xlsm</t>
  </si>
  <si>
    <t>\\COT-SQL01\SEData\cot-i\eg\se\rel\Fixed Cutter Rockbits SKF\Size 08.750\Blade 6\SKF-02077r01.asm</t>
  </si>
  <si>
    <t>2077\2077A_Summary.docx</t>
  </si>
  <si>
    <t>..\02_Spec Sheets\WIP 2.0\3193.2077\2077.Top.C.png</t>
  </si>
  <si>
    <t>..\02_Spec Sheets\WIP 2.0\3193.2077\2077.ISO.C.png</t>
  </si>
  <si>
    <t>..\02_Spec Sheets\Original Assy Spec Sheets\2077.pdf</t>
  </si>
  <si>
    <t>2077\2077 @ 0.25 IPR.xls</t>
  </si>
  <si>
    <t>2077\2077A.dwg</t>
  </si>
  <si>
    <t>2077\2077 LO.dwg</t>
  </si>
  <si>
    <t>2077\2077 @ 0.25 IPR.dwg</t>
  </si>
  <si>
    <t>2079\CDG-38604r1.dwg</t>
  </si>
  <si>
    <t>2079\CDG-38604.xlsm</t>
  </si>
  <si>
    <t>\\COT-SQL01\SEData\cot-i\eg\se\rel\Fixed Cutter Rockbits SKF\Size 06.125\Blade 4\SKF-02079r01.asm</t>
  </si>
  <si>
    <t>2079\2079A_Summary.docx</t>
  </si>
  <si>
    <t>..\02_Spec Sheets\WIP 2.0\4339.2079\2079.Top.C.png</t>
  </si>
  <si>
    <t>..\02_Spec Sheets\WIP 2.0\4339.2079\2079.ISO.C.png</t>
  </si>
  <si>
    <t>..\02_Spec Sheets\Original Assy Spec Sheets\2079.pdf</t>
  </si>
  <si>
    <t>2079\2079 @ 0.25 IPR.xls</t>
  </si>
  <si>
    <t>2079\2079A.dwg</t>
  </si>
  <si>
    <t>2079\2079 LO.dwg</t>
  </si>
  <si>
    <t>2079\2079 @ 0.25 IPR.dwg</t>
  </si>
  <si>
    <t>CR413-SR(K)</t>
  </si>
  <si>
    <t>18-27</t>
  </si>
  <si>
    <t>2 Pattern; Reverse Spiral; Non-redundant;</t>
  </si>
  <si>
    <t>2081\1001 New Design Request and Priority Rev M - Black Creek Drilling.doc</t>
  </si>
  <si>
    <t>2081\CDG-38611r1.dwg</t>
  </si>
  <si>
    <t>2081\CDG-38611.xlsm</t>
  </si>
  <si>
    <t>\\COT-SQL01\SEData\cot-i\eg\se\rel\Fixed Cutter Rockbits SKF\Size 08.750\Blade 5\SKF-02081r02.asm</t>
  </si>
  <si>
    <t>2081\2081A_Summary.docx</t>
  </si>
  <si>
    <t>..\02_Spec Sheets\WIP 2.0\3813.2081\2081.Top.C.png</t>
  </si>
  <si>
    <t>..\02_Spec Sheets\WIP 2.0\3813.2081\2081.ISO.C.png</t>
  </si>
  <si>
    <t>..\02_Spec Sheets\Original Assy Spec Sheets\2081.pdf</t>
  </si>
  <si>
    <t>2081\2081 @ 0.25 IPR.xls</t>
  </si>
  <si>
    <t>2081\2081A.dwg</t>
  </si>
  <si>
    <t>2081\2081 LO.dwg</t>
  </si>
  <si>
    <t>2081\2081 @ 0.25 IPR.dwg</t>
  </si>
  <si>
    <t>1308 Center Cutter</t>
  </si>
  <si>
    <t xml:space="preserve">Non-redundant; Reverse Spiral; Secondary blades are flush to primary; </t>
  </si>
  <si>
    <t>\\COT-SQL01\SEData\cot-i\eg\se\rel\Fixed Cutter Rockbits SKF\Size 09.875\Blade 6\SKF-02090r01.asm</t>
  </si>
  <si>
    <t>2090\2090A_Summary.docx</t>
  </si>
  <si>
    <t>..\02_Spec Sheets\WIP 2.0\7152.2090\2090.Top.C.png</t>
  </si>
  <si>
    <t>..\02_Spec Sheets\WIP 2.0\7152.2090\2090.ISO.C.png</t>
  </si>
  <si>
    <t>..\02_Spec Sheets\Original Assy Spec Sheets\2090.pdf</t>
  </si>
  <si>
    <t>2090\2090 @ 0.25 IPR.xls</t>
  </si>
  <si>
    <t>2090\2090A.dwg</t>
  </si>
  <si>
    <t>2090\2090 LO.dwg</t>
  </si>
  <si>
    <t>2090\2090 @ 0.25 IPR.dwg</t>
  </si>
  <si>
    <t>CR616-YR(K)</t>
  </si>
  <si>
    <t>Inactive Element; 1313 Cone</t>
  </si>
  <si>
    <t>2091\CDG-38639r1.xlsm</t>
  </si>
  <si>
    <t>\\COT-SQL01\SEData\cot-i\eg\se\rel\Fixed Cutter Rockbits SKF\Size 06.750\Blade 6\SKF-02091r01.asm</t>
  </si>
  <si>
    <t>..\02_Spec Sheets\WIP 2.0\4979.2091\2091.Top.C.png</t>
  </si>
  <si>
    <t>..\02_Spec Sheets\WIP 2.0\4979.2091\2091.ISO.C.png</t>
  </si>
  <si>
    <t>..\02_Spec Sheets\Original Assy Spec Sheets\2091.pdf</t>
  </si>
  <si>
    <t>2091\2091 @ 0.25 IPR.xls</t>
  </si>
  <si>
    <t>2091\2091A.dwg</t>
  </si>
  <si>
    <t>2091\2091 LO.dwg</t>
  </si>
  <si>
    <t>2091\2091 @ 0.25 IPR.dwg</t>
  </si>
  <si>
    <t>CR613-XR(BR)</t>
  </si>
  <si>
    <t>Cuttlet area mistake</t>
  </si>
  <si>
    <t>1111 Cone; 1308 on shoulder; 1308 BU</t>
  </si>
  <si>
    <t>1.562 radius</t>
  </si>
  <si>
    <t>22.5-30</t>
  </si>
  <si>
    <t>\\COT-SQL01\SEData\cot-i\eg\se\rel\Fixed Cutter Rockbits SKF\Size 07.875\Blade 4\SKF-02093r01.asm</t>
  </si>
  <si>
    <t>2093\2093A_Summary.docx</t>
  </si>
  <si>
    <t>..\02_Spec Sheets\WIP 2.0\3026.2093\2093.Top.C.png</t>
  </si>
  <si>
    <t>..\02_Spec Sheets\WIP 2.0\3026.2093\2093.ISO.C.png</t>
  </si>
  <si>
    <t>..\02_Spec Sheets\Original Assy Spec Sheets\2093.pdf</t>
  </si>
  <si>
    <t>2093\2093 @ 0.25 IPR.xls</t>
  </si>
  <si>
    <t>2093\2093A.dwg</t>
  </si>
  <si>
    <t>2093\2093 LO.dwg</t>
  </si>
  <si>
    <t>2093\2093 @ 0.25 IPR.dwg</t>
  </si>
  <si>
    <t>CR419-SR</t>
  </si>
  <si>
    <t>15-26</t>
  </si>
  <si>
    <t>\\COT-SQL01\SEData\cot-i\eg\se\rel\Fixed Cutter Rockbits SKF\Size 09.875\Blade 6\SKF-02095r01.asm</t>
  </si>
  <si>
    <t>2095\2095A_Summary.docx</t>
  </si>
  <si>
    <t>2095\2095r02_TOP.png</t>
  </si>
  <si>
    <t>2095\2095r02_ISO.png</t>
  </si>
  <si>
    <t>..\02_Spec Sheets\Original Assy Spec Sheets\2095.pdf</t>
  </si>
  <si>
    <t>2095\2095 @ 0.25 IPR.xls</t>
  </si>
  <si>
    <t>2095\2095A.dwg</t>
  </si>
  <si>
    <t>2095\2095 LO.dwg</t>
  </si>
  <si>
    <t>2095\2095 @ 0.25 IPR.dwg</t>
  </si>
  <si>
    <t>\\COT-SQL01\SEData\cot-i\eg\se\rel\Fixed Cutter Rockbits SKF\Size 06.750\Blade 5\SKF-02096r01.asm</t>
  </si>
  <si>
    <t>2096\2096A_Summary.docx</t>
  </si>
  <si>
    <t>..\02_Spec Sheets\WIP 2.0\4260.2096\2096.Top.C.png</t>
  </si>
  <si>
    <t>..\02_Spec Sheets\WIP 2.0\4260.2096\2096.ISO.C.png</t>
  </si>
  <si>
    <t>..\02_Spec Sheets\Original Assy Spec Sheets\2096.pdf</t>
  </si>
  <si>
    <t>2096\2096 @ 0.25 IPR.xls</t>
  </si>
  <si>
    <t>2096\2096A.dwg</t>
  </si>
  <si>
    <t>2096\2096 LO.dwg</t>
  </si>
  <si>
    <t>2096\2096 @ 0.25 IPR.dwg</t>
  </si>
  <si>
    <t>CR513-XR(K)</t>
  </si>
  <si>
    <t>15-22.5</t>
  </si>
  <si>
    <t xml:space="preserve">Non-redundant; Reverse Spiral; Secondary blades are flush to primary; Backup cutters are set at .400”/rev under exposed. </t>
  </si>
  <si>
    <t>\\COT-SQL01\SEData\cot-i\eg\se\rel\Fixed Cutter Rockbits SKF\Size 09.875\Blade 6\SKF-02104r01.asm</t>
  </si>
  <si>
    <t>2104\2104A_Summary.docx</t>
  </si>
  <si>
    <t>..\02_Spec Sheets\WIP 2.0\7426.2104\2104.Top.C.png</t>
  </si>
  <si>
    <t>..\02_Spec Sheets\WIP 2.0\7426.2104\2104.ISO.C.png</t>
  </si>
  <si>
    <t>..\02_Spec Sheets\Original Assy Spec Sheets\2104.pdf</t>
  </si>
  <si>
    <t>2104\2104 @ 0.25 IPR.xls</t>
  </si>
  <si>
    <t>2104\2104A.dwg</t>
  </si>
  <si>
    <t>2104\2104 LO.dwg</t>
  </si>
  <si>
    <t>2104\2104 @ 0.25 IPR.dwg</t>
  </si>
  <si>
    <t>CR616-XR(K)</t>
  </si>
  <si>
    <t>15-17</t>
  </si>
  <si>
    <t>\\COT-SQL01\SEData\cot-i\eg\se\rel\Fixed Cutter Rockbits SKF\Size 09.875\Blade 5\SKF-02110r01.asm</t>
  </si>
  <si>
    <t>2110\2110A_Summary.docx</t>
  </si>
  <si>
    <t>..\02_Spec Sheets\WIP 2.0\5434.2110\2110.Top.C.png</t>
  </si>
  <si>
    <t>..\02_Spec Sheets\WIP 2.0\5434.2110\2110.ISO.C.png</t>
  </si>
  <si>
    <t>..\02_Spec Sheets\Original Assy Spec Sheets\2110.pdf</t>
  </si>
  <si>
    <t>2110\2110 @ 0.25 IPR.xls</t>
  </si>
  <si>
    <t>2110\2110A.dwg</t>
  </si>
  <si>
    <t>2110\2110 LO.dwg</t>
  </si>
  <si>
    <t>2110\2110 @ 0.25 IPR.dwg</t>
  </si>
  <si>
    <t>CR516-XR(K)</t>
  </si>
  <si>
    <t>1608 in Cone</t>
  </si>
  <si>
    <t>16-30</t>
  </si>
  <si>
    <t>35-40</t>
  </si>
  <si>
    <t xml:space="preserve">Single set; Reverse Spiral;  </t>
  </si>
  <si>
    <t>\\COT-SQL01\SEData\cot-i\eg\se\rel\Fixed Cutter Rockbits SKF\Size 12.250\Blade 6\SKF-02114r01.asm</t>
  </si>
  <si>
    <t>2114\2114A_Summary.docx</t>
  </si>
  <si>
    <t>..\02_Spec Sheets\WIP 2.0\5406.2114\2114.Top.C.png</t>
  </si>
  <si>
    <t>..\02_Spec Sheets\WIP 2.0\5406.2114\2114.ISO.C.png</t>
  </si>
  <si>
    <t>..\02_Spec Sheets\Original Assy Spec Sheets\2114.pdf</t>
  </si>
  <si>
    <t>2114\2114 @ 0.25 IPR.xls</t>
  </si>
  <si>
    <t>2114\2114A.dwg</t>
  </si>
  <si>
    <t>2114\2114 LO.dwg</t>
  </si>
  <si>
    <t>2114\2114 @ 0.25 IPR.dwg</t>
  </si>
  <si>
    <t>CR619-SR9(K)</t>
  </si>
  <si>
    <t xml:space="preserve">Redundant; Reverse Spiral; </t>
  </si>
  <si>
    <t>\\COT-SQL01\SEData\cot-i\eg\se\rel\Fixed Cutter Rockbits SKF\Size 06.750\Blade 5\SKF-02115r01.asm</t>
  </si>
  <si>
    <t>2115\2115A_Summary.docx</t>
  </si>
  <si>
    <t>..\02_Spec Sheets\WIP 2.0\7156.2115\2115.Top.C.png</t>
  </si>
  <si>
    <t>..\02_Spec Sheets\WIP 2.0\7156.2115\2115.ISO.C.png</t>
  </si>
  <si>
    <t>..\02_Spec Sheets\Original Assy Spec Sheets\2115.pdf</t>
  </si>
  <si>
    <t>2115\2115 @ 0.25 IPR.xls</t>
  </si>
  <si>
    <t>2115\2115A.dwg</t>
  </si>
  <si>
    <t>2115\2115 LO.dwg</t>
  </si>
  <si>
    <t>2115\2115 @ 0.25 IPR.dwg</t>
  </si>
  <si>
    <t>CR516-XR(BR)</t>
  </si>
  <si>
    <t>12.5-30</t>
  </si>
  <si>
    <t>15-29</t>
  </si>
  <si>
    <t>\\COT-SQL01\SEData\cot-i\eg\se\rel\Fixed Cutter Rockbits SKF\Size 06.750\Blade 5\SKF-02117r01.asm</t>
  </si>
  <si>
    <t>2117\2117A_Summary.docx</t>
  </si>
  <si>
    <t>..\02_Spec Sheets\WIP 2.0\9826.2117\2117.Top.C.png</t>
  </si>
  <si>
    <t>..\02_Spec Sheets\WIP 2.0\9826.2117\2117.ISO.C.png</t>
  </si>
  <si>
    <t>..\02_Spec Sheets\Original Assy Spec Sheets\2117.pdf</t>
  </si>
  <si>
    <t>2117\2117 @ 0.25 IPR.xls</t>
  </si>
  <si>
    <t>2117\2117A.dwg</t>
  </si>
  <si>
    <t>2117\2117 LO.dwg</t>
  </si>
  <si>
    <t>2117\2117 @ 0.25 IPR.dwg</t>
  </si>
  <si>
    <t>\\COT-SQL01\SEData\cot-i\eg\se\rel\Fixed Cutter Rockbits SKF\Size 12.250\Blade 6\SKF-02119r01.asm</t>
  </si>
  <si>
    <t>2119\2119A_Summary.docx</t>
  </si>
  <si>
    <t>..\02_Spec Sheets\WIP 2.0\5621.2119\2119.Top.C.png</t>
  </si>
  <si>
    <t>..\02_Spec Sheets\WIP 2.0\5621.2119\2119.ISO.C.png</t>
  </si>
  <si>
    <t>..\02_Spec Sheets\Original Assy Spec Sheets\2119.pdf</t>
  </si>
  <si>
    <t>2119\2119 @ 0.25 IPR.xls</t>
  </si>
  <si>
    <t>2119\2119A.dwg</t>
  </si>
  <si>
    <t>2119\2119 LO.dwg</t>
  </si>
  <si>
    <t>2119\2119 @ 0.25 IPR.dwg</t>
  </si>
  <si>
    <t>CR614.5-SR+9(K)</t>
  </si>
  <si>
    <t>2120\Shell 8.75 CR517SR+.docx</t>
  </si>
  <si>
    <t>\\COT-SQL01\SEData\cot-i\eg\se\rel\Fixed Cutter Rockbits SKF\Size 08.750\Blade 5\SKF-02120r01.asm</t>
  </si>
  <si>
    <t>2120\2120A_Summary.docx</t>
  </si>
  <si>
    <t>..\02_Spec Sheets\WIP 2.0\8204.2120\2120.Top.C.png</t>
  </si>
  <si>
    <t>..\02_Spec Sheets\WIP 2.0\8204.2120\2120.ISO.C.png</t>
  </si>
  <si>
    <t>..\02_Spec Sheets\Original Assy Spec Sheets\2120.pdf</t>
  </si>
  <si>
    <t>2120\2120 @ 0.25 IPR.xls</t>
  </si>
  <si>
    <t>2120\2120A.dwg</t>
  </si>
  <si>
    <t>2120\2120 LO.dwg</t>
  </si>
  <si>
    <t>2120\2120 @ 0.25 IPR.dwg</t>
  </si>
  <si>
    <t>CR517-SR7(K)(BR)</t>
  </si>
  <si>
    <t>Lateral</t>
  </si>
  <si>
    <t>1.688 radius</t>
  </si>
  <si>
    <t>Single set; Reverse Spiral;</t>
  </si>
  <si>
    <t>\\COT-SQL01\SEData\cot-i\eg\se\rel\Fixed Cutter Rockbits SKF\Size 09.875\Blade 5\SKF-02121r01.asm</t>
  </si>
  <si>
    <t>2121\2121A_Summary.docx</t>
  </si>
  <si>
    <t>..\02_Spec Sheets\WIP 2.0\5366.2121\2121.Top.C.png</t>
  </si>
  <si>
    <t>..\02_Spec Sheets\WIP 2.0\5366.2121\2121.ISO.C.png</t>
  </si>
  <si>
    <t>..\02_Spec Sheets\Original Assy Spec Sheets\2121.pdf</t>
  </si>
  <si>
    <t>2121\2121 @ 0.25 IPR.xls</t>
  </si>
  <si>
    <t>2121\2121A.dwg</t>
  </si>
  <si>
    <t>2121\2121 LO.dwg</t>
  </si>
  <si>
    <t>2121\2121 @ 0.25 IPR.dwg</t>
  </si>
  <si>
    <t>15-12.5</t>
  </si>
  <si>
    <t>12.5-17</t>
  </si>
  <si>
    <t>2122\CDG-38705r1.dwg</t>
  </si>
  <si>
    <t>2122\CDG-38705r1.xlsm</t>
  </si>
  <si>
    <t>\\COT-SQL01\SEData\cot-i\eg\se\rel\Fixed Cutter Rockbits SKF\Size 12.250\Blade 7\SKF-02122r01.asm</t>
  </si>
  <si>
    <t>2122\2122A_Summary.docx</t>
  </si>
  <si>
    <t>..\02_Spec Sheets\WIP 2.0\7410.2122\2122.Top.C.png</t>
  </si>
  <si>
    <t>..\02_Spec Sheets\WIP 2.0\7410.2122\2122.ISO.C.png</t>
  </si>
  <si>
    <t>..\02_Spec Sheets\Original Assy Spec Sheets\2122.pdf</t>
  </si>
  <si>
    <t>2122\2122 @ 0.25 IPR.xls</t>
  </si>
  <si>
    <t>2122\2122.dwg</t>
  </si>
  <si>
    <t>2122\2122 LO.dwg</t>
  </si>
  <si>
    <t>2122\2122 @ 0.25 IPR.dwg</t>
  </si>
  <si>
    <t>CR713-SR(K)</t>
  </si>
  <si>
    <t>Inactive Element; Cuttlet area mistake</t>
  </si>
  <si>
    <t xml:space="preserve">Non-redundant; Reverse Spiral; Secondary blades are flush to primary; knuckles are set at .091”/rev.  </t>
  </si>
  <si>
    <t>\\COT-SQL01\SEData\cot-i\eg\se\rel\Fixed Cutter Rockbits SKF\Size 12.250\Blade 5\SKF-02124r02.asm</t>
  </si>
  <si>
    <t>2124\2124A_Summary.docx</t>
  </si>
  <si>
    <t>..\02_Spec Sheets\WIP 2.0\6713.2124\2124.Top.C.png</t>
  </si>
  <si>
    <t>..\02_Spec Sheets\WIP 2.0\6713.2124\2124.ISO.C.png</t>
  </si>
  <si>
    <t>..\02_Spec Sheets\Original Assy Spec Sheets\2124.pdf</t>
  </si>
  <si>
    <t>2124\2124 @ 0.25 IPR.xls</t>
  </si>
  <si>
    <t>2124\2124.dwg</t>
  </si>
  <si>
    <t>2124\2124 LO.dwg</t>
  </si>
  <si>
    <t>2124\2124 @ 0.25 IPR.dwg</t>
  </si>
  <si>
    <t>CR516-XR8(K)(BR)</t>
  </si>
  <si>
    <t>Inactive Element; 1308 Center cutter</t>
  </si>
  <si>
    <t>Ellipse</t>
  </si>
  <si>
    <t xml:space="preserve">Non-redundant; Reverse Spiral; Secondary blades are flush to primary; Backup cutters are set at .4”/rev.  </t>
  </si>
  <si>
    <t>\\COT-SQL01\SEData\cot-i\eg\se\rel\Fixed Cutter Rockbits SKF\Size 06.750\Blade 5\SKF-02126r01.asm</t>
  </si>
  <si>
    <t>2126\2126A_Summary.docx</t>
  </si>
  <si>
    <t>..\02_Spec Sheets\WIP 2.0\6495.2126\2126.Top.C.png</t>
  </si>
  <si>
    <t>..\02_Spec Sheets\WIP 2.0\6495.2126\2126.ISO.C.png</t>
  </si>
  <si>
    <t>..\02_Spec Sheets\Original Assy Spec Sheets\2126.pdf</t>
  </si>
  <si>
    <t>2126\2126 @ 0.25 IPR.xls</t>
  </si>
  <si>
    <t>2126\2126A.dwg</t>
  </si>
  <si>
    <t>2126\2126 LO.dwg</t>
  </si>
  <si>
    <t>2126\2126 @ 0.25 IPR.dwg</t>
  </si>
  <si>
    <t>CR513-SR(BR)</t>
  </si>
  <si>
    <t>labeled as 511; Replot cuttlets</t>
  </si>
  <si>
    <t>2131\CDG-38720r1.xlsm</t>
  </si>
  <si>
    <t>\\COT-SQL01\SEData\cot-i\eg\se\rel\Fixed Cutter Rockbits SKF\Size 07.875\Blade 6\SKF-02131r01.asm</t>
  </si>
  <si>
    <t>2131\2131A_Summary.docx</t>
  </si>
  <si>
    <t>..\02_Spec Sheets\WIP 2.0\8001.2131\2131.Top.C.png</t>
  </si>
  <si>
    <t>..\02_Spec Sheets\WIP 2.0\8001.2131\2131.ISO.C.png</t>
  </si>
  <si>
    <t>..\02_Spec Sheets\Original Assy Spec Sheets\2131.pdf</t>
  </si>
  <si>
    <t>2131\2131 @ 0.25 IPR.xls</t>
  </si>
  <si>
    <t>2131\2131A.dwg</t>
  </si>
  <si>
    <t>2131\2131 LO.dwg</t>
  </si>
  <si>
    <t>2131\2131 @ 0.25 IPR.dwg</t>
  </si>
  <si>
    <t>2131\2131A @ .200 in_rev.pdf</t>
  </si>
  <si>
    <t xml:space="preserve">Non-redundant; Reverse Spiral; Secondary blades are flush to primary. </t>
  </si>
  <si>
    <t>2137\CDG-38733r1.dwg</t>
  </si>
  <si>
    <t>2137\CDG-38733r1.xlsm</t>
  </si>
  <si>
    <t>\\COT-SQL01\SEData\cot-i\eg\se\rel\Fixed Cutter Rockbits SKF\Size 11.000\Blade 5\SKF-02137r02.asm</t>
  </si>
  <si>
    <t>..\02_Spec Sheets\WIP 2.0\3665.2137\2137.Top.C.png</t>
  </si>
  <si>
    <t>..\02_Spec Sheets\WIP 2.0\3665.2137\2137.ISO.C.png</t>
  </si>
  <si>
    <t>..\02_Spec Sheets\Original Assy Spec Sheets\2137.pdf</t>
  </si>
  <si>
    <t>2137\2137 @ 0.25 IPR.xls</t>
  </si>
  <si>
    <t>2137\DOC.dwg</t>
  </si>
  <si>
    <t>2137\2137 LO.dwg</t>
  </si>
  <si>
    <t>2137\2137 @ 0.25 IPR.dwg</t>
  </si>
  <si>
    <t>CR519-SR8</t>
  </si>
  <si>
    <t>CR616-XR9(K)(BR)</t>
  </si>
  <si>
    <t xml:space="preserve">Non-redundant; Reverse Spiral; Secondary blades are flush to primary; Knuckles are under exposed in the cone and nose at .025”; all other backup elements are even exposure with the primary elements. </t>
  </si>
  <si>
    <t>\\COT-SQL01\SEData\cot-i\eg\se\rel\Fixed Cutter Rockbits SKF\Size 07.875\Blade 6\SKF-02140r03.asm</t>
  </si>
  <si>
    <t>..\02_Spec Sheets\WIP 2.0\4599.2140\2140.Top.C.png</t>
  </si>
  <si>
    <t>..\02_Spec Sheets\WIP 2.0\4599.2140\2140.ISO.C.png</t>
  </si>
  <si>
    <t>..\02_Spec Sheets\Original Assy Spec Sheets\2140.pdf</t>
  </si>
  <si>
    <t>2140\2140 @ 0.25 IPR.xls</t>
  </si>
  <si>
    <t>2140\2140.dwg</t>
  </si>
  <si>
    <t>2140\2140 LO.dwg</t>
  </si>
  <si>
    <t>2140\2140 @ 0.25 IPR.dwg</t>
  </si>
  <si>
    <t>2140\2140B at .200 inRev.pdf</t>
  </si>
  <si>
    <t>2141\CDG-38739r1.dwg</t>
  </si>
  <si>
    <t>2141\CDG-38739r1.xlsm</t>
  </si>
  <si>
    <t>\\COT-SQL01\SEData\cot-i\eg\se\rel\Fixed Cutter Rockbits SKF\Size 12.250\Blade 6\SKF-02141r01.asm</t>
  </si>
  <si>
    <t>2141\2141A_Summary.docx</t>
  </si>
  <si>
    <t>..\02_Spec Sheets\WIP 2.0\3690.2141\2141.Top.C.png</t>
  </si>
  <si>
    <t>..\02_Spec Sheets\WIP 2.0\3690.2141\2141.ISO.C.png</t>
  </si>
  <si>
    <t>..\02_Spec Sheets\Original Assy Spec Sheets\2141.pdf</t>
  </si>
  <si>
    <t>2141\2141 @ 0.25 IPR.xls</t>
  </si>
  <si>
    <t>2141\2141.dwg</t>
  </si>
  <si>
    <t>2141\2141 LO.dwg</t>
  </si>
  <si>
    <t>2141\2141 @ 0.25 IPR.dwg</t>
  </si>
  <si>
    <t>Dual Radius</t>
  </si>
  <si>
    <t xml:space="preserve">Redundant; Reverse Spiral; Secondary blades are equally exposed to primary; </t>
  </si>
  <si>
    <t>2142\CDG-38741r1.dwg</t>
  </si>
  <si>
    <t>2142\CDG-38741r1.xlsm</t>
  </si>
  <si>
    <t>\\COT-SQL01\SEData\cot-i\eg\se\rel\Fixed Cutter Rockbits SKF\Size 08.750\Blade 6\SKF-02142r01.asm</t>
  </si>
  <si>
    <t>2142\2142A_Summary.docx</t>
  </si>
  <si>
    <t>..\02_Spec Sheets\WIP 2.0\7681.2142\2142.Top.C.png</t>
  </si>
  <si>
    <t>..\02_Spec Sheets\WIP 2.0\7681.2142\2142.ISO.C.png</t>
  </si>
  <si>
    <t>..\02_Spec Sheets\Original Assy Spec Sheets\2142.pdf</t>
  </si>
  <si>
    <t>2142\2142 @ 0.25 IPR.xls</t>
  </si>
  <si>
    <t>2142\2142.dwg</t>
  </si>
  <si>
    <t>2142\2142 LO.dwg</t>
  </si>
  <si>
    <t>2142\2142 @ 0.25 IPR.dwg</t>
  </si>
  <si>
    <t>CR616-SR(K)</t>
  </si>
  <si>
    <t>2143\CDG-38746r1.dwg</t>
  </si>
  <si>
    <t>2143\CDG-38746r1.xlsm</t>
  </si>
  <si>
    <t>\\COT-SQL01\SEData\cot-i\eg\se\rel\Fixed Cutter Rockbits SKF\Size 08.500\Blade 6\SKF-02143r01.asm</t>
  </si>
  <si>
    <t>..\02_Spec Sheets\WIP 2.0\3376.2143\2143.Top.C.png</t>
  </si>
  <si>
    <t>..\02_Spec Sheets\WIP 2.0\3376.2143\2143.ISO.C.png</t>
  </si>
  <si>
    <t>..\02_Spec Sheets\Original Assy Spec Sheets\2143.pdf</t>
  </si>
  <si>
    <t>2143\2143 @ 0.25 IPR.xls</t>
  </si>
  <si>
    <t>2143\2143.dwg</t>
  </si>
  <si>
    <t>2143\2143 LO.dwg</t>
  </si>
  <si>
    <t>2143\2143 @ 0.25 IPR.dwg</t>
  </si>
  <si>
    <t>11mm cone; 13mm shoulder</t>
  </si>
  <si>
    <t>13-26</t>
  </si>
  <si>
    <t>\\COT-SQL01\SEData\cot-i\eg\se\rel\Fixed Cutter Rockbits SKF\Size 10.625\Blade 7\SKF-02145r01.asm</t>
  </si>
  <si>
    <t>..\02_Spec Sheets\WIP 2.0\5320.2145\2145.Top.C.png</t>
  </si>
  <si>
    <t>..\02_Spec Sheets\WIP 2.0\5320.2145\2145.ISO.C.png</t>
  </si>
  <si>
    <t>..\02_Spec Sheets\Original Assy Spec Sheets\2145.pdf</t>
  </si>
  <si>
    <t>2145\2145 @ 0.25 IPR.xls</t>
  </si>
  <si>
    <t>2145\2145A.dwg</t>
  </si>
  <si>
    <t>2145\2145 LO.dwg</t>
  </si>
  <si>
    <t>2145\2145 @ 0.25 IPR.dwg</t>
  </si>
  <si>
    <t>2145\2145A at 0.200 in-rev.dwg</t>
  </si>
  <si>
    <t>CR716-XR(K)(BR)</t>
  </si>
  <si>
    <t>22.5-17</t>
  </si>
  <si>
    <t>18-31.2</t>
  </si>
  <si>
    <t>2148\CDG-38756r1.xlsm</t>
  </si>
  <si>
    <t>\\COT-SQL01\SEData\cot-i\eg\se\rel\Fixed Cutter Rockbits SKF\Size 12.250\Blade 6\SKF-02148r01.asm</t>
  </si>
  <si>
    <t>2148\2148_Summary.docx</t>
  </si>
  <si>
    <t>..\02_Spec Sheets\WIP 2.0\3674.2148\2148.Top.C.png</t>
  </si>
  <si>
    <t>..\02_Spec Sheets\WIP 2.0\3674.2148\2148.ISO.C.png</t>
  </si>
  <si>
    <t>..\02_Spec Sheets\Original Assy Spec Sheets\2148.pdf</t>
  </si>
  <si>
    <t>2148\2148 @ 0.25 IPR.xls</t>
  </si>
  <si>
    <t>2148\2148.dwg</t>
  </si>
  <si>
    <t>2148\2148 LO.dwg</t>
  </si>
  <si>
    <t>2148\2148 @ 0.25 IPR.dwg</t>
  </si>
  <si>
    <t>CR613-XR(K)(BR)</t>
  </si>
  <si>
    <t>2152\CDG-38770r1.xlsm</t>
  </si>
  <si>
    <t>\\COT-SQL01\SEData\cot-i\eg\se\rel\Fixed Cutter Rockbits SKF\Size 06.750\Blade 5\SKF-02152r01.asm</t>
  </si>
  <si>
    <t>2152\2152A_Summary.docx</t>
  </si>
  <si>
    <t>..\02_Spec Sheets\WIP 2.0\6270.2152\2152.Top.C.png</t>
  </si>
  <si>
    <t>..\02_Spec Sheets\WIP 2.0\6270.2152\2152.ISO.C.png</t>
  </si>
  <si>
    <t>..\02_Spec Sheets\Original Assy Spec Sheets\2152.pdf</t>
  </si>
  <si>
    <t>2152\2152 @ 0.25 IPR.xls</t>
  </si>
  <si>
    <t>2152\2152A.dwg</t>
  </si>
  <si>
    <t>2152\2152 LO.dwg</t>
  </si>
  <si>
    <t>2152\2152 @ 0.25 IPR.dwg</t>
  </si>
  <si>
    <t>2153\CDG-38772r1.dwg</t>
  </si>
  <si>
    <t>2153\CDG-38772r1.xlsm</t>
  </si>
  <si>
    <t>\\COT-SQL01\SEData\cot-i\eg\se\rel\Fixed Cutter Rockbits SKF\Size 12.250\Blade 7\SKF-02153r01.asm</t>
  </si>
  <si>
    <t>2153\2153A_Summary.docx</t>
  </si>
  <si>
    <t>..\02_Spec Sheets\WIP 2.0\9227.2153\2153.Top.C.png</t>
  </si>
  <si>
    <t>..\02_Spec Sheets\WIP 2.0\9227.2153\2153.ISO.C.png</t>
  </si>
  <si>
    <t>..\02_Spec Sheets\Original Assy Spec Sheets\2153.pdf</t>
  </si>
  <si>
    <t>2153\2153 @ 0.25 IPR.xls</t>
  </si>
  <si>
    <t>2153\2153.dwg</t>
  </si>
  <si>
    <t>2153\2153 LO.dwg</t>
  </si>
  <si>
    <t>2153\2153 @ 0.25 IPR.dwg</t>
  </si>
  <si>
    <t>CR713-SR+(K)(BR)</t>
  </si>
  <si>
    <t>Inactive Element; Wrong CS</t>
  </si>
  <si>
    <t>2.25 radius</t>
  </si>
  <si>
    <t>Non-redundant; Reverse Spiral; Secondary blades are flush to primary;</t>
  </si>
  <si>
    <t>2154\CDG-38772r1.dwg</t>
  </si>
  <si>
    <t>2154\CDG-38772r1.xlsm</t>
  </si>
  <si>
    <t>\\COT-SQL01\SEData\cot-i\eg\se\rel\Fixed Cutter Rockbits SKF\Size 07.875\Blade 5\SKF-02154r01.asm</t>
  </si>
  <si>
    <t>2154\2154A_Summary.docx</t>
  </si>
  <si>
    <t>..\02_Spec Sheets\WIP 2.0\5183.2154\2154.Top.C.png</t>
  </si>
  <si>
    <t>..\02_Spec Sheets\WIP 2.0\5183.2154\2154.ISO.C.png</t>
  </si>
  <si>
    <t>..\02_Spec Sheets\Original Assy Spec Sheets\2154.pdf</t>
  </si>
  <si>
    <t>2154\2154 @ 0.25 IPR.xls</t>
  </si>
  <si>
    <t>2154\2154A.dwg</t>
  </si>
  <si>
    <t>2154\2154 LO.dwg</t>
  </si>
  <si>
    <t>2154\2154 @ 0.25 IPR.dwg</t>
  </si>
  <si>
    <t>CR516-SR(K)</t>
  </si>
  <si>
    <t>2157\CDG-38779r1.dwg</t>
  </si>
  <si>
    <t>2157\CDG-38779 Testr1.xlsm</t>
  </si>
  <si>
    <t>\\COT-SQL01\SEData\cot-i\eg\se\rel\Fixed Cutter Rockbits SKF\Size 12.250\Blade 6\SKF-02157r01.asm</t>
  </si>
  <si>
    <t>2157\2157_Summary.docx</t>
  </si>
  <si>
    <t>..\02_Spec Sheets\WIP 2.0\8852.2157\2157.Top.C.png</t>
  </si>
  <si>
    <t>..\02_Spec Sheets\WIP 2.0\8852.2157\2157.ISO.C.png</t>
  </si>
  <si>
    <t>..\02_Spec Sheets\Original Assy Spec Sheets\2157.pdf</t>
  </si>
  <si>
    <t>2157\2157 @ 0.25 IPR.xls</t>
  </si>
  <si>
    <t>2157\2157.dwg</t>
  </si>
  <si>
    <t>2157\2157 LO.dwg</t>
  </si>
  <si>
    <t>2157\2157 @ 0.25 IPR.dwg</t>
  </si>
  <si>
    <t>2158\CDG-38783r1.dwg</t>
  </si>
  <si>
    <t>\\COT-SQL01\SEData\cot-i\eg\se\rel\Fixed Cutter Rockbits SKF\Size 11.000\Blade 6\SKF-02158r02.asm</t>
  </si>
  <si>
    <t>2158\2158A_Summary.docx</t>
  </si>
  <si>
    <t>..\02_Spec Sheets\WIP 2.0\2570.2158\2158.Top.C.png</t>
  </si>
  <si>
    <t>..\02_Spec Sheets\WIP 2.0\2570.2158\2158.ISO.C.png</t>
  </si>
  <si>
    <t>..\02_Spec Sheets\Original Assy Spec Sheets\2158.pdf</t>
  </si>
  <si>
    <t>2158\2158 @ 0.25 IPR.xls</t>
  </si>
  <si>
    <t>2158\2158.dwg</t>
  </si>
  <si>
    <t>2158\2158 @ 0.25 IPR.dwg</t>
  </si>
  <si>
    <t>CR616-SR9(K)</t>
  </si>
  <si>
    <t>2.0625 radius</t>
  </si>
  <si>
    <t>12.5-27.5</t>
  </si>
  <si>
    <t>3 Pattern start to position 9; Reverse Spiral; Secondary blades are under exposed by .083”;</t>
  </si>
  <si>
    <t>\\COT-SQL01\SEData\cot-i\eg\se\rel\Fixed Cutter Rockbits SKF\Size 17.500\Blade 6\SKF-02160r05.asm</t>
  </si>
  <si>
    <t>2160\2160A_Summary.docx</t>
  </si>
  <si>
    <t>..\02_Spec Sheets\WIP 2.0\5215.2160\2160.Top.C.png</t>
  </si>
  <si>
    <t>..\02_Spec Sheets\WIP 2.0\5215.2160\2160.ISO.C.png</t>
  </si>
  <si>
    <t>..\02_Spec Sheets\Original Assy Spec Sheets\2160.pdf</t>
  </si>
  <si>
    <t>2160\2160 @ 0.25 IPR.xls</t>
  </si>
  <si>
    <t>2160\2160.dwg</t>
  </si>
  <si>
    <t>2160\2160 @ 0.25 IPR.dwg</t>
  </si>
  <si>
    <t>CR616-SR+9(K)</t>
  </si>
  <si>
    <t xml:space="preserve">Redundant; Reverse Spiral; Secondary blades are flush to primary; Backup cutters are set at .093”/rev +.05” under exposed. Bullets are set at .093”/rev +.025” under exposed  </t>
  </si>
  <si>
    <t>2164\Rev 2 (.875 shorter)\New Design Request - Jagged Peak - 9.875  Curve Bit.doc</t>
  </si>
  <si>
    <t>2164\CDG-38798r1.dwg</t>
  </si>
  <si>
    <t>2164\CDG-38797r1.xlsm</t>
  </si>
  <si>
    <t>\\COT-SQL01\SEData\cot-i\eg\se\rel\Fixed Cutter Rockbits SKF\Size 09.875\Blade 5\SKF-02164r02.asm</t>
  </si>
  <si>
    <t>2164\Rev 2 (.875 shorter)\2164B_Summary.docx</t>
  </si>
  <si>
    <t>..\02_Spec Sheets\WIP 2.0\8184.2164\2164.Top.C.png</t>
  </si>
  <si>
    <t>..\02_Spec Sheets\WIP 2.0\8184.2164\2164.ISO.C.png</t>
  </si>
  <si>
    <t>..\02_Spec Sheets\Original Assy Spec Sheets\2164.pdf</t>
  </si>
  <si>
    <t>2164\2164 @ 0.25 IPR.xls</t>
  </si>
  <si>
    <t>2164\Rev 2 (.875 shorter)\2164.dwg</t>
  </si>
  <si>
    <t>2164\2164 LO.dwg</t>
  </si>
  <si>
    <t>2164\2164 @ 0.25 IPR.dwg</t>
  </si>
  <si>
    <t>CR616-XR(K)(BR)</t>
  </si>
  <si>
    <t>15-27</t>
  </si>
  <si>
    <t>2169\14.75 Design Request.doc</t>
  </si>
  <si>
    <t>2169\CDG-38816r1.dwg</t>
  </si>
  <si>
    <t>2169\CDG-38816r1.xlsm</t>
  </si>
  <si>
    <t>\\COT-SQL01\SEData\cot-i\eg\se\rel\Fixed Cutter Rockbits SKF\Size 14.750\Blade 6\SKF-02169r02.asm</t>
  </si>
  <si>
    <t>2169\2169_Summary.doc</t>
  </si>
  <si>
    <t>..\02_Spec Sheets\WIP 2.0\7584.2169\2169.Top.C.png</t>
  </si>
  <si>
    <t>..\02_Spec Sheets\WIP 2.0\7584.2169\2169.ISO.C.png</t>
  </si>
  <si>
    <t>..\02_Spec Sheets\Original Assy Spec Sheets\2169.pdf</t>
  </si>
  <si>
    <t>2169\2169 @ 0.25 IPR.xls</t>
  </si>
  <si>
    <t>2169\2169.dwg</t>
  </si>
  <si>
    <t>2169\2169 @ 0.25 IPR.dwg</t>
  </si>
  <si>
    <t xml:space="preserve">Angled </t>
  </si>
  <si>
    <t xml:space="preserve">redundant; Reverse Spiral; Secondary blades are flush to primary; Backup cutters are set at .485”/rev +.05” under exposed. Bullets are set at .485”/rev +.025” under exposed  </t>
  </si>
  <si>
    <t>20-31.7</t>
  </si>
  <si>
    <t>2172\9.875 CR716 Bit Desing Request - Callon - Delaware Basin.doc</t>
  </si>
  <si>
    <t>2172\CDG-38823r1.dwg</t>
  </si>
  <si>
    <t>2172\CDG-38823r1.xlsm</t>
  </si>
  <si>
    <t>\\COT-SQL01\SEData\cot-i\eg\se\rel\Fixed Cutter Rockbits SKF\Size 09.875\Blade 7\SKF-02172r01.asm</t>
  </si>
  <si>
    <t>..\02_Spec Sheets\WIP 2.0\6597.2172\2172.Top.C.png</t>
  </si>
  <si>
    <t>..\02_Spec Sheets\WIP 2.0\6597.2172\2172.ISO.C.png</t>
  </si>
  <si>
    <t>..\02_Spec Sheets\Original Assy Spec Sheets\2172.pdf</t>
  </si>
  <si>
    <t>2172\2172 @ 0.25 IPR.xls</t>
  </si>
  <si>
    <t>2172\2172 Cutlet.dwg</t>
  </si>
  <si>
    <t>2172\2172 LO.dwg</t>
  </si>
  <si>
    <t>2172\2172 @ 0.25 IPR.dwg</t>
  </si>
  <si>
    <t>2172\2172 Cutlet - .150 DOC.dwg</t>
  </si>
  <si>
    <t>Inactive Element; Corrupt SE File</t>
  </si>
  <si>
    <t>1308 Back-up cutters</t>
  </si>
  <si>
    <t>2173\2173A_Summary.docx</t>
  </si>
  <si>
    <t>\\COT-SQL01\SEData\cot-i\eg\se\rel\Fixed Cutter Rockbits SKF\Size 07.875\Blade 6\SKF-02173r01.asm</t>
  </si>
  <si>
    <t>..\02_Spec Sheets\WIP 2.0\4408.2173\2173.Top.C.png</t>
  </si>
  <si>
    <t>..\02_Spec Sheets\WIP 2.0\4408.2173\2173.ISO.C.png</t>
  </si>
  <si>
    <t>..\02_Spec Sheets\Original Assy Spec Sheets\2173.pdf</t>
  </si>
  <si>
    <t>2173\2173 @ 0.25 IPR.xls</t>
  </si>
  <si>
    <t>2173\2173.dwg</t>
  </si>
  <si>
    <t>2173\2173 @ 0.25 IPR.dwg</t>
  </si>
  <si>
    <t>CR616-SR+(K)</t>
  </si>
  <si>
    <t>1.477 radius</t>
  </si>
  <si>
    <t>Non-redundant; Reverse Spiral; Secondary blades are flush to primary</t>
  </si>
  <si>
    <t>2174\New Design Request - Jagged Peak - 8.75 Curve Bit.doc</t>
  </si>
  <si>
    <t>2174\CDG-38826r1.dwg</t>
  </si>
  <si>
    <t>2174\CDG-38826r1.xlsm</t>
  </si>
  <si>
    <t>\\COT-SQL01\SEData\cot-i\eg\se\rel\Fixed Cutter Rockbits SKF\Size 08.750\Blade 5\SKF-02174r01.asm</t>
  </si>
  <si>
    <t>..\02_Spec Sheets\WIP 2.0\7402.2174\2174.Top.C.png</t>
  </si>
  <si>
    <t>..\02_Spec Sheets\WIP 2.0\7402.2174\2174.ISO.C.png</t>
  </si>
  <si>
    <t>..\02_Spec Sheets\Original Assy Spec Sheets\2174.pdf</t>
  </si>
  <si>
    <t>2174\2174 @ 0.25 IPR.xls</t>
  </si>
  <si>
    <t>2174\2174.dwg</t>
  </si>
  <si>
    <t>2174\2174 @ 0.25 IPR.dwg</t>
  </si>
  <si>
    <t>CR516-XR(K)(BR)</t>
  </si>
  <si>
    <t>1.750 radius</t>
  </si>
  <si>
    <t>\\COT-SQL01\SEData\cot-i\eg\se\rel\Fixed Cutter Rockbits SKF\Size 12.250\Blade 6\SKF-02177r01 Ram Cutter.asm</t>
  </si>
  <si>
    <t>2177\2177 Design Features Plan.docx</t>
  </si>
  <si>
    <t>..\02_Spec Sheets\WIP 2.0\5718.2177\2177.Top.C.png</t>
  </si>
  <si>
    <t>..\02_Spec Sheets\WIP 2.0\5718.2177\2177.ISO.C.png</t>
  </si>
  <si>
    <t>..\02_Spec Sheets\Original Assy Spec Sheets\2177.pdf</t>
  </si>
  <si>
    <t>2177\2177 @ 0.25 IPR.xls</t>
  </si>
  <si>
    <t>2177\2177.dwg</t>
  </si>
  <si>
    <t>2177\2177 @ 0.25 IPR.dwg</t>
  </si>
  <si>
    <t>F-Type</t>
  </si>
  <si>
    <t>2.5 radius</t>
  </si>
  <si>
    <t>16-31.5</t>
  </si>
  <si>
    <t>2179\DR - 12.250 716 Midland Basin Intermediate.doc</t>
  </si>
  <si>
    <t>\\COT-SQL01\SEData\cot-i\eg\se\rel\Fixed Cutter Rockbits SKF\Size 12.250\Blade 7\SKF-02179r01.asm</t>
  </si>
  <si>
    <t>2179\2179_Summary.docx</t>
  </si>
  <si>
    <t>..\02_Spec Sheets\WIP 2.0\5244.2179\2179.Top.C.png</t>
  </si>
  <si>
    <t>..\02_Spec Sheets\WIP 2.0\5244.2179\2179.ISO.C.png</t>
  </si>
  <si>
    <t>..\02_Spec Sheets\Original Assy Spec Sheets\2179.pdf</t>
  </si>
  <si>
    <t>2179\2179 @ 0.25 IPR.xls</t>
  </si>
  <si>
    <t>2179\2179.dwg</t>
  </si>
  <si>
    <t>2179\2179 @ 0.25 IPR.dwg</t>
  </si>
  <si>
    <t xml:space="preserve">Non-redundant; Reverse Spiral; Secondary blades are flush to primary; Backup elements are under exposed @ .4”/rev. </t>
  </si>
  <si>
    <t>\\COT-SQL01\SEData\cot-i\eg\se\rel\Fixed Cutter Rockbits SKF\Size 10.625\Blade 7\SKF-02180r01.asm</t>
  </si>
  <si>
    <t>2180\2180A_Summary.docx</t>
  </si>
  <si>
    <t>..\02_Spec Sheets\WIP 2.0\8249.2180\2180.Top.C.png</t>
  </si>
  <si>
    <t>..\02_Spec Sheets\WIP 2.0\8249.2180\2180.ISO.C.png</t>
  </si>
  <si>
    <t>..\02_Spec Sheets\Original Assy Spec Sheets\2180.pdf</t>
  </si>
  <si>
    <t>2180\2180 @ 0.25 IPR.xls</t>
  </si>
  <si>
    <t>2180\2180.dwg</t>
  </si>
  <si>
    <t>2180\2180 @ 0.25 IPR.dwg</t>
  </si>
  <si>
    <t>2181\New Design Request - XTO - 7.875 Lateral.doc</t>
  </si>
  <si>
    <t>\\COT-SQL01\SEData\cot-i\eg\se\rel\Fixed Cutter Rockbits SKF\Size 07.875\Blade 6\SKF-02181r01.asm</t>
  </si>
  <si>
    <t>2181\2181A_Summary.docx</t>
  </si>
  <si>
    <t>..\02_Spec Sheets\WIP 2.0\7611.2181\2181.Top.C.png</t>
  </si>
  <si>
    <t>..\02_Spec Sheets\WIP 2.0\7611.2181\2181.ISO.C.png</t>
  </si>
  <si>
    <t>..\02_Spec Sheets\Original Assy Spec Sheets\2181.pdf</t>
  </si>
  <si>
    <t>2181\2181 @ 0.25 IPR.xls</t>
  </si>
  <si>
    <t>2181\2181.dwg</t>
  </si>
  <si>
    <t>2181\2181 @ 0.25 IPR.dwg</t>
  </si>
  <si>
    <t>CR616-XR(BR)-Hybrid</t>
  </si>
  <si>
    <t>Hybrid</t>
  </si>
  <si>
    <t>\\COT-SQL01\SEData\cot-i\eg\se\rel\Fixed Cutter Rockbits SKF\Size 13.500\blade 6\SKF-02185r01.asm</t>
  </si>
  <si>
    <t>2185\2185A_Summary.docx</t>
  </si>
  <si>
    <t>..\02_Spec Sheets\WIP 2.0\9587.2185\2185.Top.C.png</t>
  </si>
  <si>
    <t>..\02_Spec Sheets\WIP 2.0\9587.2185\2185.ISO.C.png</t>
  </si>
  <si>
    <t>..\02_Spec Sheets\Original Assy Spec Sheets\2185.pdf</t>
  </si>
  <si>
    <t>2185\2185 @ 0.25 IPR.xls</t>
  </si>
  <si>
    <t>2185\2185.dwg</t>
  </si>
  <si>
    <t>2185\2185 @ 0.25 IPR.dwg</t>
  </si>
  <si>
    <t xml:space="preserve">Redundant; Reverse Spiral; Secondary blades are flush to primary; Backup cutters are set at .093”/rev +.05” under exposed. Bullets are set at .093”/rev +.075” under exposed  </t>
  </si>
  <si>
    <t>2186\NDR - Mack Energy - 8.75 Curve-Lateral Chaves County NM.doc</t>
  </si>
  <si>
    <t>\\COT-SQL01\SEData\cot-i\eg\se\rel\Fixed Cutter Rockbits SKF\Size 08.750\Blade 6\SKF-02186r01.asm</t>
  </si>
  <si>
    <t>2186\2186A_Summary.docx</t>
  </si>
  <si>
    <t>..\02_Spec%20Sheets\WIP%202.0\4291.2186\2186.Top.C.png</t>
  </si>
  <si>
    <t>..\02_Spec%20Sheets\WIP%202.0\4291.2186\2186.ISO.C.png</t>
  </si>
  <si>
    <t>..\02_Spec Sheets\Original Assy Spec Sheets\2186.pdf</t>
  </si>
  <si>
    <t>2186\2186 @ 0.25 IPR.xls</t>
  </si>
  <si>
    <t>2186\2186 LO.dwg</t>
  </si>
  <si>
    <t>2186\2186 @ 0.25 IPR.dwg</t>
  </si>
  <si>
    <t>18-30</t>
  </si>
  <si>
    <t>2188\NDR - Callon Petroleum - 6.75 Lateral - Wolfcamp Lower A.doc</t>
  </si>
  <si>
    <t>\\COT-SQL01\SEData\cot-i\eg\se\rel\Fixed Cutter Rockbits SKF\Size 06.750\Blade 5\SKF-02188r01.asm</t>
  </si>
  <si>
    <t>2188\2188A_Summary.docx</t>
  </si>
  <si>
    <t>..\02_Spec Sheets\WIP 2.0\6330.2188\2188.Top.C.png</t>
  </si>
  <si>
    <t>..\02_Spec Sheets\WIP 2.0\6330.2188\2188.ISO.C.png</t>
  </si>
  <si>
    <t>..\02_Spec Sheets\Original Assy Spec Sheets\2188.pdf</t>
  </si>
  <si>
    <t>2188\2188 @ 0.25 IPR.xls</t>
  </si>
  <si>
    <t>2188\2188.dwg</t>
  </si>
  <si>
    <t>2188\2188 @ 0.25 IPR.dwg</t>
  </si>
  <si>
    <t>CR513-XR(K)(BR)</t>
  </si>
  <si>
    <t>2190\NDR - Henley &amp; Associates - 6.125 Lateral Anadarko Basin.doc</t>
  </si>
  <si>
    <t>\\COT-SQL01\SEData\cot-i\eg\se\rel\Fixed Cutter Rockbits SKF\Size 06.125\Blade 5\SKF-02190r01.asm</t>
  </si>
  <si>
    <t>2190\2190A_Summary.docx</t>
  </si>
  <si>
    <t>..\02_Spec Sheets\WIP 2.0\7798.2190\2190.Top.C.png</t>
  </si>
  <si>
    <t>..\02_Spec Sheets\WIP 2.0\7798.2190\2190.ISO.C.png</t>
  </si>
  <si>
    <t>..\02_Spec Sheets\Original Assy Spec Sheets\2190.pdf</t>
  </si>
  <si>
    <t>2190\2190 @ 0.25 IPR.xls</t>
  </si>
  <si>
    <t>2190\2190.dwg</t>
  </si>
  <si>
    <t>2190\2190 @ 0.25 IPR.dwg</t>
  </si>
  <si>
    <t>CR516-SR(K)(BR)</t>
  </si>
  <si>
    <t>20-30</t>
  </si>
  <si>
    <t>2192\NDR - Henley &amp; Associates - 8.75 Intermediate Anadarko Basin.doc</t>
  </si>
  <si>
    <t>2192\CDG-38897r1.dwg</t>
  </si>
  <si>
    <t>2192\CDG-38897r1.xlsm</t>
  </si>
  <si>
    <t>\\COT-SQL01\SEData\cot-i\eg\se\rel\Fixed Cutter Rockbits SKF\Size 08.750\Blade 6\SKF-02192r01.asm</t>
  </si>
  <si>
    <t>2192\2192A_Summary.docx</t>
  </si>
  <si>
    <t>..\02_Spec Sheets\WIP 2.0\9213.2192\2192.Top.C.png</t>
  </si>
  <si>
    <t>..\02_Spec Sheets\WIP 2.0\9213.2192\2192.ISO.C.png</t>
  </si>
  <si>
    <t>..\02_Spec Sheets\Original Assy Spec Sheets\2192.pdf</t>
  </si>
  <si>
    <t>2192\2192 @ 0.25 IPR.xls</t>
  </si>
  <si>
    <t>2192\2192.dwg</t>
  </si>
  <si>
    <t>2192\2192 LO.dwg</t>
  </si>
  <si>
    <t>2192\2192 @ 0.25 IPR.dwg</t>
  </si>
  <si>
    <t>2193\NDR - XTO Energy - 8.5 Vertical SWD Bit.doc</t>
  </si>
  <si>
    <t>\\COT-SQL01\SEData\cot-i\eg\se\rel\Fixed Cutter Rockbits SKF\Size 08.500\Blade 7\SKF-02193r01.asm</t>
  </si>
  <si>
    <t>2193\2193A_Summary.docx</t>
  </si>
  <si>
    <t>..\02_Spec Sheets\WIP 2.0\9027.2193\2193.Top.C.png</t>
  </si>
  <si>
    <t>..\02_Spec Sheets\WIP 2.0\9027.2193\2193.ISO.C.png</t>
  </si>
  <si>
    <t>..\02_Spec Sheets\Original Assy Spec Sheets\2193.pdf</t>
  </si>
  <si>
    <t>2193\2193 @ 0.25 IPR.xls</t>
  </si>
  <si>
    <t>2193\2193.dwg</t>
  </si>
  <si>
    <t>2193\2193 @ 0.25 IPR.dwg</t>
  </si>
  <si>
    <t>CR713-SR+(K)</t>
  </si>
  <si>
    <t>\\COT-SQL01\SEData\cot-i\eg\se\rel\Fixed Cutter Rockbits SKF\Size 17.500\Blade 6\SKF-02194r03.asm</t>
  </si>
  <si>
    <t>..\02_Spec Sheets\WIP 2.0\6408.2194\2194.Top.C.png</t>
  </si>
  <si>
    <t>..\02_Spec Sheets\WIP 2.0\6408.2194\2194.ISO.C.png</t>
  </si>
  <si>
    <t>..\02_Spec Sheets\Original Assy Spec Sheets\2194.pdf</t>
  </si>
  <si>
    <t>2194\2194 @ 0.25 IPR.xls</t>
  </si>
  <si>
    <t>2194\2194.dwg</t>
  </si>
  <si>
    <t>2194\2194 @ 0.25 IPR.dwg</t>
  </si>
  <si>
    <t>15.5-27.8</t>
  </si>
  <si>
    <t>2195\New Design Request - 8.75 Curve &amp; Lateral Bit.doc</t>
  </si>
  <si>
    <t>\\COT-SQL01\SEData\cot-i\eg\se\rel\Fixed Cutter Rockbits SKF\Size 08.750\Blade 6\SKF-02195r01.asm</t>
  </si>
  <si>
    <t>2195\2195A_Summary.docx</t>
  </si>
  <si>
    <t>..\02_Spec Sheets\WIP 2.0\7407.2195\2195.Top.C.png</t>
  </si>
  <si>
    <t>..\02_Spec Sheets\WIP 2.0\7407.2195\2195.ISO.C.png</t>
  </si>
  <si>
    <t>..\02_Spec Sheets\Original Assy Spec Sheets\2195.pdf</t>
  </si>
  <si>
    <t>2195\2195 @ 0.25 IPR.xls</t>
  </si>
  <si>
    <t>2195\2195.dwg</t>
  </si>
  <si>
    <t>2195\2195 @ 0.25 IPR.dwg</t>
  </si>
  <si>
    <t>CR613-SR+(K)(BR)</t>
  </si>
  <si>
    <t>16-25</t>
  </si>
  <si>
    <t>30-35</t>
  </si>
  <si>
    <t>2196\New Design Request - 8.75 Dedicated Curve Bit.doc</t>
  </si>
  <si>
    <t>\\COT-SQL01\SEData\cot-i\eg\se\rel\Fixed Cutter Rockbits SKF\Size 08.750\Blade 5\SKF-02196r01.asm</t>
  </si>
  <si>
    <t>2196\2196A_Summary.docx</t>
  </si>
  <si>
    <t>..\02_Spec Sheets\WIP 2.0\6441.2196\2196.Top.C.png</t>
  </si>
  <si>
    <t>..\02_Spec Sheets\WIP 2.0\6441.2196\2196.ISO.C.png</t>
  </si>
  <si>
    <t>..\02_Spec Sheets\Original Assy Spec Sheets\2196.pdf</t>
  </si>
  <si>
    <t>2196\2196 @ 0.25 IPR.xls</t>
  </si>
  <si>
    <t>2196\2196.dwg</t>
  </si>
  <si>
    <t>2196\2196 @ 0.25 IPR.dwg</t>
  </si>
  <si>
    <t>\\COT-SQL01\SEData\cot-i\eg\se\rel\Fixed Cutter Rockbits SKF\Size 08.750\Blade 6\SKF-02198r01.asm</t>
  </si>
  <si>
    <t>2198\2198A_Summary.docx</t>
  </si>
  <si>
    <t>..\02_Spec Sheets\WIP 2.0\9801.2198\2198.Top.C.png</t>
  </si>
  <si>
    <t>..\02_Spec Sheets\WIP 2.0\9801.2198\2198.ISO.C.png</t>
  </si>
  <si>
    <t>..\02_Spec Sheets\Original Assy Spec Sheets\2198.pdf</t>
  </si>
  <si>
    <t>2198\2198 @ 0.25 IPR.xls</t>
  </si>
  <si>
    <t>2198\2198.dwg</t>
  </si>
  <si>
    <t>2198\2198 @ 0.25 IPR.dwg</t>
  </si>
  <si>
    <t>CR616-SR(K)(BR)</t>
  </si>
  <si>
    <t>1313 Cutters in cone</t>
  </si>
  <si>
    <t>16-20</t>
  </si>
  <si>
    <t>\\COT-SQL01\SEData\cot-i\eg\se\rel\Fixed Cutter Rockbits SKF\Size 17.500\Blade 6\SKF-02205r01.asm</t>
  </si>
  <si>
    <t>..\02_Spec Sheets\WIP 2.0\2769.2205\2205.Top.C.png</t>
  </si>
  <si>
    <t>..\02_Spec Sheets\WIP 2.0\2769.2205\2205.ISO.C.png</t>
  </si>
  <si>
    <t>..\02_Spec Sheets\Original Assy Spec Sheets\2205.pdf</t>
  </si>
  <si>
    <t>2205\2205 @ 0.25 IPR.xls</t>
  </si>
  <si>
    <t>2205\2205.dwg</t>
  </si>
  <si>
    <t>2205\2205 @ 0.25 IPR.dwg</t>
  </si>
  <si>
    <t>16-27.8</t>
  </si>
  <si>
    <t>2206\NDR- Midland Basin - 12.25 DragonOhm.doc</t>
  </si>
  <si>
    <t>\\COT-SQL01\SEData\cot-i\eg\se\rel\Fixed Cutter Rockbits SKF\Size 12.250\Blade 6\SKF-02206r01.asm</t>
  </si>
  <si>
    <t>2206\2206_Summary.docx</t>
  </si>
  <si>
    <t>..\02_Spec Sheets\WIP 2.0\5104.2206\2206.Top.C.png</t>
  </si>
  <si>
    <t>..\02_Spec Sheets\WIP 2.0\5104.2206\2206.ISO.C.png</t>
  </si>
  <si>
    <t>..\02_Spec Sheets\Original Assy Spec Sheets\2206.pdf</t>
  </si>
  <si>
    <t>2206\2206 @ 0.25 IPR.xls</t>
  </si>
  <si>
    <t>2206\2206.dwg</t>
  </si>
  <si>
    <t>2206\2206 @ 0.25 IPR.dwg</t>
  </si>
  <si>
    <t>CRDR16(K)(BR)</t>
  </si>
  <si>
    <t>DR</t>
  </si>
  <si>
    <t>2.814 radius</t>
  </si>
  <si>
    <t xml:space="preserve">Non-redundant; Reverse Spiral; Secondary blades are flush to primary; Backup elements are under exposed @ .333”/rev. </t>
  </si>
  <si>
    <t>2207\CDG-38952r1.dwg</t>
  </si>
  <si>
    <t>2207\CDG-38952r1 New.xlsm</t>
  </si>
  <si>
    <t>\\COT-SQL01\SEData\cot-i\eg\se\rel\Fixed Cutter Rockbits SKF\Size 07.875\Blade 7\SKF-02207r02.asm</t>
  </si>
  <si>
    <t>2207\2207A_Summary.docx</t>
  </si>
  <si>
    <t>..\02_Spec Sheets\WIP 2.0\6079.2207\2207.Top.C.png</t>
  </si>
  <si>
    <t>..\02_Spec Sheets\WIP 2.0\6079.2207\2207.ISO.C.png</t>
  </si>
  <si>
    <t>..\02_Spec Sheets\Original Assy Spec Sheets\2207.pdf</t>
  </si>
  <si>
    <t>2207\2207 @ 0.25 ipr.xls</t>
  </si>
  <si>
    <t>2207\2207.dwg</t>
  </si>
  <si>
    <t>2207\2207 @ 0.25 IPR.dwg</t>
  </si>
  <si>
    <t>CR716-SR+(K)</t>
  </si>
  <si>
    <t>2208\NDR- Delaware Basin - 12.25 Durable 716.doc</t>
  </si>
  <si>
    <t>\\COT-SQL01\SEData\cot-i\eg\se\rel\Fixed Cutter Rockbits SKF\Size 12.250\Blade 7\SKF-02208r01.asm</t>
  </si>
  <si>
    <t>2208\2208A_Summary.docx</t>
  </si>
  <si>
    <t>..\02_Spec Sheets\WIP 2.0\3867.2208\2208.Top.C.png</t>
  </si>
  <si>
    <t>..\02_Spec Sheets\WIP 2.0\3867.2208\2208.ISO.C.png</t>
  </si>
  <si>
    <t>..\02_Spec Sheets\Original Assy Spec Sheets\2208.pdf</t>
  </si>
  <si>
    <t>2208\2208 @ 0.25 IPR.xls</t>
  </si>
  <si>
    <t>2208\2208.dwg</t>
  </si>
  <si>
    <t>2208\2208 @ 0.25 IPR.dwg</t>
  </si>
  <si>
    <t>CR716-XR10(K)(BR)</t>
  </si>
  <si>
    <t xml:space="preserve">Non-redundant; Reverse Spiral; Secondary blades are flush to primary; Knuckles are under exposed in the cone and nose at .015”; all other backup elements are set at .056”/rev. </t>
  </si>
  <si>
    <t>2209\XTO Midland Delaware PDC Bit Feature Checklist 01-03-19.docx</t>
  </si>
  <si>
    <t>2209\CDG-38956r1.dwg</t>
  </si>
  <si>
    <t>2209\CDG-38956r1.xlsm</t>
  </si>
  <si>
    <t>\\COT-SQL01\SEData\cot-i\eg\se\rel\Fixed Cutter Rockbits SKF\Size 12.250\Blade 7\SKF-02209r01.asm</t>
  </si>
  <si>
    <t>..\02_Spec Sheets\WIP 2.0\3799.2209\2209.Top.C.png</t>
  </si>
  <si>
    <t>..\02_Spec Sheets\WIP 2.0\3799.2209\2209.ISO.C.png</t>
  </si>
  <si>
    <t>..\02_Spec Sheets\Original Assy Spec Sheets\2209.pdf</t>
  </si>
  <si>
    <t>2209\2209 @ 0.25 IPR.xls</t>
  </si>
  <si>
    <t>2209\2209.dwg</t>
  </si>
  <si>
    <t>2209\2209 LO.dwg</t>
  </si>
  <si>
    <t>2209\2209 @ 0.25 IPR.dwg</t>
  </si>
  <si>
    <t>Cuttlet Area Mistake</t>
  </si>
  <si>
    <t>15.5-35</t>
  </si>
  <si>
    <t>2210\DRQ - Howard County - 12.25 716 Drillout.doc</t>
  </si>
  <si>
    <t>\\COT-SQL01\SEData\cot-i\eg\se\rel\Fixed Cutter Rockbits SKF\Size 12.250\Blade 7\SKF-02210r01.asm</t>
  </si>
  <si>
    <t>2210\2210A_Summary.docx</t>
  </si>
  <si>
    <t>..\02_Spec Sheets\WIP 2.0\3663.2210\2210.Top.C.png</t>
  </si>
  <si>
    <t>..\02_Spec Sheets\WIP 2.0\3663.2210\2210.ISO.C.png</t>
  </si>
  <si>
    <t>..\02_Spec Sheets\Original Assy Spec Sheets\2210.pdf</t>
  </si>
  <si>
    <t>2210\2210 @ 0.25 IPR.xls</t>
  </si>
  <si>
    <t>2210\2210.dwg</t>
  </si>
  <si>
    <t>2210\2210 @ 0.25 IPR.dwg</t>
  </si>
  <si>
    <t xml:space="preserve">Non-redundant; Reverse Spiral; Secondary blades are flush to primary; Knuckles are under exposed in the cone and nose at .015”; all other backup elements are set at .222”/rev. </t>
  </si>
  <si>
    <t>15-31</t>
  </si>
  <si>
    <t>2216\CDG-38973r1.xlsm</t>
  </si>
  <si>
    <t>\\COT-SQL01\SEData\cot-i\eg\se\rel\Fixed Cutter Rockbits SKF\Size 17.500\Blade 6\SKF-02216r02.asm</t>
  </si>
  <si>
    <t>..\02_Spec Sheets\WIP 2.0\4211.2216\2216.Top.C.png</t>
  </si>
  <si>
    <t>..\02_Spec Sheets\WIP 2.0\4211.2216\2216.ISO.C.png</t>
  </si>
  <si>
    <t>..\02_Spec Sheets\Original Assy Spec Sheets\2216.pdf</t>
  </si>
  <si>
    <t>2216\2216 @ 0.25 IPR.xls</t>
  </si>
  <si>
    <t>2216\2216.dwg</t>
  </si>
  <si>
    <t>2216\2216 @ 0.25 IPR.dwg</t>
  </si>
  <si>
    <t>20-36</t>
  </si>
  <si>
    <t>2217\DRQ - Midland Basin - 12.25 2138 Replacement.doc</t>
  </si>
  <si>
    <t>\\COT-SQL01\SEData\cot-i\eg\se\rel\Fixed Cutter Rockbits SKF\Size 12.250\Blade 7\SKF-02217r01.asm</t>
  </si>
  <si>
    <t>2217\2217A_Summary.docx</t>
  </si>
  <si>
    <t>..\02_Spec Sheets\WIP 2.0\5959.2217\2217.Top.C.png</t>
  </si>
  <si>
    <t>..\02_Spec Sheets\WIP 2.0\5959.2217\2217.ISO.C.png</t>
  </si>
  <si>
    <t>..\02_Spec Sheets\Original Assy Spec Sheets\2217.pdf</t>
  </si>
  <si>
    <t>2217\2217 @ 0.25 IPR.xls</t>
  </si>
  <si>
    <t>2217\2217.dwg</t>
  </si>
  <si>
    <t>2217\2217 @ 0.25 IPR.dwg</t>
  </si>
  <si>
    <t xml:space="preserve">Non-redundant; Reverse Spiral; Secondary blades are flush to primary; Knuckles are under exposed in the cone and nose at .025”; all other backup elements are set at .3”/rev. </t>
  </si>
  <si>
    <t>\\COT-SQL01\SEData\cot-i\eg\se\rel\Fixed Cutter Rockbits SKF\Size 12.250\Blade 7\SKF-02218r01.asm</t>
  </si>
  <si>
    <t>2218\2218A_Summary.docx</t>
  </si>
  <si>
    <t>..\02_Spec Sheets\WIP 2.0\6739.2218\2218.Top.C.png</t>
  </si>
  <si>
    <t>..\02_Spec Sheets\WIP 2.0\6739.2218\2218.ISO.C.png</t>
  </si>
  <si>
    <t>..\02_Spec Sheets\Original Assy Spec Sheets\2218.pdf</t>
  </si>
  <si>
    <t>2218\2218 @ 0.25 IPR.xls</t>
  </si>
  <si>
    <t>2218\2218.dwg</t>
  </si>
  <si>
    <t>2218\2218 @ 0.25 IPR.dwg</t>
  </si>
  <si>
    <t xml:space="preserve">Non-redundant; F-7/3 Reverse Spiral; Secondary blades are flush to primary; Knuckles are under exposed in the cone and nose at .025”; </t>
  </si>
  <si>
    <t>\\COT-SQL01\SEData\cot-i\eg\se\rel\Fixed Cutter Rockbits SKF\Size 08.750\Blade 7\SKF-02220r01.asm</t>
  </si>
  <si>
    <t>2220\2220A_Summary.docx</t>
  </si>
  <si>
    <t>..\02_Spec Sheets\WIP 2.0\2781.2220\2220.Top.C.png</t>
  </si>
  <si>
    <t>..\02_Spec Sheets\WIP 2.0\2781.2220\2220.ISO.C.png</t>
  </si>
  <si>
    <t>..\02_Spec Sheets\Original Assy Spec Sheets\2220.pdf</t>
  </si>
  <si>
    <t>2220\2220 @ 0.25 IPR.xls</t>
  </si>
  <si>
    <t>2220\2220.dwg</t>
  </si>
  <si>
    <t>2220\2220 @ 0.25 IPR.dwg</t>
  </si>
  <si>
    <t>CR716-XR(K)</t>
  </si>
  <si>
    <t>2224\CDG-39000r1.dwg</t>
  </si>
  <si>
    <t>2224\CDG-39000r1.xlsm</t>
  </si>
  <si>
    <t>\\COT-SQL01\SEData\cot-i\eg\se\rel\Fixed Cutter Rockbits SKF\Size 16.000\Blade 6\SKF-02224r01.asm</t>
  </si>
  <si>
    <t>..\02_Spec Sheets\WIP 2.0\4843.2224\2224.Top.C.png</t>
  </si>
  <si>
    <t>..\02_Spec Sheets\WIP 2.0\4843.2224\2224.ISO.C.png</t>
  </si>
  <si>
    <t>..\02_Spec Sheets\Original Assy Spec Sheets\2224.pdf</t>
  </si>
  <si>
    <t>2224\2224 @ 0.25 IPR.xls</t>
  </si>
  <si>
    <t>2224\2224.dwg</t>
  </si>
  <si>
    <t>2224\2224 LO.dwg</t>
  </si>
  <si>
    <t>2224\2224 @ 0.25 IPR.dwg</t>
  </si>
  <si>
    <t>17.5-15</t>
  </si>
  <si>
    <t>17-35</t>
  </si>
  <si>
    <t>2225\NDR - Quanah - 6.125 416-SR Lateral Bit.doc</t>
  </si>
  <si>
    <t>\\COT-SQL01\SEData\cot-i\eg\se\rel\Fixed Cutter Rockbits SKF\Size 06.125\Blade 4\SKF-02225r01.asm</t>
  </si>
  <si>
    <t>2225\2225A_Summary.docx</t>
  </si>
  <si>
    <t>..\02_Spec Sheets\WIP 2.0\6453.2225\2225.Top.C.png</t>
  </si>
  <si>
    <t>..\02_Spec Sheets\WIP 2.0\6453.2225\2225.ISO.C.png</t>
  </si>
  <si>
    <t>..\02_Spec Sheets\Original Assy Spec Sheets\2225.pdf</t>
  </si>
  <si>
    <t>2225\2225 @ 0.25 IPR.xls</t>
  </si>
  <si>
    <t>2225\2225.dwg</t>
  </si>
  <si>
    <t>2225\2225 @ 0.25 IPR.dwg</t>
  </si>
  <si>
    <t>CR416-SR(K)(BR)</t>
  </si>
  <si>
    <t>\\COT-SQL01\SEData\cot-i\eg\se\rel\Fixed Cutter Rockbits SKF\Size 08.750\Blade 6\SKF-02226r01.asm</t>
  </si>
  <si>
    <t>..\02_Spec Sheets\WIP 2.0\4045.2226\2226.Top.C.png</t>
  </si>
  <si>
    <t>..\02_Spec Sheets\WIP 2.0\4045.2226\2226.ISO.C.png</t>
  </si>
  <si>
    <t>..\02_Spec Sheets\Original Assy Spec Sheets\2226.pdf</t>
  </si>
  <si>
    <t>2226\2226 @ 0.25 IPR.xls</t>
  </si>
  <si>
    <t>2226\2226.dwg</t>
  </si>
  <si>
    <t>2226\2226 @ 0.25 IPR.dwg</t>
  </si>
  <si>
    <t>16-30.7</t>
  </si>
  <si>
    <t>2227\NDR - Callon Petroleum - 6.75 Matrix Lateral Bit.doc</t>
  </si>
  <si>
    <t>\\COT-SQL01\SEData\cot-i\eg\se\rel\Fixed Cutter Rockbits SKF\Size 06.750\Blade 5\SKF-02227r01.asm</t>
  </si>
  <si>
    <t>2227\2227A_Summary.docx</t>
  </si>
  <si>
    <t>..\02_Spec Sheets\WIP 2.0\6202.2227\2227.Top.C.png</t>
  </si>
  <si>
    <t>..\02_Spec Sheets\WIP 2.0\6202.2227\2227.ISO.C.png</t>
  </si>
  <si>
    <t>..\02_Spec Sheets\Original Assy Spec Sheets\2227.pdf</t>
  </si>
  <si>
    <t>2227\2227 @ 0.25 IPR.xls</t>
  </si>
  <si>
    <t>2227\2227.dwg</t>
  </si>
  <si>
    <t>2227\2227 @ 0.25 IPR.dwg</t>
  </si>
  <si>
    <t>CR513M-XR(K)(BR)</t>
  </si>
  <si>
    <t>Inactive Element; B3C2 Oversized Cuttlet</t>
  </si>
  <si>
    <t>25-20</t>
  </si>
  <si>
    <t>\\COT-SQL01\SEData\cot-i\eg\se\rel\Fixed Cutter Rockbits SKF\Size 08.500\Blade 6\SKF-02231r01.asm</t>
  </si>
  <si>
    <t>2231\2231A_Summary.docx</t>
  </si>
  <si>
    <t>..\02_Spec Sheets\WIP 2.0\4751.2231\2231.Top.C.png</t>
  </si>
  <si>
    <t>..\02_Spec Sheets\WIP 2.0\4751.2231\2231.ISO.C.png</t>
  </si>
  <si>
    <t>..\02_Spec Sheets\Original Assy Spec Sheets\2231.pdf</t>
  </si>
  <si>
    <t>2231\2231 @ 0.25 IPR.xls</t>
  </si>
  <si>
    <t>2231\2231.dwg</t>
  </si>
  <si>
    <t>2231\2231 @ 0.25 IPR.dwg</t>
  </si>
  <si>
    <t>CR616M-XR(BR)</t>
  </si>
  <si>
    <t>12.5-25</t>
  </si>
  <si>
    <t>\\COT-SQL01\SEData\cot-i\eg\se\rel\Fixed Cutter Rockbits SKF\Size 12.250\Blade 6\SKF-02232r01.asm</t>
  </si>
  <si>
    <t>2232\2232_Summary.docx</t>
  </si>
  <si>
    <t>..\02_Spec Sheets\WIP 2.0\2429.2232\2232.Top.C.png</t>
  </si>
  <si>
    <t>..\02_Spec Sheets\WIP 2.0\2429.2232\2232.ISO.C.png</t>
  </si>
  <si>
    <t>..\02_Spec Sheets\Original Assy Spec Sheets\2232.pdf</t>
  </si>
  <si>
    <t>2232\2232 @ 0.25 IPR.xls</t>
  </si>
  <si>
    <t>2232\2232.dwg</t>
  </si>
  <si>
    <t>2232\2232 @ 0.25 IPR.dwg</t>
  </si>
  <si>
    <t>Non-redundant; Reverse Spiral; Secondary blades are flush to primary; Backup elements are under exposed @ .1”/rev. (knuckles are at .15”/rev)</t>
  </si>
  <si>
    <t>2234\CDG-39026r1 Levi.xlsm</t>
  </si>
  <si>
    <t>\\COT-SQL01\SEData\cot-i\eg\se\rel\Fixed Cutter Rockbits SKF\Size 09.875\Blade 6\SKF-02234r01.asm</t>
  </si>
  <si>
    <t>..\02_Spec Sheets\WIP 2.0\6392.2234\2234.Top.C.png</t>
  </si>
  <si>
    <t>..\02_Spec Sheets\WIP 2.0\6392.2234\2234.ISO.C.png</t>
  </si>
  <si>
    <t>..\02_Spec Sheets\Original Assy Spec Sheets\2234.pdf</t>
  </si>
  <si>
    <t>2234\2234 @ 0.25 IPR.xls</t>
  </si>
  <si>
    <t>2234\2234.dwg</t>
  </si>
  <si>
    <t>2234\2234 LO.dwg</t>
  </si>
  <si>
    <t>2234\2234 @ 0.25 IPR.dwg</t>
  </si>
  <si>
    <t>CR613-YR(Chert)</t>
  </si>
  <si>
    <t>21-24</t>
  </si>
  <si>
    <t>25-31.8</t>
  </si>
  <si>
    <t>\\COT-SQL01\SEData\cot-i\eg\se\rel\Fixed Cutter Rockbits SKF\Size 12.250\Blade 7\SKF-02235r01.asm</t>
  </si>
  <si>
    <t>2235\2235A_Summary.docx</t>
  </si>
  <si>
    <t>..\02_Spec Sheets\WIP 2.0\8515.2235\2235.Top.C.png</t>
  </si>
  <si>
    <t>..\02_Spec Sheets\WIP 2.0\8515.2235\2235.ISO.C.png</t>
  </si>
  <si>
    <t>..\02_Spec Sheets\Original Assy Spec Sheets\2235.pdf</t>
  </si>
  <si>
    <t>2235\2235 @ 0.25 IPR.xls</t>
  </si>
  <si>
    <t>2235\2235.dwg</t>
  </si>
  <si>
    <t>2235\2235 @ 0.25 IPR.dwg</t>
  </si>
  <si>
    <t>15-35</t>
  </si>
  <si>
    <t xml:space="preserve">Non-redundant; Reverse Spiral; Secondary blades are flush to primary; backup elements are set at .089”/rev. </t>
  </si>
  <si>
    <t>\\COT-SQL01\SEData\cot-i\eg\se\rel\Fixed Cutter Rockbits SKF\Size 09.875\Blade 6\SKF-02236r01.asm</t>
  </si>
  <si>
    <t>2236\2236A_Summary.docx</t>
  </si>
  <si>
    <t>..\02_Spec Sheets\WIP 2.0\3278.2236\2236.Top.C.png</t>
  </si>
  <si>
    <t>..\02_Spec Sheets\WIP 2.0\3278.2236\2236.ISO.C.png</t>
  </si>
  <si>
    <t>..\02_Spec Sheets\Original Assy Spec Sheets\2236.pdf</t>
  </si>
  <si>
    <t>2236\2236 @ 0.25 IPR.xls</t>
  </si>
  <si>
    <t>2236\2236.dwg</t>
  </si>
  <si>
    <t>2236\2236 @ 0.25 IPR.dwg</t>
  </si>
  <si>
    <t>Non-redundant; Reverse Spiral; Secondary blades are flush to primary; Backup elements are under exposed @ .1”/rev. (knuckles are at .179”/rev)</t>
  </si>
  <si>
    <t>\\COT-SQL01\SEData\cot-i\eg\se\rel\Fixed Cutter Rockbits SKF\Size 07.875\Blade 4\SKF-02240r01.asm</t>
  </si>
  <si>
    <t>2240\2240A_Summary.docx</t>
  </si>
  <si>
    <t>..\02_Spec Sheets\WIP 2.0\9561.2240\2240.Top.C.png</t>
  </si>
  <si>
    <t>..\02_Spec Sheets\WIP 2.0\9561.2240\2240.ISO.C.png</t>
  </si>
  <si>
    <t>..\02_Spec Sheets\Original Assy Spec Sheets\2240.pdf</t>
  </si>
  <si>
    <t>2240\2240 @ 0.25 IPR.xls</t>
  </si>
  <si>
    <t>2240\2240.dwg</t>
  </si>
  <si>
    <t>2240\2240 @ 0.25 IPR.dwg</t>
  </si>
  <si>
    <t>CRDR16(BR)</t>
  </si>
  <si>
    <t>Rippers on sec blades</t>
  </si>
  <si>
    <t>\\COT-SQL01\SEData\cot-i\eg\se\rel\Fixed Cutter Rockbits SKF\Size 10.625\Blade 6\SKF-02241r01.asm</t>
  </si>
  <si>
    <t>2241\2241_Summary.docx</t>
  </si>
  <si>
    <t>..\02_Spec Sheets\WIP 2.0\4178.2241\2241.Top.C.png</t>
  </si>
  <si>
    <t>..\02_Spec Sheets\Original Assy Spec Sheets\2241.pdf</t>
  </si>
  <si>
    <t>2241\2241 @ 0.25 IPR.xls</t>
  </si>
  <si>
    <t>2241\2241.dwg</t>
  </si>
  <si>
    <t>2241\2241 @ 0.25 IPR.dwg</t>
  </si>
  <si>
    <t>2.1875 radius</t>
  </si>
  <si>
    <t>Non-redundant; Reverse Spiral; Secondary blades are flush to primary; Backup elements are under exposed @ 0.088”/rev. (knuckles are at .3”/rev)</t>
  </si>
  <si>
    <t>2242\CDG-39050r1.dwg</t>
  </si>
  <si>
    <t>2242\CDG-39050r1 Levi.xlsm</t>
  </si>
  <si>
    <t>\\COT-SQL01\SEData\cot-i\eg\se\rel\Fixed Cutter Rockbits SKF\Size 04.750\Blade 6\SKB-02242r00.asm</t>
  </si>
  <si>
    <t>..\02_Spec Sheets\WIP 2.0\4756.2242\2242.Top.C.png</t>
  </si>
  <si>
    <t>..\02_Spec Sheets\Original Assy Spec Sheets\2242.pdf</t>
  </si>
  <si>
    <t>2242\2242 @ 0.25 IPR.xls</t>
  </si>
  <si>
    <t>2242\2242.dwg</t>
  </si>
  <si>
    <t>2242\2242 @ 0.25 IPR.dwg</t>
  </si>
  <si>
    <t>CR611-SR</t>
  </si>
  <si>
    <t>2-7/8"</t>
  </si>
  <si>
    <t>\\COT-SQL01\SEData\cot-i\eg\se\rel\Fixed Cutter Rockbits SKF\Size 12.250\Blade 6\SKF-02247r01.asm</t>
  </si>
  <si>
    <t>2247\2247_Summary.docx</t>
  </si>
  <si>
    <t>..\02_Spec Sheets\WIP 2.0\7118.2247\2247.Top.C.png</t>
  </si>
  <si>
    <t>..\02_Spec Sheets\WIP 2.0\7118.2247\2247.ISO.C.png</t>
  </si>
  <si>
    <t>..\02_Spec Sheets\Original Assy Spec Sheets\2247.pdf</t>
  </si>
  <si>
    <t>2247\2247 @ 0.25 IPR.xls</t>
  </si>
  <si>
    <t>2247\2247.dwg</t>
  </si>
  <si>
    <t>2247\2247 @ 0.25 IPR.dwg</t>
  </si>
  <si>
    <t xml:space="preserve">Hybrid f-type </t>
  </si>
  <si>
    <t>Non-redundant; Reverse Spiral; Secondary blades are flush to primary; Backup elements are under exposed @ .35”/rev. (knuckles are at .4”/rev + 0.010”)</t>
  </si>
  <si>
    <t>\\COT-SQL01\SEData\cot-i\eg\se\rel\Fixed Cutter Rockbits SKF\Size 12.250\Blade 5\SKF-02249r01.asm</t>
  </si>
  <si>
    <t>..\02_Spec Sheets\WIP 2.0\3814.2249\2249.Top.C.png</t>
  </si>
  <si>
    <t>..\02_Spec Sheets\WIP 2.0\3814.2249\2249.ISO.C.png</t>
  </si>
  <si>
    <t>..\02_Spec Sheets\Original Assy Spec Sheets\2249.pdf</t>
  </si>
  <si>
    <t>2249\2249 @ 0.25 IPR.xls</t>
  </si>
  <si>
    <t>2249\2249.dwg</t>
  </si>
  <si>
    <t>2249\2249 @ 0.25 IPR.dwg</t>
  </si>
  <si>
    <t>20-16</t>
  </si>
  <si>
    <t>16-29.4</t>
  </si>
  <si>
    <t>2251\CDG-39077.xlsm</t>
  </si>
  <si>
    <t>\\COT-SQL01\SEData\cot-i\eg\se\rel\Fixed Cutter Rockbits SKF\Size 12.250\Blade 6\SKF-02251r01.asm</t>
  </si>
  <si>
    <t>..\02_Spec Sheets\WIP 2.0\9408.2251\2251.Top.C.png</t>
  </si>
  <si>
    <t>..\02_Spec Sheets\WIP 2.0\9408.2251\2251.ISO.C.png</t>
  </si>
  <si>
    <t>..\02_Spec Sheets\Original Assy Spec Sheets\2251.pdf</t>
  </si>
  <si>
    <t>2251\2251 @ 0.25 IPR.xls</t>
  </si>
  <si>
    <t>2251\2251.dwg</t>
  </si>
  <si>
    <t>2251\2251 LO.dwg</t>
  </si>
  <si>
    <t>2251\2251 @ 0.25 IPR.dwg</t>
  </si>
  <si>
    <t>BU Cutters = exp to Pri.</t>
  </si>
  <si>
    <t>15-13</t>
  </si>
  <si>
    <t>\\COT-SQL01\SEData\cot-i\eg\se\rel\Fixed Cutter Rockbits SKF\Size 10.625\Blade 6\SKF-02252r01.asm</t>
  </si>
  <si>
    <t>2252\2252_Summary.docx</t>
  </si>
  <si>
    <t>..\02_Spec Sheets\WIP 2.0\3039.2252\2252.Top.C.png</t>
  </si>
  <si>
    <t>..\02_Spec Sheets\WIP 2.0\3039.2252\2252.ISO.C.png</t>
  </si>
  <si>
    <t>..\02_Spec Sheets\Original Assy Spec Sheets\2252.pdf</t>
  </si>
  <si>
    <t>2252\2252 @ 0.25 IPR.xls</t>
  </si>
  <si>
    <t>2252\2252.dwg</t>
  </si>
  <si>
    <t>2252\2252 @ 0.25 IPR.dwg</t>
  </si>
  <si>
    <t>Non-redundant; Reverse Spiral F63; Secondary blades have 6-3 factor of 0.03”;</t>
  </si>
  <si>
    <t>\\COT-SQL01\SEData\cot-i\eg\se\rel\Fixed Cutter Rockbits SKF\Size 14.750\Blade 6\SKF-02256r02.asm</t>
  </si>
  <si>
    <t>..\02_Spec Sheets\WIP 2.0\8570.2256\2256.Top.C.png</t>
  </si>
  <si>
    <t>..\02_Spec Sheets\WIP 2.0\8570.2256\2256.ISO.C.png</t>
  </si>
  <si>
    <t>..\02_Spec Sheets\Original Assy Spec Sheets\2256.pdf</t>
  </si>
  <si>
    <t>2256\2256 @ 0.25 IPR.xls</t>
  </si>
  <si>
    <t>2256\2256.dwg</t>
  </si>
  <si>
    <t>2256\2256 @ 0.25 IPR.dwg</t>
  </si>
  <si>
    <t>21-38.7</t>
  </si>
  <si>
    <t>2265\CDG-39111r1.xlsm</t>
  </si>
  <si>
    <t>\\COT-SQL01\SEData\cot-i\eg\se\rel\Fixed Cutter Rockbits SKF\Size 12.250\Blade 6\SKF-02265r01.asm</t>
  </si>
  <si>
    <t>..\02_Spec Sheets\WIP 2.0\3519.2265\2265.Top.C.png</t>
  </si>
  <si>
    <t>..\02_Spec Sheets\WIP 2.0\3519.2265\2265.ISO.C.png</t>
  </si>
  <si>
    <t>..\02_Spec Sheets\Original Assy Spec Sheets\2265.pdf</t>
  </si>
  <si>
    <t>2265\2265 @ 0.25 IPR.xls</t>
  </si>
  <si>
    <t>2265\2265.dwg</t>
  </si>
  <si>
    <t>2265\2265 LO.dwg</t>
  </si>
  <si>
    <t>2265\2265 @ 0.25 IPR.dwg</t>
  </si>
  <si>
    <t>2266\CDG-39113r1.xlsm</t>
  </si>
  <si>
    <t>\\COT-SQL01\SEData\cot-i\eg\se\rel\Fixed Cutter Rockbits SKF\Size 12.250\Blade 6\SKF-02266r01.asm</t>
  </si>
  <si>
    <t>..\02_Spec Sheets\WIP 2.0\6895.2266\2266.Top.C.png</t>
  </si>
  <si>
    <t>..\02_Spec Sheets\WIP 2.0\6895.2266\2266.ISO.C.png</t>
  </si>
  <si>
    <t>..\02_Spec Sheets\Original Assy Spec Sheets\2266.pdf</t>
  </si>
  <si>
    <t>2266\2266 @ 0.25 IPR.xls</t>
  </si>
  <si>
    <t>2266\2266.dwg</t>
  </si>
  <si>
    <t>2266\2266 LO.dwg</t>
  </si>
  <si>
    <t>2266\2266 @ 0.25 IPR.dwg</t>
  </si>
  <si>
    <t>2266\2266 @ 0.400 inRev.dwg</t>
  </si>
  <si>
    <t>2267\CDG-39114r1.xlsm</t>
  </si>
  <si>
    <t>\\COT-SQL01\SEData\cot-i\eg\se\rel\Fixed Cutter Rockbits SKF\Size 12.250\Blade 6\SKF-02267r01.asm</t>
  </si>
  <si>
    <t>..\02_Spec Sheets\WIP 2.0\7459.2267\2267.Top.C.png</t>
  </si>
  <si>
    <t>..\02_Spec Sheets\WIP 2.0\7459.2267\2267.ISO.C.png</t>
  </si>
  <si>
    <t>..\02_Spec Sheets\Original Assy Spec Sheets\2267.pdf</t>
  </si>
  <si>
    <t>2267\2267 @ 0.25 IPR.xls</t>
  </si>
  <si>
    <t>2267\2267.dwg</t>
  </si>
  <si>
    <t>2267\2267 LO.dwg</t>
  </si>
  <si>
    <t>2267\2267 @ 0.25 IPR.dwg</t>
  </si>
  <si>
    <t>2268\CDG-39115r1.dwg</t>
  </si>
  <si>
    <t>2268\CDG-39115r1.xlsm</t>
  </si>
  <si>
    <t>\\COT-SQL01\SEData\cot-i\eg\se\rel\Fixed Cutter Rockbits SKF\Size 07.875\Blade 6\SKF-02268r02.asm</t>
  </si>
  <si>
    <t>..\02_Spec Sheets\WIP 2.0\8398.2268\2268.Top.C.png</t>
  </si>
  <si>
    <t>..\02_Spec Sheets\WIP 2.0\8398.2268\2268.ISO.C.png</t>
  </si>
  <si>
    <t>..\02_Spec Sheets\Original Assy Spec Sheets\2268.pdf</t>
  </si>
  <si>
    <t>2268\2268 @ 0.25 IPR.xls</t>
  </si>
  <si>
    <t>2268\2268.dwg</t>
  </si>
  <si>
    <t>2268\2268 LO.dwg</t>
  </si>
  <si>
    <t>2268\2268 @ 0.25 IPR.dwg</t>
  </si>
  <si>
    <t>2270\CDG-39120r1.dwg</t>
  </si>
  <si>
    <t>2270\CDG-39120r1.xlsm</t>
  </si>
  <si>
    <t>\\COT-SQL01\SEData\cot-i\eg\se\rel\Fixed Cutter Rockbits SKF\Size 06.750\Blade 6\SKF-02270r01.asm</t>
  </si>
  <si>
    <t>..\02_Spec Sheets\WIP 2.0\5305.2270\2270.Top.C.png</t>
  </si>
  <si>
    <t>..\02_Spec Sheets\WIP 2.0\5305.2270\2270.ISO.C.png</t>
  </si>
  <si>
    <t>..\02_Spec Sheets\Original Assy Spec Sheets\2270.pdf</t>
  </si>
  <si>
    <t>2270\2270 @ 0.25 IPR.xls</t>
  </si>
  <si>
    <t>2270\2270.dwg</t>
  </si>
  <si>
    <t>2270\2270 @ 0.25 IPR.dwg</t>
  </si>
  <si>
    <t>2272\CDG-39122r2.xlsm</t>
  </si>
  <si>
    <t>\\COT-SQL01\SEData\cot-i\eg\se\rel\Fixed Cutter Rockbits SKF\Size 07.875\Blade 6\SKF-02272r02.asm</t>
  </si>
  <si>
    <t>..\02_Spec Sheets\WIP 2.0\6794.2272\2272.Top.C.png</t>
  </si>
  <si>
    <t>..\02_Spec Sheets\WIP 2.0\6794.2272\2272.ISO.C.png</t>
  </si>
  <si>
    <t>..\02_Spec Sheets\Original Assy Spec Sheets\2272.pdf</t>
  </si>
  <si>
    <t>2272\2272 @ 0.25 IPR.xls</t>
  </si>
  <si>
    <t>2272\2272.dwg</t>
  </si>
  <si>
    <t>2272\2272r2.dwg</t>
  </si>
  <si>
    <t>2272\2272 @ 0.25 IPR.dwg</t>
  </si>
  <si>
    <t>2362\2025.03.06 - NDRr00  - 2362 - 9.625 616-SRK - EnXL - 7.1kft.docx</t>
  </si>
  <si>
    <t>2362\2362r00 Design.dwg</t>
  </si>
  <si>
    <t>2362\2362r00 CS Placement V5.xls</t>
  </si>
  <si>
    <t>\\COT-SQL01\SEData\cot-i\eg\se\rel\Fixed Cutter Rockbits SKF\Size 09.625\Blade 6\SKF-02362r00.asm</t>
  </si>
  <si>
    <t>2362\2362r00 TOP.png</t>
  </si>
  <si>
    <t>2362\2362r00 ISO.png</t>
  </si>
  <si>
    <t>..\02_Spec Sheets\Original Assy Spec Sheets\2362r00 SS.pdf</t>
  </si>
  <si>
    <t>2362\2362r00 Min Engagement v8.01.xlsm</t>
  </si>
  <si>
    <t>2362\2362r00 LO.dwg</t>
  </si>
  <si>
    <t>2362\2362r00 @ 0.250 in_rev.dwg</t>
  </si>
  <si>
    <t>\\COT-SQL01\SEData\cot-i\eg\se\rel\Fixed Cutter Rockbits SKF\Size 09.625\Blade 6\2362r00 at 0.250 in_rev.par</t>
  </si>
  <si>
    <t>NX616-XR9(K)(BR)</t>
  </si>
  <si>
    <t>22-16</t>
  </si>
  <si>
    <t>2381\CDG-39128r1.xlsm</t>
  </si>
  <si>
    <t>\\COT-SQL01\SEData\cot-i\eg\se\rel\Fixed Cutter Rockbits SKF\Size 17.500\Blade 6</t>
  </si>
  <si>
    <t>..\02_Spec Sheets\WIP 2.0\2381\2381.Top.C.png</t>
  </si>
  <si>
    <t>..\02_Spec Sheets\WIP 2.0\2381\2381.ISO.C.png</t>
  </si>
  <si>
    <t>..\02_Spec Sheets\Original Assy Spec Sheets\2381.pdf</t>
  </si>
  <si>
    <t>2381\2381r01 Min Engagement v7.01.xlsm</t>
  </si>
  <si>
    <t>2381\2381 LO.dwg</t>
  </si>
  <si>
    <t>2381\2381 at 0.250 IPR.dwg</t>
  </si>
  <si>
    <t>Has custom ground nozzle sleeve heights</t>
  </si>
  <si>
    <t>25-30</t>
  </si>
  <si>
    <t>\\COT-SQL01\SEData\cot-i\eg\se\rel\Fixed Cutter Rockbits SKF\Size 07.875\Blade 6\SKF-02556r00.asm</t>
  </si>
  <si>
    <t>2556\2556r00 TOP.png</t>
  </si>
  <si>
    <t>2556\2556r00 ISO.png</t>
  </si>
  <si>
    <t>..\02_Spec Sheets\Original Assy Spec Sheets\2556r0c2 Spec Sheet.pdf</t>
  </si>
  <si>
    <t>2556\2556r00 Min Engagement v7.01.xlsm</t>
  </si>
  <si>
    <t>2556\2556r00 LO.dwg</t>
  </si>
  <si>
    <t>2556\2556r00 @ 0.250 in_rev.dwg</t>
  </si>
  <si>
    <t>\\COT-SQL01\SEData\cot-i\eg\se\rel\Fixed Cutter Rockbits SKF\Size 07.875\Blade 6\2556r00 XH23F at 0.250 in_rev.par</t>
  </si>
  <si>
    <t>NX616-SR</t>
  </si>
  <si>
    <t>2746\2026.02.02 --- NDRr01 --- 2746 10.625 NX616-SR9(K) --- New Design Request.doc</t>
  </si>
  <si>
    <t>2746\2746r00 CS Placement V6 wClaude.xls</t>
  </si>
  <si>
    <t>\\cot-sql01\sedata\cot-i\eg\se\rel\Fixed Cutter Rockbits SKF\Size 10.625\Blade 6\SKF-02746r00.asm</t>
  </si>
  <si>
    <t>2746\2746r00_TOP.jpg</t>
  </si>
  <si>
    <t>2746\2746r00_ISO.jpg</t>
  </si>
  <si>
    <t>..\02_Spec Sheets\Original Assy Spec Sheets\2746r00 Spec Sheet.pdf</t>
  </si>
  <si>
    <t>2746\2746r00 Min Engagement v8.01.xlsm</t>
  </si>
  <si>
    <t>\\cot-sql01\sedata\cot-i\eg\se\rel\Fixed Cutter Rockbits SKF\Size 10.625\Blade 6\2746r00 at 0.250 in_rev.par</t>
  </si>
  <si>
    <t>2746\2026.02.02 --- PPSr01 --- 2746 10.625 NX616-SR9(K) --- Profitability Projections.xlsm</t>
  </si>
  <si>
    <t>NX616-SR+9(K)(BR)</t>
  </si>
  <si>
    <t>Single Set; Reverse Spiral; 0.035" 6-3</t>
  </si>
  <si>
    <t>3219\3219r00 Design.dwg</t>
  </si>
  <si>
    <t>3219\3219r00 CS Placement V4.xls</t>
  </si>
  <si>
    <t>\\COT-SQL01\SEData\cot-i\eg\se\rel\Fixed Cutter Rockbits SKF\Size 08.500\Blade 8\SKF-03219r00.asm</t>
  </si>
  <si>
    <t>3219\3219r00 TOP.png</t>
  </si>
  <si>
    <t>3219\3219r00 ISO.png</t>
  </si>
  <si>
    <t>..\02_Spec Sheets\Original Assy Spec Sheets\3219r00.pdf</t>
  </si>
  <si>
    <t>3219\3219r00 Min Engagement v7.01.xlsm</t>
  </si>
  <si>
    <t>3219\3219 LO.dwg</t>
  </si>
  <si>
    <t>3219\3219r00 @ 0.250 in_rev.dwg</t>
  </si>
  <si>
    <t>NX813-SR(K)(BR)</t>
  </si>
  <si>
    <t>VCL</t>
  </si>
  <si>
    <t>23-16</t>
  </si>
  <si>
    <t>3336\3336r00 CS Placement V4.xls</t>
  </si>
  <si>
    <t>\\COT-SQL01\SEData\cot-i\eg\se\rel\Fixed Cutter Rockbits SKF\Size 08.500\Blade 6\SKF-03336r00.asm</t>
  </si>
  <si>
    <t>3336\3336r00 TOP.png</t>
  </si>
  <si>
    <t>3336\3336r00 ISO.png</t>
  </si>
  <si>
    <t>..\02_Spec Sheets\Original Assy Spec Sheets\3336r00.pdf</t>
  </si>
  <si>
    <t>3336\3336r00 Min Engagement v7.01.xlsm</t>
  </si>
  <si>
    <t>3336\3336 Layout.dwg</t>
  </si>
  <si>
    <t>3336\3336 @ 0.250 in_rev.dwg</t>
  </si>
  <si>
    <t>NX613-XR(K)(BR)</t>
  </si>
  <si>
    <t>17-30</t>
  </si>
  <si>
    <t>3449\3449r00 Design.dwg</t>
  </si>
  <si>
    <t>3449\3449r00 Design.xlsm</t>
  </si>
  <si>
    <t>\\COT-SQL01\SEData\cot-i\eg\se\rel\Fixed Cutter Rockbits SKF\Size 07.875\Blade 6\SKF-03449r00.asm</t>
  </si>
  <si>
    <t>3449\3449r00 TOP.png</t>
  </si>
  <si>
    <t>3449\3449r00 ISO.png</t>
  </si>
  <si>
    <t>..\02_Spec Sheets\Original Assy Spec Sheets\3449r00.pdf</t>
  </si>
  <si>
    <t>3449\3449r00 @ 0.25 IPR.xlsm</t>
  </si>
  <si>
    <t>3449\3449r00.dwg</t>
  </si>
  <si>
    <t>3449\3449r00 @ 0.25 in_rev.dwg</t>
  </si>
  <si>
    <t>CR616-XR</t>
  </si>
  <si>
    <t>5.25 Blade Equivalent</t>
  </si>
  <si>
    <t>3943\3943r1 Design.dwg</t>
  </si>
  <si>
    <t>3943\3943 Design.xlsm</t>
  </si>
  <si>
    <t>Y:\cot-i\eg\se\rel\Fixed Cutter Rockbits SKF\Size 07.875\Blade 6\SKF-03943r01.asm</t>
  </si>
  <si>
    <t>3943\3943 Design Summary.docx</t>
  </si>
  <si>
    <t>..\02_Spec Sheets\WIP 2.0\3943\3943.Top.C.png</t>
  </si>
  <si>
    <t>..\02_Spec Sheets\WIP 2.0\3943\3943.ISO.C.png</t>
  </si>
  <si>
    <t>..\02_Spec Sheets\Original Assy Spec Sheets\3943.pdf</t>
  </si>
  <si>
    <t>3943\3943 @ 0.25 IPR.xlsm</t>
  </si>
  <si>
    <t>3943\3943.dwg</t>
  </si>
  <si>
    <t>3943\3943 @ 0.25 in_rev.dwg</t>
  </si>
  <si>
    <t>4149\2026.01.07 --- NDRr01 --- 4149 11.000 NX616-SR9(K) --- New Design Request.doc</t>
  </si>
  <si>
    <t>4149\4149r00 CS Placement V6.xls</t>
  </si>
  <si>
    <t>\\cot-sql01\sedata\cot-i\eg\se\rel\Fixed Cutter Rockbits SKF\Size 11.000\Blade 6\SKF-04149r00.asm</t>
  </si>
  <si>
    <t>4149\4149r00 TOP.jpg</t>
  </si>
  <si>
    <t>4149\4149r00 ISO.jpg</t>
  </si>
  <si>
    <t>..\02_Spec Sheets\Original Assy Spec Sheets\4149r00.pdf</t>
  </si>
  <si>
    <t>4149\4149r00 Min Engagement v8.01.xlsm</t>
  </si>
  <si>
    <t>\\cot-sql01\sedata\cot-i\eg\se\rel\Fixed Cutter Rockbits SKF\Size 11.000\Blade 6\4149r00 at 0.250 in_rev.par</t>
  </si>
  <si>
    <t>4149\2026.01.07 --- PPSr01 --- 4149 11.000 NX616-SR9(K) --- Profitability Projections.xlsm</t>
  </si>
  <si>
    <t>NX616-SR9(K)</t>
  </si>
  <si>
    <t>2158 cutting structire with 43% exposure; 16mm center cutter; Webbing between blades; 3" Gage; 3 Pattern start to position 9; Reverse Spiral; Secondary blades are under exposed by .083”</t>
  </si>
  <si>
    <t>4206\4206r1 Design.xlsm</t>
  </si>
  <si>
    <t>Y:\cot-i\eg\se\rel\Fixed Cutter Rockbits SKF\Size 14.750\Blade 6\SKF-04206r01.asm</t>
  </si>
  <si>
    <t>..\02_Spec Sheets\WIP 2.0\4206\4206.Top.C.png</t>
  </si>
  <si>
    <t>..\02_Spec Sheets\WIP 2.0\4206\4206.ISO.C.png</t>
  </si>
  <si>
    <t>..\02_Spec Sheets\Original Assy Spec Sheets\4206.pdf</t>
  </si>
  <si>
    <t>4206\4206 @ 0.25 IPR.xls</t>
  </si>
  <si>
    <t>4206\4206.dwg</t>
  </si>
  <si>
    <t>4206\4206 @ 0.250 in_rev.dwg</t>
  </si>
  <si>
    <t>15.5-24.9</t>
  </si>
  <si>
    <t>4288\4288r00 Design.dwg</t>
  </si>
  <si>
    <t>4288\4288r00 CS Placement V4.xls</t>
  </si>
  <si>
    <t>\\COT-SQL01\SEData\cot-i\eg\se\rel\Fixed Cutter Rockbits SKF\Size 17.500\Blade 6\SKF-04288r00.asm</t>
  </si>
  <si>
    <t>4288\4288r00 TOP.png</t>
  </si>
  <si>
    <t>4288\4288r00 ISO.png</t>
  </si>
  <si>
    <t>..\02_Spec Sheets\Original Assy Spec Sheets\4288r00.pdf</t>
  </si>
  <si>
    <t>4288\4288r00 Min Engagement v7.01.xlsm</t>
  </si>
  <si>
    <t>4288\4288r00 Layout.dwg</t>
  </si>
  <si>
    <t>4288\4288r00 @ 0.250 in_rev.dwg</t>
  </si>
  <si>
    <t>Spudder design</t>
  </si>
  <si>
    <t>3.75 radius</t>
  </si>
  <si>
    <t>15-27.8</t>
  </si>
  <si>
    <t>4538\4538r0 Design.dwg</t>
  </si>
  <si>
    <t>4538\4538r0 CS Placement.xls</t>
  </si>
  <si>
    <t>\\COT-SQL01\SEData\cot-i\eg\se\rel\Fixed Cutter Rockbits SKF\Size 12.250\Blade 6\SKF-04538r00.asm</t>
  </si>
  <si>
    <t>4538\4538r0 Top.png</t>
  </si>
  <si>
    <t>4538\4538r0 ISO.png</t>
  </si>
  <si>
    <t>..\02_Spec Sheets\Original Assy Spec Sheets\4538r0.pdf</t>
  </si>
  <si>
    <t>4538\4538r0 Min Engagement v6.10.xlsm</t>
  </si>
  <si>
    <t>4538\4538r0 Layout.dwg</t>
  </si>
  <si>
    <t>4538\4538r0 @ 0.250 in_rev.dwg</t>
  </si>
  <si>
    <t>2.75 radius</t>
  </si>
  <si>
    <t>22.5-15</t>
  </si>
  <si>
    <t>4720\4720 Design.dwg</t>
  </si>
  <si>
    <t>4720\4720r1 Design 2.xlsm</t>
  </si>
  <si>
    <t>Y:\cot-i\eg\se\rel\Fixed Cutter Rockbits SKF\Size 07.875\Blade 4\SKF-04720r01.asm</t>
  </si>
  <si>
    <t>4720\4720r02 Top.png</t>
  </si>
  <si>
    <t>4720\4720r02 ISO.png</t>
  </si>
  <si>
    <t>..\02_Spec Sheets\Original Assy Spec Sheets\4720.pdf</t>
  </si>
  <si>
    <t>4720\4720 @ 0.25 IPR.xls</t>
  </si>
  <si>
    <t>4720\4720 LO.dwg</t>
  </si>
  <si>
    <t>4720\4720 @ 0.25 IPR.dwg</t>
  </si>
  <si>
    <t>CRDR13(BR)</t>
  </si>
  <si>
    <t>4796\2025.07.01 --- NDRr01 - 6.75 NX613 LATERAL BIT.doc</t>
  </si>
  <si>
    <t>\\cot-sql01\sedata\cot-i\eg\se\rel\Fixed Cutter Rockbits SKF\Size 06.750\Blade 6\4796r00 Design.par</t>
  </si>
  <si>
    <t>4796\4796r00 CS Placement V5.xls</t>
  </si>
  <si>
    <t>\\cot-sql01\sedata\cot-i\eg\se\rel\Component Drawings CDG\Bit Heads\Size 06.750\Blade 6\CDG-39221r0.asm</t>
  </si>
  <si>
    <t>4796\4796r00 Top.jpg</t>
  </si>
  <si>
    <t>4796\4796r00 ISO.jpg</t>
  </si>
  <si>
    <t>..\02_Spec Sheets\Original Assy Spec Sheets\4796r00 Spec Sheet.pdf</t>
  </si>
  <si>
    <t>4796\4796r00 Min Engagement v8.01.xlsm</t>
  </si>
  <si>
    <t>\\cot-sql01\sedata\cot-i\eg\se\rel\Fixed Cutter Rockbits SKF\Size 06.750\Blade 6\4796r00 @ 0.250 in_rev.par</t>
  </si>
  <si>
    <t>NX613M-SR+(K)(BR)</t>
  </si>
  <si>
    <t>21-15</t>
  </si>
  <si>
    <t>5132\5132 Design.dwg</t>
  </si>
  <si>
    <t>5132\5132r00 CS Placement V4.xls</t>
  </si>
  <si>
    <t>\\COT-SQL01\SEData\cot-i\eg\se\rel\Fixed Cutter Rockbits SKF\Size 08.500\Blade 6\SKF-05132r00.asm</t>
  </si>
  <si>
    <t>5132\5132r00 Top.png</t>
  </si>
  <si>
    <t>5132\5132r00 ISO.png</t>
  </si>
  <si>
    <t>..\02_Spec Sheets\Original Assy Spec Sheets\5132r00.pdf</t>
  </si>
  <si>
    <t>5132\5132r00 Min Engagement v8.01.xlsm</t>
  </si>
  <si>
    <t>5132\5132 Layout.dwg</t>
  </si>
  <si>
    <t>5132\5132 @ 0.250 in_rev.dwg</t>
  </si>
  <si>
    <t>5481\5481r1 Design.dwg</t>
  </si>
  <si>
    <t>5481\5481 Design.xlsm</t>
  </si>
  <si>
    <t>Y:\cot-i\eg\se\rel\Fixed Cutter Rockbits SKF\Size 07.875\Blade 6</t>
  </si>
  <si>
    <t>..\02_Spec Sheets\WIP 2.0\5481\5481.Top.C.png</t>
  </si>
  <si>
    <t>..\02_Spec Sheets\WIP 2.0\5481\5481.ISO.C.png</t>
  </si>
  <si>
    <t>..\02_Spec Sheets\Original Assy Spec Sheets\5481.pdf</t>
  </si>
  <si>
    <t>5481\5481 @ 0.25 IPR.xlsm</t>
  </si>
  <si>
    <t>5481\5481.dwg</t>
  </si>
  <si>
    <t>5481\5481 @ 0.250 in_rev.dwg</t>
  </si>
  <si>
    <t>5.5 Blade Equivalent</t>
  </si>
  <si>
    <t>5646\5646r00 CS Placement V4.xls</t>
  </si>
  <si>
    <t>\\COT-SQL01\SEData\cot-i\eg\se\rel\Fixed Cutter Rockbits SKF\Size 08.500\Blade 6\SKF-05646r00.asm</t>
  </si>
  <si>
    <t>5646\5646r00 TOP.png</t>
  </si>
  <si>
    <t>5646\5646r00 ISO.png</t>
  </si>
  <si>
    <t>..\02_Spec Sheets\Original Assy Spec Sheets\5646r00.pdf</t>
  </si>
  <si>
    <t>5646\5646r00 Min Engagement v7.01.xlsm</t>
  </si>
  <si>
    <t>5646\5646r00 Layout.dwg</t>
  </si>
  <si>
    <t>5646\5646r00 @ 0.250 in_rev.dwg</t>
  </si>
  <si>
    <t>1113 cone; 1313 shoulder</t>
  </si>
  <si>
    <t>17-26</t>
  </si>
  <si>
    <t>5674\5674r00 Design.dwg</t>
  </si>
  <si>
    <t>5674\5674r00 CS Placement V4.xls</t>
  </si>
  <si>
    <t>\\COT-SQL01\SEData\cot-i\eg\se\rel\Fixed Cutter Rockbits SKF\Size 14.750\Blade 6\SKF-05674r00.asm</t>
  </si>
  <si>
    <t>5674\5674r00 Top.png</t>
  </si>
  <si>
    <t>5674\5674r00 ISO.png</t>
  </si>
  <si>
    <t>..\02_Spec Sheets\Original Assy Spec Sheets\5674r00.pdf</t>
  </si>
  <si>
    <t>5674\5674r00 Min Engagement v7.01.xlsm</t>
  </si>
  <si>
    <t>5674\5674r00 Layout.dwg</t>
  </si>
  <si>
    <t>5674\5674r00 @ 0.250 in_rev.dwg</t>
  </si>
  <si>
    <t>23-15</t>
  </si>
  <si>
    <t>5749\NDR - 2024.08.19 - 5749 - 9.875 616-SRK - OXY - 10300ft.docx</t>
  </si>
  <si>
    <t>5749\5749r00 Design.dwg</t>
  </si>
  <si>
    <t>5749\5749r00 CS Placement V4.xls</t>
  </si>
  <si>
    <t>\\COT-SQL01\SEData\cot-i\eg\se\rel\Fixed Cutter Rockbits SKF\Size 09.875\Blade 6\SKF-05749r00.asm</t>
  </si>
  <si>
    <t>5749\5749r00 Top.png</t>
  </si>
  <si>
    <t>5749\5749r00 ISO.png</t>
  </si>
  <si>
    <t>..\02_Spec Sheets\Original Assy Spec Sheets\5749r00.pdf</t>
  </si>
  <si>
    <t>5749\5749r00 Min Engagement v8.01.xlsm</t>
  </si>
  <si>
    <t>5749\5749r00 Layout.dwg</t>
  </si>
  <si>
    <t>5749\5749r00 @ 0.250 in_rev.dwg</t>
  </si>
  <si>
    <t>\\COT-SQL01\SEData\cot-i\eg\se\rel\Fixed Cutter Rockbits SKF\Size 09.875\Blade 6\SKF-05911r00.asm</t>
  </si>
  <si>
    <t>5911\5911r00 TOP.png</t>
  </si>
  <si>
    <t>5911\5911r00 ISO.png</t>
  </si>
  <si>
    <t>..\02_Spec Sheets\Original Assy Spec Sheets\5911r00 SS.pdf</t>
  </si>
  <si>
    <t>5911\5911r00 Min Engagement v7.01.xlsm</t>
  </si>
  <si>
    <t>5911\5911r00 Layout.dwg</t>
  </si>
  <si>
    <t>5911\5911r00 @ 0.250 in_rev.dwg</t>
  </si>
  <si>
    <t>6135\2025.09.06--- NDRr01 - 6135 14.75 616-SR(K).docx</t>
  </si>
  <si>
    <t>\\cot-sql01\sedata\cot-i\eg\se\rel\Fixed Cutter Rockbits SKF\Size 14.750\Blade 6\SKF-06135r00.asm</t>
  </si>
  <si>
    <t>6135\6135r00 TOP.png</t>
  </si>
  <si>
    <t>6135\6135r00 ISO.png</t>
  </si>
  <si>
    <t>..\02_Spec Sheets\Original Assy Spec Sheets\6135r00.pdf</t>
  </si>
  <si>
    <t>6135\6135r00 Min Engagement v8.01.xlsm</t>
  </si>
  <si>
    <t>\\cot-sql01\sedata\cot-i\eg\se\rel\Fixed Cutter Rockbits SKF\Size 14.750\Blade 6\6135r00 @ 0.250 in_rev.par</t>
  </si>
  <si>
    <t>6135\2025.09.06 6135 14.75 616-SR(K) --- PPSr01 --- Profitability Projections.xlsm</t>
  </si>
  <si>
    <t>6150\6150r01 CS Placement V4.xls</t>
  </si>
  <si>
    <t>\\COT-SQL01\SEData\cot-i\eg\se\rel\Fixed Cutter Rockbits SKF\Size 17.500\Blade 6\SKF-06150r01.asm</t>
  </si>
  <si>
    <t>6150\6150r01 Top.png</t>
  </si>
  <si>
    <t>6150\6150r01 ISO.png</t>
  </si>
  <si>
    <t>..\02_Spec Sheets\Original Assy Spec Sheets\6150r01 Spec Sheet.pdf</t>
  </si>
  <si>
    <t>6150\6150r01 Min Engagement v7.01.xlsm</t>
  </si>
  <si>
    <t>6150\6150r01_Layout.dwg</t>
  </si>
  <si>
    <t>6150\6150r01@0.25_in_rev.dwg</t>
  </si>
  <si>
    <t>6207\6207r1 Design.xlsm</t>
  </si>
  <si>
    <t>Y:\cot-i\eg\se\rel\Fixed Cutter Rockbits SKF\Size 07.875\Blade 6\SKF-06207r01.asm</t>
  </si>
  <si>
    <t>..\02_Spec Sheets\WIP 2.0\6207\8479.Top.C.png</t>
  </si>
  <si>
    <t>..\02_Spec Sheets\WIP 2.0\6207\8479.ISO.C.png</t>
  </si>
  <si>
    <t>..\02_Spec Sheets\Original Assy Spec Sheets\6207.pdf</t>
  </si>
  <si>
    <t>6207\6207 @ 0.25 IPR.xls</t>
  </si>
  <si>
    <t>6207\6207 LO.dwg</t>
  </si>
  <si>
    <t>6207\6207 @ 0.25 IPR.dwg</t>
  </si>
  <si>
    <t>18-29</t>
  </si>
  <si>
    <t>6513\6513r0 Design.dwg</t>
  </si>
  <si>
    <t>6513\6513 CS Placement V4.xls</t>
  </si>
  <si>
    <t>\\COT-SQL01\SEData\cot-i\eg\se\rel\Fixed Cutter Rockbits SKF\Size 17.500\Blade 5\SKF-06513r00.asm</t>
  </si>
  <si>
    <t>6513\6513 Top.png</t>
  </si>
  <si>
    <t>6513\6513 ISO.png</t>
  </si>
  <si>
    <t>..\02_Spec Sheets\Original Assy Spec Sheets\6513r0.pdf</t>
  </si>
  <si>
    <t>6513\6513r0 Min Engagement v6.10.xlsm</t>
  </si>
  <si>
    <t>6513\6513r0.dwg</t>
  </si>
  <si>
    <t>6513\6513r0 @ 0.250 in_rev.dwg</t>
  </si>
  <si>
    <t>15-16</t>
  </si>
  <si>
    <t>2 pattern start to position 4; 3 pattern to position 9; then 5 pattern; forwand spiral; Single set</t>
  </si>
  <si>
    <t>CR616-SR+9(K)(BR)</t>
  </si>
  <si>
    <t>6653\NDRr01-2024.09.17 - 6653 - 12.25 CR616-SR+9(K)(BR).docx</t>
  </si>
  <si>
    <t>6653\6653r00 CS Placement V4.xls</t>
  </si>
  <si>
    <t>\\COT-SQL01\SEData\cot-i\eg\se\rel\Fixed Cutter Rockbits SKF\Size 12.250\Blade 6\SKF-06653r00.asm</t>
  </si>
  <si>
    <t>6653\6653r00 Top.png</t>
  </si>
  <si>
    <t>6653\6653r00 ISO.png</t>
  </si>
  <si>
    <t>..\02_Spec Sheets\Original Assy Spec Sheets\6653r00 Spec Sheet.pdf</t>
  </si>
  <si>
    <t>6653\6653r00 Min Engagement v8.01.xlsm</t>
  </si>
  <si>
    <t>6653\6653r00 LO.dwg</t>
  </si>
  <si>
    <t>6653\6653r00 @ 0.250 in_rev.dwg</t>
  </si>
  <si>
    <t>6841\Ø 7.875 516M-XR7(K)(BR) --- Assy 3060 --- NDRr01.doc</t>
  </si>
  <si>
    <t>\\cot-sql01\sedata\cot-i\eg\se\rel\Fixed Cutter Rockbits SKF\Size 07.875\Blade 5\SKF-06841r00 Design.dft</t>
  </si>
  <si>
    <t>6841\6841r00 CS Placement V6.xls</t>
  </si>
  <si>
    <t>\\cot-sql01\sedata\cot-i\eg\se\rel\Fixed Cutter Rockbits SKF\Size 07.875\Blade 5\SKF-06841r00.asm</t>
  </si>
  <si>
    <t>6841\6841r00_Top.png</t>
  </si>
  <si>
    <t>6841\6841r00_ISO.png</t>
  </si>
  <si>
    <t>..\02_Spec Sheets\Original Assy Spec Sheets\6841r00 Spec Sheet.pdf</t>
  </si>
  <si>
    <t>6841\6841r00 Min Engagement v8.01.xlsm</t>
  </si>
  <si>
    <t>\\cot-sql01\sedata\cot-i\eg\se\rel\Fixed Cutter Rockbits SKF\Size 07.875\Blade 5\6841r00 at 0.250 in_rev.par</t>
  </si>
  <si>
    <t>6841\Ø 7.875 516M-XR7(K)(BR) --- Assy 3060 --- PPSr01.xlsm</t>
  </si>
  <si>
    <t>NX516M-SR7(K)(BR)</t>
  </si>
  <si>
    <t>Matrix/Steel</t>
  </si>
  <si>
    <t>7182\2025.03.06 - NDRr01 - - 7.875 514.5 VCL-19kft.doc</t>
  </si>
  <si>
    <t>7182\7182 Design.dwg</t>
  </si>
  <si>
    <t>7182\7182r00 CS Placement V6.xls</t>
  </si>
  <si>
    <t>\\COT-SQL01\SEData\cot-i\eg\se\rel\Fixed Cutter Rockbits SKF\Size 07.875\Blade 5\SKF-07182r00.asm</t>
  </si>
  <si>
    <t>7182\7182r00 TOP.png</t>
  </si>
  <si>
    <t>7182\7182r00 ISO.png</t>
  </si>
  <si>
    <t>..\02_Spec Sheets\Original Assy Spec Sheets\7182r00.pdf</t>
  </si>
  <si>
    <t>7182\7182r00 Min Engagement v8.01.xlsm</t>
  </si>
  <si>
    <t>7182\7182r00 Layout.dwg</t>
  </si>
  <si>
    <t>7182\7182r00 @ 0.250 in_rev.dwg</t>
  </si>
  <si>
    <t>\\COT-SQL01\SEData\cot-i\eg\se\rel\Fixed Cutter Rockbits SKF\Size 07.875\Blade 5\7182r00 at 0.250 in_rev.par</t>
  </si>
  <si>
    <t>NX514.5-XR7(K)(BR)</t>
  </si>
  <si>
    <t>7273\7273r00 CS Placement V4.xls</t>
  </si>
  <si>
    <t>\\COT-SQL01\SEData\cot-i\eg\se\rel\Fixed Cutter Rockbits SKF\Size 14.750\Blade 6\SKF-07273r00.asm</t>
  </si>
  <si>
    <t>7273\7273r00 TOP.png</t>
  </si>
  <si>
    <t>7273\7273r00 ISO.png</t>
  </si>
  <si>
    <t>..\02_Spec Sheets\Original Assy Spec Sheets\7273r00.pdf</t>
  </si>
  <si>
    <t>7273\7273r00 Min Engagement v7.01.xlsm</t>
  </si>
  <si>
    <t>7273\7273r00 Layout.dwg</t>
  </si>
  <si>
    <t>7273\7273r00 @ 0.25 in_rev.dwg</t>
  </si>
  <si>
    <t>7823\7823r00 Design.dwg</t>
  </si>
  <si>
    <t>\\COT-SQL01\SEData\cot-i\eg\se\rel\Fixed Cutter Rockbits SKF\Size 17.500\Blade 6\SKF-07823r00.asm</t>
  </si>
  <si>
    <t>7823\7823r00 Top.png</t>
  </si>
  <si>
    <t>7823\7823r00 ISO.png</t>
  </si>
  <si>
    <t>..\02_Spec Sheets\Original Assy Spec Sheets\7823r00.pdf</t>
  </si>
  <si>
    <t>7823\7823r00 Min Engagement v7.01.xlsm</t>
  </si>
  <si>
    <t>7823\7823r00 Layout.dwg</t>
  </si>
  <si>
    <t>7823\7823r00 @ 0.250 in_rev.dwg</t>
  </si>
  <si>
    <t>3 Pattern start to position 11; Reverse Spiral; Opposed redundant;</t>
  </si>
  <si>
    <t>8479\Design.dwg</t>
  </si>
  <si>
    <t>Y:\Fixed Cutter Rockbits SKF\Size 07.875\Blade 6\SKF-08479r01.asm</t>
  </si>
  <si>
    <t>..\02_Spec Sheets\WIP 2.0\8479\8479.Top.C.png</t>
  </si>
  <si>
    <t>..\02_Spec Sheets\WIP 2.0\8479\8479.ISO.C.png</t>
  </si>
  <si>
    <t>..\02_Spec Sheets\Original Assy Spec Sheets\8479.pdf</t>
  </si>
  <si>
    <t>8479\8479 @ 0.25 IPR.xls</t>
  </si>
  <si>
    <t>8479\8479_LO.dwg</t>
  </si>
  <si>
    <t>8479\8479 @ 0.25 IPR.dwg</t>
  </si>
  <si>
    <t>8896\8896r00 CS Placement V5.xls</t>
  </si>
  <si>
    <t>\\COT-SQL01\SEData\cot-i\eg\se\rel\Fixed Cutter Rockbits SKF\Size 09.875\Blade 6\SKF-08896r00.asm</t>
  </si>
  <si>
    <t>8896\8896r00 Top.png</t>
  </si>
  <si>
    <t>8896\8896r00 ISO.png</t>
  </si>
  <si>
    <t>..\02_Spec Sheets\Original Assy Spec Sheets\8896r00.pdf</t>
  </si>
  <si>
    <t>8896\8896r00 Min Engagement v8.01.xlsm</t>
  </si>
  <si>
    <t>8896\8896r00 Layout.dwg</t>
  </si>
  <si>
    <t>8896\8896r00 at 0.250 in_rev.dwg</t>
  </si>
  <si>
    <t>\\COT-SQL01\SEData\cot-i\eg\se\rel\Fixed Cutter Rockbits SKF\Size 09.875\Blade 6\8896r00 Hole at 0.250 in_rev.par</t>
  </si>
  <si>
    <t>9023\9023r0 Design.dwg</t>
  </si>
  <si>
    <t>9023\9023 CS Placement V4.xls</t>
  </si>
  <si>
    <t>\\COT-SQL01\SEData\cot-i\eg\se\rel\Fixed Cutter Rockbits SKF\Size 07.875\Blade 6\SKF-09023r99.asm</t>
  </si>
  <si>
    <t>9023\9023r00 TOP.png</t>
  </si>
  <si>
    <t>9023\9023r00 ISO.png</t>
  </si>
  <si>
    <t>..\02_Spec Sheets\Original Assy Spec Sheets\9023r00.pdf</t>
  </si>
  <si>
    <t>9023\9023r00 Min Engagement v7.01.xlsm</t>
  </si>
  <si>
    <t>9023\9023r00 Layout.dwg</t>
  </si>
  <si>
    <t>9023\9023r00 @ 0.250 in_rev.dwg</t>
  </si>
  <si>
    <t>CR613-SR(K)(BR)</t>
  </si>
  <si>
    <t>9387\2025.11.06 --- NDRr01 -9387- 7.875 NX613 SR+ K BR.doc</t>
  </si>
  <si>
    <t>9387\9387r0 Design.dft</t>
  </si>
  <si>
    <t>9387\9387r00 CS Placement V5.xls</t>
  </si>
  <si>
    <t>\\cot-sql01\sedata\cot-i\eg\se\rel\Fixed Cutter Rockbits SKF\Size 07.875\Blade 6\SKF-09387r00.asm</t>
  </si>
  <si>
    <t>9387\9387r00 TOP.png</t>
  </si>
  <si>
    <t>9387\9387r00 ISO.png</t>
  </si>
  <si>
    <t>..\02_Spec Sheets\Original Assy Spec Sheets\9387r00 Spec Sheet.pdf</t>
  </si>
  <si>
    <t>9387\9387r00 Min Engagement v8.01.xlsm</t>
  </si>
  <si>
    <t>\\cot-sql01\sedata\cot-i\eg\se\rel\Fixed Cutter Rockbits SKF\Size 07.875\Blade 6\9387r00 at 0.250 in_rev.par</t>
  </si>
  <si>
    <t>NX613-SR+(K)(BR)</t>
  </si>
  <si>
    <t>9427\9427r1 Design.dwg</t>
  </si>
  <si>
    <t>\\COT-SQL01\SEData\cot-i\eg\se\rel\Fixed Cutter Rockbits SKF\Size 17.500\Blade 6\SKF-09427r01.asm</t>
  </si>
  <si>
    <t>9427\9427r1 Top.png</t>
  </si>
  <si>
    <t>9427\9427r1 ISO.png</t>
  </si>
  <si>
    <t>..\02_Spec Sheets\Original Assy Spec Sheets\9427.pdf</t>
  </si>
  <si>
    <t>9427\9427r1 v6.10.xlsm</t>
  </si>
  <si>
    <t>9427\9427r1 Layout.dwg</t>
  </si>
  <si>
    <t>9427\9427r1 @ 0.250 in_rev.dwg</t>
  </si>
  <si>
    <t>NX616-SR9</t>
  </si>
  <si>
    <t>9692\2024.10.20 - NDRr01 - 9692 - 7.875 613 VCL-19kft.doc</t>
  </si>
  <si>
    <t>9692\9692 Design.dwg</t>
  </si>
  <si>
    <t>9692\9692r00 CS Placement V4.xls</t>
  </si>
  <si>
    <t>\\COT-SQL01\SEData\cot-i\eg\se\rel\Fixed Cutter Rockbits SKF\Size 07.875\Blade 6\SKF-09692r00.asm</t>
  </si>
  <si>
    <t>9692\9692r00 TOP.png</t>
  </si>
  <si>
    <t>9692\9692r00 ISO.png</t>
  </si>
  <si>
    <t>..\02_Spec Sheets\Original Assy Spec Sheets\9692r00.pdf</t>
  </si>
  <si>
    <t>9692\9692r00 Min Engagement v8.01.xlsm</t>
  </si>
  <si>
    <t>9692\9692 Layout.dwg</t>
  </si>
  <si>
    <t>9692\9692 @ 0.250 in_rev.dwg</t>
  </si>
  <si>
    <t>9692\2024.10.20 - PPSr01 - 9692 - 7.875 613 VCL - 19kft.xlsm</t>
  </si>
  <si>
    <t>9944\9944r00 CS Placement V7.01.xls</t>
  </si>
  <si>
    <t>\\cot-sql01\sedata\cot-i\eg\se\rel\Fixed Cutter Rockbits SKF\Size 10.625\Blade 6\SKF-09944r00.asm</t>
  </si>
  <si>
    <t>9944\9944r00_TOP.jpg</t>
  </si>
  <si>
    <t>9944\9944r00_ISO.jpg</t>
  </si>
  <si>
    <t>..\02_Spec Sheets\Original Assy Spec Sheets\9944r00 Spec Sheet.pdf</t>
  </si>
  <si>
    <t>9944\9944r00 Min Engagement v8.01.xlsm</t>
  </si>
  <si>
    <t>\\cot-sql01\sedata\cot-i\eg\se\rel\Fixed Cutter Rockbits SKF\Size 10.625\Blade 6\9944r00 at 0.250 in_rev.par</t>
  </si>
  <si>
    <t>Single Set; Reverse Spiral; 0.000" 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</si>
</sst>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
    <numFmt numFmtId="165" formatCode="0.0"/>
    <numFmt numFmtId="166" formatCode="0.0%"/>
    <numFmt numFmtId="167" formatCode="0.000"/>
  </numFmts>
  <fonts count="8" x14ac:knownFonts="1">
    <font>
      <sz val="11"/>
      <color theme="1"/>
      <name val="Aptos Narrow"/>
      <family val="2"/>
      <scheme val="minor"/>
    </font>
    <font>
      <sz val="11"/>
      <color theme="1"/>
      <name val="Aptos Narrow"/>
      <family val="2"/>
      <scheme val="minor"/>
    </font>
    <font>
      <sz val="11"/>
      <color rgb="FFFF0000"/>
      <name val="Aptos Narrow"/>
      <family val="2"/>
      <scheme val="minor"/>
    </font>
    <font>
      <u/>
      <sz val="11"/>
      <color theme="10"/>
      <name val="Aptos Narrow"/>
      <family val="2"/>
      <scheme val="minor"/>
    </font>
    <font>
      <vertAlign val="superscript"/>
      <sz val="11"/>
      <color theme="1"/>
      <name val="Aptos Narrow"/>
      <family val="2"/>
      <scheme val="minor"/>
    </font>
    <font>
      <sz val="11"/>
      <color theme="4"/>
      <name val="Aptos Narrow"/>
      <family val="2"/>
      <scheme val="minor"/>
    </font>
    <font>
      <sz val="11"/>
      <name val="Aptos Narrow"/>
      <family val="2"/>
      <scheme val="minor"/>
    </font>
    <font>
      <sz val="11"/>
      <color rgb="FF000000"/>
      <name val="Aptos Narrow"/>
      <family val="2"/>
      <scheme val="minor"/>
    </font>
  </fonts>
  <fills count="9">
    <fill>
      <patternFill patternType="none"/>
    </fill>
    <fill>
      <patternFill patternType="gray125"/>
    </fill>
    <fill>
      <patternFill patternType="solid">
        <fgColor theme="9" tint="-0.249977111117893"/>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ABAB"/>
        <bgColor indexed="64"/>
      </patternFill>
    </fill>
    <fill>
      <patternFill patternType="solid">
        <fgColor rgb="FFFF0000"/>
        <bgColor indexed="64"/>
      </patternFill>
    </fill>
    <fill>
      <patternFill patternType="solid">
        <fgColor rgb="FFE2EFDA"/>
        <bgColor indexed="64"/>
      </patternFill>
    </fill>
  </fills>
  <borders count="46">
    <border>
      <left/>
      <right/>
      <top/>
      <bottom/>
      <diagonal/>
    </border>
    <border>
      <left style="thick">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top/>
      <bottom style="hair">
        <color auto="1"/>
      </bottom>
      <diagonal/>
    </border>
    <border>
      <left/>
      <right/>
      <top/>
      <bottom style="hair">
        <color auto="1"/>
      </bottom>
      <diagonal/>
    </border>
    <border>
      <left/>
      <right style="thick">
        <color auto="1"/>
      </right>
      <top/>
      <bottom style="hair">
        <color auto="1"/>
      </bottom>
      <diagonal/>
    </border>
    <border>
      <left style="thick">
        <color auto="1"/>
      </left>
      <right style="hair">
        <color auto="1"/>
      </right>
      <top style="thin">
        <color auto="1"/>
      </top>
      <bottom style="hair">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ck">
        <color auto="1"/>
      </right>
      <top style="thin">
        <color auto="1"/>
      </top>
      <bottom style="hair">
        <color auto="1"/>
      </bottom>
      <diagonal/>
    </border>
    <border>
      <left style="thick">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ck">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bottom style="hair">
        <color auto="1"/>
      </bottom>
      <diagonal/>
    </border>
    <border>
      <left style="hair">
        <color auto="1"/>
      </left>
      <right style="thick">
        <color auto="1"/>
      </right>
      <top/>
      <bottom style="hair">
        <color auto="1"/>
      </bottom>
      <diagonal/>
    </border>
    <border>
      <left style="thick">
        <color auto="1"/>
      </left>
      <right style="hair">
        <color auto="1"/>
      </right>
      <top/>
      <bottom style="hair">
        <color auto="1"/>
      </bottom>
      <diagonal/>
    </border>
    <border>
      <left style="thick">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right/>
      <top/>
      <bottom style="thick">
        <color auto="1"/>
      </bottom>
      <diagonal/>
    </border>
    <border>
      <left style="thick">
        <color auto="1"/>
      </left>
      <right style="hair">
        <color auto="1"/>
      </right>
      <top/>
      <bottom style="thick">
        <color auto="1"/>
      </bottom>
      <diagonal/>
    </border>
    <border>
      <left style="hair">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thick">
        <color auto="1"/>
      </left>
      <right style="hair">
        <color auto="1"/>
      </right>
      <top style="hair">
        <color auto="1"/>
      </top>
      <bottom style="thick">
        <color auto="1"/>
      </bottom>
      <diagonal/>
    </border>
    <border>
      <left style="hair">
        <color auto="1"/>
      </left>
      <right/>
      <top style="hair">
        <color auto="1"/>
      </top>
      <bottom style="thick">
        <color auto="1"/>
      </bottom>
      <diagonal/>
    </border>
    <border>
      <left style="hair">
        <color auto="1"/>
      </left>
      <right style="thin">
        <color auto="1"/>
      </right>
      <top style="hair">
        <color auto="1"/>
      </top>
      <bottom style="thick">
        <color auto="1"/>
      </bottom>
      <diagonal/>
    </border>
    <border>
      <left/>
      <right style="hair">
        <color auto="1"/>
      </right>
      <top style="hair">
        <color auto="1"/>
      </top>
      <bottom style="thick">
        <color auto="1"/>
      </bottom>
      <diagonal/>
    </border>
    <border>
      <left style="thick">
        <color auto="1"/>
      </left>
      <right style="hair">
        <color auto="1"/>
      </right>
      <top/>
      <bottom/>
      <diagonal/>
    </border>
    <border>
      <left style="hair">
        <color auto="1"/>
      </left>
      <right style="thick">
        <color auto="1"/>
      </right>
      <top style="hair">
        <color auto="1"/>
      </top>
      <bottom style="hair">
        <color auto="1"/>
      </bottom>
      <diagonal/>
    </border>
    <border>
      <left style="hair">
        <color auto="1"/>
      </left>
      <right style="hair">
        <color auto="1"/>
      </right>
      <top style="hair">
        <color auto="1"/>
      </top>
      <bottom/>
      <diagonal/>
    </border>
    <border>
      <left style="hair">
        <color auto="1"/>
      </left>
      <right style="thin">
        <color auto="1"/>
      </right>
      <top style="hair">
        <color auto="1"/>
      </top>
      <bottom style="hair">
        <color auto="1"/>
      </bottom>
      <diagonal/>
    </border>
    <border>
      <left style="hair">
        <color auto="1"/>
      </left>
      <right style="thin">
        <color auto="1"/>
      </right>
      <top/>
      <bottom style="hair">
        <color auto="1"/>
      </bottom>
      <diagonal/>
    </border>
    <border>
      <left style="thick">
        <color auto="1"/>
      </left>
      <right style="hair">
        <color auto="1"/>
      </right>
      <top style="hair">
        <color auto="1"/>
      </top>
      <bottom style="hair">
        <color auto="1"/>
      </bottom>
      <diagonal/>
    </border>
    <border>
      <left style="hair">
        <color auto="1"/>
      </left>
      <right style="thick">
        <color auto="1"/>
      </right>
      <top style="hair">
        <color auto="1"/>
      </top>
      <bottom/>
      <diagonal/>
    </border>
    <border>
      <left style="hair">
        <color auto="1"/>
      </left>
      <right/>
      <top style="hair">
        <color auto="1"/>
      </top>
      <bottom/>
      <diagonal/>
    </border>
    <border>
      <left style="hair">
        <color auto="1"/>
      </left>
      <right style="thin">
        <color auto="1"/>
      </right>
      <top style="hair">
        <color auto="1"/>
      </top>
      <bottom/>
      <diagonal/>
    </border>
    <border>
      <left/>
      <right style="hair">
        <color auto="1"/>
      </right>
      <top style="hair">
        <color auto="1"/>
      </top>
      <bottom/>
      <diagonal/>
    </border>
    <border>
      <left/>
      <right/>
      <top style="hair">
        <color auto="1"/>
      </top>
      <bottom/>
      <diagonal/>
    </border>
    <border>
      <left style="hair">
        <color auto="1"/>
      </left>
      <right style="hair">
        <color auto="1"/>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49">
    <xf numFmtId="0" fontId="0" fillId="0" borderId="0" xfId="0"/>
    <xf numFmtId="0" fontId="0" fillId="0" borderId="0" xfId="0" applyAlignment="1">
      <alignment horizontal="right"/>
    </xf>
    <xf numFmtId="0" fontId="0" fillId="0" borderId="0" xfId="0"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64" fontId="0" fillId="0" borderId="7" xfId="0" applyNumberFormat="1" applyBorder="1" applyAlignment="1">
      <alignment horizontal="center"/>
    </xf>
    <xf numFmtId="164" fontId="0" fillId="0" borderId="8" xfId="0" applyNumberFormat="1" applyBorder="1" applyAlignment="1">
      <alignment horizontal="center"/>
    </xf>
    <xf numFmtId="164" fontId="0" fillId="0" borderId="9" xfId="0" applyNumberFormat="1" applyBorder="1" applyAlignment="1">
      <alignment horizontal="center"/>
    </xf>
    <xf numFmtId="164" fontId="0" fillId="0" borderId="10"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5" xfId="0" applyBorder="1" applyAlignment="1">
      <alignment horizontal="left"/>
    </xf>
    <xf numFmtId="0" fontId="0" fillId="0" borderId="18" xfId="0" applyBorder="1" applyAlignment="1">
      <alignment horizontal="left"/>
    </xf>
    <xf numFmtId="0" fontId="0" fillId="0" borderId="19" xfId="0" applyBorder="1" applyAlignment="1">
      <alignment horizontal="center"/>
    </xf>
    <xf numFmtId="164" fontId="0" fillId="0" borderId="20" xfId="0" applyNumberFormat="1" applyBorder="1" applyAlignment="1">
      <alignment horizontal="center"/>
    </xf>
    <xf numFmtId="164" fontId="0" fillId="0" borderId="18" xfId="0" applyNumberFormat="1" applyBorder="1" applyAlignment="1">
      <alignment horizontal="center"/>
    </xf>
    <xf numFmtId="164" fontId="0" fillId="0" borderId="16" xfId="0" applyNumberFormat="1" applyBorder="1" applyAlignment="1">
      <alignment horizontal="center"/>
    </xf>
    <xf numFmtId="164" fontId="0" fillId="0" borderId="19" xfId="0" applyNumberFormat="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3" xfId="0" applyBorder="1" applyAlignment="1">
      <alignment horizontal="center"/>
    </xf>
    <xf numFmtId="0" fontId="0" fillId="0" borderId="15"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4" xfId="0" applyBorder="1" applyAlignment="1">
      <alignment horizontal="center"/>
    </xf>
    <xf numFmtId="0" fontId="0" fillId="0" borderId="22" xfId="0" applyBorder="1" applyAlignment="1">
      <alignment horizontal="left"/>
    </xf>
    <xf numFmtId="0" fontId="0" fillId="0" borderId="26" xfId="0" applyBorder="1" applyAlignment="1">
      <alignment horizontal="right" vertical="center" textRotation="90"/>
    </xf>
    <xf numFmtId="0" fontId="0" fillId="0" borderId="26" xfId="0" applyBorder="1" applyAlignment="1">
      <alignment horizontal="left" vertical="center" textRotation="90"/>
    </xf>
    <xf numFmtId="0" fontId="0" fillId="0" borderId="28" xfId="0" applyBorder="1" applyAlignment="1">
      <alignment horizontal="center" vertical="center" textRotation="90"/>
    </xf>
    <xf numFmtId="0" fontId="0" fillId="0" borderId="29" xfId="0" applyBorder="1" applyAlignment="1">
      <alignment horizontal="center" vertical="center" textRotation="90"/>
    </xf>
    <xf numFmtId="164" fontId="0" fillId="0" borderId="30" xfId="0" applyNumberFormat="1" applyBorder="1" applyAlignment="1">
      <alignment horizontal="center" vertical="center" textRotation="90"/>
    </xf>
    <xf numFmtId="164" fontId="0" fillId="0" borderId="28" xfId="0" applyNumberFormat="1" applyBorder="1" applyAlignment="1">
      <alignment horizontal="center" vertical="center" textRotation="90"/>
    </xf>
    <xf numFmtId="164" fontId="0" fillId="0" borderId="29" xfId="0" applyNumberFormat="1" applyBorder="1" applyAlignment="1">
      <alignment horizontal="center" vertical="center" textRotation="90"/>
    </xf>
    <xf numFmtId="0" fontId="0" fillId="0" borderId="30" xfId="0" applyBorder="1" applyAlignment="1">
      <alignment horizontal="center" vertical="center" textRotation="90"/>
    </xf>
    <xf numFmtId="0" fontId="0" fillId="2" borderId="28" xfId="0" applyFill="1" applyBorder="1" applyAlignment="1">
      <alignment horizontal="center" vertical="center" textRotation="90"/>
    </xf>
    <xf numFmtId="0" fontId="0" fillId="0" borderId="31" xfId="0" applyBorder="1" applyAlignment="1">
      <alignment horizontal="center" vertical="center" textRotation="90"/>
    </xf>
    <xf numFmtId="0" fontId="0" fillId="0" borderId="32" xfId="0" applyBorder="1" applyAlignment="1">
      <alignment horizontal="center" vertical="center" textRotation="90"/>
    </xf>
    <xf numFmtId="49" fontId="0" fillId="0" borderId="33" xfId="0" applyNumberFormat="1" applyBorder="1" applyAlignment="1">
      <alignment horizontal="center" vertical="center" textRotation="90"/>
    </xf>
    <xf numFmtId="49" fontId="0" fillId="0" borderId="28" xfId="0" applyNumberFormat="1" applyBorder="1" applyAlignment="1">
      <alignment horizontal="center" vertical="center" textRotation="90"/>
    </xf>
    <xf numFmtId="49" fontId="0" fillId="2" borderId="28" xfId="0" applyNumberFormat="1" applyFill="1" applyBorder="1" applyAlignment="1">
      <alignment horizontal="center" vertical="center" textRotation="90"/>
    </xf>
    <xf numFmtId="165" fontId="0" fillId="0" borderId="32" xfId="0" applyNumberFormat="1" applyBorder="1" applyAlignment="1">
      <alignment horizontal="center" vertical="center" textRotation="90"/>
    </xf>
    <xf numFmtId="0" fontId="0" fillId="0" borderId="33" xfId="0" applyBorder="1" applyAlignment="1">
      <alignment horizontal="center" vertical="center" textRotation="90"/>
    </xf>
    <xf numFmtId="0" fontId="0" fillId="0" borderId="16" xfId="0" applyBorder="1" applyAlignment="1">
      <alignment horizontal="right"/>
    </xf>
    <xf numFmtId="0" fontId="3" fillId="0" borderId="16" xfId="2" applyBorder="1" applyAlignment="1">
      <alignment horizontal="right"/>
    </xf>
    <xf numFmtId="0" fontId="3" fillId="0" borderId="15" xfId="2" applyBorder="1" applyAlignment="1">
      <alignment horizontal="right"/>
    </xf>
    <xf numFmtId="164" fontId="5" fillId="0" borderId="35" xfId="0" applyNumberFormat="1" applyFont="1" applyBorder="1" applyAlignment="1">
      <alignment horizontal="center"/>
    </xf>
    <xf numFmtId="0" fontId="6" fillId="0" borderId="20" xfId="0" applyFont="1" applyBorder="1" applyAlignment="1">
      <alignment horizontal="center"/>
    </xf>
    <xf numFmtId="0" fontId="6" fillId="0" borderId="16" xfId="0" applyFont="1" applyBorder="1" applyAlignment="1">
      <alignment horizontal="center"/>
    </xf>
    <xf numFmtId="0" fontId="5" fillId="0" borderId="36" xfId="0" applyFont="1" applyBorder="1" applyAlignment="1">
      <alignment horizontal="center"/>
    </xf>
    <xf numFmtId="0" fontId="5" fillId="0" borderId="16" xfId="0" applyFont="1" applyBorder="1" applyAlignment="1">
      <alignment horizontal="center"/>
    </xf>
    <xf numFmtId="0" fontId="0" fillId="0" borderId="16" xfId="0" applyBorder="1" applyAlignment="1">
      <alignment horizontal="center"/>
    </xf>
    <xf numFmtId="0" fontId="0" fillId="3" borderId="16" xfId="0" applyFill="1" applyBorder="1" applyAlignment="1">
      <alignment horizontal="center"/>
    </xf>
    <xf numFmtId="0" fontId="6" fillId="0" borderId="15" xfId="0" applyFont="1" applyBorder="1" applyAlignment="1">
      <alignment horizontal="center"/>
    </xf>
    <xf numFmtId="0" fontId="5" fillId="0" borderId="15" xfId="0" applyFont="1" applyBorder="1" applyAlignment="1">
      <alignment horizontal="center"/>
    </xf>
    <xf numFmtId="165" fontId="6" fillId="0" borderId="15" xfId="0" applyNumberFormat="1" applyFont="1" applyBorder="1" applyAlignment="1">
      <alignment horizontal="center"/>
    </xf>
    <xf numFmtId="165" fontId="5" fillId="0" borderId="24" xfId="0" applyNumberFormat="1" applyFont="1" applyBorder="1" applyAlignment="1">
      <alignment horizontal="center"/>
    </xf>
    <xf numFmtId="167" fontId="5" fillId="0" borderId="23" xfId="0" applyNumberFormat="1" applyFont="1" applyBorder="1" applyAlignment="1">
      <alignment horizontal="center"/>
    </xf>
    <xf numFmtId="167" fontId="6" fillId="0" borderId="15" xfId="0" applyNumberFormat="1" applyFont="1" applyBorder="1" applyAlignment="1">
      <alignment horizontal="center"/>
    </xf>
    <xf numFmtId="167" fontId="5" fillId="0" borderId="15" xfId="0" applyNumberFormat="1" applyFont="1" applyBorder="1" applyAlignment="1">
      <alignment horizontal="center"/>
    </xf>
    <xf numFmtId="166" fontId="5" fillId="0" borderId="15" xfId="1" applyNumberFormat="1" applyFont="1" applyFill="1" applyBorder="1" applyAlignment="1">
      <alignment horizontal="center"/>
    </xf>
    <xf numFmtId="0" fontId="0" fillId="4" borderId="16" xfId="0" applyFill="1" applyBorder="1" applyAlignment="1">
      <alignment horizontal="center"/>
    </xf>
    <xf numFmtId="165" fontId="0" fillId="0" borderId="38" xfId="0" applyNumberFormat="1" applyBorder="1" applyAlignment="1">
      <alignment horizontal="center"/>
    </xf>
    <xf numFmtId="0" fontId="0" fillId="0" borderId="18" xfId="0" applyBorder="1" applyAlignment="1">
      <alignment horizontal="center"/>
    </xf>
    <xf numFmtId="2" fontId="0" fillId="0" borderId="38" xfId="0" applyNumberFormat="1" applyBorder="1" applyAlignment="1">
      <alignment horizontal="center"/>
    </xf>
    <xf numFmtId="0" fontId="0" fillId="0" borderId="15" xfId="0" applyBorder="1" applyAlignment="1">
      <alignment horizontal="right"/>
    </xf>
    <xf numFmtId="0" fontId="0" fillId="0" borderId="35" xfId="0" applyBorder="1" applyAlignment="1">
      <alignment horizontal="center"/>
    </xf>
    <xf numFmtId="164" fontId="0" fillId="0" borderId="39" xfId="0" applyNumberFormat="1" applyBorder="1" applyAlignment="1">
      <alignment horizontal="center"/>
    </xf>
    <xf numFmtId="164" fontId="0" fillId="0" borderId="15" xfId="0" applyNumberFormat="1" applyBorder="1" applyAlignment="1">
      <alignment horizontal="center"/>
    </xf>
    <xf numFmtId="0" fontId="6" fillId="0" borderId="39" xfId="0" applyFont="1" applyBorder="1" applyAlignment="1">
      <alignment horizontal="center"/>
    </xf>
    <xf numFmtId="167" fontId="6" fillId="0" borderId="23" xfId="0" applyNumberFormat="1" applyFont="1" applyBorder="1" applyAlignment="1">
      <alignment horizontal="center"/>
    </xf>
    <xf numFmtId="0" fontId="0" fillId="0" borderId="15" xfId="0" applyBorder="1" applyAlignment="1">
      <alignment horizontal="center" wrapText="1"/>
    </xf>
    <xf numFmtId="0" fontId="0" fillId="4" borderId="15" xfId="0" applyFill="1" applyBorder="1" applyAlignment="1">
      <alignment horizontal="center"/>
    </xf>
    <xf numFmtId="165" fontId="0" fillId="0" borderId="37" xfId="0" applyNumberFormat="1" applyBorder="1" applyAlignment="1">
      <alignment horizontal="center"/>
    </xf>
    <xf numFmtId="2" fontId="0" fillId="0" borderId="37" xfId="0" applyNumberFormat="1" applyBorder="1" applyAlignment="1">
      <alignment horizontal="center"/>
    </xf>
    <xf numFmtId="0" fontId="3" fillId="0" borderId="36" xfId="2" applyBorder="1" applyAlignment="1">
      <alignment horizontal="right"/>
    </xf>
    <xf numFmtId="0" fontId="0" fillId="0" borderId="36" xfId="0" applyBorder="1" applyAlignment="1">
      <alignment horizontal="right"/>
    </xf>
    <xf numFmtId="0" fontId="0" fillId="0" borderId="40" xfId="0" applyBorder="1" applyAlignment="1">
      <alignment horizontal="center"/>
    </xf>
    <xf numFmtId="164" fontId="0" fillId="0" borderId="14" xfId="0" applyNumberFormat="1" applyBorder="1" applyAlignment="1">
      <alignment horizontal="center"/>
    </xf>
    <xf numFmtId="164" fontId="0" fillId="0" borderId="36" xfId="0" applyNumberFormat="1" applyBorder="1" applyAlignment="1">
      <alignment horizontal="center"/>
    </xf>
    <xf numFmtId="0" fontId="6" fillId="0" borderId="14" xfId="0" applyFont="1" applyBorder="1" applyAlignment="1">
      <alignment horizontal="center"/>
    </xf>
    <xf numFmtId="0" fontId="6" fillId="0" borderId="36" xfId="0" applyFont="1" applyBorder="1" applyAlignment="1">
      <alignment horizontal="center"/>
    </xf>
    <xf numFmtId="165" fontId="6" fillId="0" borderId="36" xfId="0" applyNumberFormat="1" applyFont="1" applyBorder="1" applyAlignment="1">
      <alignment horizontal="center"/>
    </xf>
    <xf numFmtId="165" fontId="5" fillId="0" borderId="41" xfId="0" applyNumberFormat="1" applyFont="1" applyBorder="1" applyAlignment="1">
      <alignment horizontal="center"/>
    </xf>
    <xf numFmtId="167" fontId="6" fillId="0" borderId="43" xfId="0" applyNumberFormat="1" applyFont="1" applyBorder="1" applyAlignment="1">
      <alignment horizontal="center"/>
    </xf>
    <xf numFmtId="0" fontId="0" fillId="0" borderId="36" xfId="0" applyBorder="1" applyAlignment="1">
      <alignment horizontal="center"/>
    </xf>
    <xf numFmtId="167" fontId="0" fillId="0" borderId="36" xfId="0" applyNumberFormat="1" applyBorder="1" applyAlignment="1">
      <alignment horizontal="center"/>
    </xf>
    <xf numFmtId="0" fontId="0" fillId="4" borderId="36" xfId="0" applyFill="1" applyBorder="1" applyAlignment="1">
      <alignment horizontal="center"/>
    </xf>
    <xf numFmtId="0" fontId="0" fillId="0" borderId="36" xfId="0" applyBorder="1" applyAlignment="1">
      <alignment horizontal="left"/>
    </xf>
    <xf numFmtId="165" fontId="0" fillId="0" borderId="42" xfId="0" applyNumberFormat="1" applyBorder="1" applyAlignment="1">
      <alignment horizontal="center"/>
    </xf>
    <xf numFmtId="0" fontId="0" fillId="0" borderId="43" xfId="0" applyBorder="1" applyAlignment="1">
      <alignment horizontal="center"/>
    </xf>
    <xf numFmtId="2" fontId="0" fillId="0" borderId="42" xfId="0" applyNumberFormat="1" applyBorder="1" applyAlignment="1">
      <alignment horizontal="center"/>
    </xf>
    <xf numFmtId="167" fontId="0" fillId="0" borderId="15" xfId="0" applyNumberFormat="1" applyBorder="1" applyAlignment="1">
      <alignment horizontal="center"/>
    </xf>
    <xf numFmtId="2" fontId="0" fillId="0" borderId="15" xfId="0" applyNumberFormat="1" applyBorder="1" applyAlignment="1">
      <alignment horizontal="center"/>
    </xf>
    <xf numFmtId="0" fontId="0" fillId="0" borderId="22" xfId="0" applyBorder="1" applyAlignment="1">
      <alignment horizontal="right"/>
    </xf>
    <xf numFmtId="0" fontId="6" fillId="0" borderId="15" xfId="2" applyFont="1" applyBorder="1" applyAlignment="1">
      <alignment horizontal="right"/>
    </xf>
    <xf numFmtId="165" fontId="5" fillId="0" borderId="15" xfId="0" applyNumberFormat="1" applyFont="1" applyBorder="1" applyAlignment="1">
      <alignment horizontal="center"/>
    </xf>
    <xf numFmtId="167" fontId="5" fillId="5" borderId="15" xfId="0" applyNumberFormat="1" applyFont="1" applyFill="1" applyBorder="1" applyAlignment="1">
      <alignment horizontal="center"/>
    </xf>
    <xf numFmtId="0" fontId="0" fillId="0" borderId="0" xfId="0" applyAlignment="1">
      <alignment horizontal="left" vertical="center"/>
    </xf>
    <xf numFmtId="0" fontId="0" fillId="0" borderId="15" xfId="0" applyBorder="1" applyAlignment="1">
      <alignment horizontal="left" vertical="center"/>
    </xf>
    <xf numFmtId="0" fontId="2" fillId="0" borderId="39" xfId="0" applyFont="1" applyBorder="1" applyAlignment="1">
      <alignment horizontal="center"/>
    </xf>
    <xf numFmtId="0" fontId="2" fillId="0" borderId="15" xfId="0" applyFont="1" applyBorder="1" applyAlignment="1">
      <alignment horizontal="center"/>
    </xf>
    <xf numFmtId="0" fontId="3" fillId="0" borderId="0" xfId="2" applyBorder="1" applyAlignment="1">
      <alignment horizontal="right"/>
    </xf>
    <xf numFmtId="0" fontId="0" fillId="6" borderId="15" xfId="0" applyFill="1" applyBorder="1" applyAlignment="1">
      <alignment horizontal="center"/>
    </xf>
    <xf numFmtId="0" fontId="0" fillId="3" borderId="15" xfId="0" applyFill="1" applyBorder="1" applyAlignment="1">
      <alignment horizontal="center"/>
    </xf>
    <xf numFmtId="0" fontId="0" fillId="7" borderId="15" xfId="0" applyFill="1" applyBorder="1" applyAlignment="1">
      <alignment horizontal="center"/>
    </xf>
    <xf numFmtId="0" fontId="3" fillId="0" borderId="15" xfId="2" applyFill="1" applyBorder="1" applyAlignment="1">
      <alignment horizontal="right"/>
    </xf>
    <xf numFmtId="0" fontId="3" fillId="7" borderId="15" xfId="2" applyFill="1" applyBorder="1" applyAlignment="1">
      <alignment horizontal="right"/>
    </xf>
    <xf numFmtId="0" fontId="6" fillId="7" borderId="15" xfId="0" applyFont="1" applyFill="1" applyBorder="1" applyAlignment="1">
      <alignment horizontal="center"/>
    </xf>
    <xf numFmtId="0" fontId="0" fillId="0" borderId="36" xfId="0" applyBorder="1" applyAlignment="1">
      <alignment horizontal="left" vertical="center"/>
    </xf>
    <xf numFmtId="0" fontId="0" fillId="0" borderId="15" xfId="0" applyBorder="1" applyAlignment="1">
      <alignment horizontal="left" vertical="center" indent="5"/>
    </xf>
    <xf numFmtId="166" fontId="6" fillId="0" borderId="15" xfId="1" applyNumberFormat="1" applyFont="1" applyFill="1" applyBorder="1" applyAlignment="1">
      <alignment horizontal="center"/>
    </xf>
    <xf numFmtId="14" fontId="0" fillId="0" borderId="15" xfId="0" applyNumberFormat="1" applyBorder="1" applyAlignment="1">
      <alignment horizontal="center"/>
    </xf>
    <xf numFmtId="0" fontId="1" fillId="0" borderId="15" xfId="2" applyFont="1" applyBorder="1" applyAlignment="1">
      <alignment horizontal="right"/>
    </xf>
    <xf numFmtId="0" fontId="0" fillId="3" borderId="36" xfId="0" applyFill="1" applyBorder="1" applyAlignment="1">
      <alignment horizontal="center"/>
    </xf>
    <xf numFmtId="167" fontId="6" fillId="0" borderId="36" xfId="0" applyNumberFormat="1" applyFont="1" applyBorder="1" applyAlignment="1">
      <alignment horizontal="center"/>
    </xf>
    <xf numFmtId="0" fontId="0" fillId="0" borderId="44" xfId="0" applyBorder="1" applyAlignment="1">
      <alignment horizontal="right"/>
    </xf>
    <xf numFmtId="167" fontId="5" fillId="0" borderId="43" xfId="0" applyNumberFormat="1" applyFont="1" applyBorder="1" applyAlignment="1">
      <alignment horizontal="center"/>
    </xf>
    <xf numFmtId="167" fontId="5" fillId="0" borderId="36" xfId="0" applyNumberFormat="1" applyFont="1" applyBorder="1" applyAlignment="1">
      <alignment horizontal="center"/>
    </xf>
    <xf numFmtId="2" fontId="0" fillId="0" borderId="36" xfId="0" applyNumberFormat="1" applyBorder="1" applyAlignment="1">
      <alignment horizontal="center"/>
    </xf>
    <xf numFmtId="0" fontId="0" fillId="8" borderId="36" xfId="0" applyFill="1" applyBorder="1" applyAlignment="1">
      <alignment horizontal="center"/>
    </xf>
    <xf numFmtId="0" fontId="0" fillId="8" borderId="15" xfId="0" applyFill="1" applyBorder="1" applyAlignment="1">
      <alignment horizontal="center"/>
    </xf>
    <xf numFmtId="0" fontId="3" fillId="0" borderId="36" xfId="2" applyFill="1" applyBorder="1" applyAlignment="1">
      <alignment horizontal="right"/>
    </xf>
    <xf numFmtId="166" fontId="5" fillId="4" borderId="15" xfId="1" applyNumberFormat="1" applyFont="1" applyFill="1" applyBorder="1" applyAlignment="1">
      <alignment horizontal="center"/>
    </xf>
    <xf numFmtId="0" fontId="7" fillId="0" borderId="22" xfId="0" applyFont="1" applyBorder="1" applyAlignment="1">
      <alignment horizontal="right"/>
    </xf>
    <xf numFmtId="0" fontId="6" fillId="0" borderId="36" xfId="2" applyFont="1" applyBorder="1" applyAlignment="1">
      <alignment horizontal="right"/>
    </xf>
    <xf numFmtId="0" fontId="6" fillId="0" borderId="16" xfId="2" applyFont="1" applyBorder="1" applyAlignment="1">
      <alignment horizontal="right"/>
    </xf>
    <xf numFmtId="165" fontId="5" fillId="0" borderId="36" xfId="0" applyNumberFormat="1" applyFont="1" applyBorder="1" applyAlignment="1">
      <alignment horizontal="center"/>
    </xf>
    <xf numFmtId="0" fontId="0" fillId="0" borderId="45" xfId="0" applyBorder="1" applyAlignment="1">
      <alignment horizontal="right"/>
    </xf>
    <xf numFmtId="0" fontId="3" fillId="0" borderId="36" xfId="2" applyFill="1" applyBorder="1"/>
    <xf numFmtId="0" fontId="7" fillId="0" borderId="44" xfId="0" applyFont="1" applyBorder="1" applyAlignment="1">
      <alignment horizontal="right"/>
    </xf>
    <xf numFmtId="166" fontId="5" fillId="0" borderId="36" xfId="1" applyNumberFormat="1" applyFont="1" applyFill="1" applyBorder="1" applyAlignment="1">
      <alignment horizontal="center"/>
    </xf>
    <xf numFmtId="0" fontId="0" fillId="0" borderId="41" xfId="0" applyBorder="1" applyAlignment="1">
      <alignment horizontal="center"/>
    </xf>
    <xf numFmtId="164" fontId="5" fillId="0" borderId="40" xfId="0" applyNumberFormat="1" applyFont="1" applyBorder="1" applyAlignment="1">
      <alignment horizontal="center"/>
    </xf>
    <xf numFmtId="166" fontId="6" fillId="0" borderId="36" xfId="1" applyNumberFormat="1" applyFont="1" applyFill="1" applyBorder="1" applyAlignment="1">
      <alignment horizontal="center"/>
    </xf>
    <xf numFmtId="0" fontId="0" fillId="0" borderId="27" xfId="0" applyBorder="1" applyAlignment="1">
      <alignment horizontal="left" vertical="center" textRotation="90"/>
    </xf>
    <xf numFmtId="0" fontId="0" fillId="0" borderId="34" xfId="0" applyBorder="1" applyAlignment="1">
      <alignment horizontal="left"/>
    </xf>
    <xf numFmtId="0" fontId="3" fillId="0" borderId="34" xfId="2" applyBorder="1" applyAlignment="1">
      <alignment horizontal="left"/>
    </xf>
    <xf numFmtId="0" fontId="6" fillId="0" borderId="34" xfId="2" applyFont="1" applyBorder="1" applyAlignment="1">
      <alignment horizontal="left"/>
    </xf>
  </cellXfs>
  <cellStyles count="3">
    <cellStyle name="Hyperlink" xfId="2" builtinId="8"/>
    <cellStyle name="Normal" xfId="0" builtinId="0"/>
    <cellStyle name="Percent" xfId="1" builtinId="5"/>
  </cellStyles>
  <dxfs count="80">
    <dxf>
      <fill>
        <patternFill>
          <bgColor rgb="FFFF0000"/>
        </patternFill>
      </fill>
    </dxf>
    <dxf>
      <fill>
        <patternFill>
          <bgColor rgb="FFFF0000"/>
        </patternFill>
      </fill>
    </dxf>
    <dxf>
      <alignment horizontal="left" vertical="bottom" textRotation="0" wrapText="0" indent="0" justifyLastLine="0" shrinkToFit="0" readingOrder="0"/>
      <border diagonalUp="0" diagonalDown="0" outline="0">
        <left style="thick">
          <color auto="1"/>
        </left>
        <right style="hair">
          <color auto="1"/>
        </right>
      </border>
    </dxf>
    <dxf>
      <alignment horizontal="right" vertical="bottom" textRotation="0" wrapText="0" indent="0" justifyLastLine="0" shrinkToFit="0" readingOrder="0"/>
      <border diagonalUp="0" diagonalDown="0" outline="0">
        <left style="hair">
          <color auto="1"/>
        </left>
        <right style="hair">
          <color auto="1"/>
        </right>
        <top style="hair">
          <color auto="1"/>
        </top>
        <bottom style="hair">
          <color auto="1"/>
        </bottom>
      </border>
    </dxf>
    <dxf>
      <fill>
        <patternFill patternType="none">
          <fgColor indexed="64"/>
          <bgColor auto="1"/>
        </patternFill>
      </fill>
      <alignment horizontal="left" vertical="bottom" textRotation="0" wrapText="0" indent="0" justifyLastLine="0" shrinkToFit="0" readingOrder="0"/>
      <border outline="0">
        <right style="thick">
          <color auto="1"/>
        </right>
      </border>
    </dxf>
    <dxf>
      <numFmt numFmtId="2" formatCode="0.00"/>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5" formatCode="0.0"/>
      <alignment horizontal="center" vertical="bottom" wrapText="0" indent="0" justifyLastLine="0" shrinkToFit="0" readingOrder="0"/>
      <border diagonalUp="0" diagonalDown="0">
        <left style="hair">
          <color auto="1"/>
        </left>
        <right style="thin">
          <color auto="1"/>
        </right>
        <top style="hair">
          <color auto="1"/>
        </top>
        <bottom style="hair">
          <color auto="1"/>
        </bottom>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1"/>
        <color theme="1"/>
        <name val="Aptos Narrow"/>
        <family val="2"/>
        <scheme val="minor"/>
      </font>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border>
    </dxf>
    <dxf>
      <font>
        <strike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border>
    </dxf>
    <dxf>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textRotation="0" wrapText="0" indent="0" justifyLastLine="0" shrinkToFit="0" readingOrder="0"/>
      <border diagonalUp="0" diagonalDown="0">
        <left style="hair">
          <color auto="1"/>
        </left>
        <right style="hair">
          <color auto="1"/>
        </right>
        <top style="hair">
          <color auto="1"/>
        </top>
        <bottom/>
        <vertical/>
        <horizontal/>
      </border>
    </dxf>
    <dxf>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hair">
          <color auto="1"/>
        </left>
        <right style="hair">
          <color auto="1"/>
        </right>
        <top style="hair">
          <color auto="1"/>
        </top>
        <bottom/>
        <vertical/>
        <horizontal/>
      </border>
    </dxf>
    <dxf>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font>
        <b val="0"/>
        <i val="0"/>
        <strike val="0"/>
        <condense val="0"/>
        <extend val="0"/>
        <outline val="0"/>
        <shadow val="0"/>
        <u val="none"/>
        <vertAlign val="baseline"/>
        <sz val="11"/>
        <color theme="4"/>
        <name val="Aptos Narrow"/>
        <family val="2"/>
        <scheme val="minor"/>
      </font>
      <numFmt numFmtId="166" formatCode="0.0%"/>
      <fill>
        <patternFill patternType="none">
          <fgColor indexed="64"/>
          <bgColor auto="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font>
        <strike val="0"/>
        <outline val="0"/>
        <shadow val="0"/>
        <u val="none"/>
        <vertAlign val="baseline"/>
        <sz val="11"/>
        <color theme="4"/>
        <name val="Aptos Narrow"/>
        <family val="2"/>
        <scheme val="minor"/>
      </font>
      <numFmt numFmtId="167" formatCode="0.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font>
        <b val="0"/>
        <i val="0"/>
        <strike val="0"/>
        <condense val="0"/>
        <extend val="0"/>
        <outline val="0"/>
        <shadow val="0"/>
        <u val="none"/>
        <vertAlign val="baseline"/>
        <sz val="11"/>
        <color theme="4"/>
        <name val="Aptos Narrow"/>
        <family val="2"/>
        <scheme val="minor"/>
      </font>
      <numFmt numFmtId="167" formatCode="0.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strike val="0"/>
        <outline val="0"/>
        <shadow val="0"/>
        <u val="none"/>
        <vertAlign val="baseline"/>
        <sz val="11"/>
        <color theme="4"/>
        <name val="Aptos Narrow"/>
        <family val="2"/>
        <scheme val="minor"/>
      </font>
      <numFmt numFmtId="167" formatCode="0.000"/>
      <fill>
        <patternFill patternType="none">
          <fgColor indexed="64"/>
          <bgColor auto="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font>
        <b val="0"/>
        <i val="0"/>
        <strike val="0"/>
        <condense val="0"/>
        <extend val="0"/>
        <outline val="0"/>
        <shadow val="0"/>
        <u val="none"/>
        <vertAlign val="baseline"/>
        <sz val="11"/>
        <color theme="4"/>
        <name val="Aptos Narrow"/>
        <family val="2"/>
        <scheme val="minor"/>
      </font>
      <numFmt numFmtId="165"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4"/>
        <name val="Aptos Narrow"/>
        <family val="2"/>
        <scheme val="minor"/>
      </font>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4"/>
        <name val="Aptos Narrow"/>
        <family val="2"/>
        <scheme val="minor"/>
      </font>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font>
        <strike val="0"/>
        <outline val="0"/>
        <shadow val="0"/>
        <u val="none"/>
        <vertAlign val="baseline"/>
        <sz val="11"/>
        <color theme="4"/>
        <name val="Aptos Narrow"/>
        <family val="2"/>
        <scheme val="minor"/>
      </font>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bottom" textRotation="0" wrapText="0" indent="0" justifyLastLine="0" shrinkToFit="0" readingOrder="0"/>
      <border diagonalUp="0" diagonalDown="0">
        <left style="hair">
          <color auto="1"/>
        </left>
        <right style="hair">
          <color auto="1"/>
        </right>
        <top style="hair">
          <color auto="1"/>
        </top>
        <bottom/>
        <vertical/>
        <horizontal/>
      </border>
    </dxf>
    <dxf>
      <alignment horizontal="center" vertical="bottom" textRotation="0" wrapText="0" indent="0" justifyLastLine="0" shrinkToFit="0" readingOrder="0"/>
      <border diagonalUp="0" diagonalDown="0">
        <left style="hair">
          <color auto="1"/>
        </left>
        <right style="hair">
          <color auto="1"/>
        </right>
        <top style="hair">
          <color auto="1"/>
        </top>
        <bottom/>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border>
    </dxf>
    <dxf>
      <alignment horizontal="center" vertical="bottom" wrapText="0" indent="0" justifyLastLine="0" shrinkToFit="0" readingOrder="0"/>
      <border diagonalUp="0" diagonalDown="0">
        <left style="hair">
          <color auto="1"/>
        </left>
        <right style="hair">
          <color auto="1"/>
        </right>
        <top style="hair">
          <color auto="1"/>
        </top>
        <bottom style="hair">
          <color auto="1"/>
        </bottom>
      </border>
    </dxf>
    <dxf>
      <font>
        <b val="0"/>
        <i val="0"/>
        <strike val="0"/>
        <condense val="0"/>
        <extend val="0"/>
        <outline val="0"/>
        <shadow val="0"/>
        <u val="none"/>
        <vertAlign val="baseline"/>
        <sz val="11"/>
        <color theme="4"/>
        <name val="Aptos Narrow"/>
        <family val="2"/>
        <scheme val="minor"/>
      </font>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font>
        <b val="0"/>
        <i val="0"/>
        <strike val="0"/>
        <condense val="0"/>
        <extend val="0"/>
        <outline val="0"/>
        <shadow val="0"/>
        <u val="none"/>
        <vertAlign val="baseline"/>
        <sz val="11"/>
        <color theme="4"/>
        <name val="Aptos Narrow"/>
        <family val="2"/>
        <scheme val="minor"/>
      </font>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font>
        <b val="0"/>
        <i val="0"/>
        <strike val="0"/>
        <condense val="0"/>
        <extend val="0"/>
        <outline val="0"/>
        <shadow val="0"/>
        <u val="none"/>
        <vertAlign val="baseline"/>
        <sz val="11"/>
        <color theme="4"/>
        <name val="Aptos Narrow"/>
        <family val="2"/>
        <scheme val="minor"/>
      </font>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font>
        <b val="0"/>
        <i val="0"/>
        <strike val="0"/>
        <condense val="0"/>
        <extend val="0"/>
        <outline val="0"/>
        <shadow val="0"/>
        <u val="none"/>
        <vertAlign val="baseline"/>
        <sz val="11"/>
        <color theme="4"/>
        <name val="Aptos Narrow"/>
        <family val="2"/>
        <scheme val="minor"/>
      </font>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font>
        <b val="0"/>
        <i val="0"/>
        <strike val="0"/>
        <condense val="0"/>
        <extend val="0"/>
        <outline val="0"/>
        <shadow val="0"/>
        <u val="none"/>
        <vertAlign val="baseline"/>
        <sz val="11"/>
        <color theme="4"/>
        <name val="Aptos Narrow"/>
        <family val="2"/>
        <scheme val="minor"/>
      </font>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font>
        <b val="0"/>
        <i val="0"/>
        <strike val="0"/>
        <condense val="0"/>
        <extend val="0"/>
        <outline val="0"/>
        <shadow val="0"/>
        <u val="none"/>
        <vertAlign val="baseline"/>
        <sz val="11"/>
        <color theme="4"/>
        <name val="Aptos Narrow"/>
        <family val="2"/>
        <scheme val="minor"/>
      </font>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vertical/>
        <horizontal/>
      </border>
    </dxf>
    <dxf>
      <font>
        <b val="0"/>
        <i val="0"/>
        <strike val="0"/>
        <condense val="0"/>
        <extend val="0"/>
        <outline val="0"/>
        <shadow val="0"/>
        <u val="none"/>
        <vertAlign val="baseline"/>
        <sz val="11"/>
        <color theme="4"/>
        <name val="Aptos Narrow"/>
        <family val="2"/>
        <scheme val="minor"/>
      </font>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vertical/>
        <horizontal/>
      </border>
    </dxf>
    <dxf>
      <font>
        <b val="0"/>
        <i val="0"/>
        <strike val="0"/>
        <condense val="0"/>
        <extend val="0"/>
        <outline val="0"/>
        <shadow val="0"/>
        <u val="none"/>
        <vertAlign val="baseline"/>
        <sz val="11"/>
        <color theme="4"/>
        <name val="Aptos Narrow"/>
        <family val="2"/>
        <scheme val="minor"/>
      </font>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vertical/>
        <horizontal/>
      </border>
    </dxf>
    <dxf>
      <font>
        <strike val="0"/>
        <outline val="0"/>
        <shadow val="0"/>
        <u val="none"/>
        <vertAlign val="baseline"/>
        <sz val="11"/>
        <color auto="1"/>
        <name val="Aptos Narrow"/>
        <family val="2"/>
        <scheme val="minor"/>
      </font>
      <numFmt numFmtId="0" formatCode="General"/>
      <alignment horizontal="center" vertical="bottom" wrapText="0" indent="0" justifyLastLine="0" shrinkToFit="0" readingOrder="0"/>
      <border diagonalUp="0" diagonalDown="0">
        <left style="hair">
          <color auto="1"/>
        </left>
        <right style="hair">
          <color auto="1"/>
        </right>
        <top style="hair">
          <color auto="1"/>
        </top>
        <bottom style="hair">
          <color auto="1"/>
        </bottom>
      </border>
    </dxf>
    <dxf>
      <font>
        <strike val="0"/>
        <outline val="0"/>
        <shadow val="0"/>
        <u val="none"/>
        <vertAlign val="baseline"/>
        <sz val="11"/>
        <color auto="1"/>
        <name val="Aptos Narrow"/>
        <family val="2"/>
        <scheme val="minor"/>
      </font>
      <numFmt numFmtId="0" formatCode="General"/>
      <alignment horizontal="center" vertical="bottom" wrapText="0" indent="0" justifyLastLine="0" shrinkToFit="0" readingOrder="0"/>
      <border diagonalUp="0" diagonalDown="0">
        <left style="thick">
          <color auto="1"/>
        </left>
        <right style="hair">
          <color auto="1"/>
        </right>
        <top style="hair">
          <color auto="1"/>
        </top>
        <bottom style="hair">
          <color auto="1"/>
        </bottom>
      </border>
    </dxf>
    <dxf>
      <font>
        <color theme="4"/>
      </font>
      <numFmt numFmtId="164" formatCode="mm/dd/yy;@"/>
      <alignment horizontal="center" vertical="bottom" textRotation="0" wrapText="0" indent="0" justifyLastLine="0" shrinkToFit="0" readingOrder="0"/>
      <border diagonalUp="0" diagonalDown="0">
        <left style="hair">
          <color auto="1"/>
        </left>
        <right style="thick">
          <color auto="1"/>
        </right>
        <top style="hair">
          <color auto="1"/>
        </top>
        <bottom style="hair">
          <color auto="1"/>
        </bottom>
        <vertical style="hair">
          <color auto="1"/>
        </vertical>
        <horizontal/>
      </border>
    </dxf>
    <dxf>
      <numFmt numFmtId="164" formatCode="mm/dd/yy;@"/>
      <alignment horizontal="center" vertical="bottom" textRotation="0" wrapText="0" indent="0" justifyLastLine="0" shrinkToFit="0" readingOrder="0"/>
      <border diagonalUp="0" diagonalDown="0">
        <left style="hair">
          <color auto="1"/>
        </left>
        <right style="hair">
          <color auto="1"/>
        </right>
        <top style="hair">
          <color auto="1"/>
        </top>
        <bottom/>
        <vertical style="hair">
          <color auto="1"/>
        </vertical>
        <horizontal/>
      </border>
    </dxf>
    <dxf>
      <numFmt numFmtId="164" formatCode="mm/dd/yy;@"/>
      <alignment horizontal="center" vertical="bottom" textRotation="0" wrapText="0" indent="0" justifyLastLine="0" shrinkToFit="0" readingOrder="0"/>
      <border diagonalUp="0" diagonalDown="0">
        <left style="hair">
          <color auto="1"/>
        </left>
        <right style="hair">
          <color auto="1"/>
        </right>
        <top style="hair">
          <color auto="1"/>
        </top>
        <bottom/>
        <vertical style="hair">
          <color auto="1"/>
        </vertical>
        <horizontal/>
      </border>
    </dxf>
    <dxf>
      <numFmt numFmtId="164" formatCode="mm/dd/yy;@"/>
      <alignment horizontal="center" vertical="bottom" textRotation="0" wrapText="0" indent="0" justifyLastLine="0" shrinkToFit="0" readingOrder="0"/>
      <border diagonalUp="0" diagonalDown="0">
        <left style="hair">
          <color auto="1"/>
        </left>
        <right style="hair">
          <color auto="1"/>
        </right>
        <top style="hair">
          <color auto="1"/>
        </top>
        <bottom/>
        <vertical/>
        <horizontal/>
      </border>
    </dxf>
    <dxf>
      <numFmt numFmtId="164" formatCode="mm/dd/yy;@"/>
      <alignment horizontal="center" vertical="bottom" textRotation="0" wrapText="0" indent="0" justifyLastLine="0" shrinkToFit="0" readingOrder="0"/>
      <border diagonalUp="0" diagonalDown="0">
        <left style="thick">
          <color auto="1"/>
        </left>
        <right style="hair">
          <color auto="1"/>
        </right>
        <top style="hair">
          <color auto="1"/>
        </top>
        <bottom/>
        <vertical style="hair">
          <color auto="1"/>
        </vertical>
      </border>
    </dxf>
    <dxf>
      <numFmt numFmtId="0" formatCode="General"/>
      <alignment horizontal="center" vertical="bottom" textRotation="0" wrapText="0" indent="0" justifyLastLine="0" shrinkToFit="0" readingOrder="0"/>
      <border diagonalUp="0" diagonalDown="0" outline="0">
        <left style="hair">
          <color auto="1"/>
        </left>
        <right/>
        <top style="hair">
          <color auto="1"/>
        </top>
        <bottom style="hair">
          <color auto="1"/>
        </bottom>
      </border>
    </dxf>
    <dxf>
      <alignment horizontal="right" vertical="bottom" textRotation="0" wrapText="0" indent="0" justifyLastLine="0" shrinkToFit="0" readingOrder="0"/>
      <border diagonalUp="0" diagonalDown="0">
        <left style="hair">
          <color auto="1"/>
        </left>
        <right style="hair">
          <color auto="1"/>
        </right>
        <top/>
        <bottom style="hair">
          <color auto="1"/>
        </bottom>
        <vertical style="hair">
          <color auto="1"/>
        </vertical>
      </border>
    </dxf>
    <dxf>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border>
    </dxf>
    <dxf>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border>
    </dxf>
    <dxf>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border>
    </dxf>
    <dxf>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border>
    </dxf>
    <dxf>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border>
    </dxf>
    <dxf>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border>
    </dxf>
    <dxf>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border>
    </dxf>
    <dxf>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border>
    </dxf>
    <dxf>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border>
    </dxf>
    <dxf>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border>
    </dxf>
    <dxf>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border>
    </dxf>
    <dxf>
      <fill>
        <patternFill patternType="none">
          <fgColor indexed="64"/>
          <bgColor auto="1"/>
        </patternFill>
      </fill>
      <alignment horizontal="right" vertical="bottom" textRotation="0" wrapText="0" indent="0" justifyLastLine="0" shrinkToFit="0" readingOrder="0"/>
      <border diagonalUp="0" diagonalDown="0" outline="0">
        <right/>
        <top style="hair">
          <color auto="1"/>
        </top>
        <bottom style="hair">
          <color auto="1"/>
        </bottom>
      </border>
    </dxf>
    <dxf>
      <border>
        <top style="hair">
          <color auto="1"/>
        </top>
      </border>
    </dxf>
    <dxf>
      <border>
        <bottom style="thick">
          <color auto="1"/>
        </bottom>
      </border>
    </dxf>
    <dxf>
      <border diagonalUp="0" diagonalDown="0">
        <left/>
        <right style="thin">
          <color auto="1"/>
        </right>
        <bottom style="hair">
          <color auto="1"/>
        </bottom>
      </border>
    </dxf>
    <dxf>
      <alignment horizontal="center" vertical="center" textRotation="9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prockoiltoolsinc.sharepoint.com/sites/Manufacturing/Shared%20Documents/Bit%20Tracker/CapRock%20Bit%20Tracker%20v3.xlsm" TargetMode="External"/><Relationship Id="rId1" Type="http://schemas.openxmlformats.org/officeDocument/2006/relationships/externalLinkPath" Target="https://caprockoiltoolsinc.sharepoint.com/sites/Manufacturing/Shared%20Documents/Bit%20Tracker/CapRock%20Bit%20Tracker%20v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curtis.stephens\Documents\GitHub\Bit%20Applications%20Tool\Bit%20Applications%20Tool.xlsx" TargetMode="External"/><Relationship Id="rId1" Type="http://schemas.openxmlformats.org/officeDocument/2006/relationships/externalLinkPath" Target="Bit%20Applications%20To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usValidation"/>
      <sheetName val="FleetPlan"/>
      <sheetName val="Fleet"/>
      <sheetName val="OnDeck"/>
      <sheetName val="Legend"/>
      <sheetName val="Inventory Sheet"/>
    </sheetNames>
    <sheetDataSet>
      <sheetData sheetId="0"/>
      <sheetData sheetId="1"/>
      <sheetData sheetId="2">
        <row r="2">
          <cell r="E2" t="str">
            <v>Do Not Delete</v>
          </cell>
        </row>
        <row r="3">
          <cell r="E3">
            <v>2091</v>
          </cell>
        </row>
        <row r="4">
          <cell r="E4">
            <v>6841</v>
          </cell>
        </row>
        <row r="5">
          <cell r="E5">
            <v>6841</v>
          </cell>
        </row>
        <row r="6">
          <cell r="E6">
            <v>8128</v>
          </cell>
        </row>
        <row r="7">
          <cell r="E7">
            <v>2252</v>
          </cell>
        </row>
        <row r="8">
          <cell r="E8">
            <v>2746</v>
          </cell>
        </row>
        <row r="9">
          <cell r="E9">
            <v>9944</v>
          </cell>
        </row>
        <row r="10">
          <cell r="E10">
            <v>2158</v>
          </cell>
        </row>
        <row r="11">
          <cell r="E11">
            <v>4149</v>
          </cell>
        </row>
        <row r="12">
          <cell r="E12">
            <v>6536</v>
          </cell>
        </row>
        <row r="13">
          <cell r="E13">
            <v>6536</v>
          </cell>
        </row>
        <row r="14">
          <cell r="E14">
            <v>1961</v>
          </cell>
        </row>
        <row r="15">
          <cell r="E15">
            <v>2001</v>
          </cell>
        </row>
        <row r="16">
          <cell r="E16">
            <v>4538</v>
          </cell>
        </row>
        <row r="17">
          <cell r="E17">
            <v>2114</v>
          </cell>
        </row>
        <row r="18">
          <cell r="E18">
            <v>2224</v>
          </cell>
        </row>
        <row r="19">
          <cell r="E19">
            <v>2036</v>
          </cell>
        </row>
        <row r="20">
          <cell r="E20">
            <v>9427</v>
          </cell>
        </row>
        <row r="21">
          <cell r="E21">
            <v>2205</v>
          </cell>
        </row>
        <row r="22">
          <cell r="E22">
            <v>4288</v>
          </cell>
        </row>
        <row r="23">
          <cell r="E23">
            <v>4288</v>
          </cell>
        </row>
        <row r="24">
          <cell r="E24">
            <v>2227</v>
          </cell>
        </row>
        <row r="25">
          <cell r="E25">
            <v>2270</v>
          </cell>
        </row>
        <row r="26">
          <cell r="E26">
            <v>7182</v>
          </cell>
        </row>
        <row r="27">
          <cell r="E27">
            <v>9387</v>
          </cell>
        </row>
        <row r="28">
          <cell r="E28">
            <v>2556</v>
          </cell>
        </row>
        <row r="29">
          <cell r="E29">
            <v>2556</v>
          </cell>
        </row>
        <row r="30">
          <cell r="E30">
            <v>2268</v>
          </cell>
        </row>
        <row r="31">
          <cell r="E31">
            <v>2272</v>
          </cell>
        </row>
        <row r="32">
          <cell r="E32">
            <v>4720</v>
          </cell>
        </row>
        <row r="33">
          <cell r="E33">
            <v>3336</v>
          </cell>
        </row>
        <row r="34">
          <cell r="E34">
            <v>3336</v>
          </cell>
        </row>
        <row r="35">
          <cell r="E35">
            <v>2231</v>
          </cell>
        </row>
        <row r="36">
          <cell r="E36">
            <v>2193</v>
          </cell>
        </row>
        <row r="37">
          <cell r="E37">
            <v>3219</v>
          </cell>
        </row>
        <row r="38">
          <cell r="E38">
            <v>2192</v>
          </cell>
        </row>
        <row r="39">
          <cell r="E39">
            <v>2164</v>
          </cell>
        </row>
        <row r="40">
          <cell r="E40">
            <v>8896</v>
          </cell>
        </row>
        <row r="41">
          <cell r="E41">
            <v>2137</v>
          </cell>
        </row>
        <row r="42">
          <cell r="E42">
            <v>1959</v>
          </cell>
        </row>
        <row r="43">
          <cell r="E43">
            <v>1959</v>
          </cell>
        </row>
        <row r="44">
          <cell r="E44">
            <v>2249</v>
          </cell>
        </row>
        <row r="45">
          <cell r="E45">
            <v>6653</v>
          </cell>
        </row>
        <row r="46">
          <cell r="E46">
            <v>1961</v>
          </cell>
        </row>
        <row r="47">
          <cell r="E47">
            <v>1961</v>
          </cell>
        </row>
        <row r="48">
          <cell r="E48">
            <v>6536</v>
          </cell>
        </row>
        <row r="49">
          <cell r="E49">
            <v>2185</v>
          </cell>
        </row>
        <row r="50">
          <cell r="E50">
            <v>7273</v>
          </cell>
        </row>
        <row r="51">
          <cell r="E51">
            <v>2036</v>
          </cell>
        </row>
        <row r="52">
          <cell r="E52">
            <v>2036</v>
          </cell>
        </row>
        <row r="53">
          <cell r="E53">
            <v>6150</v>
          </cell>
        </row>
        <row r="54">
          <cell r="E54">
            <v>6150</v>
          </cell>
        </row>
        <row r="55">
          <cell r="E55">
            <v>1160</v>
          </cell>
        </row>
        <row r="56">
          <cell r="E56">
            <v>1160</v>
          </cell>
        </row>
        <row r="57">
          <cell r="E57">
            <v>1160</v>
          </cell>
        </row>
        <row r="58">
          <cell r="E58" t="str">
            <v/>
          </cell>
        </row>
        <row r="59">
          <cell r="E59" t="str">
            <v/>
          </cell>
        </row>
        <row r="60">
          <cell r="E60" t="str">
            <v/>
          </cell>
        </row>
        <row r="61">
          <cell r="E61" t="str">
            <v/>
          </cell>
        </row>
        <row r="62">
          <cell r="E62" t="str">
            <v/>
          </cell>
        </row>
        <row r="63">
          <cell r="E63" t="str">
            <v/>
          </cell>
        </row>
        <row r="64">
          <cell r="E64" t="str">
            <v/>
          </cell>
        </row>
        <row r="65">
          <cell r="E65" t="str">
            <v/>
          </cell>
        </row>
        <row r="66">
          <cell r="E66" t="str">
            <v/>
          </cell>
        </row>
        <row r="67">
          <cell r="E67" t="str">
            <v/>
          </cell>
        </row>
        <row r="68">
          <cell r="E68" t="str">
            <v/>
          </cell>
        </row>
        <row r="69">
          <cell r="E69" t="str">
            <v/>
          </cell>
        </row>
        <row r="70">
          <cell r="E70" t="str">
            <v/>
          </cell>
        </row>
        <row r="71">
          <cell r="E71" t="str">
            <v/>
          </cell>
        </row>
        <row r="72">
          <cell r="E72" t="str">
            <v/>
          </cell>
        </row>
        <row r="73">
          <cell r="E73" t="str">
            <v/>
          </cell>
        </row>
        <row r="74">
          <cell r="E74" t="str">
            <v/>
          </cell>
        </row>
        <row r="75">
          <cell r="E75" t="str">
            <v/>
          </cell>
        </row>
        <row r="76">
          <cell r="E76" t="str">
            <v/>
          </cell>
        </row>
        <row r="77">
          <cell r="E77" t="str">
            <v/>
          </cell>
        </row>
        <row r="78">
          <cell r="E78" t="str">
            <v/>
          </cell>
        </row>
        <row r="79">
          <cell r="E79" t="str">
            <v/>
          </cell>
        </row>
        <row r="80">
          <cell r="E80" t="str">
            <v/>
          </cell>
        </row>
        <row r="81">
          <cell r="E81" t="str">
            <v/>
          </cell>
        </row>
        <row r="82">
          <cell r="E82" t="str">
            <v/>
          </cell>
        </row>
        <row r="83">
          <cell r="E83" t="str">
            <v/>
          </cell>
        </row>
        <row r="84">
          <cell r="E84" t="str">
            <v/>
          </cell>
        </row>
        <row r="85">
          <cell r="E85" t="str">
            <v/>
          </cell>
        </row>
        <row r="86">
          <cell r="E86" t="str">
            <v/>
          </cell>
        </row>
        <row r="87">
          <cell r="E87" t="str">
            <v/>
          </cell>
        </row>
        <row r="88">
          <cell r="E88" t="str">
            <v/>
          </cell>
        </row>
        <row r="89">
          <cell r="E89" t="str">
            <v/>
          </cell>
        </row>
        <row r="90">
          <cell r="E90" t="str">
            <v/>
          </cell>
        </row>
        <row r="91">
          <cell r="E91" t="str">
            <v/>
          </cell>
        </row>
        <row r="92">
          <cell r="E92" t="str">
            <v/>
          </cell>
        </row>
        <row r="93">
          <cell r="E93" t="str">
            <v/>
          </cell>
        </row>
        <row r="94">
          <cell r="E94" t="str">
            <v/>
          </cell>
        </row>
        <row r="95">
          <cell r="E95" t="str">
            <v/>
          </cell>
        </row>
        <row r="96">
          <cell r="E96" t="str">
            <v/>
          </cell>
        </row>
        <row r="97">
          <cell r="E97" t="str">
            <v/>
          </cell>
        </row>
        <row r="98">
          <cell r="E98" t="str">
            <v/>
          </cell>
        </row>
        <row r="99">
          <cell r="E99" t="str">
            <v/>
          </cell>
        </row>
        <row r="100">
          <cell r="E100" t="str">
            <v/>
          </cell>
        </row>
        <row r="101">
          <cell r="E101" t="str">
            <v/>
          </cell>
        </row>
        <row r="102">
          <cell r="E102" t="str">
            <v/>
          </cell>
        </row>
        <row r="103">
          <cell r="E103" t="str">
            <v/>
          </cell>
        </row>
        <row r="104">
          <cell r="E104" t="str">
            <v/>
          </cell>
        </row>
        <row r="105">
          <cell r="E105" t="str">
            <v/>
          </cell>
        </row>
        <row r="106">
          <cell r="E106" t="str">
            <v/>
          </cell>
        </row>
        <row r="107">
          <cell r="E107" t="str">
            <v/>
          </cell>
        </row>
        <row r="108">
          <cell r="E108" t="str">
            <v/>
          </cell>
        </row>
        <row r="109">
          <cell r="E109" t="str">
            <v/>
          </cell>
        </row>
        <row r="110">
          <cell r="E110" t="str">
            <v/>
          </cell>
        </row>
        <row r="111">
          <cell r="E111" t="str">
            <v/>
          </cell>
        </row>
        <row r="112">
          <cell r="E112" t="str">
            <v/>
          </cell>
        </row>
        <row r="113">
          <cell r="E113" t="str">
            <v/>
          </cell>
        </row>
        <row r="114">
          <cell r="E114" t="str">
            <v/>
          </cell>
        </row>
        <row r="115">
          <cell r="E115" t="str">
            <v/>
          </cell>
        </row>
        <row r="116">
          <cell r="E116" t="str">
            <v/>
          </cell>
        </row>
        <row r="117">
          <cell r="E117" t="str">
            <v/>
          </cell>
        </row>
        <row r="118">
          <cell r="E118" t="str">
            <v/>
          </cell>
        </row>
        <row r="119">
          <cell r="E119" t="str">
            <v/>
          </cell>
        </row>
        <row r="120">
          <cell r="E120" t="str">
            <v/>
          </cell>
        </row>
        <row r="121">
          <cell r="E121" t="str">
            <v/>
          </cell>
        </row>
        <row r="122">
          <cell r="E122" t="str">
            <v/>
          </cell>
        </row>
        <row r="123">
          <cell r="E123" t="str">
            <v/>
          </cell>
        </row>
        <row r="124">
          <cell r="E124" t="str">
            <v/>
          </cell>
        </row>
        <row r="125">
          <cell r="E125" t="str">
            <v/>
          </cell>
        </row>
        <row r="126">
          <cell r="E126" t="str">
            <v/>
          </cell>
        </row>
        <row r="127">
          <cell r="E127" t="str">
            <v/>
          </cell>
        </row>
        <row r="128">
          <cell r="E128" t="str">
            <v/>
          </cell>
        </row>
        <row r="129">
          <cell r="E129" t="str">
            <v/>
          </cell>
        </row>
        <row r="130">
          <cell r="E130" t="str">
            <v/>
          </cell>
        </row>
        <row r="131">
          <cell r="E131" t="str">
            <v/>
          </cell>
        </row>
        <row r="132">
          <cell r="E132" t="str">
            <v/>
          </cell>
        </row>
        <row r="133">
          <cell r="E133" t="str">
            <v/>
          </cell>
        </row>
        <row r="134">
          <cell r="E134" t="str">
            <v/>
          </cell>
        </row>
        <row r="135">
          <cell r="E135" t="str">
            <v/>
          </cell>
        </row>
        <row r="136">
          <cell r="E136" t="str">
            <v/>
          </cell>
        </row>
        <row r="137">
          <cell r="E137" t="str">
            <v/>
          </cell>
        </row>
        <row r="138">
          <cell r="E138" t="str">
            <v/>
          </cell>
        </row>
        <row r="139">
          <cell r="E139" t="str">
            <v/>
          </cell>
        </row>
        <row r="140">
          <cell r="E140" t="str">
            <v/>
          </cell>
        </row>
        <row r="141">
          <cell r="E141" t="str">
            <v/>
          </cell>
        </row>
        <row r="142">
          <cell r="E142" t="str">
            <v/>
          </cell>
        </row>
        <row r="143">
          <cell r="E143" t="str">
            <v/>
          </cell>
        </row>
        <row r="144">
          <cell r="E144" t="str">
            <v/>
          </cell>
        </row>
        <row r="145">
          <cell r="E145" t="str">
            <v/>
          </cell>
        </row>
        <row r="146">
          <cell r="E146" t="str">
            <v/>
          </cell>
        </row>
        <row r="147">
          <cell r="E147" t="str">
            <v/>
          </cell>
        </row>
        <row r="148">
          <cell r="E148" t="str">
            <v/>
          </cell>
        </row>
        <row r="149">
          <cell r="E149" t="str">
            <v/>
          </cell>
        </row>
        <row r="150">
          <cell r="E150" t="str">
            <v/>
          </cell>
        </row>
        <row r="151">
          <cell r="E151" t="str">
            <v/>
          </cell>
        </row>
        <row r="152">
          <cell r="E152" t="str">
            <v/>
          </cell>
        </row>
        <row r="153">
          <cell r="E153" t="str">
            <v/>
          </cell>
        </row>
        <row r="154">
          <cell r="E154" t="str">
            <v/>
          </cell>
        </row>
        <row r="155">
          <cell r="E155" t="str">
            <v/>
          </cell>
        </row>
        <row r="156">
          <cell r="E156" t="str">
            <v/>
          </cell>
        </row>
        <row r="157">
          <cell r="E157" t="str">
            <v/>
          </cell>
        </row>
        <row r="158">
          <cell r="E158" t="str">
            <v/>
          </cell>
        </row>
        <row r="159">
          <cell r="E159" t="str">
            <v/>
          </cell>
        </row>
        <row r="160">
          <cell r="E160" t="str">
            <v/>
          </cell>
        </row>
        <row r="161">
          <cell r="E161" t="str">
            <v/>
          </cell>
        </row>
        <row r="162">
          <cell r="E162" t="str">
            <v/>
          </cell>
        </row>
        <row r="163">
          <cell r="E163" t="str">
            <v/>
          </cell>
        </row>
        <row r="164">
          <cell r="E164" t="str">
            <v/>
          </cell>
        </row>
        <row r="165">
          <cell r="E165" t="str">
            <v/>
          </cell>
        </row>
        <row r="166">
          <cell r="E166" t="str">
            <v/>
          </cell>
        </row>
        <row r="167">
          <cell r="E167" t="str">
            <v/>
          </cell>
        </row>
        <row r="168">
          <cell r="E168" t="str">
            <v/>
          </cell>
        </row>
        <row r="169">
          <cell r="E169" t="str">
            <v/>
          </cell>
        </row>
        <row r="170">
          <cell r="E170" t="str">
            <v/>
          </cell>
        </row>
        <row r="171">
          <cell r="E171" t="str">
            <v/>
          </cell>
        </row>
        <row r="172">
          <cell r="E172" t="str">
            <v/>
          </cell>
        </row>
        <row r="173">
          <cell r="E173" t="str">
            <v/>
          </cell>
        </row>
        <row r="174">
          <cell r="E174" t="str">
            <v/>
          </cell>
        </row>
        <row r="175">
          <cell r="E175" t="str">
            <v/>
          </cell>
        </row>
        <row r="176">
          <cell r="E176" t="str">
            <v/>
          </cell>
        </row>
        <row r="177">
          <cell r="E177" t="str">
            <v/>
          </cell>
        </row>
        <row r="178">
          <cell r="E178" t="str">
            <v/>
          </cell>
        </row>
        <row r="179">
          <cell r="E179" t="str">
            <v/>
          </cell>
        </row>
        <row r="180">
          <cell r="E180" t="str">
            <v/>
          </cell>
        </row>
        <row r="181">
          <cell r="E181" t="str">
            <v/>
          </cell>
        </row>
        <row r="182">
          <cell r="E182" t="str">
            <v/>
          </cell>
        </row>
        <row r="183">
          <cell r="E183" t="str">
            <v/>
          </cell>
        </row>
        <row r="184">
          <cell r="E184" t="str">
            <v/>
          </cell>
        </row>
        <row r="185">
          <cell r="E185" t="str">
            <v/>
          </cell>
        </row>
        <row r="186">
          <cell r="E186" t="str">
            <v/>
          </cell>
        </row>
        <row r="187">
          <cell r="E187" t="str">
            <v/>
          </cell>
        </row>
        <row r="188">
          <cell r="E188" t="str">
            <v/>
          </cell>
        </row>
        <row r="189">
          <cell r="E189" t="str">
            <v/>
          </cell>
        </row>
        <row r="190">
          <cell r="E190" t="str">
            <v/>
          </cell>
        </row>
        <row r="191">
          <cell r="E191" t="str">
            <v/>
          </cell>
        </row>
        <row r="192">
          <cell r="E192" t="str">
            <v/>
          </cell>
        </row>
        <row r="193">
          <cell r="E193" t="str">
            <v/>
          </cell>
        </row>
        <row r="194">
          <cell r="E194" t="str">
            <v/>
          </cell>
        </row>
        <row r="195">
          <cell r="E195" t="str">
            <v/>
          </cell>
        </row>
        <row r="196">
          <cell r="E196" t="str">
            <v/>
          </cell>
        </row>
        <row r="197">
          <cell r="E197" t="str">
            <v/>
          </cell>
        </row>
        <row r="198">
          <cell r="E198" t="str">
            <v/>
          </cell>
        </row>
        <row r="199">
          <cell r="E199" t="str">
            <v/>
          </cell>
        </row>
        <row r="200">
          <cell r="E200" t="str">
            <v/>
          </cell>
        </row>
        <row r="201">
          <cell r="E201" t="str">
            <v/>
          </cell>
        </row>
        <row r="202">
          <cell r="E202" t="str">
            <v/>
          </cell>
        </row>
        <row r="203">
          <cell r="E203" t="str">
            <v/>
          </cell>
        </row>
        <row r="204">
          <cell r="E204" t="str">
            <v/>
          </cell>
        </row>
        <row r="205">
          <cell r="E205" t="str">
            <v/>
          </cell>
        </row>
        <row r="206">
          <cell r="E206" t="str">
            <v/>
          </cell>
        </row>
        <row r="207">
          <cell r="E207" t="str">
            <v/>
          </cell>
        </row>
        <row r="208">
          <cell r="E208" t="str">
            <v/>
          </cell>
        </row>
        <row r="209">
          <cell r="E209" t="str">
            <v/>
          </cell>
        </row>
        <row r="210">
          <cell r="E210" t="str">
            <v/>
          </cell>
        </row>
        <row r="211">
          <cell r="E211" t="str">
            <v/>
          </cell>
        </row>
        <row r="212">
          <cell r="E212" t="str">
            <v/>
          </cell>
        </row>
        <row r="213">
          <cell r="E213" t="str">
            <v/>
          </cell>
        </row>
        <row r="214">
          <cell r="E214" t="str">
            <v/>
          </cell>
        </row>
        <row r="215">
          <cell r="E215" t="str">
            <v/>
          </cell>
        </row>
        <row r="216">
          <cell r="E216" t="str">
            <v/>
          </cell>
        </row>
        <row r="217">
          <cell r="E217" t="str">
            <v/>
          </cell>
        </row>
        <row r="218">
          <cell r="E218" t="str">
            <v/>
          </cell>
        </row>
        <row r="219">
          <cell r="E219" t="str">
            <v/>
          </cell>
        </row>
        <row r="220">
          <cell r="E220" t="str">
            <v/>
          </cell>
        </row>
        <row r="221">
          <cell r="E221" t="str">
            <v/>
          </cell>
        </row>
        <row r="222">
          <cell r="E222" t="str">
            <v/>
          </cell>
        </row>
        <row r="223">
          <cell r="E223" t="str">
            <v/>
          </cell>
        </row>
        <row r="224">
          <cell r="E224" t="str">
            <v/>
          </cell>
        </row>
        <row r="225">
          <cell r="E225" t="str">
            <v/>
          </cell>
        </row>
        <row r="226">
          <cell r="E226" t="str">
            <v/>
          </cell>
        </row>
        <row r="227">
          <cell r="E227" t="str">
            <v/>
          </cell>
        </row>
        <row r="228">
          <cell r="E228" t="str">
            <v/>
          </cell>
        </row>
        <row r="229">
          <cell r="E229" t="str">
            <v/>
          </cell>
        </row>
        <row r="230">
          <cell r="E230" t="str">
            <v/>
          </cell>
        </row>
        <row r="231">
          <cell r="E231" t="str">
            <v/>
          </cell>
        </row>
        <row r="232">
          <cell r="E232" t="str">
            <v/>
          </cell>
        </row>
        <row r="233">
          <cell r="E233" t="str">
            <v/>
          </cell>
        </row>
        <row r="234">
          <cell r="E234" t="str">
            <v/>
          </cell>
        </row>
        <row r="235">
          <cell r="E235" t="str">
            <v/>
          </cell>
        </row>
        <row r="236">
          <cell r="E236" t="str">
            <v/>
          </cell>
        </row>
        <row r="237">
          <cell r="E237" t="str">
            <v/>
          </cell>
        </row>
        <row r="238">
          <cell r="E238" t="str">
            <v/>
          </cell>
        </row>
        <row r="239">
          <cell r="E239" t="str">
            <v/>
          </cell>
        </row>
        <row r="240">
          <cell r="E240" t="str">
            <v/>
          </cell>
        </row>
        <row r="241">
          <cell r="E241" t="str">
            <v/>
          </cell>
        </row>
        <row r="242">
          <cell r="E242" t="str">
            <v/>
          </cell>
        </row>
        <row r="243">
          <cell r="E243" t="str">
            <v/>
          </cell>
        </row>
        <row r="244">
          <cell r="E244" t="str">
            <v/>
          </cell>
        </row>
        <row r="245">
          <cell r="E245" t="str">
            <v/>
          </cell>
        </row>
        <row r="246">
          <cell r="E246" t="str">
            <v/>
          </cell>
        </row>
        <row r="247">
          <cell r="E247" t="str">
            <v/>
          </cell>
        </row>
        <row r="248">
          <cell r="E248" t="str">
            <v/>
          </cell>
        </row>
        <row r="249">
          <cell r="E249" t="str">
            <v/>
          </cell>
        </row>
        <row r="250">
          <cell r="E250" t="str">
            <v/>
          </cell>
        </row>
        <row r="251">
          <cell r="E251" t="str">
            <v/>
          </cell>
        </row>
        <row r="252">
          <cell r="E252" t="str">
            <v/>
          </cell>
        </row>
        <row r="253">
          <cell r="E253" t="str">
            <v/>
          </cell>
        </row>
        <row r="254">
          <cell r="E254" t="str">
            <v/>
          </cell>
        </row>
        <row r="255">
          <cell r="E255" t="str">
            <v/>
          </cell>
        </row>
        <row r="256">
          <cell r="E256" t="str">
            <v/>
          </cell>
        </row>
        <row r="257">
          <cell r="E257" t="str">
            <v/>
          </cell>
        </row>
        <row r="258">
          <cell r="E258" t="str">
            <v/>
          </cell>
        </row>
        <row r="259">
          <cell r="E259" t="str">
            <v/>
          </cell>
        </row>
        <row r="260">
          <cell r="E260" t="str">
            <v/>
          </cell>
        </row>
        <row r="261">
          <cell r="E261" t="str">
            <v/>
          </cell>
        </row>
        <row r="262">
          <cell r="E262" t="str">
            <v/>
          </cell>
        </row>
        <row r="263">
          <cell r="E263" t="str">
            <v/>
          </cell>
        </row>
        <row r="264">
          <cell r="E264" t="str">
            <v/>
          </cell>
        </row>
        <row r="265">
          <cell r="E265" t="str">
            <v/>
          </cell>
        </row>
        <row r="266">
          <cell r="E266" t="str">
            <v/>
          </cell>
        </row>
        <row r="267">
          <cell r="E267" t="str">
            <v/>
          </cell>
        </row>
        <row r="268">
          <cell r="E268" t="str">
            <v/>
          </cell>
        </row>
        <row r="269">
          <cell r="E269" t="str">
            <v/>
          </cell>
        </row>
        <row r="270">
          <cell r="E270" t="str">
            <v/>
          </cell>
        </row>
        <row r="271">
          <cell r="E271" t="str">
            <v/>
          </cell>
        </row>
        <row r="272">
          <cell r="E272" t="str">
            <v/>
          </cell>
        </row>
        <row r="273">
          <cell r="E273" t="str">
            <v/>
          </cell>
        </row>
        <row r="274">
          <cell r="E274" t="str">
            <v/>
          </cell>
        </row>
        <row r="275">
          <cell r="E275" t="str">
            <v/>
          </cell>
        </row>
        <row r="276">
          <cell r="E276" t="str">
            <v/>
          </cell>
        </row>
        <row r="277">
          <cell r="E277" t="str">
            <v/>
          </cell>
        </row>
        <row r="278">
          <cell r="E278" t="str">
            <v/>
          </cell>
        </row>
        <row r="279">
          <cell r="E279" t="str">
            <v/>
          </cell>
        </row>
        <row r="280">
          <cell r="E280" t="str">
            <v/>
          </cell>
        </row>
        <row r="281">
          <cell r="E281" t="str">
            <v/>
          </cell>
        </row>
        <row r="282">
          <cell r="E282" t="str">
            <v/>
          </cell>
        </row>
        <row r="283">
          <cell r="E283" t="str">
            <v/>
          </cell>
        </row>
        <row r="284">
          <cell r="E284" t="str">
            <v/>
          </cell>
        </row>
        <row r="285">
          <cell r="E285" t="str">
            <v/>
          </cell>
        </row>
        <row r="286">
          <cell r="E286" t="str">
            <v/>
          </cell>
        </row>
        <row r="287">
          <cell r="E287" t="str">
            <v/>
          </cell>
        </row>
        <row r="288">
          <cell r="E288" t="str">
            <v/>
          </cell>
        </row>
        <row r="289">
          <cell r="E289" t="str">
            <v/>
          </cell>
        </row>
        <row r="290">
          <cell r="E290" t="str">
            <v/>
          </cell>
        </row>
        <row r="291">
          <cell r="E291" t="str">
            <v/>
          </cell>
        </row>
        <row r="292">
          <cell r="E292" t="str">
            <v/>
          </cell>
        </row>
        <row r="293">
          <cell r="E293" t="str">
            <v/>
          </cell>
        </row>
        <row r="294">
          <cell r="E294" t="str">
            <v/>
          </cell>
        </row>
        <row r="295">
          <cell r="E295" t="str">
            <v/>
          </cell>
        </row>
        <row r="296">
          <cell r="E296" t="str">
            <v/>
          </cell>
        </row>
        <row r="297">
          <cell r="E297" t="str">
            <v/>
          </cell>
        </row>
        <row r="298">
          <cell r="E298" t="str">
            <v/>
          </cell>
        </row>
        <row r="299">
          <cell r="E299" t="str">
            <v/>
          </cell>
        </row>
        <row r="300">
          <cell r="E300" t="str">
            <v/>
          </cell>
        </row>
        <row r="301">
          <cell r="E301" t="str">
            <v/>
          </cell>
        </row>
        <row r="302">
          <cell r="E302" t="str">
            <v/>
          </cell>
        </row>
        <row r="303">
          <cell r="E303" t="str">
            <v/>
          </cell>
        </row>
        <row r="304">
          <cell r="E304" t="str">
            <v/>
          </cell>
        </row>
        <row r="305">
          <cell r="E305" t="str">
            <v/>
          </cell>
        </row>
        <row r="306">
          <cell r="E306" t="str">
            <v/>
          </cell>
        </row>
        <row r="307">
          <cell r="E307" t="str">
            <v/>
          </cell>
        </row>
        <row r="308">
          <cell r="E308" t="str">
            <v/>
          </cell>
        </row>
        <row r="309">
          <cell r="E309" t="str">
            <v/>
          </cell>
        </row>
        <row r="310">
          <cell r="E310" t="str">
            <v/>
          </cell>
        </row>
        <row r="311">
          <cell r="E311" t="str">
            <v/>
          </cell>
        </row>
        <row r="312">
          <cell r="E312" t="str">
            <v/>
          </cell>
        </row>
        <row r="313">
          <cell r="E313" t="str">
            <v/>
          </cell>
        </row>
        <row r="314">
          <cell r="E314" t="str">
            <v/>
          </cell>
        </row>
        <row r="315">
          <cell r="E315" t="str">
            <v/>
          </cell>
        </row>
        <row r="316">
          <cell r="E316" t="str">
            <v/>
          </cell>
        </row>
        <row r="317">
          <cell r="E317" t="str">
            <v/>
          </cell>
        </row>
        <row r="318">
          <cell r="E318" t="str">
            <v/>
          </cell>
        </row>
        <row r="319">
          <cell r="E319" t="str">
            <v/>
          </cell>
        </row>
        <row r="320">
          <cell r="E320" t="str">
            <v/>
          </cell>
        </row>
        <row r="321">
          <cell r="E321" t="str">
            <v/>
          </cell>
        </row>
        <row r="322">
          <cell r="E322" t="str">
            <v/>
          </cell>
        </row>
        <row r="323">
          <cell r="E323" t="str">
            <v/>
          </cell>
        </row>
        <row r="324">
          <cell r="E324" t="str">
            <v/>
          </cell>
        </row>
        <row r="325">
          <cell r="E325" t="str">
            <v/>
          </cell>
        </row>
        <row r="326">
          <cell r="E326" t="str">
            <v/>
          </cell>
        </row>
        <row r="327">
          <cell r="E327" t="str">
            <v/>
          </cell>
        </row>
        <row r="328">
          <cell r="E328" t="str">
            <v/>
          </cell>
        </row>
        <row r="329">
          <cell r="E329" t="str">
            <v/>
          </cell>
        </row>
        <row r="330">
          <cell r="E330" t="str">
            <v/>
          </cell>
        </row>
        <row r="331">
          <cell r="E331" t="str">
            <v/>
          </cell>
        </row>
        <row r="332">
          <cell r="E332" t="str">
            <v/>
          </cell>
        </row>
        <row r="333">
          <cell r="E333" t="str">
            <v/>
          </cell>
        </row>
        <row r="334">
          <cell r="E334" t="str">
            <v/>
          </cell>
        </row>
        <row r="335">
          <cell r="E335" t="str">
            <v/>
          </cell>
        </row>
        <row r="336">
          <cell r="E336" t="str">
            <v/>
          </cell>
        </row>
        <row r="337">
          <cell r="E337" t="str">
            <v/>
          </cell>
        </row>
        <row r="338">
          <cell r="E338" t="str">
            <v/>
          </cell>
        </row>
        <row r="339">
          <cell r="E339" t="str">
            <v/>
          </cell>
        </row>
        <row r="340">
          <cell r="E340" t="str">
            <v/>
          </cell>
        </row>
        <row r="341">
          <cell r="E341" t="str">
            <v/>
          </cell>
        </row>
        <row r="342">
          <cell r="E342" t="str">
            <v/>
          </cell>
        </row>
        <row r="343">
          <cell r="E343" t="str">
            <v/>
          </cell>
        </row>
        <row r="344">
          <cell r="E344" t="str">
            <v/>
          </cell>
        </row>
        <row r="345">
          <cell r="E345" t="str">
            <v/>
          </cell>
        </row>
        <row r="346">
          <cell r="E346" t="str">
            <v/>
          </cell>
        </row>
        <row r="347">
          <cell r="E347" t="str">
            <v/>
          </cell>
        </row>
        <row r="348">
          <cell r="E348" t="str">
            <v/>
          </cell>
        </row>
        <row r="349">
          <cell r="E349" t="str">
            <v/>
          </cell>
        </row>
        <row r="350">
          <cell r="E350" t="str">
            <v/>
          </cell>
        </row>
        <row r="351">
          <cell r="E351" t="str">
            <v/>
          </cell>
        </row>
        <row r="352">
          <cell r="E352" t="str">
            <v/>
          </cell>
        </row>
        <row r="353">
          <cell r="E353" t="str">
            <v/>
          </cell>
        </row>
        <row r="354">
          <cell r="E354" t="str">
            <v/>
          </cell>
        </row>
        <row r="355">
          <cell r="E355" t="str">
            <v/>
          </cell>
        </row>
        <row r="356">
          <cell r="E356" t="str">
            <v/>
          </cell>
        </row>
        <row r="357">
          <cell r="E357" t="str">
            <v/>
          </cell>
        </row>
        <row r="358">
          <cell r="E358" t="str">
            <v/>
          </cell>
        </row>
        <row r="359">
          <cell r="E359" t="str">
            <v/>
          </cell>
        </row>
        <row r="360">
          <cell r="E360" t="str">
            <v/>
          </cell>
        </row>
      </sheetData>
      <sheetData sheetId="3">
        <row r="3">
          <cell r="E3" t="str">
            <v>Do Not Delete</v>
          </cell>
        </row>
        <row r="4">
          <cell r="E4">
            <v>2242</v>
          </cell>
        </row>
        <row r="6">
          <cell r="E6">
            <v>1948</v>
          </cell>
        </row>
        <row r="7">
          <cell r="E7">
            <v>1970</v>
          </cell>
        </row>
        <row r="8">
          <cell r="E8">
            <v>2043</v>
          </cell>
        </row>
        <row r="9">
          <cell r="E9">
            <v>2020</v>
          </cell>
        </row>
        <row r="10">
          <cell r="E10">
            <v>2033</v>
          </cell>
        </row>
        <row r="11">
          <cell r="E11">
            <v>2046</v>
          </cell>
        </row>
        <row r="12">
          <cell r="E12">
            <v>2079</v>
          </cell>
        </row>
        <row r="13">
          <cell r="E13">
            <v>2190</v>
          </cell>
        </row>
        <row r="14">
          <cell r="E14">
            <v>2190</v>
          </cell>
        </row>
        <row r="15">
          <cell r="E15">
            <v>2190</v>
          </cell>
        </row>
        <row r="16">
          <cell r="E16">
            <v>2190</v>
          </cell>
        </row>
        <row r="17">
          <cell r="E17">
            <v>2190</v>
          </cell>
        </row>
        <row r="18">
          <cell r="E18">
            <v>2225</v>
          </cell>
        </row>
        <row r="19">
          <cell r="E19">
            <v>2225</v>
          </cell>
        </row>
        <row r="20">
          <cell r="E20">
            <v>2096</v>
          </cell>
        </row>
        <row r="21">
          <cell r="E21">
            <v>2115</v>
          </cell>
        </row>
        <row r="22">
          <cell r="E22">
            <v>2115</v>
          </cell>
        </row>
        <row r="23">
          <cell r="E23">
            <v>2117</v>
          </cell>
        </row>
        <row r="24">
          <cell r="E24">
            <v>2126</v>
          </cell>
        </row>
        <row r="25">
          <cell r="E25">
            <v>2152</v>
          </cell>
        </row>
        <row r="26">
          <cell r="E26">
            <v>2152</v>
          </cell>
        </row>
        <row r="27">
          <cell r="E27">
            <v>2188</v>
          </cell>
        </row>
        <row r="28">
          <cell r="E28">
            <v>2188</v>
          </cell>
        </row>
        <row r="29">
          <cell r="E29">
            <v>1941</v>
          </cell>
        </row>
        <row r="30">
          <cell r="E30">
            <v>2093</v>
          </cell>
        </row>
        <row r="31">
          <cell r="E31">
            <v>2131</v>
          </cell>
        </row>
        <row r="32">
          <cell r="E32">
            <v>2131</v>
          </cell>
        </row>
        <row r="33">
          <cell r="E33">
            <v>2140</v>
          </cell>
        </row>
        <row r="34">
          <cell r="E34">
            <v>2140</v>
          </cell>
        </row>
        <row r="35">
          <cell r="E35">
            <v>2140</v>
          </cell>
        </row>
        <row r="36">
          <cell r="E36">
            <v>2154</v>
          </cell>
        </row>
        <row r="37">
          <cell r="E37">
            <v>2173</v>
          </cell>
        </row>
        <row r="38">
          <cell r="E38">
            <v>2181</v>
          </cell>
        </row>
        <row r="39">
          <cell r="E39">
            <v>2207</v>
          </cell>
        </row>
        <row r="40">
          <cell r="E40">
            <v>2207</v>
          </cell>
        </row>
        <row r="41">
          <cell r="E41">
            <v>2207</v>
          </cell>
        </row>
        <row r="42">
          <cell r="E42">
            <v>2207</v>
          </cell>
        </row>
        <row r="43">
          <cell r="E43">
            <v>2240</v>
          </cell>
        </row>
        <row r="44">
          <cell r="E44">
            <v>2240</v>
          </cell>
        </row>
        <row r="45">
          <cell r="E45">
            <v>2240</v>
          </cell>
        </row>
        <row r="46">
          <cell r="E46">
            <v>2240</v>
          </cell>
        </row>
        <row r="50">
          <cell r="E50">
            <v>8479</v>
          </cell>
        </row>
        <row r="51">
          <cell r="E51">
            <v>1991</v>
          </cell>
        </row>
        <row r="52">
          <cell r="E52">
            <v>2005</v>
          </cell>
        </row>
        <row r="53">
          <cell r="E53">
            <v>2027</v>
          </cell>
        </row>
        <row r="54">
          <cell r="E54">
            <v>2028</v>
          </cell>
        </row>
        <row r="55">
          <cell r="E55">
            <v>2053</v>
          </cell>
        </row>
        <row r="56">
          <cell r="E56">
            <v>2054</v>
          </cell>
        </row>
        <row r="57">
          <cell r="E57">
            <v>2070</v>
          </cell>
        </row>
        <row r="58">
          <cell r="E58">
            <v>2074</v>
          </cell>
        </row>
        <row r="59">
          <cell r="E59">
            <v>2075</v>
          </cell>
        </row>
        <row r="60">
          <cell r="E60">
            <v>2143</v>
          </cell>
        </row>
        <row r="61">
          <cell r="E61">
            <v>2184</v>
          </cell>
        </row>
        <row r="62">
          <cell r="E62">
            <v>2193</v>
          </cell>
        </row>
        <row r="63">
          <cell r="E63">
            <v>2231</v>
          </cell>
        </row>
        <row r="64">
          <cell r="E64">
            <v>2231</v>
          </cell>
        </row>
        <row r="65">
          <cell r="E65">
            <v>2231</v>
          </cell>
        </row>
        <row r="66">
          <cell r="E66">
            <v>3219</v>
          </cell>
        </row>
        <row r="67">
          <cell r="E67">
            <v>3336</v>
          </cell>
        </row>
        <row r="68">
          <cell r="E68">
            <v>3336</v>
          </cell>
        </row>
        <row r="69">
          <cell r="E69">
            <v>5132</v>
          </cell>
        </row>
        <row r="70">
          <cell r="E70">
            <v>5132</v>
          </cell>
        </row>
        <row r="71">
          <cell r="E71">
            <v>1967</v>
          </cell>
        </row>
        <row r="72">
          <cell r="E72">
            <v>2004</v>
          </cell>
        </row>
        <row r="73">
          <cell r="E73">
            <v>2004</v>
          </cell>
        </row>
        <row r="74">
          <cell r="E74">
            <v>2017</v>
          </cell>
        </row>
        <row r="75">
          <cell r="E75">
            <v>2077</v>
          </cell>
        </row>
        <row r="76">
          <cell r="E76">
            <v>2081</v>
          </cell>
        </row>
        <row r="77">
          <cell r="E77">
            <v>2120</v>
          </cell>
        </row>
        <row r="78">
          <cell r="E78">
            <v>2142</v>
          </cell>
        </row>
        <row r="79">
          <cell r="E79">
            <v>2174</v>
          </cell>
        </row>
        <row r="80">
          <cell r="E80">
            <v>2174</v>
          </cell>
        </row>
        <row r="81">
          <cell r="E81">
            <v>2186</v>
          </cell>
        </row>
        <row r="82">
          <cell r="E82">
            <v>2192</v>
          </cell>
        </row>
        <row r="83">
          <cell r="E83">
            <v>2192</v>
          </cell>
        </row>
        <row r="84">
          <cell r="E84">
            <v>2195</v>
          </cell>
        </row>
        <row r="85">
          <cell r="E85">
            <v>2195</v>
          </cell>
        </row>
        <row r="86">
          <cell r="E86">
            <v>2195</v>
          </cell>
        </row>
        <row r="87">
          <cell r="E87">
            <v>2195</v>
          </cell>
        </row>
        <row r="88">
          <cell r="E88">
            <v>2196</v>
          </cell>
        </row>
        <row r="89">
          <cell r="E89">
            <v>2196</v>
          </cell>
        </row>
        <row r="90">
          <cell r="E90">
            <v>2198</v>
          </cell>
        </row>
        <row r="91">
          <cell r="E91">
            <v>2198</v>
          </cell>
        </row>
        <row r="92">
          <cell r="E92">
            <v>2220</v>
          </cell>
        </row>
        <row r="93">
          <cell r="E93">
            <v>2226</v>
          </cell>
        </row>
        <row r="94">
          <cell r="E94">
            <v>2362</v>
          </cell>
        </row>
        <row r="95">
          <cell r="E95">
            <v>2012</v>
          </cell>
        </row>
        <row r="96">
          <cell r="E96">
            <v>2090</v>
          </cell>
        </row>
        <row r="97">
          <cell r="E97">
            <v>2095</v>
          </cell>
        </row>
        <row r="98">
          <cell r="E98">
            <v>2104</v>
          </cell>
        </row>
        <row r="99">
          <cell r="E99">
            <v>2110</v>
          </cell>
        </row>
        <row r="100">
          <cell r="E100">
            <v>2121</v>
          </cell>
        </row>
        <row r="101">
          <cell r="E101">
            <v>2172</v>
          </cell>
        </row>
        <row r="102">
          <cell r="E102">
            <v>2234</v>
          </cell>
        </row>
        <row r="103">
          <cell r="E103">
            <v>2236</v>
          </cell>
        </row>
        <row r="104">
          <cell r="E104">
            <v>2236</v>
          </cell>
        </row>
        <row r="105">
          <cell r="E105">
            <v>2010</v>
          </cell>
        </row>
        <row r="106">
          <cell r="E106">
            <v>2145</v>
          </cell>
        </row>
        <row r="107">
          <cell r="E107">
            <v>2180</v>
          </cell>
        </row>
        <row r="108">
          <cell r="E108">
            <v>2180</v>
          </cell>
        </row>
        <row r="109">
          <cell r="E109">
            <v>2241</v>
          </cell>
        </row>
        <row r="110">
          <cell r="E110">
            <v>2137</v>
          </cell>
        </row>
        <row r="111">
          <cell r="E111">
            <v>2137</v>
          </cell>
        </row>
        <row r="112">
          <cell r="E112">
            <v>2137</v>
          </cell>
        </row>
        <row r="113">
          <cell r="E113">
            <v>2137</v>
          </cell>
        </row>
        <row r="114">
          <cell r="E114">
            <v>2019</v>
          </cell>
        </row>
        <row r="115">
          <cell r="E115">
            <v>2217</v>
          </cell>
        </row>
        <row r="116">
          <cell r="E116">
            <v>2218</v>
          </cell>
        </row>
        <row r="117">
          <cell r="E117">
            <v>2119</v>
          </cell>
        </row>
        <row r="118">
          <cell r="E118">
            <v>2119</v>
          </cell>
        </row>
        <row r="119">
          <cell r="E119">
            <v>2119</v>
          </cell>
        </row>
        <row r="120">
          <cell r="E120">
            <v>2122</v>
          </cell>
        </row>
        <row r="121">
          <cell r="E121">
            <v>2124</v>
          </cell>
        </row>
        <row r="122">
          <cell r="E122">
            <v>2124</v>
          </cell>
        </row>
        <row r="123">
          <cell r="E123">
            <v>2124</v>
          </cell>
        </row>
        <row r="124">
          <cell r="E124">
            <v>2124</v>
          </cell>
        </row>
        <row r="125">
          <cell r="E125">
            <v>2141</v>
          </cell>
        </row>
        <row r="126">
          <cell r="E126">
            <v>2148</v>
          </cell>
        </row>
        <row r="127">
          <cell r="E127">
            <v>2148</v>
          </cell>
        </row>
        <row r="128">
          <cell r="E128">
            <v>2148</v>
          </cell>
        </row>
        <row r="129">
          <cell r="E129">
            <v>2153</v>
          </cell>
        </row>
        <row r="130">
          <cell r="E130">
            <v>2157</v>
          </cell>
        </row>
        <row r="131">
          <cell r="E131">
            <v>2177</v>
          </cell>
        </row>
        <row r="132">
          <cell r="E132">
            <v>2177</v>
          </cell>
        </row>
        <row r="133">
          <cell r="E133">
            <v>2177</v>
          </cell>
        </row>
        <row r="134">
          <cell r="E134">
            <v>2177</v>
          </cell>
        </row>
        <row r="135">
          <cell r="E135">
            <v>2179</v>
          </cell>
        </row>
        <row r="136">
          <cell r="E136">
            <v>2179</v>
          </cell>
        </row>
        <row r="137">
          <cell r="E137">
            <v>2206</v>
          </cell>
        </row>
        <row r="138">
          <cell r="E138">
            <v>2208</v>
          </cell>
        </row>
        <row r="139">
          <cell r="E139">
            <v>2209</v>
          </cell>
        </row>
        <row r="140">
          <cell r="E140">
            <v>2210</v>
          </cell>
        </row>
        <row r="141">
          <cell r="E141">
            <v>2232</v>
          </cell>
        </row>
        <row r="142">
          <cell r="E142">
            <v>2232</v>
          </cell>
        </row>
        <row r="143">
          <cell r="E143">
            <v>2232</v>
          </cell>
        </row>
        <row r="144">
          <cell r="E144">
            <v>2235</v>
          </cell>
        </row>
        <row r="145">
          <cell r="E145">
            <v>2247</v>
          </cell>
        </row>
        <row r="146">
          <cell r="E146">
            <v>2251</v>
          </cell>
        </row>
        <row r="147">
          <cell r="E147">
            <v>2265</v>
          </cell>
        </row>
        <row r="148">
          <cell r="E148">
            <v>2266</v>
          </cell>
        </row>
        <row r="149">
          <cell r="E149">
            <v>2267</v>
          </cell>
        </row>
        <row r="150">
          <cell r="E150">
            <v>6653</v>
          </cell>
        </row>
        <row r="151">
          <cell r="E151">
            <v>2185</v>
          </cell>
        </row>
        <row r="152">
          <cell r="E152">
            <v>2018</v>
          </cell>
        </row>
        <row r="153">
          <cell r="E153">
            <v>2049</v>
          </cell>
        </row>
        <row r="154">
          <cell r="E154">
            <v>2049</v>
          </cell>
        </row>
        <row r="155">
          <cell r="E155">
            <v>2185</v>
          </cell>
        </row>
        <row r="156">
          <cell r="E156">
            <v>2185</v>
          </cell>
        </row>
        <row r="157">
          <cell r="E157">
            <v>2051</v>
          </cell>
        </row>
        <row r="158">
          <cell r="E158">
            <v>2051</v>
          </cell>
        </row>
        <row r="159">
          <cell r="E159">
            <v>2169</v>
          </cell>
        </row>
        <row r="160">
          <cell r="E160">
            <v>2256</v>
          </cell>
        </row>
        <row r="161">
          <cell r="E161">
            <v>7273</v>
          </cell>
        </row>
        <row r="162">
          <cell r="E162">
            <v>7273</v>
          </cell>
        </row>
        <row r="163">
          <cell r="E163">
            <v>7273</v>
          </cell>
        </row>
        <row r="164">
          <cell r="E164">
            <v>6135</v>
          </cell>
        </row>
        <row r="165">
          <cell r="E165">
            <v>2050</v>
          </cell>
        </row>
        <row r="166">
          <cell r="E166">
            <v>2050</v>
          </cell>
        </row>
        <row r="167">
          <cell r="E167">
            <v>2050</v>
          </cell>
        </row>
        <row r="168">
          <cell r="E168">
            <v>2050</v>
          </cell>
        </row>
        <row r="169">
          <cell r="E169">
            <v>2050</v>
          </cell>
        </row>
        <row r="170">
          <cell r="E170">
            <v>2050</v>
          </cell>
        </row>
        <row r="171">
          <cell r="E171">
            <v>2050</v>
          </cell>
        </row>
        <row r="172">
          <cell r="E172">
            <v>2050</v>
          </cell>
        </row>
        <row r="173">
          <cell r="E173">
            <v>2224</v>
          </cell>
        </row>
        <row r="174">
          <cell r="E174">
            <v>2160</v>
          </cell>
        </row>
        <row r="175">
          <cell r="E175">
            <v>2194</v>
          </cell>
        </row>
        <row r="176">
          <cell r="E176">
            <v>2216</v>
          </cell>
        </row>
        <row r="177">
          <cell r="E177">
            <v>2216</v>
          </cell>
        </row>
        <row r="178">
          <cell r="E178">
            <v>2216</v>
          </cell>
        </row>
        <row r="179">
          <cell r="E179">
            <v>2216</v>
          </cell>
        </row>
        <row r="180">
          <cell r="E180">
            <v>2216</v>
          </cell>
        </row>
        <row r="181">
          <cell r="E181">
            <v>2216</v>
          </cell>
        </row>
        <row r="182">
          <cell r="E182">
            <v>2216</v>
          </cell>
        </row>
        <row r="183">
          <cell r="E183">
            <v>2216</v>
          </cell>
        </row>
        <row r="184">
          <cell r="E184">
            <v>2216</v>
          </cell>
        </row>
        <row r="185">
          <cell r="E185">
            <v>2216</v>
          </cell>
        </row>
        <row r="186">
          <cell r="E186">
            <v>2216</v>
          </cell>
        </row>
        <row r="187">
          <cell r="E187">
            <v>2216</v>
          </cell>
        </row>
        <row r="188">
          <cell r="E188">
            <v>2381</v>
          </cell>
        </row>
        <row r="189">
          <cell r="E189">
            <v>2381</v>
          </cell>
        </row>
        <row r="190">
          <cell r="E190">
            <v>6513</v>
          </cell>
        </row>
        <row r="191">
          <cell r="E191">
            <v>9427</v>
          </cell>
        </row>
        <row r="192">
          <cell r="E192" t="str">
            <v/>
          </cell>
        </row>
        <row r="193">
          <cell r="E193" t="str">
            <v/>
          </cell>
        </row>
        <row r="194">
          <cell r="E194" t="str">
            <v/>
          </cell>
        </row>
        <row r="195">
          <cell r="E195" t="str">
            <v/>
          </cell>
        </row>
        <row r="196">
          <cell r="E196" t="str">
            <v/>
          </cell>
        </row>
        <row r="197">
          <cell r="E197" t="str">
            <v/>
          </cell>
        </row>
        <row r="198">
          <cell r="E198" t="str">
            <v/>
          </cell>
        </row>
        <row r="199">
          <cell r="E199" t="str">
            <v/>
          </cell>
        </row>
        <row r="200">
          <cell r="E200" t="str">
            <v/>
          </cell>
        </row>
        <row r="201">
          <cell r="E201" t="str">
            <v/>
          </cell>
        </row>
        <row r="202">
          <cell r="E202" t="str">
            <v/>
          </cell>
        </row>
        <row r="203">
          <cell r="E203" t="str">
            <v/>
          </cell>
        </row>
        <row r="204">
          <cell r="E204" t="str">
            <v/>
          </cell>
        </row>
        <row r="205">
          <cell r="E205" t="str">
            <v/>
          </cell>
        </row>
        <row r="206">
          <cell r="E206" t="str">
            <v/>
          </cell>
        </row>
        <row r="207">
          <cell r="E207" t="str">
            <v/>
          </cell>
        </row>
        <row r="208">
          <cell r="E208" t="str">
            <v/>
          </cell>
        </row>
        <row r="209">
          <cell r="E209" t="str">
            <v/>
          </cell>
        </row>
        <row r="210">
          <cell r="E210" t="str">
            <v/>
          </cell>
        </row>
        <row r="211">
          <cell r="E211" t="str">
            <v/>
          </cell>
        </row>
        <row r="212">
          <cell r="E212" t="str">
            <v/>
          </cell>
        </row>
        <row r="213">
          <cell r="E213" t="str">
            <v/>
          </cell>
        </row>
        <row r="214">
          <cell r="E214" t="str">
            <v/>
          </cell>
        </row>
        <row r="215">
          <cell r="E215" t="str">
            <v/>
          </cell>
        </row>
        <row r="216">
          <cell r="E216" t="str">
            <v/>
          </cell>
        </row>
        <row r="217">
          <cell r="E217" t="str">
            <v/>
          </cell>
        </row>
        <row r="218">
          <cell r="E218" t="str">
            <v/>
          </cell>
        </row>
        <row r="219">
          <cell r="E219" t="str">
            <v/>
          </cell>
        </row>
        <row r="220">
          <cell r="E220" t="str">
            <v/>
          </cell>
        </row>
        <row r="221">
          <cell r="E221" t="str">
            <v/>
          </cell>
        </row>
        <row r="222">
          <cell r="E222" t="str">
            <v/>
          </cell>
        </row>
        <row r="223">
          <cell r="E223" t="str">
            <v/>
          </cell>
        </row>
        <row r="224">
          <cell r="E224" t="str">
            <v/>
          </cell>
        </row>
        <row r="225">
          <cell r="E225" t="str">
            <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pp Data"/>
      <sheetName val="M1 App"/>
      <sheetName val="Calc Durability"/>
      <sheetName val="Sheet3"/>
      <sheetName val="Assy numbers"/>
    </sheetNames>
    <sheetDataSet>
      <sheetData sheetId="0"/>
      <sheetData sheetId="1">
        <row r="1">
          <cell r="A1" t="str">
            <v>Part ID</v>
          </cell>
          <cell r="C1" t="str">
            <v>Part Description</v>
          </cell>
          <cell r="D1" t="str">
            <v>Bit Size</v>
          </cell>
          <cell r="E1" t="str">
            <v>App Customer</v>
          </cell>
          <cell r="F1" t="str">
            <v>App County</v>
          </cell>
          <cell r="G1" t="str">
            <v>App Interval Type</v>
          </cell>
          <cell r="H1" t="str">
            <v>App Drive Type</v>
          </cell>
          <cell r="I1" t="str">
            <v>App Depth In</v>
          </cell>
          <cell r="J1" t="str">
            <v>App Depth Out</v>
          </cell>
          <cell r="K1" t="str">
            <v>App RPM</v>
          </cell>
          <cell r="L1" t="str">
            <v>App ROP</v>
          </cell>
          <cell r="M1" t="str">
            <v>App Gauge Length</v>
          </cell>
          <cell r="N1" t="str">
            <v>App Gauge Features</v>
          </cell>
          <cell r="O1" t="str">
            <v>App DOC</v>
          </cell>
          <cell r="P1" t="str">
            <v>App Six Three</v>
          </cell>
          <cell r="Q1" t="str">
            <v>App Cutter Layout</v>
          </cell>
          <cell r="R1" t="str">
            <v>Notes from M1 .BB Part App Other</v>
          </cell>
        </row>
        <row r="2">
          <cell r="A2" t="str">
            <v xml:space="preserve">SKF-02272.BB                  </v>
          </cell>
          <cell r="B2">
            <v>2272</v>
          </cell>
          <cell r="C2" t="str">
            <v xml:space="preserve">077F-616-SR(K)-2272; Body                         </v>
          </cell>
          <cell r="D2" t="str">
            <v xml:space="preserve">07-7/8"        </v>
          </cell>
          <cell r="E2" t="str">
            <v xml:space="preserve">BlackBeard                                        </v>
          </cell>
          <cell r="F2" t="str">
            <v xml:space="preserve">                         </v>
          </cell>
          <cell r="G2" t="str">
            <v xml:space="preserve">Vertical                 </v>
          </cell>
          <cell r="H2" t="str">
            <v xml:space="preserve">Straight Motor           </v>
          </cell>
          <cell r="I2">
            <v>5500</v>
          </cell>
          <cell r="J2">
            <v>11500</v>
          </cell>
          <cell r="K2">
            <v>133</v>
          </cell>
          <cell r="L2">
            <v>200</v>
          </cell>
          <cell r="M2">
            <v>4</v>
          </cell>
          <cell r="N2" t="str">
            <v xml:space="preserve">straight                                          </v>
          </cell>
          <cell r="O2">
            <v>0.3</v>
          </cell>
          <cell r="P2">
            <v>0</v>
          </cell>
          <cell r="Q2" t="str">
            <v xml:space="preserve">Single Set               </v>
          </cell>
          <cell r="R2" t="str">
            <v>2268 was too aggressive for blackbeard. Add 5° backrake.
Rev B --- Added webbing between the blades to prevent cracking</v>
          </cell>
        </row>
        <row r="3">
          <cell r="A3" t="str">
            <v xml:space="preserve">SKF-02271.BB                  </v>
          </cell>
          <cell r="B3">
            <v>2271</v>
          </cell>
          <cell r="C3" t="str">
            <v xml:space="preserve">110F-616-XR9(BR)-2271; Body                       </v>
          </cell>
          <cell r="D3" t="str">
            <v xml:space="preserve">11"            </v>
          </cell>
          <cell r="E3" t="str">
            <v xml:space="preserve">                                                  </v>
          </cell>
          <cell r="F3" t="str">
            <v xml:space="preserve">                         </v>
          </cell>
          <cell r="G3" t="str">
            <v xml:space="preserve">                         </v>
          </cell>
          <cell r="H3" t="str">
            <v xml:space="preserve">                         </v>
          </cell>
          <cell r="I3">
            <v>0</v>
          </cell>
          <cell r="J3">
            <v>0</v>
          </cell>
          <cell r="K3">
            <v>0</v>
          </cell>
          <cell r="L3">
            <v>0</v>
          </cell>
          <cell r="M3">
            <v>0</v>
          </cell>
          <cell r="N3" t="str">
            <v xml:space="preserve">                                                  </v>
          </cell>
          <cell r="O3">
            <v>0</v>
          </cell>
          <cell r="P3">
            <v>0</v>
          </cell>
          <cell r="Q3" t="str">
            <v xml:space="preserve">                         </v>
          </cell>
          <cell r="R3" t="str">
            <v/>
          </cell>
        </row>
        <row r="4">
          <cell r="A4" t="str">
            <v xml:space="preserve">SKF-02270.BB                  </v>
          </cell>
          <cell r="B4">
            <v>2270</v>
          </cell>
          <cell r="C4" t="str">
            <v xml:space="preserve">066F-616-SR+(K)-2270; Body                        </v>
          </cell>
          <cell r="D4" t="str">
            <v xml:space="preserve">06-3/4"        </v>
          </cell>
          <cell r="E4" t="str">
            <v xml:space="preserve">Blackbeard                                        </v>
          </cell>
          <cell r="F4" t="str">
            <v xml:space="preserve">Andrews                  </v>
          </cell>
          <cell r="G4" t="str">
            <v xml:space="preserve">Vertical                 </v>
          </cell>
          <cell r="H4" t="str">
            <v xml:space="preserve">Straight Motor           </v>
          </cell>
          <cell r="I4">
            <v>5000</v>
          </cell>
          <cell r="J4">
            <v>10000</v>
          </cell>
          <cell r="K4">
            <v>0</v>
          </cell>
          <cell r="L4">
            <v>0</v>
          </cell>
          <cell r="M4">
            <v>25</v>
          </cell>
          <cell r="N4" t="str">
            <v xml:space="preserve">                                                  </v>
          </cell>
          <cell r="O4">
            <v>0</v>
          </cell>
          <cell r="P4">
            <v>0</v>
          </cell>
          <cell r="Q4" t="str">
            <v xml:space="preserve">Single Set               </v>
          </cell>
          <cell r="R4" t="str">
            <v xml:space="preserve">Blackbeard liked how well the 7-7/8" 2176 with deep leach cutters was drilling that they asked for a 6-3/4" version of it to drill in Crane county.
</v>
          </cell>
        </row>
        <row r="5">
          <cell r="A5" t="str">
            <v xml:space="preserve">SKF-02268.BB                  </v>
          </cell>
          <cell r="B5">
            <v>2268</v>
          </cell>
          <cell r="C5" t="str">
            <v xml:space="preserve">077F-616-SR(K)-2268; Body                         </v>
          </cell>
          <cell r="D5" t="str">
            <v xml:space="preserve">07-7/8"        </v>
          </cell>
          <cell r="E5" t="str">
            <v xml:space="preserve">Fasken                                            </v>
          </cell>
          <cell r="F5" t="str">
            <v xml:space="preserve">                         </v>
          </cell>
          <cell r="G5" t="str">
            <v xml:space="preserve">Vertical                 </v>
          </cell>
          <cell r="H5" t="str">
            <v xml:space="preserve">Straight Motor           </v>
          </cell>
          <cell r="I5">
            <v>5500</v>
          </cell>
          <cell r="J5">
            <v>11500</v>
          </cell>
          <cell r="K5">
            <v>133</v>
          </cell>
          <cell r="L5">
            <v>200</v>
          </cell>
          <cell r="M5">
            <v>4</v>
          </cell>
          <cell r="N5" t="str">
            <v xml:space="preserve">straight                                          </v>
          </cell>
          <cell r="O5">
            <v>0.3</v>
          </cell>
          <cell r="P5">
            <v>0</v>
          </cell>
          <cell r="Q5" t="str">
            <v xml:space="preserve">Single Set               </v>
          </cell>
          <cell r="R5" t="str">
            <v xml:space="preserve">Fasken was not wanting to run the 2176 with deep leach cutters because of all the failed attempts with the DP cutter. They asked for a new design with deep leach. So as to not change too much the design is very similar except for the cutting structure its F6/3.
</v>
          </cell>
        </row>
        <row r="6">
          <cell r="A6" t="str">
            <v xml:space="preserve">SKF-02267.BB                  </v>
          </cell>
          <cell r="B6">
            <v>2267</v>
          </cell>
          <cell r="C6" t="str">
            <v xml:space="preserve">122F-616-XR9(K)(BR)-2267; Body                    </v>
          </cell>
          <cell r="D6" t="str">
            <v xml:space="preserve">12-1/4"        </v>
          </cell>
          <cell r="E6" t="str">
            <v xml:space="preserve">Fasken                                            </v>
          </cell>
          <cell r="F6" t="str">
            <v xml:space="preserve">Andrews                  </v>
          </cell>
          <cell r="G6" t="str">
            <v xml:space="preserve">Vertical                 </v>
          </cell>
          <cell r="H6" t="str">
            <v xml:space="preserve">Straight Motor           </v>
          </cell>
          <cell r="I6">
            <v>1800</v>
          </cell>
          <cell r="J6">
            <v>7100</v>
          </cell>
          <cell r="K6">
            <v>0</v>
          </cell>
          <cell r="L6">
            <v>0</v>
          </cell>
          <cell r="M6">
            <v>6</v>
          </cell>
          <cell r="N6" t="str">
            <v xml:space="preserve">                                                  </v>
          </cell>
          <cell r="O6">
            <v>0.4</v>
          </cell>
          <cell r="P6">
            <v>0.09</v>
          </cell>
          <cell r="Q6" t="str">
            <v xml:space="preserve">Single Set               </v>
          </cell>
          <cell r="R6" t="str">
            <v xml:space="preserve">Halliburton GT65DMOs (Juggernaut) out drilled us (2138) by a wide margin. This bit design is a 2177 with a 6/3 factor of .090"
</v>
          </cell>
        </row>
        <row r="7">
          <cell r="A7" t="str">
            <v xml:space="preserve">SKF-02266.BB                  </v>
          </cell>
          <cell r="B7">
            <v>2266</v>
          </cell>
          <cell r="C7" t="str">
            <v xml:space="preserve">122F-616-XR9(K)(BR)-2266; Body                    </v>
          </cell>
          <cell r="D7" t="str">
            <v xml:space="preserve">12-1/4"        </v>
          </cell>
          <cell r="E7" t="str">
            <v xml:space="preserve">Fasken                                            </v>
          </cell>
          <cell r="F7" t="str">
            <v xml:space="preserve">Andrews                  </v>
          </cell>
          <cell r="G7" t="str">
            <v xml:space="preserve">Vertical                 </v>
          </cell>
          <cell r="H7" t="str">
            <v xml:space="preserve">Straight Motor           </v>
          </cell>
          <cell r="I7">
            <v>1800</v>
          </cell>
          <cell r="J7">
            <v>7100</v>
          </cell>
          <cell r="K7">
            <v>0</v>
          </cell>
          <cell r="L7">
            <v>0</v>
          </cell>
          <cell r="M7">
            <v>6</v>
          </cell>
          <cell r="N7" t="str">
            <v xml:space="preserve">                                                  </v>
          </cell>
          <cell r="O7">
            <v>0.4</v>
          </cell>
          <cell r="P7">
            <v>0.06</v>
          </cell>
          <cell r="Q7" t="str">
            <v xml:space="preserve">Single Set               </v>
          </cell>
          <cell r="R7" t="str">
            <v xml:space="preserve">Halliburton GT65DMOs (Juggernaut) out drilled us (2138) by a wide margin. This bit design is a 2177 with a 6/3 factor of .060"
</v>
          </cell>
        </row>
        <row r="8">
          <cell r="A8" t="str">
            <v xml:space="preserve">SKF-02265.BB                  </v>
          </cell>
          <cell r="B8">
            <v>2265</v>
          </cell>
          <cell r="C8" t="str">
            <v xml:space="preserve">122F-616-XR9(K)(BR)-2265; Body                    </v>
          </cell>
          <cell r="D8" t="str">
            <v xml:space="preserve">12-1/4"        </v>
          </cell>
          <cell r="E8" t="str">
            <v xml:space="preserve">Callon                                            </v>
          </cell>
          <cell r="F8" t="str">
            <v xml:space="preserve">Ward                     </v>
          </cell>
          <cell r="G8" t="str">
            <v xml:space="preserve">Vertical                 </v>
          </cell>
          <cell r="H8" t="str">
            <v xml:space="preserve">Straight Motor           </v>
          </cell>
          <cell r="I8">
            <v>0</v>
          </cell>
          <cell r="J8">
            <v>0</v>
          </cell>
          <cell r="K8">
            <v>0</v>
          </cell>
          <cell r="L8">
            <v>0</v>
          </cell>
          <cell r="M8">
            <v>6</v>
          </cell>
          <cell r="N8" t="str">
            <v xml:space="preserve">                                                  </v>
          </cell>
          <cell r="O8">
            <v>0.4</v>
          </cell>
          <cell r="P8">
            <v>0.03</v>
          </cell>
          <cell r="Q8" t="str">
            <v xml:space="preserve">Single Set               </v>
          </cell>
          <cell r="R8" t="str">
            <v xml:space="preserve">Callon Cactus 172 in Ward County ran a shaped cutter baker bit that was faster than our 2177. Took the 2177 and added a 6/3 factor of .030". 
</v>
          </cell>
        </row>
        <row r="9">
          <cell r="A9" t="str">
            <v xml:space="preserve">SKF-02264.BB                  </v>
          </cell>
          <cell r="B9">
            <v>2264</v>
          </cell>
          <cell r="C9" t="str">
            <v xml:space="preserve">064F-513-SR-2264; Body                            </v>
          </cell>
          <cell r="D9" t="str">
            <v xml:space="preserve">06-1/2"        </v>
          </cell>
          <cell r="E9" t="str">
            <v xml:space="preserve">                                                  </v>
          </cell>
          <cell r="F9" t="str">
            <v xml:space="preserve">                         </v>
          </cell>
          <cell r="G9" t="str">
            <v xml:space="preserve">                         </v>
          </cell>
          <cell r="H9" t="str">
            <v xml:space="preserve">                         </v>
          </cell>
          <cell r="I9">
            <v>0</v>
          </cell>
          <cell r="J9">
            <v>0</v>
          </cell>
          <cell r="K9">
            <v>0</v>
          </cell>
          <cell r="L9">
            <v>0</v>
          </cell>
          <cell r="M9">
            <v>0</v>
          </cell>
          <cell r="N9" t="str">
            <v xml:space="preserve">                                                  </v>
          </cell>
          <cell r="O9">
            <v>0</v>
          </cell>
          <cell r="P9">
            <v>0</v>
          </cell>
          <cell r="Q9" t="str">
            <v xml:space="preserve">                         </v>
          </cell>
          <cell r="R9" t="str">
            <v/>
          </cell>
        </row>
        <row r="10">
          <cell r="A10" t="str">
            <v xml:space="preserve">SKF-02263.BB                  </v>
          </cell>
          <cell r="B10">
            <v>2263</v>
          </cell>
          <cell r="C10" t="str">
            <v xml:space="preserve">054F-513-SR-2263; Body                            </v>
          </cell>
          <cell r="D10" t="str">
            <v xml:space="preserve">05-1/2"        </v>
          </cell>
          <cell r="E10" t="str">
            <v xml:space="preserve">                                                  </v>
          </cell>
          <cell r="F10" t="str">
            <v xml:space="preserve">                         </v>
          </cell>
          <cell r="G10" t="str">
            <v xml:space="preserve">                         </v>
          </cell>
          <cell r="H10" t="str">
            <v xml:space="preserve">                         </v>
          </cell>
          <cell r="I10">
            <v>0</v>
          </cell>
          <cell r="J10">
            <v>0</v>
          </cell>
          <cell r="K10">
            <v>0</v>
          </cell>
          <cell r="L10">
            <v>0</v>
          </cell>
          <cell r="M10">
            <v>0</v>
          </cell>
          <cell r="N10" t="str">
            <v xml:space="preserve">                                                  </v>
          </cell>
          <cell r="O10">
            <v>0</v>
          </cell>
          <cell r="P10">
            <v>0</v>
          </cell>
          <cell r="Q10" t="str">
            <v xml:space="preserve">                         </v>
          </cell>
          <cell r="R10" t="str">
            <v/>
          </cell>
        </row>
        <row r="11">
          <cell r="A11" t="str">
            <v xml:space="preserve">SKF-02260.BB                  </v>
          </cell>
          <cell r="B11">
            <v>2260</v>
          </cell>
          <cell r="C11" t="str">
            <v xml:space="preserve">084F-413M-XB8(BR)-2260; Body                      </v>
          </cell>
          <cell r="D11" t="str">
            <v xml:space="preserve">08-1/2"        </v>
          </cell>
          <cell r="E11" t="str">
            <v xml:space="preserve">Apache                                            </v>
          </cell>
          <cell r="F11" t="str">
            <v xml:space="preserve">                         </v>
          </cell>
          <cell r="G11" t="str">
            <v xml:space="preserve">Lateral                  </v>
          </cell>
          <cell r="H11" t="str">
            <v xml:space="preserve">Bent Motor               </v>
          </cell>
          <cell r="I11">
            <v>8605</v>
          </cell>
          <cell r="J11">
            <v>17500</v>
          </cell>
          <cell r="K11">
            <v>210</v>
          </cell>
          <cell r="L11">
            <v>150</v>
          </cell>
          <cell r="M11">
            <v>7</v>
          </cell>
          <cell r="N11" t="str">
            <v xml:space="preserve">2'@Gauge, 5.5"@0.3°                               </v>
          </cell>
          <cell r="O11">
            <v>0.14299999999999999</v>
          </cell>
          <cell r="P11">
            <v>0</v>
          </cell>
          <cell r="Q11" t="str">
            <v xml:space="preserve">Single Set               </v>
          </cell>
          <cell r="R11" t="str">
            <v xml:space="preserve">2260 is a 2243 with 13mm cutters.
</v>
          </cell>
        </row>
        <row r="12">
          <cell r="A12" t="str">
            <v xml:space="preserve">SKF-02259.BB                  </v>
          </cell>
          <cell r="B12">
            <v>2259</v>
          </cell>
          <cell r="C12" t="str">
            <v xml:space="preserve">174F-616-SR9-2259; Body                           </v>
          </cell>
          <cell r="D12" t="str">
            <v xml:space="preserve">17-1/2"        </v>
          </cell>
          <cell r="E12" t="str">
            <v xml:space="preserve">Apache,Predator,Pinnergy                          </v>
          </cell>
          <cell r="F12" t="str">
            <v xml:space="preserve">                         </v>
          </cell>
          <cell r="G12" t="str">
            <v xml:space="preserve">Vertical                 </v>
          </cell>
          <cell r="H12" t="str">
            <v xml:space="preserve">Straight Motor           </v>
          </cell>
          <cell r="I12">
            <v>0</v>
          </cell>
          <cell r="J12">
            <v>2000</v>
          </cell>
          <cell r="K12">
            <v>180</v>
          </cell>
          <cell r="L12">
            <v>250</v>
          </cell>
          <cell r="M12">
            <v>7</v>
          </cell>
          <cell r="N12" t="str">
            <v xml:space="preserve">                                                  </v>
          </cell>
          <cell r="O12">
            <v>0.27800000000000002</v>
          </cell>
          <cell r="P12">
            <v>0</v>
          </cell>
          <cell r="Q12" t="str">
            <v xml:space="preserve">Single Set               </v>
          </cell>
          <cell r="R12" t="str">
            <v>Made it a non redundant. Extremely more durable shoulder. All back up elements are 1/2" TCI knuckles.</v>
          </cell>
        </row>
        <row r="13">
          <cell r="A13" t="str">
            <v xml:space="preserve">SKF-02258.BB                  </v>
          </cell>
          <cell r="B13">
            <v>2258</v>
          </cell>
          <cell r="C13" t="str">
            <v xml:space="preserve">086F-616-SR(K)(BR)-2258; Body                     </v>
          </cell>
          <cell r="D13" t="str">
            <v xml:space="preserve">08-3/4"        </v>
          </cell>
          <cell r="E13" t="str">
            <v xml:space="preserve">Fasken                                            </v>
          </cell>
          <cell r="F13" t="str">
            <v xml:space="preserve">                         </v>
          </cell>
          <cell r="G13" t="str">
            <v xml:space="preserve">Vertical                 </v>
          </cell>
          <cell r="H13" t="str">
            <v xml:space="preserve">Bent Motor               </v>
          </cell>
          <cell r="I13">
            <v>3200</v>
          </cell>
          <cell r="J13">
            <v>8100</v>
          </cell>
          <cell r="K13">
            <v>350</v>
          </cell>
          <cell r="L13">
            <v>350</v>
          </cell>
          <cell r="M13">
            <v>4</v>
          </cell>
          <cell r="N13" t="str">
            <v xml:space="preserve">                                                  </v>
          </cell>
          <cell r="O13">
            <v>0</v>
          </cell>
          <cell r="P13">
            <v>0.03</v>
          </cell>
          <cell r="Q13" t="str">
            <v xml:space="preserve">Single Set               </v>
          </cell>
          <cell r="R13" t="str">
            <v xml:space="preserve">F6/3 with a 6/3 factor of -.030" with a 15° cone with 15° backrakes. 
</v>
          </cell>
        </row>
        <row r="14">
          <cell r="A14" t="str">
            <v xml:space="preserve">SKF-02257.BB                  </v>
          </cell>
          <cell r="B14">
            <v>2257</v>
          </cell>
          <cell r="C14" t="str">
            <v xml:space="preserve">084F-616M-XR(BR)-2257; Body                       </v>
          </cell>
          <cell r="D14" t="str">
            <v xml:space="preserve">08-1/2"        </v>
          </cell>
          <cell r="E14" t="str">
            <v xml:space="preserve">                                                  </v>
          </cell>
          <cell r="F14" t="str">
            <v xml:space="preserve">                         </v>
          </cell>
          <cell r="G14" t="str">
            <v xml:space="preserve">Lateral                  </v>
          </cell>
          <cell r="H14" t="str">
            <v xml:space="preserve">Bent Motor               </v>
          </cell>
          <cell r="I14">
            <v>0</v>
          </cell>
          <cell r="J14">
            <v>0</v>
          </cell>
          <cell r="K14">
            <v>0</v>
          </cell>
          <cell r="L14">
            <v>0</v>
          </cell>
          <cell r="M14">
            <v>4</v>
          </cell>
          <cell r="N14" t="str">
            <v xml:space="preserve">                                                  </v>
          </cell>
          <cell r="O14">
            <v>0.2</v>
          </cell>
          <cell r="P14">
            <v>0.01</v>
          </cell>
          <cell r="Q14" t="str">
            <v xml:space="preserve">Single Set               </v>
          </cell>
          <cell r="R14" t="str">
            <v>2257 is the same design as 2231, but built in house.</v>
          </cell>
        </row>
        <row r="15">
          <cell r="A15" t="str">
            <v xml:space="preserve">SKF-02256.BB                  </v>
          </cell>
          <cell r="B15">
            <v>2256</v>
          </cell>
          <cell r="C15" t="str">
            <v xml:space="preserve">146F-616-SR9(K)-2256; Body                        </v>
          </cell>
          <cell r="D15" t="str">
            <v xml:space="preserve">14-3/4"        </v>
          </cell>
          <cell r="E15" t="str">
            <v xml:space="preserve">XTO                                               </v>
          </cell>
          <cell r="F15" t="str">
            <v xml:space="preserve">                         </v>
          </cell>
          <cell r="G15" t="str">
            <v xml:space="preserve">Vertical                 </v>
          </cell>
          <cell r="H15" t="str">
            <v xml:space="preserve">Straight Motor           </v>
          </cell>
          <cell r="I15">
            <v>0</v>
          </cell>
          <cell r="J15">
            <v>0</v>
          </cell>
          <cell r="K15">
            <v>190</v>
          </cell>
          <cell r="L15">
            <v>60</v>
          </cell>
          <cell r="M15">
            <v>7</v>
          </cell>
          <cell r="N15" t="str">
            <v xml:space="preserve">Actual gage length 7.16                           </v>
          </cell>
          <cell r="O15">
            <v>0.23499999999999999</v>
          </cell>
          <cell r="P15">
            <v>0</v>
          </cell>
          <cell r="Q15" t="str">
            <v xml:space="preserve">Single Set               </v>
          </cell>
          <cell r="R15" t="str">
            <v>Jim wanted a scaled down version of the 17-1/2" 2216. Durable backrakes with knuckles in the XR position at .235" DOC. The bit should average 60 ft/hr (.66"/rev DOC). This one has the 7-5/8" API TJ connection.</v>
          </cell>
        </row>
        <row r="16">
          <cell r="A16" t="str">
            <v xml:space="preserve">SKF-02255.BB                  </v>
          </cell>
          <cell r="B16">
            <v>2255</v>
          </cell>
          <cell r="C16" t="str">
            <v xml:space="preserve">086F-616-SR+(K)(BR)-2255; Body                    </v>
          </cell>
          <cell r="D16" t="str">
            <v xml:space="preserve">08-3/4"        </v>
          </cell>
          <cell r="E16" t="str">
            <v xml:space="preserve">Fasken                                            </v>
          </cell>
          <cell r="F16" t="str">
            <v xml:space="preserve">                         </v>
          </cell>
          <cell r="G16" t="str">
            <v xml:space="preserve">Lateral                  </v>
          </cell>
          <cell r="H16" t="str">
            <v xml:space="preserve">Bent Motor               </v>
          </cell>
          <cell r="I16">
            <v>7900</v>
          </cell>
          <cell r="J16">
            <v>15000</v>
          </cell>
          <cell r="K16">
            <v>300</v>
          </cell>
          <cell r="L16">
            <v>350</v>
          </cell>
          <cell r="M16">
            <v>4</v>
          </cell>
          <cell r="N16" t="str">
            <v xml:space="preserve">1.5" @ gage, 2.5" @ 0.5°                          </v>
          </cell>
          <cell r="O16">
            <v>0.23300000000000001</v>
          </cell>
          <cell r="P16">
            <v>0</v>
          </cell>
          <cell r="Q16" t="str">
            <v xml:space="preserve">Single Set               </v>
          </cell>
          <cell r="R16" t="str">
            <v xml:space="preserve">2255 is designed as an eagle ford curve and lateral bit. Made for Fasken. Knuckles in cone are set to engage sooner than other backup elements to aid with toolface control during the curve, they are TCI so they can wear down allowing for an increase in ROP for the lateral.
</v>
          </cell>
        </row>
        <row r="17">
          <cell r="A17" t="str">
            <v xml:space="preserve">SKF-02254.BB                  </v>
          </cell>
          <cell r="B17">
            <v>2254</v>
          </cell>
          <cell r="C17" t="str">
            <v xml:space="preserve">077F-616M-XR(BR)-2254; Body                       </v>
          </cell>
          <cell r="D17" t="str">
            <v xml:space="preserve">07-7/8"        </v>
          </cell>
          <cell r="E17" t="str">
            <v xml:space="preserve">                                                  </v>
          </cell>
          <cell r="F17" t="str">
            <v xml:space="preserve">                         </v>
          </cell>
          <cell r="G17" t="str">
            <v xml:space="preserve">Lateral                  </v>
          </cell>
          <cell r="H17" t="str">
            <v xml:space="preserve">Bent Motor               </v>
          </cell>
          <cell r="I17">
            <v>0</v>
          </cell>
          <cell r="J17">
            <v>0</v>
          </cell>
          <cell r="K17">
            <v>100</v>
          </cell>
          <cell r="L17">
            <v>100</v>
          </cell>
          <cell r="M17">
            <v>4</v>
          </cell>
          <cell r="N17" t="str">
            <v xml:space="preserve">Standard                                          </v>
          </cell>
          <cell r="O17">
            <v>0.2</v>
          </cell>
          <cell r="P17">
            <v>0</v>
          </cell>
          <cell r="Q17" t="str">
            <v xml:space="preserve">Single Set               </v>
          </cell>
          <cell r="R17" t="str">
            <v xml:space="preserve">2254 cutter set is based on the 2231.
</v>
          </cell>
        </row>
        <row r="18">
          <cell r="A18" t="str">
            <v xml:space="preserve">SKF-02253.BB                  </v>
          </cell>
          <cell r="B18">
            <v>2253</v>
          </cell>
          <cell r="C18" t="str">
            <v xml:space="preserve">077F-416M-XB8(BR)-2253; Body                      </v>
          </cell>
          <cell r="D18" t="str">
            <v xml:space="preserve">07-7/8"        </v>
          </cell>
          <cell r="E18" t="str">
            <v xml:space="preserve">XTO                                               </v>
          </cell>
          <cell r="F18" t="str">
            <v xml:space="preserve">                         </v>
          </cell>
          <cell r="G18" t="str">
            <v xml:space="preserve">Lateral                  </v>
          </cell>
          <cell r="H18" t="str">
            <v xml:space="preserve">Bent Motor               </v>
          </cell>
          <cell r="I18">
            <v>8000</v>
          </cell>
          <cell r="J18">
            <v>18000</v>
          </cell>
          <cell r="K18">
            <v>210</v>
          </cell>
          <cell r="L18">
            <v>160</v>
          </cell>
          <cell r="M18">
            <v>6</v>
          </cell>
          <cell r="N18" t="str">
            <v xml:space="preserve">Standard                                          </v>
          </cell>
          <cell r="O18">
            <v>0.152</v>
          </cell>
          <cell r="P18">
            <v>0</v>
          </cell>
          <cell r="Q18" t="str">
            <v xml:space="preserve">Single Set               </v>
          </cell>
          <cell r="R18" t="str">
            <v xml:space="preserve">2253 is a matrix version of 2240. 2253 has a slightly different backrake scheme as it is designed for the lateral and not for vertical wells. It has a more aggressive cone and nose. This bit also features a "double gauge" with one "gauge" area being at 1.35° to account for rotating on the bent motor and give every blade at least 1 contact point on the hole wall. This was done to increase durability of the outer shoulder.
</v>
          </cell>
        </row>
        <row r="19">
          <cell r="A19" t="str">
            <v xml:space="preserve">SKF-02252.BB                  </v>
          </cell>
          <cell r="B19">
            <v>2252</v>
          </cell>
          <cell r="C19" t="str">
            <v xml:space="preserve">105F-616-SR(K)-2252; Body                         </v>
          </cell>
          <cell r="D19" t="str">
            <v xml:space="preserve">10-5/8"        </v>
          </cell>
          <cell r="E19" t="str">
            <v xml:space="preserve">XTO                                               </v>
          </cell>
          <cell r="F19" t="str">
            <v xml:space="preserve">Midland                  </v>
          </cell>
          <cell r="G19" t="str">
            <v xml:space="preserve">Vertical                 </v>
          </cell>
          <cell r="H19" t="str">
            <v xml:space="preserve">Bent Motor               </v>
          </cell>
          <cell r="I19">
            <v>1200</v>
          </cell>
          <cell r="J19">
            <v>5600</v>
          </cell>
          <cell r="K19">
            <v>220</v>
          </cell>
          <cell r="L19">
            <v>200</v>
          </cell>
          <cell r="M19">
            <v>5</v>
          </cell>
          <cell r="N19" t="str">
            <v xml:space="preserve">2.5"@gauge, 2.5" @ 0.5°                           </v>
          </cell>
          <cell r="O19">
            <v>0.182</v>
          </cell>
          <cell r="P19">
            <v>0.03</v>
          </cell>
          <cell r="Q19" t="str">
            <v xml:space="preserve">Single Set               </v>
          </cell>
          <cell r="R19" t="str">
            <v xml:space="preserve">2252 is for XTO on the Dark Star Unit leases. Depth in around 1,200' and depth out around 5,600'. Designed to average over 200'/hr over the whole interval. Undercut inner profile to increase JSA.
</v>
          </cell>
        </row>
        <row r="20">
          <cell r="A20" t="str">
            <v xml:space="preserve">SKF-02251.BB                  </v>
          </cell>
          <cell r="B20">
            <v>2251</v>
          </cell>
          <cell r="C20" t="str">
            <v xml:space="preserve">122F-616-XR9(K)(BR)-2251; Body                    </v>
          </cell>
          <cell r="D20" t="str">
            <v xml:space="preserve">12-1/4"        </v>
          </cell>
          <cell r="E20" t="str">
            <v xml:space="preserve">Callon                                            </v>
          </cell>
          <cell r="F20" t="str">
            <v xml:space="preserve">Midland                  </v>
          </cell>
          <cell r="G20" t="str">
            <v xml:space="preserve">Vertical                 </v>
          </cell>
          <cell r="H20" t="str">
            <v xml:space="preserve">Straight Motor           </v>
          </cell>
          <cell r="I20">
            <v>1600</v>
          </cell>
          <cell r="J20">
            <v>8400</v>
          </cell>
          <cell r="K20">
            <v>140</v>
          </cell>
          <cell r="L20">
            <v>280</v>
          </cell>
          <cell r="M20">
            <v>6</v>
          </cell>
          <cell r="N20" t="str">
            <v xml:space="preserve">Standard                                          </v>
          </cell>
          <cell r="O20">
            <v>0.4</v>
          </cell>
          <cell r="P20">
            <v>0</v>
          </cell>
          <cell r="Q20" t="str">
            <v xml:space="preserve">Single Set               </v>
          </cell>
          <cell r="R20" t="str">
            <v xml:space="preserve">Aggressive backrakes with backups (1613) flush with the same backrakes. </v>
          </cell>
        </row>
        <row r="21">
          <cell r="A21" t="str">
            <v xml:space="preserve">SKF-02250.BB                  </v>
          </cell>
          <cell r="B21">
            <v>2250</v>
          </cell>
          <cell r="C21" t="str">
            <v xml:space="preserve">077F-616-XR(K)-2250; Body                         </v>
          </cell>
          <cell r="D21" t="str">
            <v xml:space="preserve">07-7/8"        </v>
          </cell>
          <cell r="E21" t="str">
            <v xml:space="preserve">Fasken                                            </v>
          </cell>
          <cell r="F21" t="str">
            <v xml:space="preserve">                         </v>
          </cell>
          <cell r="G21" t="str">
            <v xml:space="preserve">Vertical                 </v>
          </cell>
          <cell r="H21" t="str">
            <v xml:space="preserve">Bent Motor               </v>
          </cell>
          <cell r="I21">
            <v>5000</v>
          </cell>
          <cell r="J21">
            <v>11500</v>
          </cell>
          <cell r="K21">
            <v>140</v>
          </cell>
          <cell r="L21">
            <v>150</v>
          </cell>
          <cell r="M21">
            <v>3</v>
          </cell>
          <cell r="N21" t="str">
            <v xml:space="preserve">Standard                                          </v>
          </cell>
          <cell r="O21">
            <v>0</v>
          </cell>
          <cell r="P21">
            <v>0</v>
          </cell>
          <cell r="Q21" t="str">
            <v xml:space="preserve">Single Set               </v>
          </cell>
          <cell r="R21" t="str">
            <v>2250 was designed because ulterra came out with a new design that is 20 to 30 ft/hr faster than the 416-XB8 bit. Looking at photos of the ulterra bit, engineering believes that the design uses an aggressive backrake with flush backups to help alleviate some consequences of the aggressive backrake. This design is to test this theory, by dull condition and ROP vs the offsets. Backup cutters will be 1610 DP. The shorter length cutters will allow as much junk slot area as possible while maintaining a working backup cutter. The DP will allow a backup cutter to survive as long as possible with a partial load the whole time.</v>
          </cell>
        </row>
        <row r="22">
          <cell r="A22" t="str">
            <v xml:space="preserve">SKF-02249.BB                  </v>
          </cell>
          <cell r="B22">
            <v>2249</v>
          </cell>
          <cell r="C22" t="str">
            <v xml:space="preserve">122F-519-SR7-2249; Body                           </v>
          </cell>
          <cell r="D22" t="str">
            <v xml:space="preserve">12-1/4"        </v>
          </cell>
          <cell r="E22" t="str">
            <v xml:space="preserve">OXY                                               </v>
          </cell>
          <cell r="F22" t="str">
            <v xml:space="preserve">                         </v>
          </cell>
          <cell r="G22" t="str">
            <v xml:space="preserve">Vertical                 </v>
          </cell>
          <cell r="H22" t="str">
            <v xml:space="preserve">                         </v>
          </cell>
          <cell r="I22">
            <v>0</v>
          </cell>
          <cell r="J22">
            <v>0</v>
          </cell>
          <cell r="K22">
            <v>0</v>
          </cell>
          <cell r="L22">
            <v>0</v>
          </cell>
          <cell r="M22">
            <v>3</v>
          </cell>
          <cell r="N22" t="str">
            <v xml:space="preserve">standard                                          </v>
          </cell>
          <cell r="O22">
            <v>0</v>
          </cell>
          <cell r="P22">
            <v>0</v>
          </cell>
          <cell r="Q22" t="str">
            <v xml:space="preserve">Single Set               </v>
          </cell>
          <cell r="R22" t="str">
            <v>shorter blade version of 2019.</v>
          </cell>
        </row>
        <row r="23">
          <cell r="A23" t="str">
            <v xml:space="preserve">SKF-02248.BB                  </v>
          </cell>
          <cell r="B23">
            <v>2248</v>
          </cell>
          <cell r="C23" t="str">
            <v xml:space="preserve">122F-616-SR9-2248; Body                           </v>
          </cell>
          <cell r="D23" t="str">
            <v xml:space="preserve">12-1/4"        </v>
          </cell>
          <cell r="E23" t="str">
            <v xml:space="preserve">OXY                                               </v>
          </cell>
          <cell r="F23" t="str">
            <v xml:space="preserve">Yoakum                   </v>
          </cell>
          <cell r="G23" t="str">
            <v xml:space="preserve">Vertical                 </v>
          </cell>
          <cell r="H23" t="str">
            <v xml:space="preserve">Straight Motor           </v>
          </cell>
          <cell r="I23">
            <v>50</v>
          </cell>
          <cell r="J23">
            <v>2200</v>
          </cell>
          <cell r="K23">
            <v>100</v>
          </cell>
          <cell r="L23">
            <v>400</v>
          </cell>
          <cell r="M23">
            <v>3</v>
          </cell>
          <cell r="N23" t="str">
            <v xml:space="preserve">                                                  </v>
          </cell>
          <cell r="O23">
            <v>0</v>
          </cell>
          <cell r="P23">
            <v>0</v>
          </cell>
          <cell r="Q23" t="str">
            <v xml:space="preserve">Single Set               </v>
          </cell>
          <cell r="R23" t="str">
            <v xml:space="preserve">OXY is paying $2,000 per run but the 1961 is getting damaged on the first run. Need a design that can give us more C&amp;Ps but not lose too much ROP. The 2248 is the 2177 without backup elements, shorter 3" gage, made a 6/3 by -.030" but kept the F6/3 from the 2177. Design was put on hold to try the 519-SR 2019.
</v>
          </cell>
        </row>
        <row r="24">
          <cell r="A24" t="str">
            <v xml:space="preserve">SKF-02247.BB                  </v>
          </cell>
          <cell r="B24">
            <v>2247</v>
          </cell>
          <cell r="C24" t="str">
            <v xml:space="preserve">122F-616-XB12(K)(BR)-2247; Body                   </v>
          </cell>
          <cell r="D24" t="str">
            <v xml:space="preserve">12-1/4"        </v>
          </cell>
          <cell r="E24" t="str">
            <v xml:space="preserve">Apache                                            </v>
          </cell>
          <cell r="F24" t="str">
            <v xml:space="preserve">                         </v>
          </cell>
          <cell r="G24" t="str">
            <v xml:space="preserve">Vertical                 </v>
          </cell>
          <cell r="H24" t="str">
            <v xml:space="preserve">Bent Motor               </v>
          </cell>
          <cell r="I24">
            <v>1600</v>
          </cell>
          <cell r="J24">
            <v>8600</v>
          </cell>
          <cell r="K24">
            <v>180</v>
          </cell>
          <cell r="L24">
            <v>90</v>
          </cell>
          <cell r="M24">
            <v>6</v>
          </cell>
          <cell r="N24" t="str">
            <v xml:space="preserve">2"@gage, 4" @ 0.3°                                </v>
          </cell>
          <cell r="O24">
            <v>0.35</v>
          </cell>
          <cell r="P24">
            <v>0</v>
          </cell>
          <cell r="Q24" t="str">
            <v xml:space="preserve">Single Set               </v>
          </cell>
          <cell r="R24" t="str">
            <v>2247 is a redesign of 2232. Changes are to make the bit a tad bit more aggressive. The outer shoulder is still a 9 pattern, but it is now a F9-6. And the backup cutters have moved from .1"/rev to .35"/rev. Increased the gauge to 6" for Apache.</v>
          </cell>
        </row>
        <row r="25">
          <cell r="A25" t="str">
            <v xml:space="preserve">SKF-02246.BB                  </v>
          </cell>
          <cell r="B25">
            <v>2246</v>
          </cell>
          <cell r="C25" t="str">
            <v xml:space="preserve">240F-616-SR9-2246; Body                           </v>
          </cell>
          <cell r="D25" t="str">
            <v xml:space="preserve">24"            </v>
          </cell>
          <cell r="E25" t="str">
            <v xml:space="preserve">XTO                                               </v>
          </cell>
          <cell r="F25" t="str">
            <v xml:space="preserve">                         </v>
          </cell>
          <cell r="G25" t="str">
            <v xml:space="preserve">Vertical                 </v>
          </cell>
          <cell r="H25" t="str">
            <v xml:space="preserve">Rotary                   </v>
          </cell>
          <cell r="I25">
            <v>0</v>
          </cell>
          <cell r="J25">
            <v>1000</v>
          </cell>
          <cell r="K25">
            <v>100</v>
          </cell>
          <cell r="L25">
            <v>100</v>
          </cell>
          <cell r="M25">
            <v>4</v>
          </cell>
          <cell r="N25" t="str">
            <v xml:space="preserve">Standard                                          </v>
          </cell>
          <cell r="O25">
            <v>0.2</v>
          </cell>
          <cell r="P25">
            <v>0</v>
          </cell>
          <cell r="Q25" t="str">
            <v xml:space="preserve">Single Set               </v>
          </cell>
          <cell r="R25" t="str">
            <v>First design for 24" Interval.</v>
          </cell>
        </row>
        <row r="26">
          <cell r="A26" t="str">
            <v xml:space="preserve">SKF-02245.BB                  </v>
          </cell>
          <cell r="B26">
            <v>2245</v>
          </cell>
          <cell r="C26" t="str">
            <v xml:space="preserve">122F-616-XR9(K)(BR)-2245; Body                    </v>
          </cell>
          <cell r="D26" t="str">
            <v xml:space="preserve">12-1/4"        </v>
          </cell>
          <cell r="E26" t="str">
            <v xml:space="preserve">Various                                           </v>
          </cell>
          <cell r="F26" t="str">
            <v xml:space="preserve">                         </v>
          </cell>
          <cell r="G26" t="str">
            <v xml:space="preserve">Vertical                 </v>
          </cell>
          <cell r="H26" t="str">
            <v xml:space="preserve">Bent Motor               </v>
          </cell>
          <cell r="I26">
            <v>500</v>
          </cell>
          <cell r="J26">
            <v>8000</v>
          </cell>
          <cell r="K26">
            <v>200</v>
          </cell>
          <cell r="L26">
            <v>80</v>
          </cell>
          <cell r="M26">
            <v>6</v>
          </cell>
          <cell r="N26" t="str">
            <v xml:space="preserve">                                                  </v>
          </cell>
          <cell r="O26">
            <v>0</v>
          </cell>
          <cell r="P26">
            <v>0</v>
          </cell>
          <cell r="Q26" t="str">
            <v xml:space="preserve">Single Set               </v>
          </cell>
          <cell r="R26" t="str">
            <v>Took the 2138 and added 2" to the wear pads for Apache.</v>
          </cell>
        </row>
        <row r="27">
          <cell r="A27" t="str">
            <v xml:space="preserve">SKF-02244.BB                  </v>
          </cell>
          <cell r="B27">
            <v>2244</v>
          </cell>
          <cell r="C27" t="str">
            <v xml:space="preserve">122F-616M-XR9(K)(BR)-2244; Body                   </v>
          </cell>
          <cell r="D27" t="str">
            <v xml:space="preserve">12-1/4"        </v>
          </cell>
          <cell r="E27" t="str">
            <v xml:space="preserve">                                                  </v>
          </cell>
          <cell r="F27" t="str">
            <v xml:space="preserve">                         </v>
          </cell>
          <cell r="G27" t="str">
            <v xml:space="preserve">Vertical                 </v>
          </cell>
          <cell r="H27" t="str">
            <v xml:space="preserve">Bent Motor               </v>
          </cell>
          <cell r="I27">
            <v>0</v>
          </cell>
          <cell r="J27">
            <v>0</v>
          </cell>
          <cell r="K27">
            <v>100</v>
          </cell>
          <cell r="L27">
            <v>100</v>
          </cell>
          <cell r="M27">
            <v>6</v>
          </cell>
          <cell r="N27" t="str">
            <v xml:space="preserve">2"@ gauge, 4" at 0.3°                             </v>
          </cell>
          <cell r="O27">
            <v>0.4</v>
          </cell>
          <cell r="P27">
            <v>0</v>
          </cell>
          <cell r="Q27" t="str">
            <v xml:space="preserve">Single Set               </v>
          </cell>
          <cell r="R27" t="str">
            <v xml:space="preserve">2244 is a matrix bit version of 2138 with a 6 inch gauge.
</v>
          </cell>
        </row>
        <row r="28">
          <cell r="A28" t="str">
            <v xml:space="preserve">SKF-02243.BB                  </v>
          </cell>
          <cell r="B28">
            <v>2243</v>
          </cell>
          <cell r="C28" t="str">
            <v xml:space="preserve">084F-416M-XB8(BR)-2243; Body                      </v>
          </cell>
          <cell r="D28" t="str">
            <v xml:space="preserve">08-1/2"        </v>
          </cell>
          <cell r="E28" t="str">
            <v xml:space="preserve">                                                  </v>
          </cell>
          <cell r="F28" t="str">
            <v xml:space="preserve">                         </v>
          </cell>
          <cell r="G28" t="str">
            <v xml:space="preserve">Lateral                  </v>
          </cell>
          <cell r="H28" t="str">
            <v xml:space="preserve">Bent Motor               </v>
          </cell>
          <cell r="I28">
            <v>0</v>
          </cell>
          <cell r="J28">
            <v>0</v>
          </cell>
          <cell r="K28">
            <v>180</v>
          </cell>
          <cell r="L28">
            <v>50</v>
          </cell>
          <cell r="M28">
            <v>7</v>
          </cell>
          <cell r="N28" t="str">
            <v xml:space="preserve">2'@Gauge, 5.5"@0.3°                               </v>
          </cell>
          <cell r="O28">
            <v>5.6000000000000001E-2</v>
          </cell>
          <cell r="P28">
            <v>0</v>
          </cell>
          <cell r="Q28" t="str">
            <v xml:space="preserve">Single Set               </v>
          </cell>
          <cell r="R28" t="str">
            <v xml:space="preserve">2243 is a 4 blade version of the Dragon bit. Blades like 2240, but in 8-1/2" with a different backrake layout. Has an aggressive cone and nose with a durable outter shoulder.
</v>
          </cell>
        </row>
        <row r="29">
          <cell r="A29" t="str">
            <v xml:space="preserve">SKF-02242.BB                  </v>
          </cell>
          <cell r="B29">
            <v>2242</v>
          </cell>
          <cell r="C29" t="str">
            <v xml:space="preserve">046F-611-SR-2242; Body                            </v>
          </cell>
          <cell r="D29" t="str">
            <v xml:space="preserve">04-3/4"        </v>
          </cell>
          <cell r="E29" t="str">
            <v xml:space="preserve">AVAD                                              </v>
          </cell>
          <cell r="F29" t="str">
            <v xml:space="preserve">                         </v>
          </cell>
          <cell r="G29" t="str">
            <v xml:space="preserve">Lateral                  </v>
          </cell>
          <cell r="H29" t="str">
            <v xml:space="preserve">Bent Motor               </v>
          </cell>
          <cell r="I29">
            <v>0</v>
          </cell>
          <cell r="J29">
            <v>5500</v>
          </cell>
          <cell r="K29">
            <v>140</v>
          </cell>
          <cell r="L29">
            <v>65</v>
          </cell>
          <cell r="M29">
            <v>2</v>
          </cell>
          <cell r="N29" t="str">
            <v xml:space="preserve">Standard                                          </v>
          </cell>
          <cell r="O29">
            <v>0</v>
          </cell>
          <cell r="P29">
            <v>0</v>
          </cell>
          <cell r="Q29" t="str">
            <v xml:space="preserve">Single Set               </v>
          </cell>
          <cell r="R29" t="str">
            <v/>
          </cell>
        </row>
        <row r="30">
          <cell r="A30" t="str">
            <v xml:space="preserve">SKF-02241.BB                  </v>
          </cell>
          <cell r="B30">
            <v>2241</v>
          </cell>
          <cell r="C30" t="str">
            <v xml:space="preserve">105F-616-XB9(K)(BR)-2241; Body                    </v>
          </cell>
          <cell r="D30" t="str">
            <v xml:space="preserve">10-5/8"        </v>
          </cell>
          <cell r="E30" t="str">
            <v xml:space="preserve">Colgate, XTO                                      </v>
          </cell>
          <cell r="F30" t="str">
            <v xml:space="preserve">                         </v>
          </cell>
          <cell r="G30" t="str">
            <v xml:space="preserve">Vertical                 </v>
          </cell>
          <cell r="H30" t="str">
            <v xml:space="preserve">RSS                      </v>
          </cell>
          <cell r="I30">
            <v>1500</v>
          </cell>
          <cell r="J30">
            <v>10000</v>
          </cell>
          <cell r="K30">
            <v>205</v>
          </cell>
          <cell r="L30">
            <v>90</v>
          </cell>
          <cell r="M30">
            <v>5</v>
          </cell>
          <cell r="N30" t="str">
            <v xml:space="preserve">1"@gage, 4" @ 0.5°                                </v>
          </cell>
          <cell r="O30">
            <v>8.7999999999999995E-2</v>
          </cell>
          <cell r="P30">
            <v>0</v>
          </cell>
          <cell r="Q30" t="str">
            <v xml:space="preserve">Single Set               </v>
          </cell>
          <cell r="R30" t="str">
            <v xml:space="preserve">2241 is a dragon design for Colgate and XTO. 
</v>
          </cell>
        </row>
        <row r="31">
          <cell r="A31" t="str">
            <v xml:space="preserve">SKF-02240.BB                  </v>
          </cell>
          <cell r="B31">
            <v>2240</v>
          </cell>
          <cell r="C31" t="str">
            <v xml:space="preserve">077F-416-XB8-2240; Body                           </v>
          </cell>
          <cell r="D31" t="str">
            <v xml:space="preserve">07-7/8"        </v>
          </cell>
          <cell r="E31" t="str">
            <v xml:space="preserve">Varies                                            </v>
          </cell>
          <cell r="F31" t="str">
            <v xml:space="preserve">                         </v>
          </cell>
          <cell r="G31" t="str">
            <v xml:space="preserve">Vertical                 </v>
          </cell>
          <cell r="H31" t="str">
            <v xml:space="preserve">Straight Motor           </v>
          </cell>
          <cell r="I31">
            <v>5500</v>
          </cell>
          <cell r="J31">
            <v>11500</v>
          </cell>
          <cell r="K31">
            <v>133</v>
          </cell>
          <cell r="L31">
            <v>80</v>
          </cell>
          <cell r="M31">
            <v>4</v>
          </cell>
          <cell r="N31" t="str">
            <v xml:space="preserve">1½" at gauge, 2½" .3° taper                       </v>
          </cell>
          <cell r="O31">
            <v>0.12</v>
          </cell>
          <cell r="P31">
            <v>0</v>
          </cell>
          <cell r="Q31" t="str">
            <v xml:space="preserve">Single Set               </v>
          </cell>
          <cell r="R31" t="str">
            <v xml:space="preserve">2240 is a 4-blade dragon bit. The 4-blade configuration allows more cutters in the cone than on a traditional 6 blade bit. It also is more durable on the shoulder due to two extra blades. Should be slower than 2176 and 2197. Double blades on all 4 blades </v>
          </cell>
        </row>
        <row r="32">
          <cell r="A32" t="str">
            <v xml:space="preserve">SKF-02238.BB                  </v>
          </cell>
          <cell r="B32">
            <v>2238</v>
          </cell>
          <cell r="C32" t="str">
            <v xml:space="preserve">066F-516M-XR(K)(BR)-2238; Body                    </v>
          </cell>
          <cell r="D32" t="str">
            <v xml:space="preserve">06-3/4"        </v>
          </cell>
          <cell r="E32" t="str">
            <v xml:space="preserve">Callon                                            </v>
          </cell>
          <cell r="F32" t="str">
            <v xml:space="preserve">                         </v>
          </cell>
          <cell r="G32" t="str">
            <v xml:space="preserve">Lateral                  </v>
          </cell>
          <cell r="H32" t="str">
            <v xml:space="preserve">RSS                      </v>
          </cell>
          <cell r="I32">
            <v>12000</v>
          </cell>
          <cell r="J32">
            <v>22000</v>
          </cell>
          <cell r="K32">
            <v>180</v>
          </cell>
          <cell r="L32">
            <v>50</v>
          </cell>
          <cell r="M32">
            <v>4</v>
          </cell>
          <cell r="N32" t="str">
            <v xml:space="preserve">1" full, 3" @ 0.8°                                </v>
          </cell>
          <cell r="O32">
            <v>0.16700000000000001</v>
          </cell>
          <cell r="P32">
            <v>0</v>
          </cell>
          <cell r="Q32" t="str">
            <v xml:space="preserve">Single Set               </v>
          </cell>
          <cell r="R32" t="str">
            <v>2238 is a 16mm version of 2227.</v>
          </cell>
        </row>
        <row r="33">
          <cell r="A33" t="str">
            <v xml:space="preserve">SKF-02237.BB                  </v>
          </cell>
          <cell r="B33">
            <v>2237</v>
          </cell>
          <cell r="C33" t="str">
            <v xml:space="preserve">174F-716-SR10(K)-2216; Body                       </v>
          </cell>
          <cell r="D33" t="str">
            <v xml:space="preserve">17-1/2"        </v>
          </cell>
          <cell r="E33" t="str">
            <v xml:space="preserve">Pinnergy                                          </v>
          </cell>
          <cell r="F33" t="str">
            <v xml:space="preserve">                         </v>
          </cell>
          <cell r="G33" t="str">
            <v xml:space="preserve">Vertical                 </v>
          </cell>
          <cell r="H33" t="str">
            <v xml:space="preserve">Straight Motor           </v>
          </cell>
          <cell r="I33">
            <v>0</v>
          </cell>
          <cell r="J33">
            <v>2000</v>
          </cell>
          <cell r="K33">
            <v>180</v>
          </cell>
          <cell r="L33">
            <v>250</v>
          </cell>
          <cell r="M33">
            <v>7</v>
          </cell>
          <cell r="N33" t="str">
            <v xml:space="preserve">                                                  </v>
          </cell>
          <cell r="O33">
            <v>0.27800000000000002</v>
          </cell>
          <cell r="P33">
            <v>0</v>
          </cell>
          <cell r="Q33" t="str">
            <v xml:space="preserve">Single Set               </v>
          </cell>
          <cell r="R33" t="str">
            <v>2216 cutter layout on a 7 bladed bit.</v>
          </cell>
        </row>
        <row r="34">
          <cell r="A34" t="str">
            <v xml:space="preserve">SKF-02236.BB                  </v>
          </cell>
          <cell r="B34">
            <v>2236</v>
          </cell>
          <cell r="C34" t="str">
            <v xml:space="preserve">097F-616-XB9(K)(BR)-2236; Body                    </v>
          </cell>
          <cell r="D34" t="str">
            <v xml:space="preserve">09-7/8"        </v>
          </cell>
          <cell r="E34" t="str">
            <v xml:space="preserve">Diamondback                                       </v>
          </cell>
          <cell r="F34" t="str">
            <v xml:space="preserve">                         </v>
          </cell>
          <cell r="G34" t="str">
            <v xml:space="preserve">Vertical                 </v>
          </cell>
          <cell r="H34" t="str">
            <v xml:space="preserve">Bent Motor               </v>
          </cell>
          <cell r="I34">
            <v>2300</v>
          </cell>
          <cell r="J34">
            <v>10500</v>
          </cell>
          <cell r="K34">
            <v>195</v>
          </cell>
          <cell r="L34">
            <v>98</v>
          </cell>
          <cell r="M34">
            <v>4</v>
          </cell>
          <cell r="N34" t="str">
            <v xml:space="preserve">2"@gage, 2" @ 0.3°                                </v>
          </cell>
          <cell r="O34">
            <v>0.1</v>
          </cell>
          <cell r="P34">
            <v>0</v>
          </cell>
          <cell r="Q34" t="str">
            <v xml:space="preserve">Single Set               </v>
          </cell>
          <cell r="R34" t="str">
            <v xml:space="preserve">2236 is based on 2232 (Dragon bit) scaled down. Current 9-7/8" runs for Diamondback are around 20% TD rate. We are going after making the interval first, then increasing the TD rate. </v>
          </cell>
        </row>
        <row r="35">
          <cell r="A35" t="str">
            <v xml:space="preserve">SKF-02235.BB                  </v>
          </cell>
          <cell r="B35">
            <v>2235</v>
          </cell>
          <cell r="C35" t="str">
            <v xml:space="preserve">122F-716-XR10(K)(BR)-2235; Body                   </v>
          </cell>
          <cell r="D35" t="str">
            <v xml:space="preserve">12-1/4"        </v>
          </cell>
          <cell r="E35" t="str">
            <v xml:space="preserve">Multiple                                          </v>
          </cell>
          <cell r="F35" t="str">
            <v xml:space="preserve">                         </v>
          </cell>
          <cell r="G35" t="str">
            <v xml:space="preserve">Vertical                 </v>
          </cell>
          <cell r="H35" t="str">
            <v xml:space="preserve">Bent Motor               </v>
          </cell>
          <cell r="I35">
            <v>1600</v>
          </cell>
          <cell r="J35">
            <v>8600</v>
          </cell>
          <cell r="K35">
            <v>180</v>
          </cell>
          <cell r="L35">
            <v>80</v>
          </cell>
          <cell r="M35">
            <v>6</v>
          </cell>
          <cell r="N35" t="str">
            <v xml:space="preserve">Standard                                          </v>
          </cell>
          <cell r="O35">
            <v>8.8999999999999996E-2</v>
          </cell>
          <cell r="P35">
            <v>0</v>
          </cell>
          <cell r="Q35" t="str">
            <v xml:space="preserve">Single Set               </v>
          </cell>
          <cell r="R35" t="str">
            <v xml:space="preserve">2235 is to get 12-1/4" business back. Going after 2138 on Fasken. Backups are set at 80'/hr @ 180 rpm (.089"/rev). This design uses a more traditional CapRock profile with cutter spacing that is more aggressive than a typical 7 blade bit, but with a dense cone. The backrake in the cone is set durable with an aggressive shoulder, then a durable gage. Idea is to carry the weight in the cone, not the shoulder. 
</v>
          </cell>
        </row>
        <row r="36">
          <cell r="A36" t="str">
            <v xml:space="preserve">SKF-02234.BB                  </v>
          </cell>
          <cell r="B36">
            <v>2234</v>
          </cell>
          <cell r="C36" t="str">
            <v xml:space="preserve">097F-613-XR-2234; Body                            </v>
          </cell>
          <cell r="D36" t="str">
            <v xml:space="preserve">09-7/8"        </v>
          </cell>
          <cell r="E36" t="str">
            <v xml:space="preserve">Callon                                            </v>
          </cell>
          <cell r="F36" t="str">
            <v xml:space="preserve">                         </v>
          </cell>
          <cell r="G36" t="str">
            <v xml:space="preserve">Vertical                 </v>
          </cell>
          <cell r="H36" t="str">
            <v xml:space="preserve">Bent Motor               </v>
          </cell>
          <cell r="I36">
            <v>8800</v>
          </cell>
          <cell r="J36">
            <v>9700</v>
          </cell>
          <cell r="K36">
            <v>105</v>
          </cell>
          <cell r="L36">
            <v>20</v>
          </cell>
          <cell r="M36">
            <v>3</v>
          </cell>
          <cell r="N36" t="str">
            <v xml:space="preserve">3" Straight                                       </v>
          </cell>
          <cell r="O36">
            <v>0.03</v>
          </cell>
          <cell r="P36">
            <v>0</v>
          </cell>
          <cell r="Q36" t="str">
            <v xml:space="preserve">Single Set               </v>
          </cell>
          <cell r="R36" t="str">
            <v>First shaped cutter bit. Going to be used in a chert application.</v>
          </cell>
        </row>
        <row r="37">
          <cell r="A37" t="str">
            <v xml:space="preserve">SKF-02233.BB                  </v>
          </cell>
          <cell r="B37">
            <v>2233</v>
          </cell>
          <cell r="C37" t="str">
            <v xml:space="preserve">122F-616-XR9(K)(BR)-2233; Body                    </v>
          </cell>
          <cell r="D37" t="str">
            <v xml:space="preserve">12-1/4"        </v>
          </cell>
          <cell r="E37" t="str">
            <v xml:space="preserve">Callon                                            </v>
          </cell>
          <cell r="F37" t="str">
            <v xml:space="preserve">                         </v>
          </cell>
          <cell r="G37" t="str">
            <v xml:space="preserve">Vertical                 </v>
          </cell>
          <cell r="H37" t="str">
            <v xml:space="preserve">Straight Motor           </v>
          </cell>
          <cell r="I37">
            <v>1600</v>
          </cell>
          <cell r="J37">
            <v>6800</v>
          </cell>
          <cell r="K37">
            <v>140</v>
          </cell>
          <cell r="L37">
            <v>105</v>
          </cell>
          <cell r="M37">
            <v>6</v>
          </cell>
          <cell r="N37" t="str">
            <v xml:space="preserve">2.5" @ gage &amp; 3.5" @ .3°                          </v>
          </cell>
          <cell r="O37">
            <v>0.15</v>
          </cell>
          <cell r="P37">
            <v>0</v>
          </cell>
          <cell r="Q37" t="str">
            <v xml:space="preserve">Single Set               </v>
          </cell>
          <cell r="R37" t="str">
            <v xml:space="preserve">2233 was designed to improve 2177 dull condition. Based on 2177 with a non-redundant, reverse spiral. Cutter loading chart shows large improvement over f63 design as far as even loading of the cutters. 
</v>
          </cell>
        </row>
        <row r="38">
          <cell r="A38" t="str">
            <v xml:space="preserve">SKF-02232.BB                  </v>
          </cell>
          <cell r="B38">
            <v>2232</v>
          </cell>
          <cell r="C38" t="str">
            <v xml:space="preserve">122F-616-XB12(K)(BR)-2232; Body                   </v>
          </cell>
          <cell r="D38" t="str">
            <v xml:space="preserve">12-1/4"        </v>
          </cell>
          <cell r="E38" t="str">
            <v xml:space="preserve">Fasken, H&amp;P 497                                   </v>
          </cell>
          <cell r="F38" t="str">
            <v xml:space="preserve">                         </v>
          </cell>
          <cell r="G38" t="str">
            <v xml:space="preserve">Vertical                 </v>
          </cell>
          <cell r="H38" t="str">
            <v xml:space="preserve">Bent Motor               </v>
          </cell>
          <cell r="I38">
            <v>1600</v>
          </cell>
          <cell r="J38">
            <v>8600</v>
          </cell>
          <cell r="K38">
            <v>180</v>
          </cell>
          <cell r="L38">
            <v>90</v>
          </cell>
          <cell r="M38">
            <v>5</v>
          </cell>
          <cell r="N38" t="str">
            <v xml:space="preserve">2"@gage, 3" @ 0.3°                                </v>
          </cell>
          <cell r="O38">
            <v>0.1</v>
          </cell>
          <cell r="P38">
            <v>0</v>
          </cell>
          <cell r="Q38" t="str">
            <v xml:space="preserve">Single Set               </v>
          </cell>
          <cell r="R38" t="str">
            <v xml:space="preserve">2232 is based on 2213 (Dragon bit). With two primary changes: was a single radius profile and is now elliptical, and the cutter pattern has been changed. Both aimed at increasing the durability of the design while maintaining the steerability of the last changes. </v>
          </cell>
        </row>
        <row r="39">
          <cell r="A39" t="str">
            <v xml:space="preserve">SKF-02231.BB                  </v>
          </cell>
          <cell r="B39">
            <v>2231</v>
          </cell>
          <cell r="C39" t="str">
            <v xml:space="preserve">084F-616M-XR(BR)-2231; Body                       </v>
          </cell>
          <cell r="D39" t="str">
            <v xml:space="preserve">08-1/2"        </v>
          </cell>
          <cell r="E39" t="str">
            <v xml:space="preserve">                                                  </v>
          </cell>
          <cell r="F39" t="str">
            <v xml:space="preserve">                         </v>
          </cell>
          <cell r="G39" t="str">
            <v xml:space="preserve">Lateral                  </v>
          </cell>
          <cell r="H39" t="str">
            <v xml:space="preserve">Bent Motor               </v>
          </cell>
          <cell r="I39">
            <v>0</v>
          </cell>
          <cell r="J39">
            <v>0</v>
          </cell>
          <cell r="K39">
            <v>100</v>
          </cell>
          <cell r="L39">
            <v>100</v>
          </cell>
          <cell r="M39">
            <v>4</v>
          </cell>
          <cell r="N39" t="str">
            <v xml:space="preserve">Standard                                          </v>
          </cell>
          <cell r="O39">
            <v>0.2</v>
          </cell>
          <cell r="P39">
            <v>0.01</v>
          </cell>
          <cell r="Q39" t="str">
            <v xml:space="preserve">Single Set               </v>
          </cell>
          <cell r="R39" t="str">
            <v xml:space="preserve">2231 cutter set is based on the 2183 made more aggressive. The bit is the second matrix bit. Designed for the same application as the 2184 hybrid bit.
</v>
          </cell>
        </row>
        <row r="40">
          <cell r="A40" t="str">
            <v xml:space="preserve">SKF-02230.BB                  </v>
          </cell>
          <cell r="B40">
            <v>2230</v>
          </cell>
          <cell r="C40" t="str">
            <v xml:space="preserve">146F-616-SR9(K)-2230; Body                        </v>
          </cell>
          <cell r="D40" t="str">
            <v xml:space="preserve">14-3/4"        </v>
          </cell>
          <cell r="E40" t="str">
            <v xml:space="preserve">XTO                                               </v>
          </cell>
          <cell r="F40" t="str">
            <v xml:space="preserve">                         </v>
          </cell>
          <cell r="G40" t="str">
            <v xml:space="preserve">Vertical                 </v>
          </cell>
          <cell r="H40" t="str">
            <v xml:space="preserve">Straight Motor           </v>
          </cell>
          <cell r="I40">
            <v>0</v>
          </cell>
          <cell r="J40">
            <v>0</v>
          </cell>
          <cell r="K40">
            <v>190</v>
          </cell>
          <cell r="L40">
            <v>60</v>
          </cell>
          <cell r="M40">
            <v>7</v>
          </cell>
          <cell r="N40" t="str">
            <v xml:space="preserve">Actual gage length 7.16                           </v>
          </cell>
          <cell r="O40">
            <v>0.23499999999999999</v>
          </cell>
          <cell r="P40">
            <v>0</v>
          </cell>
          <cell r="Q40" t="str">
            <v xml:space="preserve">Single Set               </v>
          </cell>
          <cell r="R40" t="str">
            <v>Jim wanted a scaled down version of the 17-1/2" 2216. Durable backrakes with knuckles in the XR position at .235" DOC. The bit should average 60 ft/hr (.66"/rev DOC).</v>
          </cell>
        </row>
        <row r="41">
          <cell r="A41" t="str">
            <v xml:space="preserve">SKF-02229.BB                  </v>
          </cell>
          <cell r="B41">
            <v>2229</v>
          </cell>
          <cell r="C41" t="str">
            <v xml:space="preserve">097F-616-XR(K)(BR)-2229; Body                     </v>
          </cell>
          <cell r="D41" t="str">
            <v xml:space="preserve">09-7/8"        </v>
          </cell>
          <cell r="E41" t="str">
            <v xml:space="preserve">UpCurve                                           </v>
          </cell>
          <cell r="F41" t="str">
            <v xml:space="preserve">Ward                     </v>
          </cell>
          <cell r="G41" t="str">
            <v xml:space="preserve">Vertical                 </v>
          </cell>
          <cell r="H41" t="str">
            <v xml:space="preserve">Bent Motor               </v>
          </cell>
          <cell r="I41">
            <v>2300</v>
          </cell>
          <cell r="J41">
            <v>9800</v>
          </cell>
          <cell r="K41">
            <v>175</v>
          </cell>
          <cell r="L41">
            <v>200</v>
          </cell>
          <cell r="M41">
            <v>4</v>
          </cell>
          <cell r="N41" t="str">
            <v xml:space="preserve">Last 1313 Back up cutter is a DP on gage          </v>
          </cell>
          <cell r="O41">
            <v>0.2</v>
          </cell>
          <cell r="P41">
            <v>0.03</v>
          </cell>
          <cell r="Q41" t="str">
            <v xml:space="preserve">Single Set               </v>
          </cell>
          <cell r="R41" t="str">
            <v xml:space="preserve">UpCurve's current bit of choice is as Baker 606 (619) and it is making it to TD. 2229 has a 6/3 factor of .030 to help increase ROP but it has an elliptical profile for added cutters for durability.
</v>
          </cell>
        </row>
        <row r="42">
          <cell r="A42" t="str">
            <v xml:space="preserve">SKF-02227.BB                  </v>
          </cell>
          <cell r="B42">
            <v>2227</v>
          </cell>
          <cell r="C42" t="str">
            <v xml:space="preserve">066F-513M-XR(K)(BR)-2227; Body                    </v>
          </cell>
          <cell r="D42" t="str">
            <v xml:space="preserve">06-3/4"        </v>
          </cell>
          <cell r="E42" t="str">
            <v xml:space="preserve">Callon                                            </v>
          </cell>
          <cell r="F42" t="str">
            <v xml:space="preserve">                         </v>
          </cell>
          <cell r="G42" t="str">
            <v xml:space="preserve">Lateral                  </v>
          </cell>
          <cell r="H42" t="str">
            <v xml:space="preserve">RSS                      </v>
          </cell>
          <cell r="I42">
            <v>12000</v>
          </cell>
          <cell r="J42">
            <v>22000</v>
          </cell>
          <cell r="K42">
            <v>180</v>
          </cell>
          <cell r="L42">
            <v>50</v>
          </cell>
          <cell r="M42">
            <v>4</v>
          </cell>
          <cell r="N42" t="str">
            <v xml:space="preserve">1" full, 3" @ 0.8°                                </v>
          </cell>
          <cell r="O42">
            <v>0.16700000000000001</v>
          </cell>
          <cell r="P42">
            <v>0</v>
          </cell>
          <cell r="Q42" t="str">
            <v xml:space="preserve">Single Set               </v>
          </cell>
          <cell r="R42" t="str">
            <v>2227 is a matrix version of 2188, but based on competitor photos of the lateral bit of choice, MMD or GT54.</v>
          </cell>
        </row>
        <row r="43">
          <cell r="A43" t="str">
            <v xml:space="preserve">SKF-02226.BB                  </v>
          </cell>
          <cell r="B43">
            <v>2226</v>
          </cell>
          <cell r="C43" t="str">
            <v xml:space="preserve">086F-616-SR-2226; Body                            </v>
          </cell>
          <cell r="D43" t="str">
            <v xml:space="preserve">08-3/4"        </v>
          </cell>
          <cell r="E43" t="str">
            <v xml:space="preserve">Henley &amp; Associates                               </v>
          </cell>
          <cell r="F43" t="str">
            <v xml:space="preserve">                         </v>
          </cell>
          <cell r="G43" t="str">
            <v xml:space="preserve">Vertical                 </v>
          </cell>
          <cell r="H43" t="str">
            <v xml:space="preserve">Straight Motor           </v>
          </cell>
          <cell r="I43">
            <v>1800</v>
          </cell>
          <cell r="J43">
            <v>5700</v>
          </cell>
          <cell r="K43">
            <v>200</v>
          </cell>
          <cell r="L43">
            <v>98</v>
          </cell>
          <cell r="M43">
            <v>6</v>
          </cell>
          <cell r="N43" t="str">
            <v xml:space="preserve">6" Full gage                                      </v>
          </cell>
          <cell r="O43">
            <v>9.8000000000000004E-2</v>
          </cell>
          <cell r="P43">
            <v>0.1</v>
          </cell>
          <cell r="Q43" t="str">
            <v xml:space="preserve">Single Set               </v>
          </cell>
          <cell r="R43" t="str">
            <v xml:space="preserve">So extend over lead over the competition we added a 6/3factor of .100" and relieved the back of the blades as well as make the gage 6" to help with deviation. 
</v>
          </cell>
        </row>
        <row r="44">
          <cell r="A44" t="str">
            <v xml:space="preserve">SKF-02225.BB                  </v>
          </cell>
          <cell r="B44">
            <v>2225</v>
          </cell>
          <cell r="C44" t="str">
            <v xml:space="preserve">061F-416-SR(K)(BR)-2225; Body                     </v>
          </cell>
          <cell r="D44" t="str">
            <v xml:space="preserve">06-1/8"        </v>
          </cell>
          <cell r="E44" t="str">
            <v xml:space="preserve">Quanah                                            </v>
          </cell>
          <cell r="F44" t="str">
            <v xml:space="preserve">                         </v>
          </cell>
          <cell r="G44" t="str">
            <v xml:space="preserve">Lateral                  </v>
          </cell>
          <cell r="H44" t="str">
            <v xml:space="preserve">Bent Motor               </v>
          </cell>
          <cell r="I44">
            <v>7015</v>
          </cell>
          <cell r="J44">
            <v>13000</v>
          </cell>
          <cell r="K44">
            <v>180</v>
          </cell>
          <cell r="L44">
            <v>200</v>
          </cell>
          <cell r="M44">
            <v>3</v>
          </cell>
          <cell r="N44" t="str">
            <v xml:space="preserve">Standard                                          </v>
          </cell>
          <cell r="O44">
            <v>0.222</v>
          </cell>
          <cell r="P44">
            <v>0</v>
          </cell>
          <cell r="Q44" t="str">
            <v xml:space="preserve">Single Set               </v>
          </cell>
          <cell r="R44" t="str">
            <v xml:space="preserve">2225 is a 4 blade version of 2190, which is for lateral wells drilled by Quanah. In at 7,015', out at 13,000'. Bent Motor. Knuckles on nose and shoulder (200'/hr @ 180rpm).
</v>
          </cell>
        </row>
        <row r="45">
          <cell r="A45" t="str">
            <v xml:space="preserve">SKF-02224.BB                  </v>
          </cell>
          <cell r="B45">
            <v>2224</v>
          </cell>
          <cell r="C45" t="str">
            <v xml:space="preserve">160F-616-SR9(K)-2224; Body                        </v>
          </cell>
          <cell r="D45" t="str">
            <v xml:space="preserve">16"            </v>
          </cell>
          <cell r="E45" t="str">
            <v xml:space="preserve">Integrity, Diamondback                            </v>
          </cell>
          <cell r="F45" t="str">
            <v xml:space="preserve">                         </v>
          </cell>
          <cell r="G45" t="str">
            <v xml:space="preserve">Vertical                 </v>
          </cell>
          <cell r="H45" t="str">
            <v xml:space="preserve">Straight Motor           </v>
          </cell>
          <cell r="I45">
            <v>80</v>
          </cell>
          <cell r="J45">
            <v>2500</v>
          </cell>
          <cell r="K45">
            <v>100</v>
          </cell>
          <cell r="L45">
            <v>300</v>
          </cell>
          <cell r="M45">
            <v>6</v>
          </cell>
          <cell r="N45" t="str">
            <v xml:space="preserve">                                                  </v>
          </cell>
          <cell r="O45">
            <v>0.8</v>
          </cell>
          <cell r="P45">
            <v>0</v>
          </cell>
          <cell r="Q45" t="str">
            <v xml:space="preserve">Single Set               </v>
          </cell>
          <cell r="R45" t="str">
            <v>Scaled down version of the 2194 but slightly more durable. The knuckles are set at .8 DOC (500rop @ 125 RPM)</v>
          </cell>
        </row>
        <row r="46">
          <cell r="A46" t="str">
            <v xml:space="preserve">SKF-02223.BB                  </v>
          </cell>
          <cell r="B46">
            <v>2223</v>
          </cell>
          <cell r="C46" t="str">
            <v xml:space="preserve">084F-613-SR+(K)(BR)-2223; Body                    </v>
          </cell>
          <cell r="D46" t="str">
            <v xml:space="preserve">08-1/2"        </v>
          </cell>
          <cell r="E46" t="str">
            <v xml:space="preserve">Multiple                                          </v>
          </cell>
          <cell r="F46" t="str">
            <v xml:space="preserve">                         </v>
          </cell>
          <cell r="G46" t="str">
            <v xml:space="preserve">Curve                    </v>
          </cell>
          <cell r="H46" t="str">
            <v xml:space="preserve">Bent Motor               </v>
          </cell>
          <cell r="I46">
            <v>7500</v>
          </cell>
          <cell r="J46">
            <v>10000</v>
          </cell>
          <cell r="K46">
            <v>154</v>
          </cell>
          <cell r="L46">
            <v>74</v>
          </cell>
          <cell r="M46">
            <v>2</v>
          </cell>
          <cell r="N46" t="str">
            <v xml:space="preserve">                                                  </v>
          </cell>
          <cell r="O46">
            <v>7.4999999999999997E-2</v>
          </cell>
          <cell r="P46">
            <v>0</v>
          </cell>
          <cell r="Q46" t="str">
            <v xml:space="preserve">Single Set               </v>
          </cell>
          <cell r="R46" t="str">
            <v xml:space="preserve">2223 is a scaled down version of 2195
</v>
          </cell>
        </row>
        <row r="47">
          <cell r="A47" t="str">
            <v xml:space="preserve">SKF-02221.BB                  </v>
          </cell>
          <cell r="B47">
            <v>2221</v>
          </cell>
          <cell r="C47" t="str">
            <v xml:space="preserve">084F-616-XR(BR)-2221; Body                        </v>
          </cell>
          <cell r="D47" t="str">
            <v xml:space="preserve">08-1/2"        </v>
          </cell>
          <cell r="E47" t="str">
            <v xml:space="preserve">                                                  </v>
          </cell>
          <cell r="F47" t="str">
            <v xml:space="preserve">                         </v>
          </cell>
          <cell r="G47" t="str">
            <v xml:space="preserve">Lateral                  </v>
          </cell>
          <cell r="H47" t="str">
            <v xml:space="preserve">Bent Motor               </v>
          </cell>
          <cell r="I47">
            <v>0</v>
          </cell>
          <cell r="J47">
            <v>0</v>
          </cell>
          <cell r="K47">
            <v>0</v>
          </cell>
          <cell r="L47">
            <v>0</v>
          </cell>
          <cell r="M47">
            <v>4</v>
          </cell>
          <cell r="N47" t="str">
            <v xml:space="preserve">Matrix Insert with TSP                            </v>
          </cell>
          <cell r="O47">
            <v>0</v>
          </cell>
          <cell r="P47">
            <v>0</v>
          </cell>
          <cell r="Q47" t="str">
            <v xml:space="preserve">Single Set               </v>
          </cell>
          <cell r="R47" t="str">
            <v xml:space="preserve">Cutting set of 2184 with new matrix wear pad design. 3 matrix wp inserts per blade.
</v>
          </cell>
        </row>
        <row r="48">
          <cell r="A48" t="str">
            <v xml:space="preserve">SKF-02220.BB                  </v>
          </cell>
          <cell r="B48">
            <v>2220</v>
          </cell>
          <cell r="C48" t="str">
            <v xml:space="preserve">086F-716-XR(K)-2220; Body                         </v>
          </cell>
          <cell r="D48" t="str">
            <v xml:space="preserve">08-3/4"        </v>
          </cell>
          <cell r="E48" t="str">
            <v xml:space="preserve">EOG                                               </v>
          </cell>
          <cell r="F48" t="str">
            <v xml:space="preserve">Lea                      </v>
          </cell>
          <cell r="G48" t="str">
            <v xml:space="preserve">Vertical                 </v>
          </cell>
          <cell r="H48" t="str">
            <v xml:space="preserve">Bent Motor               </v>
          </cell>
          <cell r="I48">
            <v>1100</v>
          </cell>
          <cell r="J48">
            <v>9600</v>
          </cell>
          <cell r="K48">
            <v>180</v>
          </cell>
          <cell r="L48">
            <v>185</v>
          </cell>
          <cell r="M48">
            <v>3</v>
          </cell>
          <cell r="N48" t="str">
            <v xml:space="preserve">Standard                                          </v>
          </cell>
          <cell r="O48">
            <v>0.2</v>
          </cell>
          <cell r="P48">
            <v>0</v>
          </cell>
          <cell r="Q48" t="str">
            <v xml:space="preserve">Single Set               </v>
          </cell>
          <cell r="R48" t="str">
            <v>2220 was designed for EOG, Lea county, NM. Customer wants 7 blade 8-3/4 bit for two bit interval down to 9,600'. Vertical well, planned pull point around 6,000'. Target is 180'/hr over all, with 180rpm. There is no offset data that goes this deep with a 8-3/4 bit. This first design will be a data point to let us know which direction to go from here.</v>
          </cell>
        </row>
        <row r="49">
          <cell r="A49" t="str">
            <v xml:space="preserve">SKF-02219.BB                  </v>
          </cell>
          <cell r="B49">
            <v>2219</v>
          </cell>
          <cell r="C49" t="str">
            <v xml:space="preserve">174F-716-SR10-2219; Body                          </v>
          </cell>
          <cell r="D49" t="str">
            <v xml:space="preserve">17-1/2"        </v>
          </cell>
          <cell r="E49" t="str">
            <v xml:space="preserve">Pinnergy                                          </v>
          </cell>
          <cell r="F49" t="str">
            <v xml:space="preserve">                         </v>
          </cell>
          <cell r="G49" t="str">
            <v xml:space="preserve">Vertical                 </v>
          </cell>
          <cell r="H49" t="str">
            <v xml:space="preserve">Bent Motor               </v>
          </cell>
          <cell r="I49">
            <v>130</v>
          </cell>
          <cell r="J49">
            <v>1000</v>
          </cell>
          <cell r="K49">
            <v>180</v>
          </cell>
          <cell r="L49">
            <v>0</v>
          </cell>
          <cell r="M49">
            <v>3</v>
          </cell>
          <cell r="N49" t="str">
            <v xml:space="preserve">Its actually 3.5"                                 </v>
          </cell>
          <cell r="O49">
            <v>0</v>
          </cell>
          <cell r="P49">
            <v>0</v>
          </cell>
          <cell r="Q49" t="str">
            <v xml:space="preserve">                         </v>
          </cell>
          <cell r="R49" t="str">
            <v>Pinnergy has been running a NOV TK76 (716) and are getting 3-5 runs before repair. This design is to get consistent 5 invoices before needing a repair. Pinnergy also specifically asked for a 7 bladed bit. ROP is not the goal, C&amp;Ps are.</v>
          </cell>
        </row>
        <row r="50">
          <cell r="A50" t="str">
            <v xml:space="preserve">SKF-02218.BB                  </v>
          </cell>
          <cell r="B50">
            <v>2218</v>
          </cell>
          <cell r="C50" t="str">
            <v xml:space="preserve">122F-716-XR10(K)(BR)-2218; Body                   </v>
          </cell>
          <cell r="D50" t="str">
            <v xml:space="preserve">12-1/4"        </v>
          </cell>
          <cell r="E50" t="str">
            <v xml:space="preserve">XTO                                               </v>
          </cell>
          <cell r="F50" t="str">
            <v xml:space="preserve">                         </v>
          </cell>
          <cell r="G50" t="str">
            <v xml:space="preserve">Vertical                 </v>
          </cell>
          <cell r="H50" t="str">
            <v xml:space="preserve">Bent Motor               </v>
          </cell>
          <cell r="I50">
            <v>1100</v>
          </cell>
          <cell r="J50">
            <v>6800</v>
          </cell>
          <cell r="K50">
            <v>180</v>
          </cell>
          <cell r="L50">
            <v>50</v>
          </cell>
          <cell r="M50">
            <v>6</v>
          </cell>
          <cell r="N50" t="str">
            <v xml:space="preserve">Standard                                          </v>
          </cell>
          <cell r="O50">
            <v>0.222</v>
          </cell>
          <cell r="P50">
            <v>0</v>
          </cell>
          <cell r="Q50" t="str">
            <v xml:space="preserve">Single Set               </v>
          </cell>
          <cell r="R50" t="str">
            <v xml:space="preserve">2218 is the second version of 2210. Main difference is the profile on the shoulder has more cutter exposure. 2218 is for Callon, Howard county; 1,100' to 6,800', vertical on motor (.16 rev/gal). Backups are set at 200'/hr @ 180 rpm (.222"/rev). Target is 120'/hr overall and to TD in one bit.
</v>
          </cell>
        </row>
        <row r="51">
          <cell r="A51" t="str">
            <v xml:space="preserve">SKF-02217.BB                  </v>
          </cell>
          <cell r="B51">
            <v>2217</v>
          </cell>
          <cell r="C51" t="str">
            <v xml:space="preserve">122F-716-XR10(K)(BR)-2217; Body                   </v>
          </cell>
          <cell r="D51" t="str">
            <v xml:space="preserve">12-1/4"        </v>
          </cell>
          <cell r="E51" t="str">
            <v xml:space="preserve">Multiple                                          </v>
          </cell>
          <cell r="F51" t="str">
            <v xml:space="preserve">                         </v>
          </cell>
          <cell r="G51" t="str">
            <v xml:space="preserve">Vertical                 </v>
          </cell>
          <cell r="H51" t="str">
            <v xml:space="preserve">Bent Motor               </v>
          </cell>
          <cell r="I51">
            <v>1600</v>
          </cell>
          <cell r="J51">
            <v>8600</v>
          </cell>
          <cell r="K51">
            <v>180</v>
          </cell>
          <cell r="L51">
            <v>100</v>
          </cell>
          <cell r="M51">
            <v>6</v>
          </cell>
          <cell r="N51" t="str">
            <v xml:space="preserve">Standard                                          </v>
          </cell>
          <cell r="O51">
            <v>0.3</v>
          </cell>
          <cell r="P51">
            <v>0</v>
          </cell>
          <cell r="Q51" t="str">
            <v xml:space="preserve">Single Set               </v>
          </cell>
          <cell r="R51" t="str">
            <v xml:space="preserve">2217 is the 7 blade version of the 2138. The elliptical profile has been replaced with a single radius profile. Backups are set at 270'/hr @ 180 rpm (.3"/rev). Target is 100'/hr overall.
</v>
          </cell>
        </row>
        <row r="52">
          <cell r="A52" t="str">
            <v xml:space="preserve">SKF-02216.BB                  </v>
          </cell>
          <cell r="B52">
            <v>2216</v>
          </cell>
          <cell r="C52" t="str">
            <v xml:space="preserve">174F-616-SR9(K)-2216; Body                        </v>
          </cell>
          <cell r="D52" t="str">
            <v xml:space="preserve">17-1/2"        </v>
          </cell>
          <cell r="E52" t="str">
            <v xml:space="preserve">Apache,Predator,Pinnergy                          </v>
          </cell>
          <cell r="F52" t="str">
            <v xml:space="preserve">                         </v>
          </cell>
          <cell r="G52" t="str">
            <v xml:space="preserve">Vertical                 </v>
          </cell>
          <cell r="H52" t="str">
            <v xml:space="preserve">Straight Motor           </v>
          </cell>
          <cell r="I52">
            <v>0</v>
          </cell>
          <cell r="J52">
            <v>2000</v>
          </cell>
          <cell r="K52">
            <v>180</v>
          </cell>
          <cell r="L52">
            <v>250</v>
          </cell>
          <cell r="M52">
            <v>7</v>
          </cell>
          <cell r="N52" t="str">
            <v xml:space="preserve">                                                  </v>
          </cell>
          <cell r="O52">
            <v>0.27800000000000002</v>
          </cell>
          <cell r="P52">
            <v>0</v>
          </cell>
          <cell r="Q52" t="str">
            <v xml:space="preserve">Single Set               </v>
          </cell>
          <cell r="R52" t="str">
            <v>Made it a non redundant. Extremely more durable shoulder. All back up elements are 1/2" TCI knuckles.</v>
          </cell>
        </row>
        <row r="53">
          <cell r="A53" t="str">
            <v xml:space="preserve">SKF-02215.BB                  </v>
          </cell>
          <cell r="B53">
            <v>2215</v>
          </cell>
          <cell r="C53" t="str">
            <v xml:space="preserve">084F-616-SR(K)(BR)-2215; Body                     </v>
          </cell>
          <cell r="D53" t="str">
            <v xml:space="preserve">08-1/2"        </v>
          </cell>
          <cell r="E53" t="str">
            <v xml:space="preserve">Fasken                                            </v>
          </cell>
          <cell r="F53" t="str">
            <v xml:space="preserve">Midland                  </v>
          </cell>
          <cell r="G53" t="str">
            <v xml:space="preserve">Curve                    </v>
          </cell>
          <cell r="H53" t="str">
            <v xml:space="preserve">Bent Motor               </v>
          </cell>
          <cell r="I53">
            <v>7500</v>
          </cell>
          <cell r="J53">
            <v>10000</v>
          </cell>
          <cell r="K53">
            <v>154</v>
          </cell>
          <cell r="L53">
            <v>50</v>
          </cell>
          <cell r="M53">
            <v>3</v>
          </cell>
          <cell r="N53" t="str">
            <v xml:space="preserve">1" Straight, 2" @ 0.5°                            </v>
          </cell>
          <cell r="O53">
            <v>2.5000000000000001E-2</v>
          </cell>
          <cell r="P53">
            <v>0</v>
          </cell>
          <cell r="Q53" t="str">
            <v xml:space="preserve">Single Set               </v>
          </cell>
          <cell r="R53" t="str">
            <v xml:space="preserve">2198 was designed for Fasken. 8-1/2" Based on the 2198(8-3/4" curve for callon 10 mi away). More durable backrake in cone to aid in tool face control.
</v>
          </cell>
        </row>
        <row r="54">
          <cell r="A54" t="str">
            <v xml:space="preserve">SKF-02214.BB                  </v>
          </cell>
          <cell r="B54">
            <v>2214</v>
          </cell>
          <cell r="C54" t="str">
            <v xml:space="preserve">174F-616-SR+9(K)-2214; Body                       </v>
          </cell>
          <cell r="D54" t="str">
            <v xml:space="preserve">17-1/2"        </v>
          </cell>
          <cell r="E54" t="str">
            <v xml:space="preserve">Apache,Predator,Pinnergy                          </v>
          </cell>
          <cell r="F54" t="str">
            <v xml:space="preserve">                         </v>
          </cell>
          <cell r="G54" t="str">
            <v xml:space="preserve">Vertical                 </v>
          </cell>
          <cell r="H54" t="str">
            <v xml:space="preserve">Straight Motor           </v>
          </cell>
          <cell r="I54">
            <v>0</v>
          </cell>
          <cell r="J54">
            <v>2000</v>
          </cell>
          <cell r="K54">
            <v>180</v>
          </cell>
          <cell r="L54">
            <v>350</v>
          </cell>
          <cell r="M54">
            <v>7</v>
          </cell>
          <cell r="N54" t="str">
            <v xml:space="preserve">                                                  </v>
          </cell>
          <cell r="O54">
            <v>0.38900000000000001</v>
          </cell>
          <cell r="P54">
            <v>0</v>
          </cell>
          <cell r="Q54" t="str">
            <v xml:space="preserve">Single Set               </v>
          </cell>
          <cell r="R54" t="str">
            <v xml:space="preserve">Made it a non redundant. Slightly more durable shoulder. </v>
          </cell>
        </row>
        <row r="55">
          <cell r="A55" t="str">
            <v xml:space="preserve">SKF-02213.BB                  </v>
          </cell>
          <cell r="B55">
            <v>2213</v>
          </cell>
          <cell r="C55" t="str">
            <v xml:space="preserve">122F-616-XB12(K)(BR)-2213; Body                   </v>
          </cell>
          <cell r="D55" t="str">
            <v xml:space="preserve">12-1/4"        </v>
          </cell>
          <cell r="E55" t="str">
            <v xml:space="preserve">Fasken, H&amp;P 497                                   </v>
          </cell>
          <cell r="F55" t="str">
            <v xml:space="preserve">                         </v>
          </cell>
          <cell r="G55" t="str">
            <v xml:space="preserve">Vertical                 </v>
          </cell>
          <cell r="H55" t="str">
            <v xml:space="preserve">Bent Motor               </v>
          </cell>
          <cell r="I55">
            <v>1600</v>
          </cell>
          <cell r="J55">
            <v>8600</v>
          </cell>
          <cell r="K55">
            <v>180</v>
          </cell>
          <cell r="L55">
            <v>110</v>
          </cell>
          <cell r="M55">
            <v>6</v>
          </cell>
          <cell r="N55" t="str">
            <v xml:space="preserve">2"@gage, 4" @ 0.3°                                </v>
          </cell>
          <cell r="O55">
            <v>0.33300000000000002</v>
          </cell>
          <cell r="P55">
            <v>0</v>
          </cell>
          <cell r="Q55" t="str">
            <v xml:space="preserve">Single Set               </v>
          </cell>
          <cell r="R55" t="str">
            <v>2213 is based on 2206 with a few changes. 1- the profile was changed to give more exposure on the shoulder. 2- backrakes were changed on the shoulder. 3- Backup cutter had radial offset removed. Along with the tapered gauge, changes are aimed at making the bit a little bit more steerable.
(2206 Uses the backrake scheme like the 2177. Normal profile (non-ellipse). Going after the 2138 interval with the intent to increase the TD rate on Fasken H&amp;P 497. We currently are tripped 500 to 1000 ft before TD. Amanda Ohm's Idea: Place the backup cutters on their own partial blade (Double Blade) that extends from the primary blades, with its own junk slot. (3 Primary blades only, secondaries are normal.) Gage = 2"@gage, 4" @ 0.3° )</v>
          </cell>
        </row>
        <row r="56">
          <cell r="A56" t="str">
            <v xml:space="preserve">SKF-02212.BB                  </v>
          </cell>
          <cell r="B56">
            <v>2212</v>
          </cell>
          <cell r="C56" t="str">
            <v xml:space="preserve">122F-616-SR9-2212; Body                           </v>
          </cell>
          <cell r="D56" t="str">
            <v xml:space="preserve">12-1/4"        </v>
          </cell>
          <cell r="E56" t="str">
            <v xml:space="preserve">Apache                                            </v>
          </cell>
          <cell r="F56" t="str">
            <v xml:space="preserve">                         </v>
          </cell>
          <cell r="G56" t="str">
            <v xml:space="preserve">Vertical                 </v>
          </cell>
          <cell r="H56" t="str">
            <v xml:space="preserve">Bent Motor               </v>
          </cell>
          <cell r="I56">
            <v>120</v>
          </cell>
          <cell r="J56">
            <v>3800</v>
          </cell>
          <cell r="K56">
            <v>165</v>
          </cell>
          <cell r="L56">
            <v>90</v>
          </cell>
          <cell r="M56">
            <v>8</v>
          </cell>
          <cell r="N56" t="str">
            <v xml:space="preserve">3"@gauge, 5"@0.5°                                 </v>
          </cell>
          <cell r="O56">
            <v>0.109</v>
          </cell>
          <cell r="P56">
            <v>0</v>
          </cell>
          <cell r="Q56" t="str">
            <v xml:space="preserve">Single Set               </v>
          </cell>
          <cell r="R56" t="str">
            <v xml:space="preserve">2212 is for Apache, Delaware Basin; 120' to 3,800', vertical on motor (.16 rev/gal). Target is 90'/hr overall and to TD in one bit. Need 8" tapered gauge design. 
</v>
          </cell>
        </row>
        <row r="57">
          <cell r="A57" t="str">
            <v xml:space="preserve">SKF-02210.BB                  </v>
          </cell>
          <cell r="B57">
            <v>2210</v>
          </cell>
          <cell r="C57" t="str">
            <v xml:space="preserve">122F-716-XR10(K)(BR)-2210; Body                   </v>
          </cell>
          <cell r="D57" t="str">
            <v xml:space="preserve">12-1/4"        </v>
          </cell>
          <cell r="E57" t="str">
            <v xml:space="preserve">XTO                                               </v>
          </cell>
          <cell r="F57" t="str">
            <v xml:space="preserve">                         </v>
          </cell>
          <cell r="G57" t="str">
            <v xml:space="preserve">Vertical                 </v>
          </cell>
          <cell r="H57" t="str">
            <v xml:space="preserve">Bent Motor               </v>
          </cell>
          <cell r="I57">
            <v>1100</v>
          </cell>
          <cell r="J57">
            <v>6800</v>
          </cell>
          <cell r="K57">
            <v>180</v>
          </cell>
          <cell r="L57">
            <v>50</v>
          </cell>
          <cell r="M57">
            <v>6</v>
          </cell>
          <cell r="N57" t="str">
            <v xml:space="preserve">Standard                                          </v>
          </cell>
          <cell r="O57">
            <v>0.222</v>
          </cell>
          <cell r="P57">
            <v>0</v>
          </cell>
          <cell r="Q57" t="str">
            <v xml:space="preserve">Single Set               </v>
          </cell>
          <cell r="R57" t="str">
            <v xml:space="preserve">2210 is for Callon, Howard county; 1,100' to 6,800', vertical on motor (.16 rev/gal). Backups are set at 200'/hr @ 180 rpm (.222"/rev). Target is 120'/hr overall and to TD in one bit.
</v>
          </cell>
        </row>
        <row r="58">
          <cell r="A58" t="str">
            <v xml:space="preserve">SKF-02209.BB                  </v>
          </cell>
          <cell r="B58">
            <v>2209</v>
          </cell>
          <cell r="C58" t="str">
            <v xml:space="preserve">122F-716-XR10(K)(BR)-2209; Body                   </v>
          </cell>
          <cell r="D58" t="str">
            <v xml:space="preserve">12-1/4"        </v>
          </cell>
          <cell r="E58" t="str">
            <v xml:space="preserve">XTO                                               </v>
          </cell>
          <cell r="F58" t="str">
            <v xml:space="preserve">                         </v>
          </cell>
          <cell r="G58" t="str">
            <v xml:space="preserve">Vertical                 </v>
          </cell>
          <cell r="H58" t="str">
            <v xml:space="preserve">Bent Motor               </v>
          </cell>
          <cell r="I58">
            <v>1600</v>
          </cell>
          <cell r="J58">
            <v>7500</v>
          </cell>
          <cell r="K58">
            <v>180</v>
          </cell>
          <cell r="L58">
            <v>300</v>
          </cell>
          <cell r="M58">
            <v>6</v>
          </cell>
          <cell r="N58" t="str">
            <v xml:space="preserve">Standard                                          </v>
          </cell>
          <cell r="O58">
            <v>0.4</v>
          </cell>
          <cell r="P58">
            <v>0</v>
          </cell>
          <cell r="Q58" t="str">
            <v xml:space="preserve">Single Set               </v>
          </cell>
          <cell r="R58" t="str">
            <v>2209 is a aggressive 716, intended to be the drill out intermediate bit.Eddy and Lea counties, with XTO. 1,600' to 7,500', vertical on motor (.16 rev/gal). Backups are set at 300'/hr @ 180 rpm (.4"/rev). Target is to be between 100'/hr and 300'/hr.</v>
          </cell>
        </row>
        <row r="59">
          <cell r="A59" t="str">
            <v xml:space="preserve">SKF-02208.BB                  </v>
          </cell>
          <cell r="B59">
            <v>2208</v>
          </cell>
          <cell r="C59" t="str">
            <v xml:space="preserve">122F-716-XR10(K)(BR)-2208; Body                   </v>
          </cell>
          <cell r="D59" t="str">
            <v xml:space="preserve">12-1/4"        </v>
          </cell>
          <cell r="E59" t="str">
            <v xml:space="preserve">XTO                                               </v>
          </cell>
          <cell r="F59" t="str">
            <v xml:space="preserve">                         </v>
          </cell>
          <cell r="G59" t="str">
            <v xml:space="preserve">Vertical                 </v>
          </cell>
          <cell r="H59" t="str">
            <v xml:space="preserve">Bent Motor               </v>
          </cell>
          <cell r="I59">
            <v>7500</v>
          </cell>
          <cell r="J59">
            <v>10500</v>
          </cell>
          <cell r="K59">
            <v>180</v>
          </cell>
          <cell r="L59">
            <v>50</v>
          </cell>
          <cell r="M59">
            <v>6</v>
          </cell>
          <cell r="N59" t="str">
            <v xml:space="preserve">Standard                                          </v>
          </cell>
          <cell r="O59">
            <v>5.6000000000000001E-2</v>
          </cell>
          <cell r="P59">
            <v>0</v>
          </cell>
          <cell r="Q59" t="str">
            <v xml:space="preserve">Single Set               </v>
          </cell>
          <cell r="R59" t="str">
            <v>2208 is a durable 716, intended to be the second intermediate bit, following 2209.Eddy and Lea counties, with XTO. 7,500' to 10,500', vertical on motor (.16 rev/gal). Backups are set at 50'/hr @ 180 rpm (.056"/rev). Target is to be between 50'/hr and 100'/hr.</v>
          </cell>
        </row>
        <row r="60">
          <cell r="A60" t="str">
            <v xml:space="preserve">SKF-02207.BB                  </v>
          </cell>
          <cell r="B60">
            <v>2207</v>
          </cell>
          <cell r="C60" t="str">
            <v xml:space="preserve">077F-716-SR+(K)-2207; Body                        </v>
          </cell>
          <cell r="D60" t="str">
            <v xml:space="preserve">07-7/8"        </v>
          </cell>
          <cell r="E60" t="str">
            <v xml:space="preserve">Blackbeard                                        </v>
          </cell>
          <cell r="F60" t="str">
            <v xml:space="preserve">Winkler                  </v>
          </cell>
          <cell r="G60" t="str">
            <v xml:space="preserve">Vertical                 </v>
          </cell>
          <cell r="H60" t="str">
            <v xml:space="preserve">Bent Motor               </v>
          </cell>
          <cell r="I60">
            <v>600</v>
          </cell>
          <cell r="J60">
            <v>6200</v>
          </cell>
          <cell r="K60">
            <v>165</v>
          </cell>
          <cell r="L60">
            <v>100</v>
          </cell>
          <cell r="M60">
            <v>4</v>
          </cell>
          <cell r="N60" t="str">
            <v xml:space="preserve">                                                  </v>
          </cell>
          <cell r="O60">
            <v>0.3</v>
          </cell>
          <cell r="P60">
            <v>0</v>
          </cell>
          <cell r="Q60" t="str">
            <v xml:space="preserve">Single Set               </v>
          </cell>
          <cell r="R60" t="str">
            <v xml:space="preserve">15° cone angle
4" gauge - Straight
Gage cutters and trimmers with exposure
1/2" dome behind gauge/outer shoulder cutters
15° backrake in cone, starting gradual increase at 75% to gauge, up to 30° at trimmers
16mm DP cutters from nose to last unground outer shoulder cutter
Back ups and knuckles are set to .4"/rev
</v>
          </cell>
        </row>
        <row r="61">
          <cell r="A61" t="str">
            <v xml:space="preserve">SKF-02206.BB                  </v>
          </cell>
          <cell r="B61">
            <v>2206</v>
          </cell>
          <cell r="C61" t="str">
            <v xml:space="preserve">122F-616-XB12(K)(BR)-2206; Body                   </v>
          </cell>
          <cell r="D61" t="str">
            <v xml:space="preserve">12-1/4"        </v>
          </cell>
          <cell r="E61" t="str">
            <v xml:space="preserve">Fasken, H&amp;P 497                                   </v>
          </cell>
          <cell r="F61" t="str">
            <v xml:space="preserve">                         </v>
          </cell>
          <cell r="G61" t="str">
            <v xml:space="preserve">Vertical                 </v>
          </cell>
          <cell r="H61" t="str">
            <v xml:space="preserve">Bent Motor               </v>
          </cell>
          <cell r="I61">
            <v>1600</v>
          </cell>
          <cell r="J61">
            <v>8600</v>
          </cell>
          <cell r="K61">
            <v>180</v>
          </cell>
          <cell r="L61">
            <v>110</v>
          </cell>
          <cell r="M61">
            <v>6</v>
          </cell>
          <cell r="N61" t="str">
            <v xml:space="preserve">2"@gage, 4" @ 0.3°                                </v>
          </cell>
          <cell r="O61">
            <v>0.33300000000000002</v>
          </cell>
          <cell r="P61">
            <v>0</v>
          </cell>
          <cell r="Q61" t="str">
            <v xml:space="preserve">Single Set               </v>
          </cell>
          <cell r="R61" t="str">
            <v xml:space="preserve">2206 Uses the backrake scheme like the 2177. Normal profile (non-ellipse). Going after the 2138 interval with the intent to increase the TD rate on Fasken H&amp;P 497. We currently are tripped 500 to 1000 ft before TD. Amanda Ohm's Idea: Place the backup cutters on their own partial blade (Double Blade) that extends from the primary blades, with its own junk slot. (3 Primary blades only, secondaries are normal.) Gage = 2"@gage, 4" @ 0.3°      </v>
          </cell>
        </row>
        <row r="62">
          <cell r="A62" t="str">
            <v xml:space="preserve">SKF-02205.BB                  </v>
          </cell>
          <cell r="B62">
            <v>2205</v>
          </cell>
          <cell r="C62" t="str">
            <v xml:space="preserve">174F-616-SR+9(K)-2205; Body                       </v>
          </cell>
          <cell r="D62" t="str">
            <v xml:space="preserve">17-1/2"        </v>
          </cell>
          <cell r="E62" t="str">
            <v xml:space="preserve">Apache,Predator,Pinnergy                          </v>
          </cell>
          <cell r="F62" t="str">
            <v xml:space="preserve">                         </v>
          </cell>
          <cell r="G62" t="str">
            <v xml:space="preserve">Vertical                 </v>
          </cell>
          <cell r="H62" t="str">
            <v xml:space="preserve">Straight Motor           </v>
          </cell>
          <cell r="I62">
            <v>0</v>
          </cell>
          <cell r="J62">
            <v>2000</v>
          </cell>
          <cell r="K62">
            <v>0</v>
          </cell>
          <cell r="L62">
            <v>0</v>
          </cell>
          <cell r="M62">
            <v>9</v>
          </cell>
          <cell r="N62" t="str">
            <v xml:space="preserve">                                                  </v>
          </cell>
          <cell r="O62">
            <v>0</v>
          </cell>
          <cell r="P62">
            <v>0</v>
          </cell>
          <cell r="Q62" t="str">
            <v xml:space="preserve">Redundant                </v>
          </cell>
          <cell r="R62" t="str">
            <v>2160 was to prevent cracking in the bit head to donut weld. Different welding procedure with new welding electrode and different steel for the donut (1018).</v>
          </cell>
        </row>
        <row r="63">
          <cell r="A63" t="str">
            <v xml:space="preserve">SKF-02204.BB                  </v>
          </cell>
          <cell r="B63">
            <v>2204</v>
          </cell>
          <cell r="C63" t="str">
            <v xml:space="preserve">097F-516-XR7(K)(BR)-2204; Body                    </v>
          </cell>
          <cell r="D63" t="str">
            <v xml:space="preserve">09-7/8"        </v>
          </cell>
          <cell r="E63" t="str">
            <v xml:space="preserve">Admiral                                           </v>
          </cell>
          <cell r="F63" t="str">
            <v xml:space="preserve">Reeves                   </v>
          </cell>
          <cell r="G63" t="str">
            <v xml:space="preserve">Vertical                 </v>
          </cell>
          <cell r="H63" t="str">
            <v xml:space="preserve">Bent Motor               </v>
          </cell>
          <cell r="I63">
            <v>1400</v>
          </cell>
          <cell r="J63">
            <v>9200</v>
          </cell>
          <cell r="K63">
            <v>170</v>
          </cell>
          <cell r="L63">
            <v>500</v>
          </cell>
          <cell r="M63">
            <v>4</v>
          </cell>
          <cell r="N63" t="str">
            <v xml:space="preserve">2" Full &amp; 2" Taper @ 0.3°                         </v>
          </cell>
          <cell r="O63">
            <v>0.58799999999999997</v>
          </cell>
          <cell r="P63">
            <v>0</v>
          </cell>
          <cell r="Q63" t="str">
            <v xml:space="preserve">Single Set               </v>
          </cell>
          <cell r="R63" t="str">
            <v xml:space="preserve">Admiral needs a fast 9-7/8" in Reeves county. 
The plan is to make it a 2 bit interval with the drill out bit to go fast. 5 blade with .100" cutter spacing with knuckles and back up to in gage at over 500'/hr.
</v>
          </cell>
        </row>
        <row r="64">
          <cell r="A64" t="str">
            <v xml:space="preserve">SKF-02203.BB                  </v>
          </cell>
          <cell r="B64">
            <v>2203</v>
          </cell>
          <cell r="C64" t="str">
            <v xml:space="preserve">086F-616-XR(K)-2203; Body                         </v>
          </cell>
          <cell r="D64" t="str">
            <v xml:space="preserve">08-3/4"        </v>
          </cell>
          <cell r="E64" t="str">
            <v xml:space="preserve">XTO                                               </v>
          </cell>
          <cell r="F64" t="str">
            <v xml:space="preserve">                         </v>
          </cell>
          <cell r="G64" t="str">
            <v xml:space="preserve">Vertical                 </v>
          </cell>
          <cell r="H64" t="str">
            <v xml:space="preserve">Bent Motor               </v>
          </cell>
          <cell r="I64">
            <v>2700</v>
          </cell>
          <cell r="J64">
            <v>7800</v>
          </cell>
          <cell r="K64">
            <v>230</v>
          </cell>
          <cell r="L64">
            <v>400</v>
          </cell>
          <cell r="M64">
            <v>4</v>
          </cell>
          <cell r="N64" t="str">
            <v xml:space="preserve">1" @ gage, 3" @ 0.3°                              </v>
          </cell>
          <cell r="O64">
            <v>0.34799999999999998</v>
          </cell>
          <cell r="P64">
            <v>0</v>
          </cell>
          <cell r="Q64" t="str">
            <v xml:space="preserve">Single Set               </v>
          </cell>
          <cell r="R64" t="str">
            <v xml:space="preserve">XTO vertical in New Mexicos' Delaware from Salts to Bone Springs
</v>
          </cell>
        </row>
        <row r="65">
          <cell r="A65" t="str">
            <v xml:space="preserve">SKF-02201.BB                  </v>
          </cell>
          <cell r="B65">
            <v>2201</v>
          </cell>
          <cell r="C65" t="str">
            <v xml:space="preserve">084F-613-XR(BR)-2201; Body                        </v>
          </cell>
          <cell r="D65" t="str">
            <v xml:space="preserve">08-1/2"        </v>
          </cell>
          <cell r="E65" t="str">
            <v xml:space="preserve">Fasken/Callon                                     </v>
          </cell>
          <cell r="F65" t="str">
            <v xml:space="preserve">                         </v>
          </cell>
          <cell r="G65" t="str">
            <v xml:space="preserve">Lateral                  </v>
          </cell>
          <cell r="H65" t="str">
            <v xml:space="preserve">Bent Motor               </v>
          </cell>
          <cell r="I65">
            <v>10500</v>
          </cell>
          <cell r="J65">
            <v>20500</v>
          </cell>
          <cell r="K65">
            <v>200</v>
          </cell>
          <cell r="L65">
            <v>110</v>
          </cell>
          <cell r="M65">
            <v>4</v>
          </cell>
          <cell r="N65" t="str">
            <v xml:space="preserve">TSP Hybrid                                        </v>
          </cell>
          <cell r="O65">
            <v>0.11</v>
          </cell>
          <cell r="P65">
            <v>0</v>
          </cell>
          <cell r="Q65" t="str">
            <v xml:space="preserve">Single Set               </v>
          </cell>
          <cell r="R65" t="str">
            <v/>
          </cell>
        </row>
        <row r="66">
          <cell r="A66" t="str">
            <v xml:space="preserve">SKF-02200.BB                  </v>
          </cell>
          <cell r="B66">
            <v>2200</v>
          </cell>
          <cell r="C66" t="str">
            <v xml:space="preserve">084F-716-XR(BR)-2200; Body                        </v>
          </cell>
          <cell r="D66" t="str">
            <v xml:space="preserve">08-1/2"        </v>
          </cell>
          <cell r="E66" t="str">
            <v xml:space="preserve">                                                  </v>
          </cell>
          <cell r="F66" t="str">
            <v xml:space="preserve">                         </v>
          </cell>
          <cell r="G66" t="str">
            <v xml:space="preserve">Lateral                  </v>
          </cell>
          <cell r="H66" t="str">
            <v xml:space="preserve">Bent Motor               </v>
          </cell>
          <cell r="I66">
            <v>10500</v>
          </cell>
          <cell r="J66">
            <v>20500</v>
          </cell>
          <cell r="K66">
            <v>240</v>
          </cell>
          <cell r="L66">
            <v>110</v>
          </cell>
          <cell r="M66">
            <v>4</v>
          </cell>
          <cell r="N66" t="str">
            <v xml:space="preserve">Matrix &amp; TSP Gage                                 </v>
          </cell>
          <cell r="O66">
            <v>9.1999999999999998E-2</v>
          </cell>
          <cell r="P66">
            <v>0</v>
          </cell>
          <cell r="Q66" t="str">
            <v xml:space="preserve">Single Set               </v>
          </cell>
          <cell r="R66" t="str">
            <v xml:space="preserve">2200 is a hybrid design and was designed for Fasken/Callon, Wolfcamp and Sprayberry wells. Designed to be more durable than the 2184/2199 616 hybrid bit. In combination with the 2201 (613) this will create a larger hybrid selection for the laterals.
</v>
          </cell>
        </row>
        <row r="67">
          <cell r="A67" t="str">
            <v xml:space="preserve">SKF-02198.BB                  </v>
          </cell>
          <cell r="B67">
            <v>2198</v>
          </cell>
          <cell r="C67" t="str">
            <v xml:space="preserve">086F-616-SR(K)(BR)-2198; Body                     </v>
          </cell>
          <cell r="D67" t="str">
            <v xml:space="preserve">08-3/4"        </v>
          </cell>
          <cell r="E67" t="str">
            <v xml:space="preserve">Callon                                            </v>
          </cell>
          <cell r="F67" t="str">
            <v xml:space="preserve">Midland                  </v>
          </cell>
          <cell r="G67" t="str">
            <v xml:space="preserve">Curve                    </v>
          </cell>
          <cell r="H67" t="str">
            <v xml:space="preserve">Bent Motor               </v>
          </cell>
          <cell r="I67">
            <v>7500</v>
          </cell>
          <cell r="J67">
            <v>10000</v>
          </cell>
          <cell r="K67">
            <v>154</v>
          </cell>
          <cell r="L67">
            <v>50</v>
          </cell>
          <cell r="M67">
            <v>3</v>
          </cell>
          <cell r="N67" t="str">
            <v xml:space="preserve">1" Straight, 2" @ 0.8°                            </v>
          </cell>
          <cell r="O67">
            <v>6.5000000000000002E-2</v>
          </cell>
          <cell r="P67">
            <v>0</v>
          </cell>
          <cell r="Q67" t="str">
            <v xml:space="preserve">Single Set               </v>
          </cell>
          <cell r="R67" t="str">
            <v xml:space="preserve">2198 was designed for Callon, Casselman wells. The Casselman lease has been the most difficult curve area with multiple bit styles, bends on motors, etc. Engineering and sales discussed a 5° cone angle, 13mm cutters in the cone to the nose, and 16mm cutters on the shoulder to help the bit go sideways. Knuckles in cone. Step profile to increase side cutting ability. Also has a more aggressive backrake scheme compared to 2195.
</v>
          </cell>
        </row>
        <row r="68">
          <cell r="A68" t="str">
            <v xml:space="preserve">SKF-02197.BB                  </v>
          </cell>
          <cell r="B68">
            <v>2197</v>
          </cell>
          <cell r="C68" t="str">
            <v xml:space="preserve">077F-616-XR(K)-2197; Body                         </v>
          </cell>
          <cell r="D68" t="str">
            <v xml:space="preserve">07-7/8"        </v>
          </cell>
          <cell r="E68" t="str">
            <v xml:space="preserve">Blackbeard                                        </v>
          </cell>
          <cell r="F68" t="str">
            <v xml:space="preserve">                         </v>
          </cell>
          <cell r="G68" t="str">
            <v xml:space="preserve">Vertical                 </v>
          </cell>
          <cell r="H68" t="str">
            <v xml:space="preserve">Straight Motor           </v>
          </cell>
          <cell r="I68">
            <v>1200</v>
          </cell>
          <cell r="J68">
            <v>6500</v>
          </cell>
          <cell r="K68">
            <v>190</v>
          </cell>
          <cell r="L68">
            <v>143</v>
          </cell>
          <cell r="M68">
            <v>3</v>
          </cell>
          <cell r="N68" t="str">
            <v xml:space="preserve">1.5"@ Gage, 1.5"@ 0.3°                            </v>
          </cell>
          <cell r="O68">
            <v>0.15</v>
          </cell>
          <cell r="P68">
            <v>0</v>
          </cell>
          <cell r="Q68" t="str">
            <v xml:space="preserve">Single Set               </v>
          </cell>
          <cell r="R68" t="str">
            <v>2197 is a combination of features from the last 6 designs for Fasken, XTO, and Blackbeard. Main 2 bits are the 2140 (knuckles in cone) and the 2176 (backrake). The first target application is Blackbeard on the Delaware basin side of the central basin platform (DI=1,200; DO=6,500). Largest part of this design is the overload cutters going in the cone. To the same goal, the knuckles are placed at .15"/rev to aid in preventing overload. The first and final goal is to finish the well and have a better dull. The DOC target is from current offsets on Blackbeard in the area.</v>
          </cell>
        </row>
        <row r="69">
          <cell r="A69" t="str">
            <v xml:space="preserve">SKF-02196.BB                  </v>
          </cell>
          <cell r="B69">
            <v>2196</v>
          </cell>
          <cell r="C69" t="str">
            <v xml:space="preserve">086F-516-SR+(K)(BR)-2196; Body                    </v>
          </cell>
          <cell r="D69" t="str">
            <v xml:space="preserve">08-3/4"        </v>
          </cell>
          <cell r="E69" t="str">
            <v xml:space="preserve">Fasken                                            </v>
          </cell>
          <cell r="F69" t="str">
            <v xml:space="preserve">                         </v>
          </cell>
          <cell r="G69" t="str">
            <v xml:space="preserve">Curve                    </v>
          </cell>
          <cell r="H69" t="str">
            <v xml:space="preserve">Bent Motor               </v>
          </cell>
          <cell r="I69">
            <v>8600</v>
          </cell>
          <cell r="J69">
            <v>9600</v>
          </cell>
          <cell r="K69">
            <v>154</v>
          </cell>
          <cell r="L69">
            <v>40</v>
          </cell>
          <cell r="M69">
            <v>2</v>
          </cell>
          <cell r="N69" t="str">
            <v xml:space="preserve">1" Straight, 1" @ 0.3°                            </v>
          </cell>
          <cell r="O69">
            <v>0.03</v>
          </cell>
          <cell r="P69">
            <v>0</v>
          </cell>
          <cell r="Q69" t="str">
            <v xml:space="preserve">Single Set               </v>
          </cell>
          <cell r="R69" t="str">
            <v>2196 was designed for Fasken, Sprayberry wells (LS). Made to drill the curve. 10°/100'. ½" TCI in gage to help prevent gage wear. 15° cone fades to a 25° shoulder (aggressive due to competitors bit photo on yammer and going from 16mm cutters to 13mm cutters densely spaced). 35° Trimmers. Knuckles in cone, 2 backups on outer shoulder. Step profile to increase side cutting ability. 0.03"/rev for Knuckle placement based on an analysis of Fasken LS curve bit DOC's.</v>
          </cell>
        </row>
        <row r="70">
          <cell r="A70" t="str">
            <v xml:space="preserve">SKF-02195.BB                  </v>
          </cell>
          <cell r="B70">
            <v>2195</v>
          </cell>
          <cell r="C70" t="str">
            <v xml:space="preserve">086F-613-SR+(K)(BR)-2195; Body                    </v>
          </cell>
          <cell r="D70" t="str">
            <v xml:space="preserve">08-3/4"        </v>
          </cell>
          <cell r="E70" t="str">
            <v xml:space="preserve">Callon                                            </v>
          </cell>
          <cell r="F70" t="str">
            <v xml:space="preserve">Howard                   </v>
          </cell>
          <cell r="G70" t="str">
            <v xml:space="preserve">Curve                    </v>
          </cell>
          <cell r="H70" t="str">
            <v xml:space="preserve">Bent Motor               </v>
          </cell>
          <cell r="I70">
            <v>7500</v>
          </cell>
          <cell r="J70">
            <v>10000</v>
          </cell>
          <cell r="K70">
            <v>154</v>
          </cell>
          <cell r="L70">
            <v>74</v>
          </cell>
          <cell r="M70">
            <v>2</v>
          </cell>
          <cell r="N70" t="str">
            <v xml:space="preserve">1" Straight, 1" @ 0.3°                            </v>
          </cell>
          <cell r="O70">
            <v>7.4999999999999997E-2</v>
          </cell>
          <cell r="P70">
            <v>0</v>
          </cell>
          <cell r="Q70" t="str">
            <v xml:space="preserve">Single Set               </v>
          </cell>
          <cell r="R70" t="str">
            <v>2195 was designed for Callon, Howard County, Wolfcamp A wells. Made to drill the curve and lateral until the bit slows down. 10°/100'. ½" TCI in gage to help prevent gage wear. 15° cone fades to a 25° shoulder (aggressive due to competitors bit photo on Yammer and going from 16mm cutters to 13mm cutters densely spaced). 35° Trimmers. Knuckles in cone, 2 backups on outer shoulder. Step profile to increase side cutting ability. 0.075"/rev for Knuckle placement based on an analysis of Callon Wolfcamp curve bit DOC's.</v>
          </cell>
        </row>
        <row r="71">
          <cell r="A71" t="str">
            <v xml:space="preserve">SKF-02194.BB                  </v>
          </cell>
          <cell r="B71">
            <v>2194</v>
          </cell>
          <cell r="C71" t="str">
            <v xml:space="preserve">174F-616-SR+9(K)-2194; Body                       </v>
          </cell>
          <cell r="D71" t="str">
            <v xml:space="preserve">17-1/2"        </v>
          </cell>
          <cell r="E71" t="str">
            <v xml:space="preserve">Apache,Predator,Pinnergy                          </v>
          </cell>
          <cell r="F71" t="str">
            <v xml:space="preserve">                         </v>
          </cell>
          <cell r="G71" t="str">
            <v xml:space="preserve">Vertical                 </v>
          </cell>
          <cell r="H71" t="str">
            <v xml:space="preserve">Straight Motor           </v>
          </cell>
          <cell r="I71">
            <v>0</v>
          </cell>
          <cell r="J71">
            <v>2000</v>
          </cell>
          <cell r="K71">
            <v>0</v>
          </cell>
          <cell r="L71">
            <v>0</v>
          </cell>
          <cell r="M71">
            <v>9</v>
          </cell>
          <cell r="N71" t="str">
            <v xml:space="preserve">                                                  </v>
          </cell>
          <cell r="O71">
            <v>0</v>
          </cell>
          <cell r="P71">
            <v>0</v>
          </cell>
          <cell r="Q71" t="str">
            <v xml:space="preserve">Redundant                </v>
          </cell>
          <cell r="R71" t="str">
            <v>2194 is a one piece 2160, with a 2 in shorter gauge.</v>
          </cell>
        </row>
        <row r="72">
          <cell r="A72" t="str">
            <v xml:space="preserve">SKF-02193.BB                  </v>
          </cell>
          <cell r="B72">
            <v>2193</v>
          </cell>
          <cell r="C72" t="str">
            <v xml:space="preserve">084F-713-SR+(K)-2193; Body                        </v>
          </cell>
          <cell r="D72" t="str">
            <v xml:space="preserve">08-1/2"        </v>
          </cell>
          <cell r="E72" t="str">
            <v xml:space="preserve">XTO                                               </v>
          </cell>
          <cell r="F72" t="str">
            <v xml:space="preserve">Eddy                     </v>
          </cell>
          <cell r="G72" t="str">
            <v xml:space="preserve">Vertical                 </v>
          </cell>
          <cell r="H72" t="str">
            <v xml:space="preserve">Rotary                   </v>
          </cell>
          <cell r="I72">
            <v>10900</v>
          </cell>
          <cell r="J72">
            <v>15100</v>
          </cell>
          <cell r="K72">
            <v>60</v>
          </cell>
          <cell r="L72">
            <v>18</v>
          </cell>
          <cell r="M72">
            <v>4</v>
          </cell>
          <cell r="N72" t="str">
            <v xml:space="preserve">1" @ gage, 3" @ 0.3°                              </v>
          </cell>
          <cell r="O72">
            <v>0.06</v>
          </cell>
          <cell r="P72">
            <v>0</v>
          </cell>
          <cell r="Q72" t="str">
            <v xml:space="preserve">Single Set               </v>
          </cell>
          <cell r="R72" t="str">
            <v>2193 is a deep vertical bit for SWD wells by XTO in eddy county. In at 10,900' to 15,100'. Rotary at 55-65 rpm. Goal is 800' to 1200' per bit to save trips. 3 backup cutters on 4 blades trail by two blades and are set to engage at .04"/rev. Knuckles in cone are set to engage at .05"/rev. Current belief is bit of choice has impact damage, so this design has a durable backrake for smoother drilling, 8 blades, and backups that will do some of the work. Quick redesign of 2191 after speaking with Paul Pastusek for XTO SWD wells.</v>
          </cell>
        </row>
        <row r="73">
          <cell r="A73" t="str">
            <v xml:space="preserve">SKF-02192.BB                  </v>
          </cell>
          <cell r="B73">
            <v>2192</v>
          </cell>
          <cell r="C73" t="str">
            <v xml:space="preserve">086F-616-SR-2192; Body                            </v>
          </cell>
          <cell r="D73" t="str">
            <v xml:space="preserve">08-3/4"        </v>
          </cell>
          <cell r="E73" t="str">
            <v xml:space="preserve">Henley &amp; Associates                               </v>
          </cell>
          <cell r="F73" t="str">
            <v xml:space="preserve">                         </v>
          </cell>
          <cell r="G73" t="str">
            <v xml:space="preserve">Vertical                 </v>
          </cell>
          <cell r="H73" t="str">
            <v xml:space="preserve">Straight Motor           </v>
          </cell>
          <cell r="I73">
            <v>1800</v>
          </cell>
          <cell r="J73">
            <v>5700</v>
          </cell>
          <cell r="K73">
            <v>200</v>
          </cell>
          <cell r="L73">
            <v>98</v>
          </cell>
          <cell r="M73">
            <v>3</v>
          </cell>
          <cell r="N73" t="str">
            <v xml:space="preserve">1.5" @ gage, 1.5" @ 0.3°                          </v>
          </cell>
          <cell r="O73">
            <v>9.8000000000000004E-2</v>
          </cell>
          <cell r="P73">
            <v>0</v>
          </cell>
          <cell r="Q73" t="str">
            <v xml:space="preserve">Single Set               </v>
          </cell>
          <cell r="R73" t="str">
            <v xml:space="preserve">North Texas/ Oklahoma Panhandle.
Goal is to 1 bit to TD, 3,900' in 40 hours or better.
</v>
          </cell>
        </row>
        <row r="74">
          <cell r="A74" t="str">
            <v xml:space="preserve">SKF-02191.BB                  </v>
          </cell>
          <cell r="B74">
            <v>2191</v>
          </cell>
          <cell r="C74" t="str">
            <v xml:space="preserve">084F-813-SR+-2191; Body                           </v>
          </cell>
          <cell r="D74" t="str">
            <v xml:space="preserve">08-1/2"        </v>
          </cell>
          <cell r="E74" t="str">
            <v xml:space="preserve">XTO                                               </v>
          </cell>
          <cell r="F74" t="str">
            <v xml:space="preserve">Eddy                     </v>
          </cell>
          <cell r="G74" t="str">
            <v xml:space="preserve">Vertical                 </v>
          </cell>
          <cell r="H74" t="str">
            <v xml:space="preserve">Rotary                   </v>
          </cell>
          <cell r="I74">
            <v>10900</v>
          </cell>
          <cell r="J74">
            <v>15100</v>
          </cell>
          <cell r="K74">
            <v>55</v>
          </cell>
          <cell r="L74">
            <v>15</v>
          </cell>
          <cell r="M74">
            <v>2</v>
          </cell>
          <cell r="N74" t="str">
            <v xml:space="preserve">                                                  </v>
          </cell>
          <cell r="O74">
            <v>5.5E-2</v>
          </cell>
          <cell r="P74">
            <v>0</v>
          </cell>
          <cell r="Q74" t="str">
            <v xml:space="preserve">Single Set               </v>
          </cell>
          <cell r="R74" t="str">
            <v>2191 is a deep vertical bit for SWD wells by XTO in eddy county. In at 10,900' to 15,100'. Rotary at 55-65 rpm. Goal is 800' to 1200' per bit to save trips. 3 backup cutters on 4 blades trail by two blades and are set to engage at 13 ft/hr. Current belief is bit of choice has impact damage, so this design has a durable backrake for smoother drilling, 8 blades, and backups that will do some of the work.</v>
          </cell>
        </row>
        <row r="75">
          <cell r="A75" t="str">
            <v xml:space="preserve">SKF-02190.BB                  </v>
          </cell>
          <cell r="B75">
            <v>2190</v>
          </cell>
          <cell r="C75" t="str">
            <v xml:space="preserve">061F-516-SR(K)(BR)-2190; Body                     </v>
          </cell>
          <cell r="D75" t="str">
            <v xml:space="preserve">06-1/8"        </v>
          </cell>
          <cell r="E75" t="str">
            <v xml:space="preserve">Henley &amp; Associates                               </v>
          </cell>
          <cell r="F75" t="str">
            <v xml:space="preserve">                         </v>
          </cell>
          <cell r="G75" t="str">
            <v xml:space="preserve">Lateral                  </v>
          </cell>
          <cell r="H75" t="str">
            <v xml:space="preserve">Bent Motor               </v>
          </cell>
          <cell r="I75">
            <v>7015</v>
          </cell>
          <cell r="J75">
            <v>11900</v>
          </cell>
          <cell r="K75">
            <v>240</v>
          </cell>
          <cell r="L75">
            <v>40</v>
          </cell>
          <cell r="M75">
            <v>3</v>
          </cell>
          <cell r="N75" t="str">
            <v xml:space="preserve">1" full, 2" @ 0.3°                                </v>
          </cell>
          <cell r="O75">
            <v>6.7000000000000004E-2</v>
          </cell>
          <cell r="P75">
            <v>0</v>
          </cell>
          <cell r="Q75" t="str">
            <v xml:space="preserve">Single Set               </v>
          </cell>
          <cell r="R75" t="str">
            <v>2190 was made to drill Lower Marmaton Laterals in the Anadarko Basin, Texas Panhandle for Henley &amp; Associates. Carbonate formation just above the granite wash. Lateral, in at 7,015', out at 11,900'. Bent Motor, .64 rev/gal (@275 gal/min à Total rpm = 240). Knuckles in cone (80'/hr @ 240rpm).</v>
          </cell>
        </row>
        <row r="76">
          <cell r="A76" t="str">
            <v xml:space="preserve">SKF-02188.BB                  </v>
          </cell>
          <cell r="B76">
            <v>2188</v>
          </cell>
          <cell r="C76" t="str">
            <v xml:space="preserve">066F-513-XR(K)(BR)-2188; Body                     </v>
          </cell>
          <cell r="D76" t="str">
            <v xml:space="preserve">06-3/4"        </v>
          </cell>
          <cell r="E76" t="str">
            <v xml:space="preserve">Callon                                            </v>
          </cell>
          <cell r="F76" t="str">
            <v xml:space="preserve">                         </v>
          </cell>
          <cell r="G76" t="str">
            <v xml:space="preserve">Lateral                  </v>
          </cell>
          <cell r="H76" t="str">
            <v xml:space="preserve">RSS                      </v>
          </cell>
          <cell r="I76">
            <v>12000</v>
          </cell>
          <cell r="J76">
            <v>22000</v>
          </cell>
          <cell r="K76">
            <v>180</v>
          </cell>
          <cell r="L76">
            <v>50</v>
          </cell>
          <cell r="M76">
            <v>4</v>
          </cell>
          <cell r="N76" t="str">
            <v xml:space="preserve">1" full, 3" @ 0.8°                                </v>
          </cell>
          <cell r="O76">
            <v>0.16700000000000001</v>
          </cell>
          <cell r="P76">
            <v>0</v>
          </cell>
          <cell r="Q76" t="str">
            <v xml:space="preserve">Single Set               </v>
          </cell>
          <cell r="R76" t="str">
            <v>2188A was made for Callon to drill the wolfcamp lateral on a motor with a RSS. Current bits of choice are Baker DD405T, Ultera U613M, CF611, Securty MMD64DM. 2188 is based on the 2126. Changed to 13 mm cutters in the cone. More aggressive in cone and slightly more aggressive on the shoulder. Designed to drill faster to mitigate abrasive wear and thermal damage to cutters and erosion to the bit body.</v>
          </cell>
        </row>
        <row r="77">
          <cell r="A77" t="str">
            <v xml:space="preserve">SKF-02187.BB                  </v>
          </cell>
          <cell r="B77">
            <v>2187</v>
          </cell>
          <cell r="C77" t="str">
            <v xml:space="preserve">077F-616-SR+(K)-2187; Body                        </v>
          </cell>
          <cell r="D77" t="str">
            <v xml:space="preserve">07-7/8"        </v>
          </cell>
          <cell r="E77" t="str">
            <v xml:space="preserve">Fasken                                            </v>
          </cell>
          <cell r="F77" t="str">
            <v xml:space="preserve">                         </v>
          </cell>
          <cell r="G77" t="str">
            <v xml:space="preserve">Vertical                 </v>
          </cell>
          <cell r="H77" t="str">
            <v xml:space="preserve">Straight Motor           </v>
          </cell>
          <cell r="I77">
            <v>5500</v>
          </cell>
          <cell r="J77">
            <v>11500</v>
          </cell>
          <cell r="K77">
            <v>190</v>
          </cell>
          <cell r="L77">
            <v>100</v>
          </cell>
          <cell r="M77">
            <v>4</v>
          </cell>
          <cell r="N77" t="str">
            <v xml:space="preserve">1-1/2" @ gage, 2-1/2" @ 0.3°                      </v>
          </cell>
          <cell r="O77">
            <v>0.3</v>
          </cell>
          <cell r="P77">
            <v>0</v>
          </cell>
          <cell r="Q77" t="str">
            <v xml:space="preserve">Single Set               </v>
          </cell>
          <cell r="R77" t="str">
            <v xml:space="preserve">2187 has a 17.5° cone (dense spacing) to try and stop the cone cutter damage problem on Fasken 7-7/8" bits. 2 backup cutters on primary blades only, in XR configuration. Bullets and backups are set to engage at .3"/rev.
2 posts from Yammer:
1.Eric Briley  Follow Eric Briley  - April 24 at 5:08 PM from iPhone. Met with Nick over Trinidad 433. They ran a PDC Logic in the production hole and wasn't happy with the run 10,600' was the stopper. They want to run CapRock and want us to be the primary bit. We have began the process of designing a new bit to begin the journey to number 1 with Fasken and their needs. Makes me proud to be part of the CapRock team. Let's go take it 
2.Eric Briley  Follow Eric Briley  - April 24 at 4:51 PM from iPhone. Met with Lane over Trinidad 408 they will be moving to the BQ Lease this week and run our 12.25" 2177 again this will be last 12.25" will go to our 11" after this well. Interested in a 7.875" CapRock go to. Ready to give a boot to ULT ASAP. The team is on it.
</v>
          </cell>
        </row>
        <row r="78">
          <cell r="A78" t="str">
            <v xml:space="preserve">SKF-02186.BB                  </v>
          </cell>
          <cell r="B78">
            <v>2186</v>
          </cell>
          <cell r="C78" t="str">
            <v xml:space="preserve">086F-616-XR(K)(BR)-2186; Body                     </v>
          </cell>
          <cell r="D78" t="str">
            <v xml:space="preserve">08-3/4"        </v>
          </cell>
          <cell r="E78" t="str">
            <v xml:space="preserve">Mack Energy                                       </v>
          </cell>
          <cell r="F78" t="str">
            <v xml:space="preserve">Chaves                   </v>
          </cell>
          <cell r="G78" t="str">
            <v xml:space="preserve">Curve                    </v>
          </cell>
          <cell r="H78" t="str">
            <v xml:space="preserve">Bent Motor               </v>
          </cell>
          <cell r="I78">
            <v>2569</v>
          </cell>
          <cell r="J78">
            <v>8231</v>
          </cell>
          <cell r="K78">
            <v>195</v>
          </cell>
          <cell r="L78">
            <v>200</v>
          </cell>
          <cell r="M78">
            <v>3</v>
          </cell>
          <cell r="N78" t="str">
            <v xml:space="preserve">1.5" Straight, 1.5" @ 0.3°                        </v>
          </cell>
          <cell r="O78">
            <v>0.20499999999999999</v>
          </cell>
          <cell r="P78">
            <v>0</v>
          </cell>
          <cell r="Q78" t="str">
            <v xml:space="preserve">Single Set               </v>
          </cell>
          <cell r="R78" t="str">
            <v xml:space="preserve">2186 was designed for Mack Energy, San Andres wells. Made to drill the curve and lateral in one bit (TVD ? 3,357'). 8°/100'. ½" TCI in gage to help prevent gage wear. Durable cone and shoulder, with aggressive nose. Knuckles in cone and nose, backups on shoulder. Step profile to increase side cutting ability. 200'/hr, 195rpm = .205"/rev for backup placement.
</v>
          </cell>
        </row>
        <row r="79">
          <cell r="A79" t="str">
            <v xml:space="preserve">SKF-02185.BB                  </v>
          </cell>
          <cell r="B79">
            <v>2185</v>
          </cell>
          <cell r="C79" t="str">
            <v xml:space="preserve">134F-616-SR+9(K)-2185; Body                       </v>
          </cell>
          <cell r="D79" t="str">
            <v xml:space="preserve">13-1/2"        </v>
          </cell>
          <cell r="E79" t="str">
            <v xml:space="preserve">Apache                                            </v>
          </cell>
          <cell r="F79" t="str">
            <v xml:space="preserve">Reeves                   </v>
          </cell>
          <cell r="G79" t="str">
            <v xml:space="preserve">Vertical                 </v>
          </cell>
          <cell r="H79" t="str">
            <v xml:space="preserve">Bent Motor               </v>
          </cell>
          <cell r="I79">
            <v>0</v>
          </cell>
          <cell r="J79">
            <v>3500</v>
          </cell>
          <cell r="K79">
            <v>215</v>
          </cell>
          <cell r="L79">
            <v>100</v>
          </cell>
          <cell r="M79">
            <v>7</v>
          </cell>
          <cell r="N79" t="str">
            <v xml:space="preserve">7" Long Gage                                      </v>
          </cell>
          <cell r="O79">
            <v>9.2999999999999999E-2</v>
          </cell>
          <cell r="P79">
            <v>0</v>
          </cell>
          <cell r="Q79" t="str">
            <v xml:space="preserve">Redundant                </v>
          </cell>
          <cell r="R79" t="str">
            <v>Jim Montgomery (From Yammer, Apache Corporation):  
Met with Tim Higgins this morning... He presented us with a TailorMade opportunity to design a 13-1/2" long gauge bit to drill to 3,200'-3,500' in the Delaware Basin, Reeves County. It will be run on a .16 motor with a 1.5 degree bend... The price for the run will be $13,500.
-The design will be a 2160 scaled down.
The back ups elements are set at .093"/rev plus an additional .050".</v>
          </cell>
        </row>
        <row r="80">
          <cell r="A80" t="str">
            <v xml:space="preserve">SKF-02184.BB                  </v>
          </cell>
          <cell r="B80">
            <v>2184</v>
          </cell>
          <cell r="C80" t="str">
            <v xml:space="preserve">084F-616-XR(BR)-2184; Body                        </v>
          </cell>
          <cell r="D80" t="str">
            <v xml:space="preserve">08-1/2"        </v>
          </cell>
          <cell r="E80" t="str">
            <v xml:space="preserve">                                                  </v>
          </cell>
          <cell r="F80" t="str">
            <v xml:space="preserve">                         </v>
          </cell>
          <cell r="G80" t="str">
            <v xml:space="preserve">Lateral                  </v>
          </cell>
          <cell r="H80" t="str">
            <v xml:space="preserve">Bent Motor               </v>
          </cell>
          <cell r="I80">
            <v>0</v>
          </cell>
          <cell r="J80">
            <v>0</v>
          </cell>
          <cell r="K80">
            <v>0</v>
          </cell>
          <cell r="L80">
            <v>0</v>
          </cell>
          <cell r="M80">
            <v>2</v>
          </cell>
          <cell r="N80" t="str">
            <v xml:space="preserve">TSP Gage                                          </v>
          </cell>
          <cell r="O80">
            <v>0</v>
          </cell>
          <cell r="P80">
            <v>0</v>
          </cell>
          <cell r="Q80" t="str">
            <v xml:space="preserve">Single Set               </v>
          </cell>
          <cell r="R80" t="str">
            <v xml:space="preserve">Made to have cutting structure mimic photos of Security MM65MD. More exposure than normal (centerline of cutters in the cone are .01" below profile, just above 50% capture). Larger cutter spacing in the cone of .23"  tapering off to .14" on the shoulder. 3 backup cutters per blade. Backups are set to engage at .4"/rev.
2" Gage with TSP elements.
</v>
          </cell>
        </row>
        <row r="81">
          <cell r="A81" t="str">
            <v xml:space="preserve">SKF-02183.BB                  </v>
          </cell>
          <cell r="B81">
            <v>2183</v>
          </cell>
          <cell r="C81" t="str">
            <v xml:space="preserve">084F-616-XR(BR)-2183; Body                        </v>
          </cell>
          <cell r="D81" t="str">
            <v xml:space="preserve">08-1/2"        </v>
          </cell>
          <cell r="E81" t="str">
            <v xml:space="preserve">                                                  </v>
          </cell>
          <cell r="F81" t="str">
            <v xml:space="preserve">                         </v>
          </cell>
          <cell r="G81" t="str">
            <v xml:space="preserve">Lateral                  </v>
          </cell>
          <cell r="H81" t="str">
            <v xml:space="preserve">Bent Motor               </v>
          </cell>
          <cell r="I81">
            <v>0</v>
          </cell>
          <cell r="J81">
            <v>0</v>
          </cell>
          <cell r="K81">
            <v>0</v>
          </cell>
          <cell r="L81">
            <v>0</v>
          </cell>
          <cell r="M81">
            <v>2</v>
          </cell>
          <cell r="N81" t="str">
            <v xml:space="preserve">TSP Gage                                          </v>
          </cell>
          <cell r="O81">
            <v>0</v>
          </cell>
          <cell r="P81">
            <v>0</v>
          </cell>
          <cell r="Q81" t="str">
            <v xml:space="preserve">Single Set               </v>
          </cell>
          <cell r="R81" t="str">
            <v xml:space="preserve">Made to have cutting structure mimic photos of Security MM65MD. More exposure than normal (centerline of cutters in the cone are .01" below profile, just above 50% capture). Larger cutter spacing in the cone of .23"  tapering off to .14" on the shoulder. 3 backup cutters per blade. Backups are set to engage at .4"/rev.
2" Gage with TSP elements.
</v>
          </cell>
        </row>
        <row r="82">
          <cell r="A82" t="str">
            <v xml:space="preserve">SKF-02182.BB                  </v>
          </cell>
          <cell r="B82">
            <v>2182</v>
          </cell>
          <cell r="C82" t="str">
            <v xml:space="preserve">077F-616-SR+(K)-2182; Body                        </v>
          </cell>
          <cell r="D82" t="str">
            <v xml:space="preserve">07-7/8"        </v>
          </cell>
          <cell r="E82" t="str">
            <v xml:space="preserve">Fasken                                            </v>
          </cell>
          <cell r="F82" t="str">
            <v xml:space="preserve">                         </v>
          </cell>
          <cell r="G82" t="str">
            <v xml:space="preserve">Vertical                 </v>
          </cell>
          <cell r="H82" t="str">
            <v xml:space="preserve">Straight Motor           </v>
          </cell>
          <cell r="I82">
            <v>5500</v>
          </cell>
          <cell r="J82">
            <v>11500</v>
          </cell>
          <cell r="K82">
            <v>133</v>
          </cell>
          <cell r="L82">
            <v>200</v>
          </cell>
          <cell r="M82">
            <v>4</v>
          </cell>
          <cell r="N82" t="str">
            <v xml:space="preserve">1.5" @ gage, 2.5" @ 0.3°                          </v>
          </cell>
          <cell r="O82">
            <v>0.3</v>
          </cell>
          <cell r="P82">
            <v>0</v>
          </cell>
          <cell r="Q82" t="str">
            <v xml:space="preserve">Single Set               </v>
          </cell>
          <cell r="R82" t="str">
            <v>2182 is the first attempt as solving the 7-7/8" coring problem on Fasken. Based on 2176, XR on primary blades and Knuckles on the secondary.
Center cutters have 15° backrake and are top loading.
45 series nozzles are used to allow for two additional cutters in the cone.
Profile has nose pushed out (forces a smaller radius at nose, 1.563" vs 1.469"), to allow for closer spacing until the secondary blades start.
Radius on the front of the blade has also been moved out for the same reason as above.</v>
          </cell>
        </row>
        <row r="83">
          <cell r="A83" t="str">
            <v xml:space="preserve">SKF-02181.BB                  </v>
          </cell>
          <cell r="B83">
            <v>2181</v>
          </cell>
          <cell r="C83" t="str">
            <v xml:space="preserve">077F-616-XR(K)(BR)-2181; Body                     </v>
          </cell>
          <cell r="D83" t="str">
            <v xml:space="preserve">07-7/8"        </v>
          </cell>
          <cell r="E83" t="str">
            <v xml:space="preserve">XTO                                               </v>
          </cell>
          <cell r="F83" t="str">
            <v xml:space="preserve">                         </v>
          </cell>
          <cell r="G83" t="str">
            <v xml:space="preserve">Lateral                  </v>
          </cell>
          <cell r="H83" t="str">
            <v xml:space="preserve">Bent Motor               </v>
          </cell>
          <cell r="I83">
            <v>9500</v>
          </cell>
          <cell r="J83">
            <v>15000</v>
          </cell>
          <cell r="K83">
            <v>120</v>
          </cell>
          <cell r="L83">
            <v>150</v>
          </cell>
          <cell r="M83">
            <v>4</v>
          </cell>
          <cell r="N83" t="str">
            <v xml:space="preserve">1.5" @ Gage, 2.5" @ 0.3°                          </v>
          </cell>
          <cell r="O83">
            <v>0.25</v>
          </cell>
          <cell r="P83">
            <v>0</v>
          </cell>
          <cell r="Q83" t="str">
            <v xml:space="preserve">Single Set               </v>
          </cell>
          <cell r="R83" t="str">
            <v xml:space="preserve">Center cutter and trimmers are 1613. Aggressive cone and nose with durable shoulder and gage. For XTO on bent motor (or FBH). Lateral, MD from 8000' to 9350', Wolfcamp A and B. Most offsets have 50'/hr overall average. Fastest are in low 60's. Target is an overall of 60-70'/hr. 12.5° cone to allow steerability, but man target is stability as the ROP is much slower when sliding vs rotating (30 vs 150).
</v>
          </cell>
        </row>
        <row r="84">
          <cell r="A84" t="str">
            <v xml:space="preserve">SKF-02180.BB                  </v>
          </cell>
          <cell r="B84">
            <v>2180</v>
          </cell>
          <cell r="C84" t="str">
            <v xml:space="preserve">105F-716-XR(K)(BR)-2180; Body                     </v>
          </cell>
          <cell r="D84" t="str">
            <v xml:space="preserve">10-5/8"        </v>
          </cell>
          <cell r="E84" t="str">
            <v xml:space="preserve">XTO                                               </v>
          </cell>
          <cell r="F84" t="str">
            <v xml:space="preserve">                         </v>
          </cell>
          <cell r="G84" t="str">
            <v xml:space="preserve">Vertical                 </v>
          </cell>
          <cell r="H84" t="str">
            <v xml:space="preserve">Bent Motor               </v>
          </cell>
          <cell r="I84">
            <v>450</v>
          </cell>
          <cell r="J84">
            <v>8200</v>
          </cell>
          <cell r="K84">
            <v>220</v>
          </cell>
          <cell r="L84">
            <v>660</v>
          </cell>
          <cell r="M84">
            <v>6</v>
          </cell>
          <cell r="N84" t="str">
            <v xml:space="preserve">2.5" @ Gage, 3.5" @ 0.3°                          </v>
          </cell>
          <cell r="O84">
            <v>0.6</v>
          </cell>
          <cell r="P84">
            <v>0</v>
          </cell>
          <cell r="Q84" t="str">
            <v xml:space="preserve">Single Set               </v>
          </cell>
          <cell r="R84" t="str">
            <v xml:space="preserve">Midland Basin Sprayberry Intermediate - 1 bit to TD : Faster version of 2145. 2180 is based on 2145. DOC limiting TCI Bullets removed.  Backrake reduced in cone and nose to increase aggressiveness.  Cutter added in nose to increase durability.  Backups lowered to .6"/rev. Blade relief in cone.
</v>
          </cell>
        </row>
        <row r="85">
          <cell r="A85" t="str">
            <v xml:space="preserve">SKF-02179.BB                  </v>
          </cell>
          <cell r="B85">
            <v>2179</v>
          </cell>
          <cell r="C85" t="str">
            <v xml:space="preserve">122F-716-XR(K)(BR)-2179; Body                     </v>
          </cell>
          <cell r="D85" t="str">
            <v xml:space="preserve">12-1/4"        </v>
          </cell>
          <cell r="E85" t="str">
            <v xml:space="preserve">Callon, Elevation, Fasken, and Endeavor           </v>
          </cell>
          <cell r="F85" t="str">
            <v xml:space="preserve">                         </v>
          </cell>
          <cell r="G85" t="str">
            <v xml:space="preserve">Vertical                 </v>
          </cell>
          <cell r="H85" t="str">
            <v xml:space="preserve">Straight Motor           </v>
          </cell>
          <cell r="I85">
            <v>1600</v>
          </cell>
          <cell r="J85">
            <v>10500</v>
          </cell>
          <cell r="K85">
            <v>170</v>
          </cell>
          <cell r="L85">
            <v>110</v>
          </cell>
          <cell r="M85">
            <v>6</v>
          </cell>
          <cell r="N85" t="str">
            <v xml:space="preserve">2" @ gage &amp; 4" @ .3°                              </v>
          </cell>
          <cell r="O85">
            <v>0.4</v>
          </cell>
          <cell r="P85">
            <v>0</v>
          </cell>
          <cell r="Q85" t="str">
            <v xml:space="preserve">Single Set               </v>
          </cell>
          <cell r="R85" t="str">
            <v xml:space="preserve">2179 Uses the backrake scheme of the 2177 with a traditional reverse spiral non-redundant 7 blade design. Normal profile (non-ellipse). Going after the 2138 interval with the intent to increase the TD rate while not slowing down too much. 
</v>
          </cell>
        </row>
        <row r="86">
          <cell r="A86" t="str">
            <v xml:space="preserve">SKF-02178.BB                  </v>
          </cell>
          <cell r="B86">
            <v>2178</v>
          </cell>
          <cell r="C86" t="str">
            <v xml:space="preserve">174F-616-SR+9(K)-2178; Body                       </v>
          </cell>
          <cell r="D86" t="str">
            <v xml:space="preserve">17-1/2"        </v>
          </cell>
          <cell r="E86" t="str">
            <v xml:space="preserve">Apache,Predator,Pinnergy                          </v>
          </cell>
          <cell r="F86" t="str">
            <v xml:space="preserve">                         </v>
          </cell>
          <cell r="G86" t="str">
            <v xml:space="preserve">Vertical                 </v>
          </cell>
          <cell r="H86" t="str">
            <v xml:space="preserve">Straight Motor           </v>
          </cell>
          <cell r="I86">
            <v>0</v>
          </cell>
          <cell r="J86">
            <v>2000</v>
          </cell>
          <cell r="K86">
            <v>0</v>
          </cell>
          <cell r="L86">
            <v>0</v>
          </cell>
          <cell r="M86">
            <v>9</v>
          </cell>
          <cell r="N86" t="str">
            <v xml:space="preserve">                                                  </v>
          </cell>
          <cell r="O86">
            <v>0</v>
          </cell>
          <cell r="P86">
            <v>0</v>
          </cell>
          <cell r="Q86" t="str">
            <v xml:space="preserve">Redundant                </v>
          </cell>
          <cell r="R86" t="str">
            <v>2160 with a 7-5/8" Pin connection</v>
          </cell>
        </row>
        <row r="87">
          <cell r="A87" t="str">
            <v xml:space="preserve">SKF-02177.BB                  </v>
          </cell>
          <cell r="B87">
            <v>2177</v>
          </cell>
          <cell r="C87" t="str">
            <v xml:space="preserve">122F-616-XR9(K)(BR)-2177; Body                    </v>
          </cell>
          <cell r="D87" t="str">
            <v xml:space="preserve">12-1/4"        </v>
          </cell>
          <cell r="E87" t="str">
            <v xml:space="preserve">Fasken                                            </v>
          </cell>
          <cell r="F87" t="str">
            <v xml:space="preserve">                         </v>
          </cell>
          <cell r="G87" t="str">
            <v xml:space="preserve">Vertical                 </v>
          </cell>
          <cell r="H87" t="str">
            <v xml:space="preserve">Straight Motor           </v>
          </cell>
          <cell r="I87">
            <v>0</v>
          </cell>
          <cell r="J87">
            <v>0</v>
          </cell>
          <cell r="K87">
            <v>0</v>
          </cell>
          <cell r="L87">
            <v>0</v>
          </cell>
          <cell r="M87">
            <v>6</v>
          </cell>
          <cell r="N87" t="str">
            <v xml:space="preserve">2.5" @ gage &amp; 3.5" @ .3°                          </v>
          </cell>
          <cell r="O87">
            <v>0.4</v>
          </cell>
          <cell r="P87">
            <v>0</v>
          </cell>
          <cell r="Q87" t="str">
            <v xml:space="preserve">Single Set               </v>
          </cell>
          <cell r="R87" t="str">
            <v xml:space="preserve">2177 has a backup layout similar to 2138, including the .4in/rev placement, but on a more traditional profile (2138 was elliptical). Primary cutters have slightly (1/64th) more aggressive spacing in the cone, and a F63 layout.
</v>
          </cell>
        </row>
        <row r="88">
          <cell r="A88" t="str">
            <v xml:space="preserve">SKF-02176.BB                  </v>
          </cell>
          <cell r="B88">
            <v>2176</v>
          </cell>
          <cell r="C88" t="str">
            <v xml:space="preserve">077F-616-SR+(K)-2176; Body                        </v>
          </cell>
          <cell r="D88" t="str">
            <v xml:space="preserve">07-7/8"        </v>
          </cell>
          <cell r="E88" t="str">
            <v xml:space="preserve">Fasken                                            </v>
          </cell>
          <cell r="F88" t="str">
            <v xml:space="preserve">                         </v>
          </cell>
          <cell r="G88" t="str">
            <v xml:space="preserve">Vertical                 </v>
          </cell>
          <cell r="H88" t="str">
            <v xml:space="preserve">Straight Motor           </v>
          </cell>
          <cell r="I88">
            <v>5500</v>
          </cell>
          <cell r="J88">
            <v>11500</v>
          </cell>
          <cell r="K88">
            <v>133</v>
          </cell>
          <cell r="L88">
            <v>200</v>
          </cell>
          <cell r="M88">
            <v>4</v>
          </cell>
          <cell r="N88" t="str">
            <v xml:space="preserve">1½" at gauge, 2½" .3° taper                       </v>
          </cell>
          <cell r="O88">
            <v>0.3</v>
          </cell>
          <cell r="P88">
            <v>0</v>
          </cell>
          <cell r="Q88" t="str">
            <v xml:space="preserve">Single Set               </v>
          </cell>
          <cell r="R88" t="str">
            <v xml:space="preserve">15° cone angle
4" gauge - 1½" at gauge, 2½" .3° taper
Rounded gauge pad edges
Minimal gauge pad spiral
Gage cutters and trimmers with exposure
1/2" dome behind gauge/outer shoulder cutters
15° backrake in cone, starting gradual increase at 75% to gauge, up to 30° at trimmers
All 16mm cone cutters (6) with .012" chamfer
16mm DP cutters from nose to last unground outer shoulder cutter
Gauge build rods
Extreme Elite gauge pad hardmetal .125" deposit thickness, .100" thick after grind
</v>
          </cell>
        </row>
        <row r="89">
          <cell r="A89" t="str">
            <v xml:space="preserve">SKF-02174.BB                  </v>
          </cell>
          <cell r="B89">
            <v>2174</v>
          </cell>
          <cell r="C89" t="str">
            <v xml:space="preserve">086F-516-XR(K)(BR)-2174; Body                     </v>
          </cell>
          <cell r="D89" t="str">
            <v xml:space="preserve">08-3/4"        </v>
          </cell>
          <cell r="E89" t="str">
            <v xml:space="preserve">Jagged Peak                                       </v>
          </cell>
          <cell r="F89" t="str">
            <v xml:space="preserve">                         </v>
          </cell>
          <cell r="G89" t="str">
            <v xml:space="preserve">Curve                    </v>
          </cell>
          <cell r="H89" t="str">
            <v xml:space="preserve">Bent Motor               </v>
          </cell>
          <cell r="I89">
            <v>10500</v>
          </cell>
          <cell r="J89">
            <v>11500</v>
          </cell>
          <cell r="K89">
            <v>156</v>
          </cell>
          <cell r="L89">
            <v>35</v>
          </cell>
          <cell r="M89">
            <v>3</v>
          </cell>
          <cell r="N89" t="str">
            <v xml:space="preserve">1" Full/ 2" tapered at .3°                        </v>
          </cell>
          <cell r="O89">
            <v>4.4999999999999998E-2</v>
          </cell>
          <cell r="P89">
            <v>0</v>
          </cell>
          <cell r="Q89" t="str">
            <v xml:space="preserve">Single Set               </v>
          </cell>
          <cell r="R89" t="str">
            <v>Scaled down version of the 9-7/8" 2164 designed for Jagged Peak in the Delaware Basin to drill the curve. Back up elements are set at .3 in/rev because 150 ft/hr @ 154 RPM (.195 in/rev). Diamond hardmetal. Curve will be built in the Bone Springs Sand and landed in the Wolfcamp Lime/Shale.</v>
          </cell>
        </row>
        <row r="90">
          <cell r="A90" t="str">
            <v xml:space="preserve">SKF-02173.BB                  </v>
          </cell>
          <cell r="B90">
            <v>2173</v>
          </cell>
          <cell r="C90" t="str">
            <v xml:space="preserve">077F-616-SR+(K)-2173; Body                        </v>
          </cell>
          <cell r="D90" t="str">
            <v xml:space="preserve">07-7/8"        </v>
          </cell>
          <cell r="E90" t="str">
            <v xml:space="preserve">Fasken                                            </v>
          </cell>
          <cell r="F90" t="str">
            <v xml:space="preserve">                         </v>
          </cell>
          <cell r="G90" t="str">
            <v xml:space="preserve">Vertical                 </v>
          </cell>
          <cell r="H90" t="str">
            <v xml:space="preserve">Straight Motor           </v>
          </cell>
          <cell r="I90">
            <v>5500</v>
          </cell>
          <cell r="J90">
            <v>11500</v>
          </cell>
          <cell r="K90">
            <v>190</v>
          </cell>
          <cell r="L90">
            <v>100</v>
          </cell>
          <cell r="M90">
            <v>4</v>
          </cell>
          <cell r="N90" t="str">
            <v xml:space="preserve">Diamond Spray                                     </v>
          </cell>
          <cell r="O90">
            <v>0.3</v>
          </cell>
          <cell r="P90">
            <v>0</v>
          </cell>
          <cell r="Q90" t="str">
            <v xml:space="preserve">Single Set               </v>
          </cell>
          <cell r="R90" t="str">
            <v>2140 is not making it to TD in 1 bit like the Smith Axe blade. 
Design features:
Active gage w/ carbide knuckles.
Contoured blades @ pockets
Back ups only on primary blades and carbide knuckles on secondary.
Saddle cutters to radius (2.7065")
4" gauge - 1½" at gauge, 2½" .3° taper</v>
          </cell>
        </row>
        <row r="91">
          <cell r="A91" t="str">
            <v xml:space="preserve">SKF-02172.BB                  </v>
          </cell>
          <cell r="B91">
            <v>2172</v>
          </cell>
          <cell r="C91" t="str">
            <v xml:space="preserve">097F-716-XR(K)(BR)-2172; Body                     </v>
          </cell>
          <cell r="D91" t="str">
            <v xml:space="preserve">09-7/8"        </v>
          </cell>
          <cell r="E91" t="str">
            <v xml:space="preserve">Callon                                            </v>
          </cell>
          <cell r="F91" t="str">
            <v xml:space="preserve">Ward                     </v>
          </cell>
          <cell r="G91" t="str">
            <v xml:space="preserve">Vertical                 </v>
          </cell>
          <cell r="H91" t="str">
            <v xml:space="preserve">Bent Motor               </v>
          </cell>
          <cell r="I91">
            <v>9500</v>
          </cell>
          <cell r="J91">
            <v>10500</v>
          </cell>
          <cell r="K91">
            <v>175</v>
          </cell>
          <cell r="L91">
            <v>70</v>
          </cell>
          <cell r="M91">
            <v>4</v>
          </cell>
          <cell r="N91" t="str">
            <v xml:space="preserve">Last 1313 Back up cutter is a DP on gage          </v>
          </cell>
          <cell r="O91">
            <v>0.08</v>
          </cell>
          <cell r="P91">
            <v>0</v>
          </cell>
          <cell r="Q91" t="str">
            <v xml:space="preserve">Single Set               </v>
          </cell>
          <cell r="R91" t="str">
            <v>Bottom hole bit following 2171 that drills 3700' thru abrasive sand and hard limestone from the brushy canyon to 10500' TD. Parabolic (2138) 616-XR with a 4" gage. To help with the gage the last back up cutter will be a DP set under the nogo limit to avoid a grind. Back up elements are set to .3" DOC.This bit is expected to make it to TD. Target depth is to make it to TD wherever the 616 comes out.</v>
          </cell>
        </row>
        <row r="92">
          <cell r="A92" t="str">
            <v xml:space="preserve">SKF-02171.BB                  </v>
          </cell>
          <cell r="B92">
            <v>2171</v>
          </cell>
          <cell r="C92" t="str">
            <v xml:space="preserve">097F-616-XR(K)(BR)-2171; Body                     </v>
          </cell>
          <cell r="D92" t="str">
            <v xml:space="preserve">09-7/8"        </v>
          </cell>
          <cell r="E92" t="str">
            <v xml:space="preserve">Callon                                            </v>
          </cell>
          <cell r="F92" t="str">
            <v xml:space="preserve">Ward                     </v>
          </cell>
          <cell r="G92" t="str">
            <v xml:space="preserve">Vertical                 </v>
          </cell>
          <cell r="H92" t="str">
            <v xml:space="preserve">Bent Motor               </v>
          </cell>
          <cell r="I92">
            <v>6800</v>
          </cell>
          <cell r="J92">
            <v>10500</v>
          </cell>
          <cell r="K92">
            <v>175</v>
          </cell>
          <cell r="L92">
            <v>70</v>
          </cell>
          <cell r="M92">
            <v>4</v>
          </cell>
          <cell r="N92" t="str">
            <v xml:space="preserve">Last 1313 Back up cutter is a DP on gage          </v>
          </cell>
          <cell r="O92">
            <v>0.08</v>
          </cell>
          <cell r="P92">
            <v>0</v>
          </cell>
          <cell r="Q92" t="str">
            <v xml:space="preserve">Single Set               </v>
          </cell>
          <cell r="R92" t="str">
            <v>To drill 3700' thru abrasive sand and hard limestone from the brushy canyon to TD. Parabolic (2138) 616-XR with a 4" gage. To help with the gage the last back up cutter will be a DP set under the nogo limit to avoid a grind. Back up elements are set to .3" DOC.This bit is not expected to make it to TD. Target depth is deep enough for the 716 afterwards to make it to TD.</v>
          </cell>
        </row>
        <row r="93">
          <cell r="A93" t="str">
            <v xml:space="preserve">SKF-02170.BB                  </v>
          </cell>
          <cell r="B93">
            <v>2170</v>
          </cell>
          <cell r="C93" t="str">
            <v xml:space="preserve">086F-616-SR(BR)-2170; Body                        </v>
          </cell>
          <cell r="D93" t="str">
            <v xml:space="preserve">08-3/4"        </v>
          </cell>
          <cell r="E93" t="str">
            <v xml:space="preserve">Fasken                                            </v>
          </cell>
          <cell r="F93" t="str">
            <v xml:space="preserve">                         </v>
          </cell>
          <cell r="G93" t="str">
            <v xml:space="preserve">Lateral                  </v>
          </cell>
          <cell r="H93" t="str">
            <v xml:space="preserve">Bent Motor               </v>
          </cell>
          <cell r="I93">
            <v>7700</v>
          </cell>
          <cell r="J93">
            <v>14600</v>
          </cell>
          <cell r="K93">
            <v>350</v>
          </cell>
          <cell r="L93">
            <v>300</v>
          </cell>
          <cell r="M93">
            <v>3</v>
          </cell>
          <cell r="N93" t="str">
            <v xml:space="preserve">Straight with PDC                                 </v>
          </cell>
          <cell r="O93">
            <v>0.4</v>
          </cell>
          <cell r="P93">
            <v>0</v>
          </cell>
          <cell r="Q93" t="str">
            <v xml:space="preserve">Single Set               </v>
          </cell>
          <cell r="R93" t="str">
            <v>For Eagleford laterals. 2163 blades were too fat and short. Thinned the blades and made the blades taller (Drillformance DF-616 Lateral bit). Made the spacing small in the cone (.080") and wide in the shoulder (.120"). Added PDC to the wear pads. And removed all knuckles. The center cutters are going to be 1610.</v>
          </cell>
        </row>
        <row r="94">
          <cell r="A94" t="str">
            <v xml:space="preserve">SKF-02169.BB                  </v>
          </cell>
          <cell r="B94">
            <v>2169</v>
          </cell>
          <cell r="C94" t="str">
            <v xml:space="preserve">146F-616-SR+9(K)-2169; Body                       </v>
          </cell>
          <cell r="D94" t="str">
            <v xml:space="preserve">14-3/4"        </v>
          </cell>
          <cell r="E94" t="str">
            <v xml:space="preserve">Predator                                          </v>
          </cell>
          <cell r="F94" t="str">
            <v xml:space="preserve">                         </v>
          </cell>
          <cell r="G94" t="str">
            <v xml:space="preserve">Vertical                 </v>
          </cell>
          <cell r="H94" t="str">
            <v xml:space="preserve">Straight Motor           </v>
          </cell>
          <cell r="I94">
            <v>1401</v>
          </cell>
          <cell r="J94">
            <v>2200</v>
          </cell>
          <cell r="K94">
            <v>160</v>
          </cell>
          <cell r="L94">
            <v>300</v>
          </cell>
          <cell r="M94">
            <v>7</v>
          </cell>
          <cell r="N94" t="str">
            <v xml:space="preserve">Actual gage length 7.16                           </v>
          </cell>
          <cell r="O94">
            <v>0.13900000000000001</v>
          </cell>
          <cell r="P94">
            <v>0</v>
          </cell>
          <cell r="Q94" t="str">
            <v xml:space="preserve">Redundant                </v>
          </cell>
          <cell r="R94" t="str">
            <v>Predator is currently drilling these depths with a 2051 SR. Made the 2169 to make sure the bit makes it to TD with better dull condition. Added XR cutters and knuckles to a 7.16" passive gage with redundant cutting structure. Target ROP for the full interval is 100 ft/hr. The back up cutters and knuckles are set to engage at 400 ft/hr at 165 RPM ( .485"/rev). Very similar to the 2160.</v>
          </cell>
        </row>
        <row r="95">
          <cell r="A95" t="str">
            <v xml:space="preserve">SKF-02167.BB                  </v>
          </cell>
          <cell r="B95">
            <v>2167</v>
          </cell>
          <cell r="C95" t="str">
            <v xml:space="preserve">084F-616-XR(K)(BR)-2167; Body                     </v>
          </cell>
          <cell r="D95" t="str">
            <v xml:space="preserve">08-1/2"        </v>
          </cell>
          <cell r="E95" t="str">
            <v xml:space="preserve">OXY,Fasken                                        </v>
          </cell>
          <cell r="F95" t="str">
            <v xml:space="preserve">                         </v>
          </cell>
          <cell r="G95" t="str">
            <v xml:space="preserve">Lateral                  </v>
          </cell>
          <cell r="H95" t="str">
            <v xml:space="preserve">RSS                      </v>
          </cell>
          <cell r="I95">
            <v>10500</v>
          </cell>
          <cell r="J95">
            <v>19000</v>
          </cell>
          <cell r="K95">
            <v>220</v>
          </cell>
          <cell r="L95">
            <v>120</v>
          </cell>
          <cell r="M95">
            <v>2</v>
          </cell>
          <cell r="N95" t="str">
            <v xml:space="preserve">2 straight                                        </v>
          </cell>
          <cell r="O95">
            <v>0.45</v>
          </cell>
          <cell r="P95">
            <v>0</v>
          </cell>
          <cell r="Q95" t="str">
            <v xml:space="preserve">Single Set               </v>
          </cell>
          <cell r="R95" t="str">
            <v xml:space="preserve">Wolfcamp laterals - prove out in A1 then move to other Wolfcamp intervals
A1 is consistent limestone with sand
Fasken has requested a shorter gauge version of our 8-1/2" 2151 because they are having trouble getting through the curve with anything that has longer than a 3" gauge.  SLB is also requesting a bit with a 2" gauge length.
</v>
          </cell>
        </row>
        <row r="96">
          <cell r="A96" t="str">
            <v xml:space="preserve">SKF-02166.BB                  </v>
          </cell>
          <cell r="B96">
            <v>2166</v>
          </cell>
          <cell r="C96" t="str">
            <v xml:space="preserve">084F-616-XR(K)(BR)-2166; Body                     </v>
          </cell>
          <cell r="D96" t="str">
            <v xml:space="preserve">08-1/2"        </v>
          </cell>
          <cell r="E96" t="str">
            <v xml:space="preserve">Callon                                            </v>
          </cell>
          <cell r="F96" t="str">
            <v xml:space="preserve">Midland                  </v>
          </cell>
          <cell r="G96" t="str">
            <v xml:space="preserve">Lateral                  </v>
          </cell>
          <cell r="H96" t="str">
            <v xml:space="preserve">Bent Motor               </v>
          </cell>
          <cell r="I96">
            <v>10000</v>
          </cell>
          <cell r="J96">
            <v>15000</v>
          </cell>
          <cell r="K96">
            <v>200</v>
          </cell>
          <cell r="L96">
            <v>250</v>
          </cell>
          <cell r="M96">
            <v>2</v>
          </cell>
          <cell r="N96" t="str">
            <v xml:space="preserve">Carbide                                           </v>
          </cell>
          <cell r="O96">
            <v>0</v>
          </cell>
          <cell r="P96">
            <v>0</v>
          </cell>
          <cell r="Q96" t="str">
            <v xml:space="preserve">Single Set               </v>
          </cell>
          <cell r="R96" t="str">
            <v>Took the 2159 designed for the lateral for Fasken and ran one with Calllon. ROP was slow. The 2158 had an active gage. The 2166 has 16mm cutters and a passive gage to help speed up ROP.</v>
          </cell>
        </row>
        <row r="97">
          <cell r="A97" t="str">
            <v xml:space="preserve">SKF-02164.BB                  </v>
          </cell>
          <cell r="B97">
            <v>2164</v>
          </cell>
          <cell r="C97" t="str">
            <v xml:space="preserve">097F-516-XR8(K)(BR)-2164; Body                    </v>
          </cell>
          <cell r="D97" t="str">
            <v xml:space="preserve">09-7/8"        </v>
          </cell>
          <cell r="E97" t="str">
            <v xml:space="preserve">Jagged Peak                                       </v>
          </cell>
          <cell r="F97" t="str">
            <v xml:space="preserve">                         </v>
          </cell>
          <cell r="G97" t="str">
            <v xml:space="preserve">Curve                    </v>
          </cell>
          <cell r="H97" t="str">
            <v xml:space="preserve">Bent Motor               </v>
          </cell>
          <cell r="I97">
            <v>9200</v>
          </cell>
          <cell r="J97">
            <v>10200</v>
          </cell>
          <cell r="K97">
            <v>156</v>
          </cell>
          <cell r="L97">
            <v>35</v>
          </cell>
          <cell r="M97">
            <v>3</v>
          </cell>
          <cell r="N97" t="str">
            <v xml:space="preserve">1" Full/ 2" tapered at 1°                         </v>
          </cell>
          <cell r="O97">
            <v>4.4999999999999998E-2</v>
          </cell>
          <cell r="P97">
            <v>0</v>
          </cell>
          <cell r="Q97" t="str">
            <v xml:space="preserve">Single Set               </v>
          </cell>
          <cell r="R97" t="str">
            <v>Jagged Peak needs a 9-7/8" 516-XR with a 4-1/2" API TJ to drill the curve in West Texas with 8 nozzles.
Back up elements are set at .077 DOC (156 rpm @ 60 ft/hr).
Diamond elements in the 1" full gage pad.</v>
          </cell>
        </row>
        <row r="98">
          <cell r="A98" t="str">
            <v xml:space="preserve">SKF-02163.BB                  </v>
          </cell>
          <cell r="B98">
            <v>2163</v>
          </cell>
          <cell r="C98" t="str">
            <v xml:space="preserve">086F-616-SR(K)(BR)-2163; Body                     </v>
          </cell>
          <cell r="D98" t="str">
            <v xml:space="preserve">08-3/4"        </v>
          </cell>
          <cell r="E98" t="str">
            <v xml:space="preserve">Fasken                                            </v>
          </cell>
          <cell r="F98" t="str">
            <v xml:space="preserve">                         </v>
          </cell>
          <cell r="G98" t="str">
            <v xml:space="preserve">Curve                    </v>
          </cell>
          <cell r="H98" t="str">
            <v xml:space="preserve">Bent Motor               </v>
          </cell>
          <cell r="I98">
            <v>7700</v>
          </cell>
          <cell r="J98">
            <v>14600</v>
          </cell>
          <cell r="K98">
            <v>350</v>
          </cell>
          <cell r="L98">
            <v>300</v>
          </cell>
          <cell r="M98">
            <v>3</v>
          </cell>
          <cell r="N98" t="str">
            <v xml:space="preserve">Straight                                          </v>
          </cell>
          <cell r="O98">
            <v>7.3999999999999996E-2</v>
          </cell>
          <cell r="P98">
            <v>0</v>
          </cell>
          <cell r="Q98" t="str">
            <v xml:space="preserve">Redundant                </v>
          </cell>
          <cell r="R98" t="str">
            <v xml:space="preserve">2163 is for a new market in the Eagleford drilling the curve and lateral for Fasken. Depth in at 7,700' and out at 14,600'. Curve is not too aggressive at 10°/100'. The customer does not have a tool face control problem so we went with an aggressive back rake scheme of 15 in the cone, tapering to 20 just a above the gage cutters. Has 2-13mm gage cutters per blade like the Hughes competitor bits. Designed for instantaneous speeds of 300'/hr. at 350 rpm on a motor trying to average 130'/hr. overall. Knuckles are in YR configuration. Blade relief between the gage and nose only. Bullets set to engage at .171 in DOC.
</v>
          </cell>
        </row>
        <row r="99">
          <cell r="A99" t="str">
            <v xml:space="preserve">SKF-02162.BB                  </v>
          </cell>
          <cell r="B99">
            <v>2162</v>
          </cell>
          <cell r="C99" t="str">
            <v xml:space="preserve">122F-616-XR9(K)(BR)-2162; Body                    </v>
          </cell>
          <cell r="D99" t="str">
            <v xml:space="preserve">12-1/4"        </v>
          </cell>
          <cell r="E99" t="str">
            <v xml:space="preserve">Occidental Petroleum                              </v>
          </cell>
          <cell r="F99" t="str">
            <v xml:space="preserve">Reeves                   </v>
          </cell>
          <cell r="G99" t="str">
            <v xml:space="preserve">Vertical                 </v>
          </cell>
          <cell r="H99" t="str">
            <v xml:space="preserve">Bent Motor               </v>
          </cell>
          <cell r="I99">
            <v>1600</v>
          </cell>
          <cell r="J99">
            <v>10500</v>
          </cell>
          <cell r="K99">
            <v>200</v>
          </cell>
          <cell r="L99">
            <v>400</v>
          </cell>
          <cell r="M99">
            <v>9</v>
          </cell>
          <cell r="N99" t="str">
            <v>8.25" Gage length. 3" straight rest is tapered .03</v>
          </cell>
          <cell r="O99">
            <v>0.4</v>
          </cell>
          <cell r="P99">
            <v>0</v>
          </cell>
          <cell r="Q99" t="str">
            <v xml:space="preserve">Single Set               </v>
          </cell>
          <cell r="R99" t="str">
            <v xml:space="preserve">To prevent more erosion the nozzles were repositioned. Added carbide buttons behind the trimmers and added carbide flats to the 3" of flat wear pad. Added 4 13mm trimmers to help keep bit in gage. </v>
          </cell>
        </row>
        <row r="100">
          <cell r="A100" t="str">
            <v xml:space="preserve">SKF-02161.BB                  </v>
          </cell>
          <cell r="B100">
            <v>2161</v>
          </cell>
          <cell r="C100" t="str">
            <v xml:space="preserve">084F-616-SR(K)-2161; Body                         </v>
          </cell>
          <cell r="D100" t="str">
            <v xml:space="preserve">08-1/2"        </v>
          </cell>
          <cell r="E100" t="str">
            <v xml:space="preserve">Fasken                                            </v>
          </cell>
          <cell r="F100" t="str">
            <v xml:space="preserve">                         </v>
          </cell>
          <cell r="G100" t="str">
            <v xml:space="preserve">Vertical                 </v>
          </cell>
          <cell r="H100" t="str">
            <v xml:space="preserve">Bent Motor               </v>
          </cell>
          <cell r="I100">
            <v>5500</v>
          </cell>
          <cell r="J100">
            <v>11500</v>
          </cell>
          <cell r="K100">
            <v>180</v>
          </cell>
          <cell r="L100">
            <v>90</v>
          </cell>
          <cell r="M100">
            <v>3</v>
          </cell>
          <cell r="N100" t="str">
            <v xml:space="preserve">3 straight                                        </v>
          </cell>
          <cell r="O100">
            <v>0.5</v>
          </cell>
          <cell r="P100">
            <v>0</v>
          </cell>
          <cell r="Q100" t="str">
            <v xml:space="preserve">Single Set               </v>
          </cell>
          <cell r="R100" t="str">
            <v>2161 was made for Fasken. Fasken changed from 7-7/8 to 8-1/2. 2161 is a scaled version of 2131 with the inner knuckles of 2140. .5"/rev for placement of knuckles in XR position.</v>
          </cell>
        </row>
        <row r="101">
          <cell r="A101" t="str">
            <v xml:space="preserve">SKF-02160.BB                  </v>
          </cell>
          <cell r="B101">
            <v>2160</v>
          </cell>
          <cell r="C101" t="str">
            <v xml:space="preserve">174F-616-SR+9(K)-2160; Body                       </v>
          </cell>
          <cell r="D101" t="str">
            <v xml:space="preserve">17-1/2"        </v>
          </cell>
          <cell r="E101" t="str">
            <v xml:space="preserve">Apache,Predator,Pinnergy                          </v>
          </cell>
          <cell r="F101" t="str">
            <v xml:space="preserve">                         </v>
          </cell>
          <cell r="G101" t="str">
            <v xml:space="preserve">Vertical                 </v>
          </cell>
          <cell r="H101" t="str">
            <v xml:space="preserve">Straight Motor           </v>
          </cell>
          <cell r="I101">
            <v>0</v>
          </cell>
          <cell r="J101">
            <v>2000</v>
          </cell>
          <cell r="K101">
            <v>0</v>
          </cell>
          <cell r="L101">
            <v>0</v>
          </cell>
          <cell r="M101">
            <v>9</v>
          </cell>
          <cell r="N101" t="str">
            <v xml:space="preserve">                                                  </v>
          </cell>
          <cell r="O101">
            <v>0</v>
          </cell>
          <cell r="P101">
            <v>0</v>
          </cell>
          <cell r="Q101" t="str">
            <v xml:space="preserve">Redundant                </v>
          </cell>
          <cell r="R101" t="str">
            <v>2160 was to prevent cracking in the bit head to donut weld. Different welding procedure with new welding electrode and different steel for the donut (1018).</v>
          </cell>
        </row>
        <row r="102">
          <cell r="A102" t="str">
            <v xml:space="preserve">SKF-02159.BB                  </v>
          </cell>
          <cell r="B102">
            <v>2159</v>
          </cell>
          <cell r="C102" t="str">
            <v xml:space="preserve">084F-613-XR(K)(BR)-2159; Body                     </v>
          </cell>
          <cell r="D102" t="str">
            <v xml:space="preserve">08-1/2"        </v>
          </cell>
          <cell r="E102" t="str">
            <v xml:space="preserve">OXY,Fasken                                        </v>
          </cell>
          <cell r="F102" t="str">
            <v xml:space="preserve">                         </v>
          </cell>
          <cell r="G102" t="str">
            <v xml:space="preserve">Lateral                  </v>
          </cell>
          <cell r="H102" t="str">
            <v xml:space="preserve">RSS                      </v>
          </cell>
          <cell r="I102">
            <v>10500</v>
          </cell>
          <cell r="J102">
            <v>19000</v>
          </cell>
          <cell r="K102">
            <v>220</v>
          </cell>
          <cell r="L102">
            <v>120</v>
          </cell>
          <cell r="M102">
            <v>2</v>
          </cell>
          <cell r="N102" t="str">
            <v xml:space="preserve">2 straight                                        </v>
          </cell>
          <cell r="O102">
            <v>0.45</v>
          </cell>
          <cell r="P102">
            <v>0</v>
          </cell>
          <cell r="Q102" t="str">
            <v xml:space="preserve">Single Set               </v>
          </cell>
          <cell r="R102" t="str">
            <v xml:space="preserve">Wolfcamp laterals - prove out in A1 then move to other Wolfcamp intervals
A1 is consistent limestone with sand
Fasken has requested a shorter gauge version of our 8-1/2" 2151 because they are having trouble getting through the curve with anything that has longer than a 3" gauge.  SLB is also requesting a bit with a 2" gauge length.
</v>
          </cell>
        </row>
        <row r="103">
          <cell r="A103" t="str">
            <v xml:space="preserve">SKF-02158.BB                  </v>
          </cell>
          <cell r="B103">
            <v>2158</v>
          </cell>
          <cell r="C103" t="str">
            <v xml:space="preserve">110F-616-SR9(K)-2158; Body                        </v>
          </cell>
          <cell r="D103" t="str">
            <v xml:space="preserve">11"            </v>
          </cell>
          <cell r="E103" t="str">
            <v xml:space="preserve">                                                  </v>
          </cell>
          <cell r="F103" t="str">
            <v xml:space="preserve">                         </v>
          </cell>
          <cell r="G103" t="str">
            <v xml:space="preserve">Vertical                 </v>
          </cell>
          <cell r="H103" t="str">
            <v xml:space="preserve">Straight Motor           </v>
          </cell>
          <cell r="I103">
            <v>0</v>
          </cell>
          <cell r="J103">
            <v>5500</v>
          </cell>
          <cell r="K103">
            <v>80</v>
          </cell>
          <cell r="L103">
            <v>200</v>
          </cell>
          <cell r="M103">
            <v>4</v>
          </cell>
          <cell r="N103" t="str">
            <v xml:space="preserve">Standard                                          </v>
          </cell>
          <cell r="O103">
            <v>0.5</v>
          </cell>
          <cell r="P103">
            <v>8.3000000000000004E-2</v>
          </cell>
          <cell r="Q103" t="str">
            <v xml:space="preserve">Redundant                </v>
          </cell>
          <cell r="R103" t="str">
            <v xml:space="preserve">Intermediate interval in the Permian to 5500' on a motor. Redesign 1959:
Cone cutters spaced more
Feathered gage
Carbide knuckles in the cone
4" straight gage
2030 backrake scheme
.500" DOC 6/3 Factor (~.083" tip height offset)
</v>
          </cell>
        </row>
        <row r="104">
          <cell r="A104" t="str">
            <v xml:space="preserve">SKF-02157.BB                  </v>
          </cell>
          <cell r="B104">
            <v>2157</v>
          </cell>
          <cell r="C104" t="str">
            <v xml:space="preserve">122F-616-XR9(K)(BR)-2157; Body                    </v>
          </cell>
          <cell r="D104" t="str">
            <v xml:space="preserve">12-1/4"        </v>
          </cell>
          <cell r="E104" t="str">
            <v xml:space="preserve">Callon                                            </v>
          </cell>
          <cell r="F104" t="str">
            <v xml:space="preserve">Midland                  </v>
          </cell>
          <cell r="G104" t="str">
            <v xml:space="preserve">Vertical                 </v>
          </cell>
          <cell r="H104" t="str">
            <v xml:space="preserve">Straight Motor           </v>
          </cell>
          <cell r="I104">
            <v>1600</v>
          </cell>
          <cell r="J104">
            <v>8400</v>
          </cell>
          <cell r="K104">
            <v>140</v>
          </cell>
          <cell r="L104">
            <v>280</v>
          </cell>
          <cell r="M104">
            <v>4</v>
          </cell>
          <cell r="N104" t="str">
            <v xml:space="preserve">Standard                                          </v>
          </cell>
          <cell r="O104">
            <v>0.4</v>
          </cell>
          <cell r="P104">
            <v>0</v>
          </cell>
          <cell r="Q104" t="str">
            <v xml:space="preserve">Single Set               </v>
          </cell>
          <cell r="R104" t="str">
            <v xml:space="preserve">The back up cutters are set to engage at .4 DOC. modeled after 2138 with 19mm instead of 16mm in the cone to speed up ROP. </v>
          </cell>
        </row>
        <row r="105">
          <cell r="A105" t="str">
            <v xml:space="preserve">SKF-02156.BB                  </v>
          </cell>
          <cell r="B105">
            <v>2156</v>
          </cell>
          <cell r="C105" t="str">
            <v xml:space="preserve">077F-616-SR(K)-2156; Body                         </v>
          </cell>
          <cell r="D105" t="str">
            <v xml:space="preserve">07-7/8"        </v>
          </cell>
          <cell r="E105" t="str">
            <v xml:space="preserve">Fasken                                            </v>
          </cell>
          <cell r="F105" t="str">
            <v xml:space="preserve">                         </v>
          </cell>
          <cell r="G105" t="str">
            <v xml:space="preserve">Vertical                 </v>
          </cell>
          <cell r="H105" t="str">
            <v xml:space="preserve">Straight Motor           </v>
          </cell>
          <cell r="I105">
            <v>1800</v>
          </cell>
          <cell r="J105">
            <v>11500</v>
          </cell>
          <cell r="K105">
            <v>200</v>
          </cell>
          <cell r="L105">
            <v>90</v>
          </cell>
          <cell r="M105">
            <v>3</v>
          </cell>
          <cell r="N105" t="str">
            <v xml:space="preserve">1.5 straight 1.5 Taper @ 1°                       </v>
          </cell>
          <cell r="O105">
            <v>8.3000000000000004E-2</v>
          </cell>
          <cell r="P105">
            <v>0</v>
          </cell>
          <cell r="Q105" t="str">
            <v xml:space="preserve">Single Set               </v>
          </cell>
          <cell r="R105" t="str">
            <v>To TD in one run at 90+ ft/hr. Based on 2131. Two 1613 top load center cutters at 15° backrake. 3" gauge with 1.5" at 1° taper. Carbide knuckles.</v>
          </cell>
        </row>
        <row r="106">
          <cell r="A106" t="str">
            <v xml:space="preserve">SKF-02155.BB                  </v>
          </cell>
          <cell r="B106">
            <v>2155</v>
          </cell>
          <cell r="C106" t="str">
            <v xml:space="preserve">105F-616-XR9(K)(BR)-2155; Body                    </v>
          </cell>
          <cell r="D106" t="str">
            <v xml:space="preserve">10-5/8"        </v>
          </cell>
          <cell r="E106" t="str">
            <v xml:space="preserve">Occidental Petroleum                              </v>
          </cell>
          <cell r="F106" t="str">
            <v xml:space="preserve">Reeves                   </v>
          </cell>
          <cell r="G106" t="str">
            <v xml:space="preserve">Vertical                 </v>
          </cell>
          <cell r="H106" t="str">
            <v xml:space="preserve">Bent Motor               </v>
          </cell>
          <cell r="I106">
            <v>1600</v>
          </cell>
          <cell r="J106">
            <v>10500</v>
          </cell>
          <cell r="K106">
            <v>200</v>
          </cell>
          <cell r="L106">
            <v>100</v>
          </cell>
          <cell r="M106">
            <v>8</v>
          </cell>
          <cell r="N106" t="str">
            <v xml:space="preserve">8.5" Gage length. 3" straight rest is tapered .03 </v>
          </cell>
          <cell r="O106">
            <v>0.4</v>
          </cell>
          <cell r="P106">
            <v>0</v>
          </cell>
          <cell r="Q106" t="str">
            <v xml:space="preserve">Single Set               </v>
          </cell>
          <cell r="R106" t="str">
            <v>2155 is based on 2148 scaled down. TCI Bullets added just above gage, and in straight portion of the gage.</v>
          </cell>
        </row>
        <row r="107">
          <cell r="A107" t="str">
            <v xml:space="preserve">SKF-02154.BB                  </v>
          </cell>
          <cell r="B107">
            <v>2154</v>
          </cell>
          <cell r="C107" t="str">
            <v xml:space="preserve">077F-516-SR(K)-2154; Body                         </v>
          </cell>
          <cell r="D107" t="str">
            <v xml:space="preserve">07-7/8"        </v>
          </cell>
          <cell r="E107" t="str">
            <v xml:space="preserve">XTO                                               </v>
          </cell>
          <cell r="F107" t="str">
            <v xml:space="preserve">                         </v>
          </cell>
          <cell r="G107" t="str">
            <v xml:space="preserve">Vertical                 </v>
          </cell>
          <cell r="H107" t="str">
            <v xml:space="preserve">Bent Motor               </v>
          </cell>
          <cell r="I107">
            <v>1700</v>
          </cell>
          <cell r="J107">
            <v>7500</v>
          </cell>
          <cell r="K107">
            <v>180</v>
          </cell>
          <cell r="L107">
            <v>110</v>
          </cell>
          <cell r="M107">
            <v>3</v>
          </cell>
          <cell r="N107" t="str">
            <v xml:space="preserve">1° Taper                                          </v>
          </cell>
          <cell r="O107">
            <v>0</v>
          </cell>
          <cell r="P107">
            <v>0</v>
          </cell>
          <cell r="Q107" t="str">
            <v xml:space="preserve">Single Set               </v>
          </cell>
          <cell r="R107" t="str">
            <v xml:space="preserve">2154 was designed for XTO, in WTNM. For use on a motor, from 1,700' to 7,500'. Target ROP for the interval is 110'/hr. 2154 is based on 2131 with the bullets moved into the cone and one blade removed. The cone backrakes were made more aggressive (15° to 12.5°). Cutter spacing was reduced in the cone to increase cutter density and durability.
</v>
          </cell>
        </row>
        <row r="108">
          <cell r="A108" t="str">
            <v xml:space="preserve">SKF-02153.BB                  </v>
          </cell>
          <cell r="B108">
            <v>2153</v>
          </cell>
          <cell r="C108" t="str">
            <v xml:space="preserve">122F-713-XR+(K)(BR)-2153; Body                    </v>
          </cell>
          <cell r="D108" t="str">
            <v xml:space="preserve">12-1/4"        </v>
          </cell>
          <cell r="E108" t="str">
            <v xml:space="preserve">Parsley                                           </v>
          </cell>
          <cell r="F108" t="str">
            <v xml:space="preserve">                         </v>
          </cell>
          <cell r="G108" t="str">
            <v xml:space="preserve">Curve                    </v>
          </cell>
          <cell r="H108" t="str">
            <v xml:space="preserve">Bent Motor               </v>
          </cell>
          <cell r="I108">
            <v>8600</v>
          </cell>
          <cell r="J108">
            <v>9100</v>
          </cell>
          <cell r="K108">
            <v>120</v>
          </cell>
          <cell r="L108">
            <v>30</v>
          </cell>
          <cell r="M108">
            <v>3</v>
          </cell>
          <cell r="N108" t="str">
            <v xml:space="preserve">2" Full 1" Taper (.016" per side)                 </v>
          </cell>
          <cell r="O108">
            <v>0.05</v>
          </cell>
          <cell r="P108">
            <v>0</v>
          </cell>
          <cell r="Q108" t="str">
            <v xml:space="preserve">Single Set               </v>
          </cell>
          <cell r="R108" t="str">
            <v>Parsley is currently using rock bits to drill the 500' curve. 7 blade 13mm with active gage.</v>
          </cell>
        </row>
        <row r="109">
          <cell r="A109" t="str">
            <v xml:space="preserve">SKF-02152.BB                  </v>
          </cell>
          <cell r="B109">
            <v>2152</v>
          </cell>
          <cell r="C109" t="str">
            <v xml:space="preserve">066F-516-XR(BR)-2152; Body                        </v>
          </cell>
          <cell r="D109" t="str">
            <v xml:space="preserve">06-3/4"        </v>
          </cell>
          <cell r="E109" t="str">
            <v xml:space="preserve">Oxy                                               </v>
          </cell>
          <cell r="F109" t="str">
            <v xml:space="preserve">                         </v>
          </cell>
          <cell r="G109" t="str">
            <v xml:space="preserve">Lateral                  </v>
          </cell>
          <cell r="H109" t="str">
            <v xml:space="preserve">RSS                      </v>
          </cell>
          <cell r="I109">
            <v>0</v>
          </cell>
          <cell r="J109">
            <v>0</v>
          </cell>
          <cell r="K109">
            <v>0</v>
          </cell>
          <cell r="L109">
            <v>0</v>
          </cell>
          <cell r="M109">
            <v>4</v>
          </cell>
          <cell r="N109" t="str">
            <v xml:space="preserve">1in full + 3in under 1°                           </v>
          </cell>
          <cell r="O109">
            <v>0</v>
          </cell>
          <cell r="P109">
            <v>0</v>
          </cell>
          <cell r="Q109" t="str">
            <v xml:space="preserve">Single Set               </v>
          </cell>
          <cell r="R109" t="str">
            <v>Exact cutting structure of the 2117 with a redesign gage configuration. Added carbide elements to the gage and shorten the age by 1" (4" total 1" full 3" tapered).Designed to specific gauge configuration per Oxy request. Drills the Bone Springs sand/shale lateral in Eddy county NM.</v>
          </cell>
        </row>
        <row r="110">
          <cell r="A110" t="str">
            <v xml:space="preserve">SKF-02151.BB                  </v>
          </cell>
          <cell r="B110">
            <v>2151</v>
          </cell>
          <cell r="C110" t="str">
            <v xml:space="preserve">084F-613-XR(K)(BR)-2151; Body                     </v>
          </cell>
          <cell r="D110" t="str">
            <v xml:space="preserve">08-1/2"        </v>
          </cell>
          <cell r="E110" t="str">
            <v xml:space="preserve">OXY                                               </v>
          </cell>
          <cell r="F110" t="str">
            <v xml:space="preserve">                         </v>
          </cell>
          <cell r="G110" t="str">
            <v xml:space="preserve">Lateral                  </v>
          </cell>
          <cell r="H110" t="str">
            <v xml:space="preserve">RSS                      </v>
          </cell>
          <cell r="I110">
            <v>10500</v>
          </cell>
          <cell r="J110">
            <v>19000</v>
          </cell>
          <cell r="K110">
            <v>220</v>
          </cell>
          <cell r="L110">
            <v>120</v>
          </cell>
          <cell r="M110">
            <v>6</v>
          </cell>
          <cell r="N110" t="str">
            <v xml:space="preserve">2 straight 4 taper 1°                             </v>
          </cell>
          <cell r="O110">
            <v>0.45</v>
          </cell>
          <cell r="P110">
            <v>0</v>
          </cell>
          <cell r="Q110" t="str">
            <v xml:space="preserve">Single Set               </v>
          </cell>
          <cell r="R110" t="str">
            <v>Same as 2143 but with gauge elements to combat gauge wear on previously run 2143 bits.
Wolfcamp laterals - prove out in A1 then move to other Wolfcamp intervals
A1 is consistent limestone with sand</v>
          </cell>
        </row>
        <row r="111">
          <cell r="A111" t="str">
            <v xml:space="preserve">SKF-02150.BB                  </v>
          </cell>
          <cell r="B111">
            <v>2150</v>
          </cell>
          <cell r="C111" t="str">
            <v xml:space="preserve">077F-616-SR(K)-2150; Body                         </v>
          </cell>
          <cell r="D111" t="str">
            <v xml:space="preserve">07-7/8"        </v>
          </cell>
          <cell r="E111" t="str">
            <v xml:space="preserve">Fasken                                            </v>
          </cell>
          <cell r="F111" t="str">
            <v xml:space="preserve">                         </v>
          </cell>
          <cell r="G111" t="str">
            <v xml:space="preserve">Vertical                 </v>
          </cell>
          <cell r="H111" t="str">
            <v xml:space="preserve">Straight Motor           </v>
          </cell>
          <cell r="I111">
            <v>1800</v>
          </cell>
          <cell r="J111">
            <v>7200</v>
          </cell>
          <cell r="K111">
            <v>125</v>
          </cell>
          <cell r="L111">
            <v>200</v>
          </cell>
          <cell r="M111">
            <v>3</v>
          </cell>
          <cell r="N111" t="str">
            <v xml:space="preserve">1 deg taper                                       </v>
          </cell>
          <cell r="O111">
            <v>0.2</v>
          </cell>
          <cell r="P111">
            <v>0</v>
          </cell>
          <cell r="Q111" t="str">
            <v xml:space="preserve">Single Set               </v>
          </cell>
          <cell r="R111" t="str">
            <v>To reduce cone cutter damage in 2140 and 2144. Replaced 1613 cutters with tightly spaced 1313 in the cone with aggressive backrakes to help minimize running slow. Identical to 2140 in profile shape, backrake scheme, DOC target, etc., with only the size and congestion of cutters in the cone being changed.</v>
          </cell>
        </row>
        <row r="112">
          <cell r="A112" t="str">
            <v xml:space="preserve">SKF-02149.BB                  </v>
          </cell>
          <cell r="B112">
            <v>2149</v>
          </cell>
          <cell r="C112" t="str">
            <v xml:space="preserve">_x0010_66F-613-XR(BR)-2149; Body                        </v>
          </cell>
          <cell r="D112" t="str">
            <v xml:space="preserve">06-3/4"        </v>
          </cell>
          <cell r="E112" t="str">
            <v xml:space="preserve">Oxy                                               </v>
          </cell>
          <cell r="F112" t="str">
            <v xml:space="preserve">Eddy                     </v>
          </cell>
          <cell r="G112" t="str">
            <v xml:space="preserve">Lateral                  </v>
          </cell>
          <cell r="H112" t="str">
            <v xml:space="preserve">RSS                      </v>
          </cell>
          <cell r="I112">
            <v>10500</v>
          </cell>
          <cell r="J112">
            <v>15500</v>
          </cell>
          <cell r="K112">
            <v>200</v>
          </cell>
          <cell r="L112">
            <v>108</v>
          </cell>
          <cell r="M112">
            <v>4</v>
          </cell>
          <cell r="N112" t="str">
            <v xml:space="preserve">1" full with 3" @ 1/32" at bottom per side        </v>
          </cell>
          <cell r="O112">
            <v>0.2</v>
          </cell>
          <cell r="P112">
            <v>0</v>
          </cell>
          <cell r="Q112" t="str">
            <v xml:space="preserve">Single Set               </v>
          </cell>
          <cell r="R112" t="str">
            <v>Tapered gauge Oxy request based on SPE paper to help with stability &amp; steerability. Run on motor/RSS combo. 
Drills in the Wolfcamp in Reeves, Loving, Ward, Eddie counties. Dulls range from 0-1 to 1-3. 
2143 Scaled down version</v>
          </cell>
        </row>
        <row r="113">
          <cell r="A113" t="str">
            <v xml:space="preserve">SKF-02148.BB                  </v>
          </cell>
          <cell r="B113">
            <v>2148</v>
          </cell>
          <cell r="C113" t="str">
            <v xml:space="preserve">122F-616-XR9(K)(BR)-2148; Body                    </v>
          </cell>
          <cell r="D113" t="str">
            <v xml:space="preserve">12-1/4"        </v>
          </cell>
          <cell r="E113" t="str">
            <v xml:space="preserve">Occidental Petroleum                              </v>
          </cell>
          <cell r="F113" t="str">
            <v xml:space="preserve">Reeves                   </v>
          </cell>
          <cell r="G113" t="str">
            <v xml:space="preserve">Vertical                 </v>
          </cell>
          <cell r="H113" t="str">
            <v xml:space="preserve">Bent Motor               </v>
          </cell>
          <cell r="I113">
            <v>1600</v>
          </cell>
          <cell r="J113">
            <v>10500</v>
          </cell>
          <cell r="K113">
            <v>200</v>
          </cell>
          <cell r="L113">
            <v>400</v>
          </cell>
          <cell r="M113">
            <v>9</v>
          </cell>
          <cell r="N113" t="str">
            <v>8.25" Gage length. 3" straight rest is tapered .03</v>
          </cell>
          <cell r="O113">
            <v>0.4</v>
          </cell>
          <cell r="P113">
            <v>0</v>
          </cell>
          <cell r="Q113" t="str">
            <v xml:space="preserve">Single Set               </v>
          </cell>
          <cell r="R113" t="str">
            <v>Long gage version of the 2138</v>
          </cell>
        </row>
        <row r="114">
          <cell r="A114" t="str">
            <v xml:space="preserve">SKF-02147.BB                  </v>
          </cell>
          <cell r="B114">
            <v>2147</v>
          </cell>
          <cell r="C114" t="str">
            <v xml:space="preserve">066F-613-XR(BR)-2147; Body                        </v>
          </cell>
          <cell r="D114" t="str">
            <v xml:space="preserve">06-3/4"        </v>
          </cell>
          <cell r="E114" t="str">
            <v xml:space="preserve">Oxy                                               </v>
          </cell>
          <cell r="F114" t="str">
            <v xml:space="preserve">Eddy                     </v>
          </cell>
          <cell r="G114" t="str">
            <v xml:space="preserve">Lateral                  </v>
          </cell>
          <cell r="H114" t="str">
            <v xml:space="preserve">RSS                      </v>
          </cell>
          <cell r="I114">
            <v>10500</v>
          </cell>
          <cell r="J114">
            <v>15500</v>
          </cell>
          <cell r="K114">
            <v>200</v>
          </cell>
          <cell r="L114">
            <v>108</v>
          </cell>
          <cell r="M114">
            <v>6</v>
          </cell>
          <cell r="N114" t="str">
            <v xml:space="preserve">2" full with 4" @ 1/32" at bottom per side        </v>
          </cell>
          <cell r="O114">
            <v>0.2</v>
          </cell>
          <cell r="P114">
            <v>0</v>
          </cell>
          <cell r="Q114" t="str">
            <v xml:space="preserve">Single Set               </v>
          </cell>
          <cell r="R114" t="str">
            <v>Tapered gauge Oxy request based on SPE paper to help with stability &amp; steerability. Run on motor/RSS combo. 
Drills in the Wolfcamp in Reeves, Loving, Ward, Eddie counties. Dulls range from 0-1 to 1-3. 
2143 Scaled down version</v>
          </cell>
        </row>
        <row r="115">
          <cell r="A115" t="str">
            <v xml:space="preserve">SKF-02146.BB                  </v>
          </cell>
          <cell r="B115">
            <v>2146</v>
          </cell>
          <cell r="C115" t="str">
            <v xml:space="preserve">122F-613-XR(K)(BR)-2146; Body                     </v>
          </cell>
          <cell r="D115" t="str">
            <v xml:space="preserve">12-1/4"        </v>
          </cell>
          <cell r="E115" t="str">
            <v xml:space="preserve">Occidental Petroleum                              </v>
          </cell>
          <cell r="F115" t="str">
            <v xml:space="preserve">                         </v>
          </cell>
          <cell r="G115" t="str">
            <v xml:space="preserve">Vertical                 </v>
          </cell>
          <cell r="H115" t="str">
            <v xml:space="preserve">Bent Motor               </v>
          </cell>
          <cell r="I115">
            <v>5000</v>
          </cell>
          <cell r="J115">
            <v>10000</v>
          </cell>
          <cell r="K115">
            <v>202</v>
          </cell>
          <cell r="L115">
            <v>90</v>
          </cell>
          <cell r="M115">
            <v>9625</v>
          </cell>
          <cell r="N115" t="str">
            <v xml:space="preserve">Straight 3" Rest is tapered .03125" at bottom     </v>
          </cell>
          <cell r="O115">
            <v>0.25</v>
          </cell>
          <cell r="P115">
            <v>0</v>
          </cell>
          <cell r="Q115" t="str">
            <v xml:space="preserve">Single Set               </v>
          </cell>
          <cell r="R115" t="str">
            <v xml:space="preserve">This is the bottom hole bit for the 12.25 section that OXY has been struggling. </v>
          </cell>
        </row>
        <row r="116">
          <cell r="A116" t="str">
            <v xml:space="preserve">SKF-02145.BB                  </v>
          </cell>
          <cell r="B116">
            <v>2145</v>
          </cell>
          <cell r="C116" t="str">
            <v xml:space="preserve">105F-716-XR(K)(BR)-2145; Body                     </v>
          </cell>
          <cell r="D116" t="str">
            <v xml:space="preserve">10-5/8"        </v>
          </cell>
          <cell r="E116" t="str">
            <v xml:space="preserve">XTO                                               </v>
          </cell>
          <cell r="F116" t="str">
            <v xml:space="preserve">                         </v>
          </cell>
          <cell r="G116" t="str">
            <v xml:space="preserve">Vertical                 </v>
          </cell>
          <cell r="H116" t="str">
            <v xml:space="preserve">Bent Motor               </v>
          </cell>
          <cell r="I116">
            <v>450</v>
          </cell>
          <cell r="J116">
            <v>8200</v>
          </cell>
          <cell r="K116">
            <v>190</v>
          </cell>
          <cell r="L116">
            <v>150</v>
          </cell>
          <cell r="M116">
            <v>6</v>
          </cell>
          <cell r="N116" t="str">
            <v xml:space="preserve">                                                  </v>
          </cell>
          <cell r="O116">
            <v>0.2</v>
          </cell>
          <cell r="P116">
            <v>0</v>
          </cell>
          <cell r="Q116" t="str">
            <v xml:space="preserve">Single Set               </v>
          </cell>
          <cell r="R116" t="str">
            <v xml:space="preserve">Midland Basin Sprayberry Intermediate - 1 bit to TD </v>
          </cell>
        </row>
        <row r="117">
          <cell r="A117" t="str">
            <v xml:space="preserve">SKF-02144.BB                  </v>
          </cell>
          <cell r="B117">
            <v>2144</v>
          </cell>
          <cell r="C117" t="str">
            <v xml:space="preserve">077F-616-SR(K)-2144; Body                         </v>
          </cell>
          <cell r="D117" t="str">
            <v xml:space="preserve">07-7/8"        </v>
          </cell>
          <cell r="E117" t="str">
            <v xml:space="preserve">XTO, Fasken                                       </v>
          </cell>
          <cell r="F117" t="str">
            <v xml:space="preserve">                         </v>
          </cell>
          <cell r="G117" t="str">
            <v xml:space="preserve">Vertical                 </v>
          </cell>
          <cell r="H117" t="str">
            <v xml:space="preserve">Straight Motor           </v>
          </cell>
          <cell r="I117">
            <v>1800</v>
          </cell>
          <cell r="J117">
            <v>7200</v>
          </cell>
          <cell r="K117">
            <v>125</v>
          </cell>
          <cell r="L117">
            <v>200</v>
          </cell>
          <cell r="M117">
            <v>3</v>
          </cell>
          <cell r="N117" t="str">
            <v xml:space="preserve">1 deg taper                                       </v>
          </cell>
          <cell r="O117">
            <v>0.2</v>
          </cell>
          <cell r="P117">
            <v>0</v>
          </cell>
          <cell r="Q117" t="str">
            <v xml:space="preserve">Single Set               </v>
          </cell>
          <cell r="R117" t="str">
            <v xml:space="preserve">To reduce cone cutter damage in 2131 and 2140 XTO and Fasken motor application. Based on 2140 - moved cutter #1 closer to center and reduced cutter spacing in the cone. 
</v>
          </cell>
        </row>
        <row r="118">
          <cell r="A118" t="str">
            <v xml:space="preserve">SKF-02143.BB                  </v>
          </cell>
          <cell r="B118">
            <v>2143</v>
          </cell>
          <cell r="C118" t="str">
            <v xml:space="preserve">084F-613-XR(BR)-2143; Body                        </v>
          </cell>
          <cell r="D118" t="str">
            <v xml:space="preserve">08-1/2"        </v>
          </cell>
          <cell r="E118" t="str">
            <v xml:space="preserve">OXY                                               </v>
          </cell>
          <cell r="F118" t="str">
            <v xml:space="preserve">                         </v>
          </cell>
          <cell r="G118" t="str">
            <v xml:space="preserve">Lateral                  </v>
          </cell>
          <cell r="H118" t="str">
            <v xml:space="preserve">RSS                      </v>
          </cell>
          <cell r="I118">
            <v>10500</v>
          </cell>
          <cell r="J118">
            <v>19000</v>
          </cell>
          <cell r="K118">
            <v>220</v>
          </cell>
          <cell r="L118">
            <v>120</v>
          </cell>
          <cell r="M118">
            <v>6</v>
          </cell>
          <cell r="N118" t="str">
            <v xml:space="preserve">2 straight 4 taper 1°                             </v>
          </cell>
          <cell r="O118">
            <v>0.45</v>
          </cell>
          <cell r="P118">
            <v>0</v>
          </cell>
          <cell r="Q118" t="str">
            <v xml:space="preserve">Single Set               </v>
          </cell>
          <cell r="R118" t="str">
            <v>Wolfcamp laterals - prove out in A1 then move to other Wolfcamp intervals
A1 is consistent limestone with sand</v>
          </cell>
        </row>
        <row r="119">
          <cell r="A119" t="str">
            <v xml:space="preserve">SKF-02142.BB                  </v>
          </cell>
          <cell r="B119">
            <v>2142</v>
          </cell>
          <cell r="C119" t="str">
            <v xml:space="preserve">086F-616-SR(K)-2142; Body                         </v>
          </cell>
          <cell r="D119" t="str">
            <v xml:space="preserve">08-3/4"        </v>
          </cell>
          <cell r="E119" t="str">
            <v xml:space="preserve">XTO &amp; Fasken                                      </v>
          </cell>
          <cell r="F119" t="str">
            <v xml:space="preserve">                         </v>
          </cell>
          <cell r="G119" t="str">
            <v xml:space="preserve">Vertical                 </v>
          </cell>
          <cell r="H119" t="str">
            <v xml:space="preserve">Straight Motor           </v>
          </cell>
          <cell r="I119">
            <v>0</v>
          </cell>
          <cell r="J119">
            <v>0</v>
          </cell>
          <cell r="K119">
            <v>0</v>
          </cell>
          <cell r="L119">
            <v>0</v>
          </cell>
          <cell r="M119">
            <v>3</v>
          </cell>
          <cell r="N119" t="str">
            <v xml:space="preserve">1 deg taper                                       </v>
          </cell>
          <cell r="O119">
            <v>0.16700000000000001</v>
          </cell>
          <cell r="P119">
            <v>0</v>
          </cell>
          <cell r="Q119" t="str">
            <v xml:space="preserve">Single Set               </v>
          </cell>
          <cell r="R119" t="str">
            <v>Scaled up copy of 7-7/8" 2140 based on its success in vertical motor intervals for XTO and Fasken</v>
          </cell>
        </row>
        <row r="120">
          <cell r="A120" t="str">
            <v xml:space="preserve">SKF-02141.BB                  </v>
          </cell>
          <cell r="B120">
            <v>2141</v>
          </cell>
          <cell r="C120" t="str">
            <v xml:space="preserve">122F-616-XR9(K)(BR)-2141; Body                    </v>
          </cell>
          <cell r="D120" t="str">
            <v xml:space="preserve">12-1/4"        </v>
          </cell>
          <cell r="E120" t="str">
            <v xml:space="preserve">Callon                                            </v>
          </cell>
          <cell r="F120" t="str">
            <v xml:space="preserve">Midland                  </v>
          </cell>
          <cell r="G120" t="str">
            <v xml:space="preserve">Vertical                 </v>
          </cell>
          <cell r="H120" t="str">
            <v xml:space="preserve">Straight Motor           </v>
          </cell>
          <cell r="I120">
            <v>5500</v>
          </cell>
          <cell r="J120">
            <v>8400</v>
          </cell>
          <cell r="K120">
            <v>180</v>
          </cell>
          <cell r="L120">
            <v>200</v>
          </cell>
          <cell r="M120">
            <v>3</v>
          </cell>
          <cell r="N120" t="str">
            <v xml:space="preserve">Standard                                          </v>
          </cell>
          <cell r="O120">
            <v>0.25</v>
          </cell>
          <cell r="P120">
            <v>0</v>
          </cell>
          <cell r="Q120" t="str">
            <v xml:space="preserve">Single Set               </v>
          </cell>
          <cell r="R120" t="str">
            <v>Bottom hole bit for Callon and others. Standard profile shape to reduce cutter count. Backup cutters at .009" tip height relief.</v>
          </cell>
        </row>
        <row r="121">
          <cell r="A121" t="str">
            <v xml:space="preserve">SKF-02140.BB                  </v>
          </cell>
          <cell r="B121">
            <v>2140</v>
          </cell>
          <cell r="C121" t="str">
            <v xml:space="preserve">077F-616-SR(K)-2140; Body                         </v>
          </cell>
          <cell r="D121" t="str">
            <v xml:space="preserve">07-7/8"        </v>
          </cell>
          <cell r="E121" t="str">
            <v xml:space="preserve">XTO, Fasken                                       </v>
          </cell>
          <cell r="F121" t="str">
            <v xml:space="preserve">                         </v>
          </cell>
          <cell r="G121" t="str">
            <v xml:space="preserve">Vertical                 </v>
          </cell>
          <cell r="H121" t="str">
            <v xml:space="preserve">Straight Motor           </v>
          </cell>
          <cell r="I121">
            <v>1800</v>
          </cell>
          <cell r="J121">
            <v>7200</v>
          </cell>
          <cell r="K121">
            <v>125</v>
          </cell>
          <cell r="L121">
            <v>200</v>
          </cell>
          <cell r="M121">
            <v>3</v>
          </cell>
          <cell r="N121" t="str">
            <v xml:space="preserve">1 deg taper                                       </v>
          </cell>
          <cell r="O121">
            <v>0.2</v>
          </cell>
          <cell r="P121">
            <v>0</v>
          </cell>
          <cell r="Q121" t="str">
            <v xml:space="preserve">Single Set               </v>
          </cell>
          <cell r="R121" t="str">
            <v>Modified successful 2131 design based on input from Exxon/Mobil: center cutter spaced .100" from center, chip evacuation relief on blades at center, knuckles moved inward and set to engage at .200"/rev instead of .086"/rev</v>
          </cell>
        </row>
        <row r="122">
          <cell r="A122" t="str">
            <v xml:space="preserve">SKF-02139.BB                  </v>
          </cell>
          <cell r="B122">
            <v>2139</v>
          </cell>
          <cell r="C122" t="str">
            <v xml:space="preserve">077F-616-SR(K)-2139; Body                         </v>
          </cell>
          <cell r="D122" t="str">
            <v xml:space="preserve">07-7/8"        </v>
          </cell>
          <cell r="E122" t="str">
            <v xml:space="preserve">Multiple                                          </v>
          </cell>
          <cell r="F122" t="str">
            <v xml:space="preserve">                         </v>
          </cell>
          <cell r="G122" t="str">
            <v xml:space="preserve">Vertical                 </v>
          </cell>
          <cell r="H122" t="str">
            <v xml:space="preserve">Straight Motor           </v>
          </cell>
          <cell r="I122">
            <v>1800</v>
          </cell>
          <cell r="J122">
            <v>7200</v>
          </cell>
          <cell r="K122">
            <v>0</v>
          </cell>
          <cell r="L122">
            <v>0</v>
          </cell>
          <cell r="M122">
            <v>0</v>
          </cell>
          <cell r="N122" t="str">
            <v xml:space="preserve">                                                  </v>
          </cell>
          <cell r="O122">
            <v>0</v>
          </cell>
          <cell r="P122">
            <v>0</v>
          </cell>
          <cell r="Q122" t="str">
            <v xml:space="preserve">Single Set               </v>
          </cell>
          <cell r="R122" t="str">
            <v xml:space="preserve">West Texas, 1800'-7200' on Motor
West Texas, 5000-11,800' interval on Rotary
2031 with "XR" bullets in place of YR backup cutters, bullets at .030" relief, backrake same as 1986 &amp; 2031 but with smoother gauge transition, single set vs redundant 1896 &amp; 2031
Testing on Saga to 3050' in Ward county with PH cutters on rotary, RH cutters on motor. 
</v>
          </cell>
        </row>
        <row r="123">
          <cell r="A123" t="str">
            <v xml:space="preserve">SKF-02138.BB                  </v>
          </cell>
          <cell r="B123">
            <v>2138</v>
          </cell>
          <cell r="C123" t="str">
            <v xml:space="preserve">122F-616-XR9(K)(BR)-2138; Body                    </v>
          </cell>
          <cell r="D123" t="str">
            <v xml:space="preserve">12-1/4"        </v>
          </cell>
          <cell r="E123" t="str">
            <v xml:space="preserve">Callon                                            </v>
          </cell>
          <cell r="F123" t="str">
            <v xml:space="preserve">Midland                  </v>
          </cell>
          <cell r="G123" t="str">
            <v xml:space="preserve">Vertical                 </v>
          </cell>
          <cell r="H123" t="str">
            <v xml:space="preserve">Straight Motor           </v>
          </cell>
          <cell r="I123">
            <v>1600</v>
          </cell>
          <cell r="J123">
            <v>8400</v>
          </cell>
          <cell r="K123">
            <v>140</v>
          </cell>
          <cell r="L123">
            <v>280</v>
          </cell>
          <cell r="M123">
            <v>4</v>
          </cell>
          <cell r="N123" t="str">
            <v xml:space="preserve">Standard                                          </v>
          </cell>
          <cell r="O123">
            <v>0.4</v>
          </cell>
          <cell r="P123">
            <v>0</v>
          </cell>
          <cell r="Q123" t="str">
            <v xml:space="preserve">Single Set               </v>
          </cell>
          <cell r="R123" t="str">
            <v>2134 was having blade cracking. 2138 has the same cutting structure as 2134 but with shorter blades.</v>
          </cell>
        </row>
        <row r="124">
          <cell r="A124" t="str">
            <v xml:space="preserve">SKF-02137.BB                  </v>
          </cell>
          <cell r="B124">
            <v>2137</v>
          </cell>
          <cell r="C124" t="str">
            <v xml:space="preserve">110F-519-SR8-2137; Body                           </v>
          </cell>
          <cell r="D124" t="str">
            <v xml:space="preserve">11"            </v>
          </cell>
          <cell r="E124" t="str">
            <v xml:space="preserve">XTO                                               </v>
          </cell>
          <cell r="F124" t="str">
            <v xml:space="preserve">                         </v>
          </cell>
          <cell r="G124" t="str">
            <v xml:space="preserve">Vertical                 </v>
          </cell>
          <cell r="H124" t="str">
            <v xml:space="preserve">Rotary                   </v>
          </cell>
          <cell r="I124">
            <v>0</v>
          </cell>
          <cell r="J124">
            <v>1700</v>
          </cell>
          <cell r="K124">
            <v>110</v>
          </cell>
          <cell r="L124">
            <v>275</v>
          </cell>
          <cell r="M124">
            <v>3</v>
          </cell>
          <cell r="N124" t="str">
            <v xml:space="preserve">                                                  </v>
          </cell>
          <cell r="O124">
            <v>0</v>
          </cell>
          <cell r="P124">
            <v>0</v>
          </cell>
          <cell r="Q124" t="str">
            <v xml:space="preserve">Single Set               </v>
          </cell>
          <cell r="R124" t="str">
            <v xml:space="preserve">XTO was running Ulterra 516 and was looking for a faster surface bit. </v>
          </cell>
        </row>
        <row r="125">
          <cell r="A125" t="str">
            <v xml:space="preserve">SKF-02136.BB                  </v>
          </cell>
          <cell r="B125">
            <v>2136</v>
          </cell>
          <cell r="C125" t="str">
            <v xml:space="preserve">061F-511-SR(BR)-2136; Body                        </v>
          </cell>
          <cell r="D125" t="str">
            <v xml:space="preserve">06-1/8"        </v>
          </cell>
          <cell r="E125" t="str">
            <v xml:space="preserve">Anadarko                                          </v>
          </cell>
          <cell r="F125" t="str">
            <v xml:space="preserve">                         </v>
          </cell>
          <cell r="G125" t="str">
            <v xml:space="preserve">Lateral                  </v>
          </cell>
          <cell r="H125" t="str">
            <v xml:space="preserve">Bent Motor               </v>
          </cell>
          <cell r="I125">
            <v>0</v>
          </cell>
          <cell r="J125">
            <v>0</v>
          </cell>
          <cell r="K125">
            <v>0</v>
          </cell>
          <cell r="L125">
            <v>0</v>
          </cell>
          <cell r="M125">
            <v>2</v>
          </cell>
          <cell r="N125" t="str">
            <v xml:space="preserve">2.5" straight gauge                               </v>
          </cell>
          <cell r="O125">
            <v>0</v>
          </cell>
          <cell r="P125">
            <v>0</v>
          </cell>
          <cell r="Q125" t="str">
            <v xml:space="preserve">Single Set               </v>
          </cell>
          <cell r="R125" t="str">
            <v>To drill Wolfcamp laterals. Mimicked 2126 cutting structure but with shorter gauge.</v>
          </cell>
        </row>
        <row r="126">
          <cell r="A126" t="str">
            <v xml:space="preserve">SKF-02135.BB                  </v>
          </cell>
          <cell r="B126">
            <v>2135</v>
          </cell>
          <cell r="C126" t="str">
            <v xml:space="preserve">110F-616-SR9(K)-2135; Body                        </v>
          </cell>
          <cell r="D126" t="str">
            <v xml:space="preserve">11"            </v>
          </cell>
          <cell r="E126" t="str">
            <v xml:space="preserve">Fasken                                            </v>
          </cell>
          <cell r="F126" t="str">
            <v xml:space="preserve">Midland                  </v>
          </cell>
          <cell r="G126" t="str">
            <v xml:space="preserve">Vertical                 </v>
          </cell>
          <cell r="H126" t="str">
            <v xml:space="preserve">Straight Motor           </v>
          </cell>
          <cell r="I126">
            <v>400</v>
          </cell>
          <cell r="J126">
            <v>5500</v>
          </cell>
          <cell r="K126">
            <v>165</v>
          </cell>
          <cell r="L126">
            <v>150</v>
          </cell>
          <cell r="M126">
            <v>3</v>
          </cell>
          <cell r="N126" t="str">
            <v xml:space="preserve">Standard                                          </v>
          </cell>
          <cell r="O126">
            <v>0.22</v>
          </cell>
          <cell r="P126">
            <v>0.188</v>
          </cell>
          <cell r="Q126" t="str">
            <v xml:space="preserve">Redundant                </v>
          </cell>
          <cell r="R126" t="str">
            <v>Fasken in Midland county. Goal is to drill in 37 hrs or faster to a depth of 5550' at 130rpm with 40k and change run parameters when about to reach the san andres. Take the 1978 with 15° backrakes and make it 6/3 by .188 and add diamond knuckles underexposed by -.030" so that they do not engage the rock.</v>
          </cell>
        </row>
        <row r="127">
          <cell r="A127" t="str">
            <v xml:space="preserve">SKF-02134.BB                  </v>
          </cell>
          <cell r="B127">
            <v>2134</v>
          </cell>
          <cell r="C127" t="str">
            <v xml:space="preserve">122F-616-XR9(K)(BR)-2134; Body                    </v>
          </cell>
          <cell r="D127" t="str">
            <v xml:space="preserve">12-1/4"        </v>
          </cell>
          <cell r="E127" t="str">
            <v xml:space="preserve">Callon                                            </v>
          </cell>
          <cell r="F127" t="str">
            <v xml:space="preserve">Midland                  </v>
          </cell>
          <cell r="G127" t="str">
            <v xml:space="preserve">Vertical                 </v>
          </cell>
          <cell r="H127" t="str">
            <v xml:space="preserve">Straight Motor           </v>
          </cell>
          <cell r="I127">
            <v>1600</v>
          </cell>
          <cell r="J127">
            <v>8400</v>
          </cell>
          <cell r="K127">
            <v>140</v>
          </cell>
          <cell r="L127">
            <v>280</v>
          </cell>
          <cell r="M127">
            <v>4</v>
          </cell>
          <cell r="N127" t="str">
            <v xml:space="preserve">Standard                                          </v>
          </cell>
          <cell r="O127">
            <v>0.4</v>
          </cell>
          <cell r="P127">
            <v>0</v>
          </cell>
          <cell r="Q127" t="str">
            <v xml:space="preserve">Single Set               </v>
          </cell>
          <cell r="R127" t="str">
            <v>Ran a 2078 the first time and had decent ROP and great dull condition. Customer wanted the bit to drill faster. 2134 is the same as the 2133 except the back up cutters were dropped to increase ROP and set to engage at .4 DOC. Also the PDC wear elements on the gage were removed.</v>
          </cell>
        </row>
        <row r="128">
          <cell r="A128" t="str">
            <v xml:space="preserve">SKF-02133.BB                  </v>
          </cell>
          <cell r="B128">
            <v>2133</v>
          </cell>
          <cell r="C128" t="str">
            <v xml:space="preserve">122F-616-XR9(K)(BR)-2133; Body                    </v>
          </cell>
          <cell r="D128" t="str">
            <v xml:space="preserve">12-1/4"        </v>
          </cell>
          <cell r="E128" t="str">
            <v xml:space="preserve">Oxy                                               </v>
          </cell>
          <cell r="F128" t="str">
            <v xml:space="preserve">Reeves                   </v>
          </cell>
          <cell r="G128" t="str">
            <v xml:space="preserve">Vertical                 </v>
          </cell>
          <cell r="H128" t="str">
            <v xml:space="preserve">Straight Motor           </v>
          </cell>
          <cell r="I128">
            <v>7500</v>
          </cell>
          <cell r="J128">
            <v>8500</v>
          </cell>
          <cell r="K128">
            <v>110</v>
          </cell>
          <cell r="L128">
            <v>100</v>
          </cell>
          <cell r="M128">
            <v>6</v>
          </cell>
          <cell r="N128" t="str">
            <v xml:space="preserve">Diamond Wear Elements &amp; Backreamers               </v>
          </cell>
          <cell r="O128">
            <v>0.18099999999999999</v>
          </cell>
          <cell r="P128">
            <v>0</v>
          </cell>
          <cell r="Q128" t="str">
            <v xml:space="preserve">Single Set               </v>
          </cell>
          <cell r="R128" t="str">
            <v xml:space="preserve">Follow up bit to the 2130. Designed to go in around 7500' and drill at least 1000'. </v>
          </cell>
        </row>
        <row r="129">
          <cell r="A129" t="str">
            <v xml:space="preserve">SKF-02131.BB                  </v>
          </cell>
          <cell r="B129">
            <v>2131</v>
          </cell>
          <cell r="C129" t="str">
            <v xml:space="preserve">077F-616-SR(K)-2131; Body                         </v>
          </cell>
          <cell r="D129" t="str">
            <v xml:space="preserve">07-7/8"        </v>
          </cell>
          <cell r="E129" t="str">
            <v xml:space="preserve">Multiple                                          </v>
          </cell>
          <cell r="F129" t="str">
            <v xml:space="preserve">                         </v>
          </cell>
          <cell r="G129" t="str">
            <v xml:space="preserve">Vertical                 </v>
          </cell>
          <cell r="H129" t="str">
            <v xml:space="preserve">Straight Motor           </v>
          </cell>
          <cell r="I129">
            <v>1800</v>
          </cell>
          <cell r="J129">
            <v>7200</v>
          </cell>
          <cell r="K129">
            <v>0</v>
          </cell>
          <cell r="L129">
            <v>0</v>
          </cell>
          <cell r="M129">
            <v>0</v>
          </cell>
          <cell r="N129" t="str">
            <v xml:space="preserve">                                                  </v>
          </cell>
          <cell r="O129">
            <v>0</v>
          </cell>
          <cell r="P129">
            <v>0</v>
          </cell>
          <cell r="Q129" t="str">
            <v xml:space="preserve">Single Set               </v>
          </cell>
          <cell r="R129" t="str">
            <v xml:space="preserve">West Texas, 1800'-7200' on Motor
West Texas, 5000-11,800' interval on Rotary
2031 with "XR" bullets in place of YR backup cutters, bullets at .030" relief, backrake same as 1986 &amp; 2031 but with smoother gauge transition, single set vs redundant 1896 &amp; 2031
Testing on Saga to 3050' in Ward county with PH cutters on rotary, RH cutters on motor. 
</v>
          </cell>
        </row>
        <row r="130">
          <cell r="A130" t="str">
            <v xml:space="preserve">SKF-02130.BB                  </v>
          </cell>
          <cell r="B130">
            <v>2130</v>
          </cell>
          <cell r="C130" t="str">
            <v xml:space="preserve">122F-616-XR9(K)(BR)-2130; Body                    </v>
          </cell>
          <cell r="D130" t="str">
            <v xml:space="preserve">12-1/4"        </v>
          </cell>
          <cell r="E130" t="str">
            <v xml:space="preserve">Oxy                                               </v>
          </cell>
          <cell r="F130" t="str">
            <v xml:space="preserve">Reeves                   </v>
          </cell>
          <cell r="G130" t="str">
            <v xml:space="preserve">Vertical                 </v>
          </cell>
          <cell r="H130" t="str">
            <v xml:space="preserve">Straight Motor           </v>
          </cell>
          <cell r="I130">
            <v>1400</v>
          </cell>
          <cell r="J130">
            <v>7500</v>
          </cell>
          <cell r="K130">
            <v>110</v>
          </cell>
          <cell r="L130">
            <v>250</v>
          </cell>
          <cell r="M130">
            <v>6</v>
          </cell>
          <cell r="N130" t="str">
            <v xml:space="preserve">Diamond Wear Elements &amp; Backreamers               </v>
          </cell>
          <cell r="O130">
            <v>0.45</v>
          </cell>
          <cell r="P130">
            <v>0</v>
          </cell>
          <cell r="Q130" t="str">
            <v xml:space="preserve">Single Set               </v>
          </cell>
          <cell r="R130" t="str">
            <v xml:space="preserve">Drill-out 12-1/4" on motor and RSS, drilling to destructive formations at 7500'. Current bits make it to 7000'. Will follow with 12-1/4" 2133 through destructive intervals. </v>
          </cell>
        </row>
        <row r="131">
          <cell r="A131" t="str">
            <v xml:space="preserve">SKF-02129.BB                  </v>
          </cell>
          <cell r="B131">
            <v>2129</v>
          </cell>
          <cell r="C131" t="str">
            <v xml:space="preserve">084F-516-SR(K)(BR)-2129; Body                     </v>
          </cell>
          <cell r="D131" t="str">
            <v xml:space="preserve">08-1/2"        </v>
          </cell>
          <cell r="E131" t="str">
            <v xml:space="preserve">Marathon                                          </v>
          </cell>
          <cell r="F131" t="str">
            <v xml:space="preserve">Atascosa                 </v>
          </cell>
          <cell r="G131" t="str">
            <v xml:space="preserve">Lateral                  </v>
          </cell>
          <cell r="H131" t="str">
            <v xml:space="preserve">Bent Motor               </v>
          </cell>
          <cell r="I131">
            <v>10600</v>
          </cell>
          <cell r="J131">
            <v>16000</v>
          </cell>
          <cell r="K131">
            <v>0</v>
          </cell>
          <cell r="L131">
            <v>0</v>
          </cell>
          <cell r="M131">
            <v>2</v>
          </cell>
          <cell r="N131" t="str">
            <v xml:space="preserve">Diamond Wear Elements &amp; Backreamers               </v>
          </cell>
          <cell r="O131">
            <v>0.1</v>
          </cell>
          <cell r="P131">
            <v>0</v>
          </cell>
          <cell r="Q131" t="str">
            <v xml:space="preserve">Single Set               </v>
          </cell>
          <cell r="R131" t="str">
            <v/>
          </cell>
        </row>
        <row r="132">
          <cell r="A132" t="str">
            <v xml:space="preserve">SKF-02128.BB                  </v>
          </cell>
          <cell r="B132">
            <v>2128</v>
          </cell>
          <cell r="C132" t="str">
            <v xml:space="preserve">084F-617-SR(K)(BR)-2128; Body                     </v>
          </cell>
          <cell r="D132" t="str">
            <v xml:space="preserve">08-1/2"        </v>
          </cell>
          <cell r="E132" t="str">
            <v xml:space="preserve">Marathon                                          </v>
          </cell>
          <cell r="F132" t="str">
            <v xml:space="preserve">Atascosa                 </v>
          </cell>
          <cell r="G132" t="str">
            <v xml:space="preserve">Vertical                 </v>
          </cell>
          <cell r="H132" t="str">
            <v xml:space="preserve">Straight Motor           </v>
          </cell>
          <cell r="I132">
            <v>5300</v>
          </cell>
          <cell r="J132">
            <v>10600</v>
          </cell>
          <cell r="K132">
            <v>220</v>
          </cell>
          <cell r="L132">
            <v>280</v>
          </cell>
          <cell r="M132">
            <v>2</v>
          </cell>
          <cell r="N132" t="str">
            <v xml:space="preserve">Backreamers                                       </v>
          </cell>
          <cell r="O132">
            <v>0.255</v>
          </cell>
          <cell r="P132">
            <v>0</v>
          </cell>
          <cell r="Q132" t="str">
            <v xml:space="preserve">Single Set               </v>
          </cell>
          <cell r="R132" t="str">
            <v>Drill-out to KOP</v>
          </cell>
        </row>
        <row r="133">
          <cell r="A133" t="str">
            <v xml:space="preserve">SKF-02127.BB                  </v>
          </cell>
          <cell r="B133">
            <v>2127</v>
          </cell>
          <cell r="C133" t="str">
            <v xml:space="preserve">086F-713-XR(K)-2127; Body                         </v>
          </cell>
          <cell r="D133" t="str">
            <v xml:space="preserve">08-3/4"        </v>
          </cell>
          <cell r="E133" t="str">
            <v xml:space="preserve">Valence                                           </v>
          </cell>
          <cell r="F133" t="str">
            <v xml:space="preserve">Harrison                 </v>
          </cell>
          <cell r="G133" t="str">
            <v xml:space="preserve">Lateral                  </v>
          </cell>
          <cell r="H133" t="str">
            <v xml:space="preserve">Bent Motor               </v>
          </cell>
          <cell r="I133">
            <v>11500</v>
          </cell>
          <cell r="J133">
            <v>16000</v>
          </cell>
          <cell r="K133">
            <v>230</v>
          </cell>
          <cell r="L133">
            <v>52</v>
          </cell>
          <cell r="M133">
            <v>2</v>
          </cell>
          <cell r="N133" t="str">
            <v xml:space="preserve">Diamond Wear Elements                             </v>
          </cell>
          <cell r="O133">
            <v>0.06</v>
          </cell>
          <cell r="P133">
            <v>0</v>
          </cell>
          <cell r="Q133" t="str">
            <v xml:space="preserve">                         </v>
          </cell>
          <cell r="R133" t="str">
            <v xml:space="preserve">Drill 1300' at 40+ ft/hr with 160 total RPM. DOC increase to .050+" vs current .033" average. Need to slow motor rpm from 160 to 120 and rotary fto 40 from 70. </v>
          </cell>
        </row>
        <row r="134">
          <cell r="A134" t="str">
            <v xml:space="preserve">SKF-02126.BB                  </v>
          </cell>
          <cell r="B134">
            <v>2126</v>
          </cell>
          <cell r="C134" t="str">
            <v xml:space="preserve">066F-511-SR(BR)-2126; Body                        </v>
          </cell>
          <cell r="D134" t="str">
            <v xml:space="preserve">06-3/4"        </v>
          </cell>
          <cell r="E134" t="str">
            <v xml:space="preserve">Oxy                                               </v>
          </cell>
          <cell r="F134" t="str">
            <v xml:space="preserve">Eddy                     </v>
          </cell>
          <cell r="G134" t="str">
            <v xml:space="preserve">Lateral                  </v>
          </cell>
          <cell r="H134" t="str">
            <v xml:space="preserve">RSS                      </v>
          </cell>
          <cell r="I134">
            <v>8000</v>
          </cell>
          <cell r="J134">
            <v>13000</v>
          </cell>
          <cell r="K134">
            <v>200</v>
          </cell>
          <cell r="L134">
            <v>130</v>
          </cell>
          <cell r="M134">
            <v>6</v>
          </cell>
          <cell r="N134" t="str">
            <v xml:space="preserve">2" full with 4" @ .6 deg taper                    </v>
          </cell>
          <cell r="O134">
            <v>0.13</v>
          </cell>
          <cell r="P134">
            <v>0</v>
          </cell>
          <cell r="Q134" t="str">
            <v xml:space="preserve">                         </v>
          </cell>
          <cell r="R134" t="str">
            <v>Tapered gauge Oxy request based on SPE paper to help with stability &amp; steerability. Run on motor/RSS combo. 
Drills the Wolfcamp A lateral in Reeves county, typically with 1-2 dull condition.</v>
          </cell>
        </row>
        <row r="135">
          <cell r="A135" t="str">
            <v xml:space="preserve">SKF-02125.BB                  </v>
          </cell>
          <cell r="B135">
            <v>2125</v>
          </cell>
          <cell r="C135" t="str">
            <v xml:space="preserve">066F-516-XR(BR)-2125; Body                        </v>
          </cell>
          <cell r="D135" t="str">
            <v xml:space="preserve">06-3/4"        </v>
          </cell>
          <cell r="E135" t="str">
            <v xml:space="preserve">Oxy                                               </v>
          </cell>
          <cell r="F135" t="str">
            <v xml:space="preserve">Eddy                     </v>
          </cell>
          <cell r="G135" t="str">
            <v xml:space="preserve">Lateral                  </v>
          </cell>
          <cell r="H135" t="str">
            <v xml:space="preserve">RSS                      </v>
          </cell>
          <cell r="I135">
            <v>0</v>
          </cell>
          <cell r="J135">
            <v>0</v>
          </cell>
          <cell r="K135">
            <v>200</v>
          </cell>
          <cell r="L135">
            <v>400</v>
          </cell>
          <cell r="M135">
            <v>5</v>
          </cell>
          <cell r="N135" t="str">
            <v xml:space="preserve">1" full gauge, 4" @ .6 deg taper                  </v>
          </cell>
          <cell r="O135">
            <v>0.4</v>
          </cell>
          <cell r="P135">
            <v>0</v>
          </cell>
          <cell r="Q135" t="str">
            <v xml:space="preserve">                         </v>
          </cell>
          <cell r="R135" t="str">
            <v>Drills the Bone Springs sand/shale lateral for Oxy in Eddy county NM.</v>
          </cell>
        </row>
        <row r="136">
          <cell r="A136" t="str">
            <v xml:space="preserve">SKF-02124.BB                  </v>
          </cell>
          <cell r="B136">
            <v>2124</v>
          </cell>
          <cell r="C136" t="str">
            <v xml:space="preserve">122F-516-XR8(K)(BR)-2124; Body                    </v>
          </cell>
          <cell r="D136" t="str">
            <v xml:space="preserve">12-1/4"        </v>
          </cell>
          <cell r="E136" t="str">
            <v xml:space="preserve">Oxy                                               </v>
          </cell>
          <cell r="F136" t="str">
            <v xml:space="preserve">Eddy                     </v>
          </cell>
          <cell r="G136" t="str">
            <v xml:space="preserve">Vertical                 </v>
          </cell>
          <cell r="H136" t="str">
            <v xml:space="preserve">Straight Motor           </v>
          </cell>
          <cell r="I136">
            <v>400</v>
          </cell>
          <cell r="J136">
            <v>3200</v>
          </cell>
          <cell r="K136">
            <v>200</v>
          </cell>
          <cell r="L136">
            <v>400</v>
          </cell>
          <cell r="M136">
            <v>6</v>
          </cell>
          <cell r="N136" t="str">
            <v xml:space="preserve">4" full, 2" .032 under, diamond wear elements     </v>
          </cell>
          <cell r="O136">
            <v>0.4</v>
          </cell>
          <cell r="P136">
            <v>0</v>
          </cell>
          <cell r="Q136" t="str">
            <v xml:space="preserve">Single Set               </v>
          </cell>
          <cell r="R136" t="str">
            <v>Aggressive 5 blader with 15° back rakes and elliptical profile with back up elements lowered to .4"/rev for OXY to drill 3000' of salt.</v>
          </cell>
        </row>
        <row r="137">
          <cell r="A137" t="str">
            <v xml:space="preserve">SKF-02123.BB                  </v>
          </cell>
          <cell r="B137">
            <v>2123</v>
          </cell>
          <cell r="C137" t="str">
            <v xml:space="preserve">110F-616-XR9-2123; Body                           </v>
          </cell>
          <cell r="D137" t="str">
            <v xml:space="preserve">11"            </v>
          </cell>
          <cell r="E137" t="str">
            <v xml:space="preserve">Apache                                            </v>
          </cell>
          <cell r="F137" t="str">
            <v xml:space="preserve">Eddy                     </v>
          </cell>
          <cell r="G137" t="str">
            <v xml:space="preserve">Vertical                 </v>
          </cell>
          <cell r="H137" t="str">
            <v xml:space="preserve">Straight Motor           </v>
          </cell>
          <cell r="I137">
            <v>400</v>
          </cell>
          <cell r="J137">
            <v>3500</v>
          </cell>
          <cell r="K137">
            <v>120</v>
          </cell>
          <cell r="L137">
            <v>60</v>
          </cell>
          <cell r="M137">
            <v>6</v>
          </cell>
          <cell r="N137" t="str">
            <v xml:space="preserve">Hardmetal                                         </v>
          </cell>
          <cell r="O137">
            <v>0.1</v>
          </cell>
          <cell r="P137">
            <v>0</v>
          </cell>
          <cell r="Q137" t="str">
            <v xml:space="preserve">Redundant                </v>
          </cell>
          <cell r="R137" t="str">
            <v>Goal to drill interval in one bit. Aggressive backrake to achieve strong DOC. First two runs were 200' short of TD, but were run with 135 versus recommended 120 rpm and 35-45K WOB vs recommended 55-60K. High ROP of 80 ft/hr reduced interval costs by $6-$8K. Apache stopped drilling these wells Jan 2016.</v>
          </cell>
        </row>
        <row r="138">
          <cell r="A138" t="str">
            <v xml:space="preserve">SKF-02122.BB                  </v>
          </cell>
          <cell r="B138">
            <v>2122</v>
          </cell>
          <cell r="C138" t="str">
            <v xml:space="preserve">122F-713-SR(K)-2122; Body                         </v>
          </cell>
          <cell r="D138" t="str">
            <v xml:space="preserve">12-1/4"        </v>
          </cell>
          <cell r="E138" t="str">
            <v xml:space="preserve">Vitruvian                                         </v>
          </cell>
          <cell r="F138" t="str">
            <v xml:space="preserve">Grady                    </v>
          </cell>
          <cell r="G138" t="str">
            <v xml:space="preserve">Vertical                 </v>
          </cell>
          <cell r="H138" t="str">
            <v xml:space="preserve">Bent Motor               </v>
          </cell>
          <cell r="I138">
            <v>8500</v>
          </cell>
          <cell r="J138">
            <v>10000</v>
          </cell>
          <cell r="K138">
            <v>110</v>
          </cell>
          <cell r="L138">
            <v>20</v>
          </cell>
          <cell r="M138">
            <v>3</v>
          </cell>
          <cell r="N138" t="str">
            <v xml:space="preserve">Standard                                          </v>
          </cell>
          <cell r="O138">
            <v>9.0999999999999998E-2</v>
          </cell>
          <cell r="P138">
            <v>0</v>
          </cell>
          <cell r="Q138" t="str">
            <v xml:space="preserve">Single Set               </v>
          </cell>
          <cell r="R138" t="str">
            <v>20 ft/hr target. Knuckles set at .091" under primary cutting tips (50 ft/hr).</v>
          </cell>
        </row>
        <row r="139">
          <cell r="A139" t="str">
            <v xml:space="preserve">SKF-02121.BB                  </v>
          </cell>
          <cell r="B139">
            <v>2121</v>
          </cell>
          <cell r="C139" t="str">
            <v xml:space="preserve">097F-516-XR(BR)-2121; Body                        </v>
          </cell>
          <cell r="D139" t="str">
            <v xml:space="preserve">09-7/8"        </v>
          </cell>
          <cell r="E139" t="str">
            <v xml:space="preserve">                                                  </v>
          </cell>
          <cell r="F139" t="str">
            <v xml:space="preserve">                         </v>
          </cell>
          <cell r="G139" t="str">
            <v xml:space="preserve">                         </v>
          </cell>
          <cell r="H139" t="str">
            <v xml:space="preserve">                         </v>
          </cell>
          <cell r="I139">
            <v>0</v>
          </cell>
          <cell r="J139">
            <v>0</v>
          </cell>
          <cell r="K139">
            <v>0</v>
          </cell>
          <cell r="L139">
            <v>0</v>
          </cell>
          <cell r="M139">
            <v>0</v>
          </cell>
          <cell r="N139" t="str">
            <v xml:space="preserve">                                                  </v>
          </cell>
          <cell r="O139">
            <v>0</v>
          </cell>
          <cell r="P139">
            <v>0</v>
          </cell>
          <cell r="Q139" t="str">
            <v xml:space="preserve">                         </v>
          </cell>
          <cell r="R139" t="str">
            <v/>
          </cell>
        </row>
        <row r="140">
          <cell r="A140" t="str">
            <v xml:space="preserve">SKF-02120.BB                  </v>
          </cell>
          <cell r="B140">
            <v>2120</v>
          </cell>
          <cell r="C140" t="str">
            <v xml:space="preserve">086F-517-SR7(K)(BR)-2120; Body                    </v>
          </cell>
          <cell r="D140" t="str">
            <v xml:space="preserve">08-3/4"        </v>
          </cell>
          <cell r="E140" t="str">
            <v xml:space="preserve">                                                  </v>
          </cell>
          <cell r="F140" t="str">
            <v xml:space="preserve">                         </v>
          </cell>
          <cell r="G140" t="str">
            <v xml:space="preserve">                         </v>
          </cell>
          <cell r="H140" t="str">
            <v xml:space="preserve">                         </v>
          </cell>
          <cell r="I140">
            <v>0</v>
          </cell>
          <cell r="J140">
            <v>0</v>
          </cell>
          <cell r="K140">
            <v>0</v>
          </cell>
          <cell r="L140">
            <v>0</v>
          </cell>
          <cell r="M140">
            <v>0</v>
          </cell>
          <cell r="N140" t="str">
            <v xml:space="preserve">                                                  </v>
          </cell>
          <cell r="O140">
            <v>0</v>
          </cell>
          <cell r="P140">
            <v>0</v>
          </cell>
          <cell r="Q140" t="str">
            <v xml:space="preserve">                         </v>
          </cell>
          <cell r="R140" t="str">
            <v/>
          </cell>
        </row>
        <row r="141">
          <cell r="A141" t="str">
            <v xml:space="preserve">SKF-02119.BB                  </v>
          </cell>
          <cell r="B141">
            <v>2119</v>
          </cell>
          <cell r="C141" t="str">
            <v xml:space="preserve">122F-614.5-SR+9(K)-2119; Body                     </v>
          </cell>
          <cell r="D141" t="str">
            <v xml:space="preserve">12-1/4"        </v>
          </cell>
          <cell r="E141" t="str">
            <v xml:space="preserve">Endeavor                                          </v>
          </cell>
          <cell r="F141" t="str">
            <v xml:space="preserve">Midland                  </v>
          </cell>
          <cell r="G141" t="str">
            <v xml:space="preserve">                         </v>
          </cell>
          <cell r="H141" t="str">
            <v xml:space="preserve">                         </v>
          </cell>
          <cell r="I141">
            <v>1500</v>
          </cell>
          <cell r="J141">
            <v>9200</v>
          </cell>
          <cell r="K141">
            <v>112</v>
          </cell>
          <cell r="L141">
            <v>100</v>
          </cell>
          <cell r="M141">
            <v>3</v>
          </cell>
          <cell r="N141" t="str">
            <v xml:space="preserve">Standard                                          </v>
          </cell>
          <cell r="O141">
            <v>0.17899999999999999</v>
          </cell>
          <cell r="P141">
            <v>0</v>
          </cell>
          <cell r="Q141" t="str">
            <v xml:space="preserve">Single Set               </v>
          </cell>
          <cell r="R141" t="str">
            <v/>
          </cell>
        </row>
        <row r="142">
          <cell r="A142" t="str">
            <v xml:space="preserve">SKF-02117.BB                  </v>
          </cell>
          <cell r="B142">
            <v>2117</v>
          </cell>
          <cell r="C142" t="str">
            <v xml:space="preserve">066F-516-XR(BR)-2117; Body                        </v>
          </cell>
          <cell r="D142" t="str">
            <v xml:space="preserve">06-3/4"        </v>
          </cell>
          <cell r="E142" t="str">
            <v xml:space="preserve">Oxy                                               </v>
          </cell>
          <cell r="F142" t="str">
            <v xml:space="preserve">                         </v>
          </cell>
          <cell r="G142" t="str">
            <v xml:space="preserve">Lateral                  </v>
          </cell>
          <cell r="H142" t="str">
            <v xml:space="preserve">RSS                      </v>
          </cell>
          <cell r="I142">
            <v>0</v>
          </cell>
          <cell r="J142">
            <v>0</v>
          </cell>
          <cell r="K142">
            <v>0</v>
          </cell>
          <cell r="L142">
            <v>0</v>
          </cell>
          <cell r="M142">
            <v>5</v>
          </cell>
          <cell r="N142" t="str">
            <v xml:space="preserve">4in full + 1in under                              </v>
          </cell>
          <cell r="O142">
            <v>0</v>
          </cell>
          <cell r="P142">
            <v>0</v>
          </cell>
          <cell r="Q142" t="str">
            <v xml:space="preserve">                         </v>
          </cell>
          <cell r="R142" t="str">
            <v>Designed to specific gauge configuration per Oxy request. Drills the Bone Springs sand/shale lateral in Eddy county NM.</v>
          </cell>
        </row>
        <row r="143">
          <cell r="A143" t="str">
            <v xml:space="preserve">SKF-02116.BB                  </v>
          </cell>
          <cell r="B143">
            <v>2116</v>
          </cell>
          <cell r="C143" t="str">
            <v xml:space="preserve">077F-613-XR-2116; Body                            </v>
          </cell>
          <cell r="D143" t="str">
            <v xml:space="preserve">07-7/8"        </v>
          </cell>
          <cell r="E143" t="str">
            <v xml:space="preserve">Fasken                                            </v>
          </cell>
          <cell r="F143" t="str">
            <v xml:space="preserve">                         </v>
          </cell>
          <cell r="G143" t="str">
            <v xml:space="preserve">Vertical                 </v>
          </cell>
          <cell r="H143" t="str">
            <v xml:space="preserve">Straight Motor           </v>
          </cell>
          <cell r="I143">
            <v>5500</v>
          </cell>
          <cell r="J143">
            <v>12000</v>
          </cell>
          <cell r="K143">
            <v>145</v>
          </cell>
          <cell r="L143">
            <v>158</v>
          </cell>
          <cell r="M143">
            <v>2</v>
          </cell>
          <cell r="N143" t="str">
            <v xml:space="preserve">Standard                                          </v>
          </cell>
          <cell r="O143">
            <v>0.217</v>
          </cell>
          <cell r="P143">
            <v>0</v>
          </cell>
          <cell r="Q143" t="str">
            <v xml:space="preserve">Single Set               </v>
          </cell>
          <cell r="R143" t="str">
            <v/>
          </cell>
        </row>
        <row r="144">
          <cell r="A144" t="str">
            <v xml:space="preserve">SKF-02115.BB                  </v>
          </cell>
          <cell r="B144">
            <v>2115</v>
          </cell>
          <cell r="C144" t="str">
            <v xml:space="preserve">066F-516-XR(BR)-2115; Body                        </v>
          </cell>
          <cell r="D144" t="str">
            <v xml:space="preserve">06-3/4"        </v>
          </cell>
          <cell r="E144" t="str">
            <v xml:space="preserve">                                                  </v>
          </cell>
          <cell r="F144" t="str">
            <v xml:space="preserve">                         </v>
          </cell>
          <cell r="G144" t="str">
            <v xml:space="preserve">Lateral                  </v>
          </cell>
          <cell r="H144" t="str">
            <v xml:space="preserve">Bent Motor               </v>
          </cell>
          <cell r="I144">
            <v>0</v>
          </cell>
          <cell r="J144">
            <v>0</v>
          </cell>
          <cell r="K144">
            <v>0</v>
          </cell>
          <cell r="L144">
            <v>0</v>
          </cell>
          <cell r="M144">
            <v>0</v>
          </cell>
          <cell r="N144" t="str">
            <v xml:space="preserve">                                                  </v>
          </cell>
          <cell r="O144">
            <v>0</v>
          </cell>
          <cell r="P144">
            <v>0</v>
          </cell>
          <cell r="Q144" t="str">
            <v xml:space="preserve">Single Set               </v>
          </cell>
          <cell r="R144" t="str">
            <v/>
          </cell>
        </row>
        <row r="145">
          <cell r="A145" t="str">
            <v xml:space="preserve">SKF-02114.BB                  </v>
          </cell>
          <cell r="B145">
            <v>2114</v>
          </cell>
          <cell r="C145" t="str">
            <v xml:space="preserve">122F-619-SR9(K)-2114; Body                        </v>
          </cell>
          <cell r="D145" t="str">
            <v xml:space="preserve">12-1/4"        </v>
          </cell>
          <cell r="E145" t="str">
            <v xml:space="preserve">                                                  </v>
          </cell>
          <cell r="F145" t="str">
            <v xml:space="preserve">                         </v>
          </cell>
          <cell r="G145" t="str">
            <v xml:space="preserve">                         </v>
          </cell>
          <cell r="H145" t="str">
            <v xml:space="preserve">                         </v>
          </cell>
          <cell r="I145">
            <v>0</v>
          </cell>
          <cell r="J145">
            <v>0</v>
          </cell>
          <cell r="K145">
            <v>0</v>
          </cell>
          <cell r="L145">
            <v>0</v>
          </cell>
          <cell r="M145">
            <v>0</v>
          </cell>
          <cell r="N145" t="str">
            <v xml:space="preserve">                                                  </v>
          </cell>
          <cell r="O145">
            <v>0</v>
          </cell>
          <cell r="P145">
            <v>0</v>
          </cell>
          <cell r="Q145" t="str">
            <v xml:space="preserve">                         </v>
          </cell>
          <cell r="R145" t="str">
            <v/>
          </cell>
        </row>
        <row r="146">
          <cell r="A146" t="str">
            <v xml:space="preserve">SKF-02113.BB                  </v>
          </cell>
          <cell r="B146">
            <v>2113</v>
          </cell>
          <cell r="C146" t="str">
            <v xml:space="preserve">061F-513-XR(K)(BR)-2113; Body                     </v>
          </cell>
          <cell r="D146" t="str">
            <v xml:space="preserve">06-1/8"        </v>
          </cell>
          <cell r="E146" t="str">
            <v xml:space="preserve">                                                  </v>
          </cell>
          <cell r="F146" t="str">
            <v xml:space="preserve">Bailey                   </v>
          </cell>
          <cell r="G146" t="str">
            <v xml:space="preserve">                         </v>
          </cell>
          <cell r="H146" t="str">
            <v xml:space="preserve">                         </v>
          </cell>
          <cell r="I146">
            <v>0</v>
          </cell>
          <cell r="J146">
            <v>0</v>
          </cell>
          <cell r="K146">
            <v>0</v>
          </cell>
          <cell r="L146">
            <v>0</v>
          </cell>
          <cell r="M146">
            <v>0</v>
          </cell>
          <cell r="N146" t="str">
            <v xml:space="preserve">                                                  </v>
          </cell>
          <cell r="O146">
            <v>0</v>
          </cell>
          <cell r="P146">
            <v>0</v>
          </cell>
          <cell r="Q146" t="str">
            <v xml:space="preserve">                         </v>
          </cell>
          <cell r="R146" t="str">
            <v/>
          </cell>
        </row>
        <row r="147">
          <cell r="A147" t="str">
            <v xml:space="preserve">SKF-02112.BB                  </v>
          </cell>
          <cell r="B147">
            <v>2112</v>
          </cell>
          <cell r="C147" t="str">
            <v xml:space="preserve">086F-519-XR(K)(BR)-2112; Body                     </v>
          </cell>
          <cell r="D147" t="str">
            <v xml:space="preserve">08-3/4"        </v>
          </cell>
          <cell r="E147" t="str">
            <v xml:space="preserve">                                                  </v>
          </cell>
          <cell r="F147" t="str">
            <v xml:space="preserve">                         </v>
          </cell>
          <cell r="G147" t="str">
            <v xml:space="preserve">                         </v>
          </cell>
          <cell r="H147" t="str">
            <v xml:space="preserve">                         </v>
          </cell>
          <cell r="I147">
            <v>0</v>
          </cell>
          <cell r="J147">
            <v>0</v>
          </cell>
          <cell r="K147">
            <v>0</v>
          </cell>
          <cell r="L147">
            <v>0</v>
          </cell>
          <cell r="M147">
            <v>0</v>
          </cell>
          <cell r="N147" t="str">
            <v xml:space="preserve">                                                  </v>
          </cell>
          <cell r="O147">
            <v>0</v>
          </cell>
          <cell r="P147">
            <v>0</v>
          </cell>
          <cell r="Q147" t="str">
            <v xml:space="preserve">                         </v>
          </cell>
          <cell r="R147" t="str">
            <v/>
          </cell>
        </row>
        <row r="148">
          <cell r="A148" t="str">
            <v xml:space="preserve">SKF-02111.BB                  </v>
          </cell>
          <cell r="B148">
            <v>2111</v>
          </cell>
          <cell r="C148" t="str">
            <v xml:space="preserve">066F-513-XR(K)-2111; Body                         </v>
          </cell>
          <cell r="D148" t="str">
            <v xml:space="preserve">06-3/4"        </v>
          </cell>
          <cell r="E148" t="str">
            <v xml:space="preserve">                                                  </v>
          </cell>
          <cell r="F148" t="str">
            <v xml:space="preserve">                         </v>
          </cell>
          <cell r="G148" t="str">
            <v xml:space="preserve">                         </v>
          </cell>
          <cell r="H148" t="str">
            <v xml:space="preserve">                         </v>
          </cell>
          <cell r="I148">
            <v>0</v>
          </cell>
          <cell r="J148">
            <v>0</v>
          </cell>
          <cell r="K148">
            <v>0</v>
          </cell>
          <cell r="L148">
            <v>0</v>
          </cell>
          <cell r="M148">
            <v>0</v>
          </cell>
          <cell r="N148" t="str">
            <v xml:space="preserve">                                                  </v>
          </cell>
          <cell r="O148">
            <v>0</v>
          </cell>
          <cell r="P148">
            <v>0</v>
          </cell>
          <cell r="Q148" t="str">
            <v xml:space="preserve">                         </v>
          </cell>
          <cell r="R148" t="str">
            <v/>
          </cell>
        </row>
        <row r="149">
          <cell r="A149" t="str">
            <v xml:space="preserve">SKF-02110.BB                  </v>
          </cell>
          <cell r="B149">
            <v>2110</v>
          </cell>
          <cell r="C149" t="str">
            <v xml:space="preserve">097F-516-XR(K)-2110; Body                         </v>
          </cell>
          <cell r="D149" t="str">
            <v xml:space="preserve">09-7/8"        </v>
          </cell>
          <cell r="E149" t="str">
            <v xml:space="preserve">                                                  </v>
          </cell>
          <cell r="F149" t="str">
            <v xml:space="preserve">                         </v>
          </cell>
          <cell r="G149" t="str">
            <v xml:space="preserve">                         </v>
          </cell>
          <cell r="H149" t="str">
            <v xml:space="preserve">                         </v>
          </cell>
          <cell r="I149">
            <v>0</v>
          </cell>
          <cell r="J149">
            <v>0</v>
          </cell>
          <cell r="K149">
            <v>0</v>
          </cell>
          <cell r="L149">
            <v>0</v>
          </cell>
          <cell r="M149">
            <v>0</v>
          </cell>
          <cell r="N149" t="str">
            <v xml:space="preserve">                                                  </v>
          </cell>
          <cell r="O149">
            <v>0</v>
          </cell>
          <cell r="P149">
            <v>0</v>
          </cell>
          <cell r="Q149" t="str">
            <v xml:space="preserve">                         </v>
          </cell>
          <cell r="R149" t="str">
            <v/>
          </cell>
        </row>
        <row r="150">
          <cell r="A150" t="str">
            <v xml:space="preserve">SKF-02109.BB                  </v>
          </cell>
          <cell r="B150">
            <v>2109</v>
          </cell>
          <cell r="C150" t="str">
            <v xml:space="preserve">097F-516-XR7-2109; Body                           </v>
          </cell>
          <cell r="D150" t="str">
            <v xml:space="preserve">09-7/8"        </v>
          </cell>
          <cell r="E150" t="str">
            <v xml:space="preserve">                                                  </v>
          </cell>
          <cell r="F150" t="str">
            <v xml:space="preserve">                         </v>
          </cell>
          <cell r="G150" t="str">
            <v xml:space="preserve">                         </v>
          </cell>
          <cell r="H150" t="str">
            <v xml:space="preserve">                         </v>
          </cell>
          <cell r="I150">
            <v>0</v>
          </cell>
          <cell r="J150">
            <v>0</v>
          </cell>
          <cell r="K150">
            <v>0</v>
          </cell>
          <cell r="L150">
            <v>0</v>
          </cell>
          <cell r="M150">
            <v>0</v>
          </cell>
          <cell r="N150" t="str">
            <v xml:space="preserve">                                                  </v>
          </cell>
          <cell r="O150">
            <v>0</v>
          </cell>
          <cell r="P150">
            <v>0</v>
          </cell>
          <cell r="Q150" t="str">
            <v xml:space="preserve">                         </v>
          </cell>
          <cell r="R150" t="str">
            <v/>
          </cell>
        </row>
        <row r="151">
          <cell r="A151" t="str">
            <v xml:space="preserve">SKF-02108.BB                  </v>
          </cell>
          <cell r="B151">
            <v>2108</v>
          </cell>
          <cell r="C151" t="str">
            <v xml:space="preserve">110F-616-SR9-2108; Body                           </v>
          </cell>
          <cell r="D151" t="str">
            <v xml:space="preserve">11"            </v>
          </cell>
          <cell r="E151" t="str">
            <v xml:space="preserve">                                                  </v>
          </cell>
          <cell r="F151" t="str">
            <v xml:space="preserve">                         </v>
          </cell>
          <cell r="G151" t="str">
            <v xml:space="preserve">                         </v>
          </cell>
          <cell r="H151" t="str">
            <v xml:space="preserve">                         </v>
          </cell>
          <cell r="I151">
            <v>0</v>
          </cell>
          <cell r="J151">
            <v>0</v>
          </cell>
          <cell r="K151">
            <v>0</v>
          </cell>
          <cell r="L151">
            <v>0</v>
          </cell>
          <cell r="M151">
            <v>0</v>
          </cell>
          <cell r="N151" t="str">
            <v xml:space="preserve">                                                  </v>
          </cell>
          <cell r="O151">
            <v>0</v>
          </cell>
          <cell r="P151">
            <v>0</v>
          </cell>
          <cell r="Q151" t="str">
            <v xml:space="preserve">                         </v>
          </cell>
          <cell r="R151" t="str">
            <v/>
          </cell>
        </row>
        <row r="152">
          <cell r="A152" t="str">
            <v xml:space="preserve">SKF-02106.BB                  </v>
          </cell>
          <cell r="B152">
            <v>2106</v>
          </cell>
          <cell r="C152" t="str">
            <v xml:space="preserve">086F-516-XR7-2106; Body                           </v>
          </cell>
          <cell r="D152" t="str">
            <v xml:space="preserve">08-3/4"        </v>
          </cell>
          <cell r="E152" t="str">
            <v xml:space="preserve">                                                  </v>
          </cell>
          <cell r="F152" t="str">
            <v xml:space="preserve">                         </v>
          </cell>
          <cell r="G152" t="str">
            <v xml:space="preserve">                         </v>
          </cell>
          <cell r="H152" t="str">
            <v xml:space="preserve">                         </v>
          </cell>
          <cell r="I152">
            <v>0</v>
          </cell>
          <cell r="J152">
            <v>0</v>
          </cell>
          <cell r="K152">
            <v>0</v>
          </cell>
          <cell r="L152">
            <v>0</v>
          </cell>
          <cell r="M152">
            <v>0</v>
          </cell>
          <cell r="N152" t="str">
            <v xml:space="preserve">                                                  </v>
          </cell>
          <cell r="O152">
            <v>0</v>
          </cell>
          <cell r="P152">
            <v>0</v>
          </cell>
          <cell r="Q152" t="str">
            <v xml:space="preserve">                         </v>
          </cell>
          <cell r="R152" t="str">
            <v/>
          </cell>
        </row>
        <row r="153">
          <cell r="A153" t="str">
            <v xml:space="preserve">SKF-02105.BB                  </v>
          </cell>
          <cell r="B153">
            <v>2105</v>
          </cell>
          <cell r="C153" t="str">
            <v xml:space="preserve">122F-616-SR+9-2105; Body                          </v>
          </cell>
          <cell r="D153" t="str">
            <v xml:space="preserve">12-1/4"        </v>
          </cell>
          <cell r="E153" t="str">
            <v xml:space="preserve">                                                  </v>
          </cell>
          <cell r="F153" t="str">
            <v xml:space="preserve">                         </v>
          </cell>
          <cell r="G153" t="str">
            <v xml:space="preserve">                         </v>
          </cell>
          <cell r="H153" t="str">
            <v xml:space="preserve">                         </v>
          </cell>
          <cell r="I153">
            <v>0</v>
          </cell>
          <cell r="J153">
            <v>0</v>
          </cell>
          <cell r="K153">
            <v>0</v>
          </cell>
          <cell r="L153">
            <v>0</v>
          </cell>
          <cell r="M153">
            <v>0</v>
          </cell>
          <cell r="N153" t="str">
            <v xml:space="preserve">                                                  </v>
          </cell>
          <cell r="O153">
            <v>0</v>
          </cell>
          <cell r="P153">
            <v>0</v>
          </cell>
          <cell r="Q153" t="str">
            <v xml:space="preserve">                         </v>
          </cell>
          <cell r="R153" t="str">
            <v/>
          </cell>
        </row>
        <row r="154">
          <cell r="A154" t="str">
            <v xml:space="preserve">SKF-02104.BB                  </v>
          </cell>
          <cell r="B154">
            <v>2104</v>
          </cell>
          <cell r="C154" t="str">
            <v xml:space="preserve">097F-616-XR(K)-2104; Body                         </v>
          </cell>
          <cell r="D154" t="str">
            <v xml:space="preserve">09-7/8"        </v>
          </cell>
          <cell r="E154" t="str">
            <v xml:space="preserve">                                                  </v>
          </cell>
          <cell r="F154" t="str">
            <v xml:space="preserve">                         </v>
          </cell>
          <cell r="G154" t="str">
            <v xml:space="preserve">                         </v>
          </cell>
          <cell r="H154" t="str">
            <v xml:space="preserve">                         </v>
          </cell>
          <cell r="I154">
            <v>0</v>
          </cell>
          <cell r="J154">
            <v>0</v>
          </cell>
          <cell r="K154">
            <v>0</v>
          </cell>
          <cell r="L154">
            <v>0</v>
          </cell>
          <cell r="M154">
            <v>0</v>
          </cell>
          <cell r="N154" t="str">
            <v xml:space="preserve">                                                  </v>
          </cell>
          <cell r="O154">
            <v>0</v>
          </cell>
          <cell r="P154">
            <v>0</v>
          </cell>
          <cell r="Q154" t="str">
            <v xml:space="preserve">                         </v>
          </cell>
          <cell r="R154" t="str">
            <v/>
          </cell>
        </row>
        <row r="155">
          <cell r="A155" t="str">
            <v xml:space="preserve">SKF-02103.BB                  </v>
          </cell>
          <cell r="B155">
            <v>2103</v>
          </cell>
          <cell r="C155" t="str">
            <v xml:space="preserve">077F-616-XR-2103; Body                            </v>
          </cell>
          <cell r="D155" t="str">
            <v xml:space="preserve">07-7/8"        </v>
          </cell>
          <cell r="E155" t="str">
            <v xml:space="preserve">Fasken &amp; JB Hunt                                  </v>
          </cell>
          <cell r="F155" t="str">
            <v xml:space="preserve">                         </v>
          </cell>
          <cell r="G155" t="str">
            <v xml:space="preserve">Vertical                 </v>
          </cell>
          <cell r="H155" t="str">
            <v xml:space="preserve">Straight Motor           </v>
          </cell>
          <cell r="I155">
            <v>5500</v>
          </cell>
          <cell r="J155">
            <v>12000</v>
          </cell>
          <cell r="K155">
            <v>145</v>
          </cell>
          <cell r="L155">
            <v>200</v>
          </cell>
          <cell r="M155">
            <v>2</v>
          </cell>
          <cell r="N155" t="str">
            <v xml:space="preserve">Standard                                          </v>
          </cell>
          <cell r="O155">
            <v>0.27600000000000002</v>
          </cell>
          <cell r="P155">
            <v>0</v>
          </cell>
          <cell r="Q155" t="str">
            <v xml:space="preserve">Redundant                </v>
          </cell>
          <cell r="R155" t="str">
            <v>Designed to drill-out and make TD in the Devonian.  Aggressive backrake to ensure competitive ROP.</v>
          </cell>
        </row>
        <row r="156">
          <cell r="A156" t="str">
            <v xml:space="preserve">SKF-02102.BB                  </v>
          </cell>
          <cell r="B156">
            <v>2102</v>
          </cell>
          <cell r="C156" t="str">
            <v xml:space="preserve">134F-619-XR9-2102; Body                           </v>
          </cell>
          <cell r="D156" t="str">
            <v xml:space="preserve">13-1/2"        </v>
          </cell>
          <cell r="E156" t="str">
            <v xml:space="preserve">                                                  </v>
          </cell>
          <cell r="F156" t="str">
            <v xml:space="preserve">                         </v>
          </cell>
          <cell r="G156" t="str">
            <v xml:space="preserve">                         </v>
          </cell>
          <cell r="H156" t="str">
            <v xml:space="preserve">                         </v>
          </cell>
          <cell r="I156">
            <v>0</v>
          </cell>
          <cell r="J156">
            <v>0</v>
          </cell>
          <cell r="K156">
            <v>0</v>
          </cell>
          <cell r="L156">
            <v>0</v>
          </cell>
          <cell r="M156">
            <v>0</v>
          </cell>
          <cell r="N156" t="str">
            <v xml:space="preserve">                                                  </v>
          </cell>
          <cell r="O156">
            <v>0</v>
          </cell>
          <cell r="P156">
            <v>0</v>
          </cell>
          <cell r="Q156" t="str">
            <v xml:space="preserve">                         </v>
          </cell>
          <cell r="R156" t="str">
            <v/>
          </cell>
        </row>
        <row r="157">
          <cell r="A157" t="str">
            <v xml:space="preserve">SKF-02101.BB                  </v>
          </cell>
          <cell r="B157">
            <v>2101</v>
          </cell>
          <cell r="C157" t="str">
            <v xml:space="preserve">084F-516-SR-2101; Body                            </v>
          </cell>
          <cell r="D157" t="str">
            <v xml:space="preserve">08-1/2"        </v>
          </cell>
          <cell r="E157" t="str">
            <v xml:space="preserve">                                                  </v>
          </cell>
          <cell r="F157" t="str">
            <v xml:space="preserve">                         </v>
          </cell>
          <cell r="G157" t="str">
            <v xml:space="preserve">                         </v>
          </cell>
          <cell r="H157" t="str">
            <v xml:space="preserve">                         </v>
          </cell>
          <cell r="I157">
            <v>0</v>
          </cell>
          <cell r="J157">
            <v>0</v>
          </cell>
          <cell r="K157">
            <v>0</v>
          </cell>
          <cell r="L157">
            <v>0</v>
          </cell>
          <cell r="M157">
            <v>0</v>
          </cell>
          <cell r="N157" t="str">
            <v xml:space="preserve">                                                  </v>
          </cell>
          <cell r="O157">
            <v>0</v>
          </cell>
          <cell r="P157">
            <v>0</v>
          </cell>
          <cell r="Q157" t="str">
            <v xml:space="preserve">                         </v>
          </cell>
          <cell r="R157" t="str">
            <v/>
          </cell>
        </row>
        <row r="158">
          <cell r="A158" t="str">
            <v xml:space="preserve">SKF-02100.BB                  </v>
          </cell>
          <cell r="B158">
            <v>2100</v>
          </cell>
          <cell r="C158" t="str">
            <v xml:space="preserve">077F-616-XR-2100; Body                            </v>
          </cell>
          <cell r="D158" t="str">
            <v xml:space="preserve">07-7/8"        </v>
          </cell>
          <cell r="E158" t="str">
            <v xml:space="preserve">                                                  </v>
          </cell>
          <cell r="F158" t="str">
            <v xml:space="preserve">                         </v>
          </cell>
          <cell r="G158" t="str">
            <v xml:space="preserve">                         </v>
          </cell>
          <cell r="H158" t="str">
            <v xml:space="preserve">                         </v>
          </cell>
          <cell r="I158">
            <v>0</v>
          </cell>
          <cell r="J158">
            <v>0</v>
          </cell>
          <cell r="K158">
            <v>0</v>
          </cell>
          <cell r="L158">
            <v>0</v>
          </cell>
          <cell r="M158">
            <v>0</v>
          </cell>
          <cell r="N158" t="str">
            <v xml:space="preserve">                                                  </v>
          </cell>
          <cell r="O158">
            <v>0</v>
          </cell>
          <cell r="P158">
            <v>0</v>
          </cell>
          <cell r="Q158" t="str">
            <v xml:space="preserve">                         </v>
          </cell>
          <cell r="R158" t="str">
            <v/>
          </cell>
        </row>
        <row r="159">
          <cell r="A159" t="str">
            <v xml:space="preserve">SKF-02099.BB                  </v>
          </cell>
          <cell r="B159">
            <v>2099</v>
          </cell>
          <cell r="C159" t="str">
            <v xml:space="preserve">174F-616-SR9-2099; Body                           </v>
          </cell>
          <cell r="D159" t="str">
            <v xml:space="preserve">17-1/2"        </v>
          </cell>
          <cell r="E159" t="str">
            <v xml:space="preserve">                                                  </v>
          </cell>
          <cell r="F159" t="str">
            <v xml:space="preserve">                         </v>
          </cell>
          <cell r="G159" t="str">
            <v xml:space="preserve">                         </v>
          </cell>
          <cell r="H159" t="str">
            <v xml:space="preserve">                         </v>
          </cell>
          <cell r="I159">
            <v>0</v>
          </cell>
          <cell r="J159">
            <v>0</v>
          </cell>
          <cell r="K159">
            <v>0</v>
          </cell>
          <cell r="L159">
            <v>0</v>
          </cell>
          <cell r="M159">
            <v>0</v>
          </cell>
          <cell r="N159" t="str">
            <v xml:space="preserve">                                                  </v>
          </cell>
          <cell r="O159">
            <v>0</v>
          </cell>
          <cell r="P159">
            <v>0</v>
          </cell>
          <cell r="Q159" t="str">
            <v xml:space="preserve">                         </v>
          </cell>
          <cell r="R159" t="str">
            <v/>
          </cell>
        </row>
        <row r="160">
          <cell r="A160" t="str">
            <v xml:space="preserve">SKF-02098.BB                  </v>
          </cell>
          <cell r="B160">
            <v>2098</v>
          </cell>
          <cell r="C160" t="str">
            <v xml:space="preserve">086F-813-XR(K)(BR)-2098; Body                     </v>
          </cell>
          <cell r="D160" t="str">
            <v xml:space="preserve">08-3/4"        </v>
          </cell>
          <cell r="E160" t="str">
            <v xml:space="preserve">                                                  </v>
          </cell>
          <cell r="F160" t="str">
            <v xml:space="preserve">                         </v>
          </cell>
          <cell r="G160" t="str">
            <v xml:space="preserve">                         </v>
          </cell>
          <cell r="H160" t="str">
            <v xml:space="preserve">                         </v>
          </cell>
          <cell r="I160">
            <v>0</v>
          </cell>
          <cell r="J160">
            <v>0</v>
          </cell>
          <cell r="K160">
            <v>0</v>
          </cell>
          <cell r="L160">
            <v>0</v>
          </cell>
          <cell r="M160">
            <v>0</v>
          </cell>
          <cell r="N160" t="str">
            <v xml:space="preserve">                                                  </v>
          </cell>
          <cell r="O160">
            <v>0</v>
          </cell>
          <cell r="P160">
            <v>0</v>
          </cell>
          <cell r="Q160" t="str">
            <v xml:space="preserve">                         </v>
          </cell>
          <cell r="R160" t="str">
            <v/>
          </cell>
        </row>
        <row r="161">
          <cell r="A161" t="str">
            <v xml:space="preserve">SKF-02097.BB                  </v>
          </cell>
          <cell r="B161">
            <v>2097</v>
          </cell>
          <cell r="C161" t="str">
            <v xml:space="preserve">174F-616-SR+9(K)-2097; Body                       </v>
          </cell>
          <cell r="D161" t="str">
            <v xml:space="preserve">17-1/2"        </v>
          </cell>
          <cell r="E161" t="str">
            <v xml:space="preserve">                                                  </v>
          </cell>
          <cell r="F161" t="str">
            <v xml:space="preserve">                         </v>
          </cell>
          <cell r="G161" t="str">
            <v xml:space="preserve">                         </v>
          </cell>
          <cell r="H161" t="str">
            <v xml:space="preserve">                         </v>
          </cell>
          <cell r="I161">
            <v>0</v>
          </cell>
          <cell r="J161">
            <v>0</v>
          </cell>
          <cell r="K161">
            <v>0</v>
          </cell>
          <cell r="L161">
            <v>0</v>
          </cell>
          <cell r="M161">
            <v>0</v>
          </cell>
          <cell r="N161" t="str">
            <v xml:space="preserve">                                                  </v>
          </cell>
          <cell r="O161">
            <v>0</v>
          </cell>
          <cell r="P161">
            <v>0</v>
          </cell>
          <cell r="Q161" t="str">
            <v xml:space="preserve">                         </v>
          </cell>
          <cell r="R161" t="str">
            <v/>
          </cell>
        </row>
        <row r="162">
          <cell r="A162" t="str">
            <v xml:space="preserve">SKF-02096.BB                  </v>
          </cell>
          <cell r="B162">
            <v>2096</v>
          </cell>
          <cell r="C162" t="str">
            <v xml:space="preserve">066F-513-XR(K)-2096; Body                         </v>
          </cell>
          <cell r="D162" t="str">
            <v xml:space="preserve">06-3/4"        </v>
          </cell>
          <cell r="E162" t="str">
            <v xml:space="preserve">                                                  </v>
          </cell>
          <cell r="F162" t="str">
            <v xml:space="preserve">                         </v>
          </cell>
          <cell r="G162" t="str">
            <v xml:space="preserve">                         </v>
          </cell>
          <cell r="H162" t="str">
            <v xml:space="preserve">                         </v>
          </cell>
          <cell r="I162">
            <v>0</v>
          </cell>
          <cell r="J162">
            <v>0</v>
          </cell>
          <cell r="K162">
            <v>0</v>
          </cell>
          <cell r="L162">
            <v>0</v>
          </cell>
          <cell r="M162">
            <v>0</v>
          </cell>
          <cell r="N162" t="str">
            <v xml:space="preserve">                                                  </v>
          </cell>
          <cell r="O162">
            <v>0</v>
          </cell>
          <cell r="P162">
            <v>0</v>
          </cell>
          <cell r="Q162" t="str">
            <v xml:space="preserve">                         </v>
          </cell>
          <cell r="R162" t="str">
            <v/>
          </cell>
        </row>
        <row r="163">
          <cell r="A163" t="str">
            <v xml:space="preserve">SKF-02095.BB                  </v>
          </cell>
          <cell r="B163">
            <v>2095</v>
          </cell>
          <cell r="C163" t="str">
            <v xml:space="preserve">097F-616-YR(K)-2095; Body                         </v>
          </cell>
          <cell r="D163" t="str">
            <v xml:space="preserve">09-7/8"        </v>
          </cell>
          <cell r="E163" t="str">
            <v xml:space="preserve">                                                  </v>
          </cell>
          <cell r="F163" t="str">
            <v xml:space="preserve">                         </v>
          </cell>
          <cell r="G163" t="str">
            <v xml:space="preserve">                         </v>
          </cell>
          <cell r="H163" t="str">
            <v xml:space="preserve">                         </v>
          </cell>
          <cell r="I163">
            <v>0</v>
          </cell>
          <cell r="J163">
            <v>0</v>
          </cell>
          <cell r="K163">
            <v>0</v>
          </cell>
          <cell r="L163">
            <v>0</v>
          </cell>
          <cell r="M163">
            <v>0</v>
          </cell>
          <cell r="N163" t="str">
            <v xml:space="preserve">                                                  </v>
          </cell>
          <cell r="O163">
            <v>0</v>
          </cell>
          <cell r="P163">
            <v>0</v>
          </cell>
          <cell r="Q163" t="str">
            <v xml:space="preserve">                         </v>
          </cell>
          <cell r="R163" t="str">
            <v/>
          </cell>
        </row>
        <row r="164">
          <cell r="A164" t="str">
            <v xml:space="preserve">SKF-02094.BB                  </v>
          </cell>
          <cell r="B164">
            <v>2094</v>
          </cell>
          <cell r="C164" t="str">
            <v xml:space="preserve">077F-613-XR-2094; Body                            </v>
          </cell>
          <cell r="D164" t="str">
            <v xml:space="preserve">07-7/8"        </v>
          </cell>
          <cell r="E164" t="str">
            <v xml:space="preserve">                                                  </v>
          </cell>
          <cell r="F164" t="str">
            <v xml:space="preserve">                         </v>
          </cell>
          <cell r="G164" t="str">
            <v xml:space="preserve">                         </v>
          </cell>
          <cell r="H164" t="str">
            <v xml:space="preserve">                         </v>
          </cell>
          <cell r="I164">
            <v>0</v>
          </cell>
          <cell r="J164">
            <v>0</v>
          </cell>
          <cell r="K164">
            <v>0</v>
          </cell>
          <cell r="L164">
            <v>0</v>
          </cell>
          <cell r="M164">
            <v>0</v>
          </cell>
          <cell r="N164" t="str">
            <v xml:space="preserve">                                                  </v>
          </cell>
          <cell r="O164">
            <v>0</v>
          </cell>
          <cell r="P164">
            <v>0</v>
          </cell>
          <cell r="Q164" t="str">
            <v xml:space="preserve">                         </v>
          </cell>
          <cell r="R164" t="str">
            <v/>
          </cell>
        </row>
        <row r="165">
          <cell r="A165" t="str">
            <v xml:space="preserve">SKF-02093.BB                  </v>
          </cell>
          <cell r="B165">
            <v>2093</v>
          </cell>
          <cell r="C165" t="str">
            <v xml:space="preserve">077F-419-SR-2093; Body                            </v>
          </cell>
          <cell r="D165" t="str">
            <v xml:space="preserve">07-7/8"        </v>
          </cell>
          <cell r="E165" t="str">
            <v xml:space="preserve">                                                  </v>
          </cell>
          <cell r="F165" t="str">
            <v xml:space="preserve">                         </v>
          </cell>
          <cell r="G165" t="str">
            <v xml:space="preserve">                         </v>
          </cell>
          <cell r="H165" t="str">
            <v xml:space="preserve">                         </v>
          </cell>
          <cell r="I165">
            <v>0</v>
          </cell>
          <cell r="J165">
            <v>0</v>
          </cell>
          <cell r="K165">
            <v>0</v>
          </cell>
          <cell r="L165">
            <v>0</v>
          </cell>
          <cell r="M165">
            <v>0</v>
          </cell>
          <cell r="N165" t="str">
            <v xml:space="preserve">                                                  </v>
          </cell>
          <cell r="O165">
            <v>0</v>
          </cell>
          <cell r="P165">
            <v>0</v>
          </cell>
          <cell r="Q165" t="str">
            <v xml:space="preserve">                         </v>
          </cell>
          <cell r="R165" t="str">
            <v/>
          </cell>
        </row>
        <row r="166">
          <cell r="A166" t="str">
            <v xml:space="preserve">SKF-02092.BB                  </v>
          </cell>
          <cell r="B166">
            <v>2092</v>
          </cell>
          <cell r="C166" t="str">
            <v xml:space="preserve">077F-616-XR(BR)-2092; Body                        </v>
          </cell>
          <cell r="D166" t="str">
            <v xml:space="preserve">07-7/8"        </v>
          </cell>
          <cell r="E166" t="str">
            <v xml:space="preserve">                                                  </v>
          </cell>
          <cell r="F166" t="str">
            <v xml:space="preserve">                         </v>
          </cell>
          <cell r="G166" t="str">
            <v xml:space="preserve">                         </v>
          </cell>
          <cell r="H166" t="str">
            <v xml:space="preserve">                         </v>
          </cell>
          <cell r="I166">
            <v>0</v>
          </cell>
          <cell r="J166">
            <v>0</v>
          </cell>
          <cell r="K166">
            <v>0</v>
          </cell>
          <cell r="L166">
            <v>0</v>
          </cell>
          <cell r="M166">
            <v>0</v>
          </cell>
          <cell r="N166" t="str">
            <v xml:space="preserve">                                                  </v>
          </cell>
          <cell r="O166">
            <v>0</v>
          </cell>
          <cell r="P166">
            <v>0</v>
          </cell>
          <cell r="Q166" t="str">
            <v xml:space="preserve">                         </v>
          </cell>
          <cell r="R166" t="str">
            <v/>
          </cell>
        </row>
        <row r="167">
          <cell r="A167" t="str">
            <v xml:space="preserve">SKF-02091.BB                  </v>
          </cell>
          <cell r="B167">
            <v>2091</v>
          </cell>
          <cell r="C167" t="str">
            <v xml:space="preserve">066F-613-XR(BR)-2091; Body                        </v>
          </cell>
          <cell r="D167" t="str">
            <v xml:space="preserve">06-3/4"        </v>
          </cell>
          <cell r="E167" t="str">
            <v xml:space="preserve">                                                  </v>
          </cell>
          <cell r="F167" t="str">
            <v xml:space="preserve">                         </v>
          </cell>
          <cell r="G167" t="str">
            <v xml:space="preserve">                         </v>
          </cell>
          <cell r="H167" t="str">
            <v xml:space="preserve">                         </v>
          </cell>
          <cell r="I167">
            <v>0</v>
          </cell>
          <cell r="J167">
            <v>0</v>
          </cell>
          <cell r="K167">
            <v>0</v>
          </cell>
          <cell r="L167">
            <v>0</v>
          </cell>
          <cell r="M167">
            <v>0</v>
          </cell>
          <cell r="N167" t="str">
            <v xml:space="preserve">                                                  </v>
          </cell>
          <cell r="O167">
            <v>0</v>
          </cell>
          <cell r="P167">
            <v>0</v>
          </cell>
          <cell r="Q167" t="str">
            <v xml:space="preserve">                         </v>
          </cell>
          <cell r="R167" t="str">
            <v/>
          </cell>
        </row>
        <row r="168">
          <cell r="A168" t="str">
            <v xml:space="preserve">SKF-02090.BB                  </v>
          </cell>
          <cell r="B168">
            <v>2090</v>
          </cell>
          <cell r="C168" t="str">
            <v xml:space="preserve">097F-616-YR(K)-2090; Body                         </v>
          </cell>
          <cell r="D168" t="str">
            <v xml:space="preserve">09-7/8"        </v>
          </cell>
          <cell r="E168" t="str">
            <v xml:space="preserve">                                                  </v>
          </cell>
          <cell r="F168" t="str">
            <v xml:space="preserve">                         </v>
          </cell>
          <cell r="G168" t="str">
            <v xml:space="preserve">                         </v>
          </cell>
          <cell r="H168" t="str">
            <v xml:space="preserve">                         </v>
          </cell>
          <cell r="I168">
            <v>0</v>
          </cell>
          <cell r="J168">
            <v>0</v>
          </cell>
          <cell r="K168">
            <v>0</v>
          </cell>
          <cell r="L168">
            <v>0</v>
          </cell>
          <cell r="M168">
            <v>0</v>
          </cell>
          <cell r="N168" t="str">
            <v xml:space="preserve">                                                  </v>
          </cell>
          <cell r="O168">
            <v>0</v>
          </cell>
          <cell r="P168">
            <v>0</v>
          </cell>
          <cell r="Q168" t="str">
            <v xml:space="preserve">                         </v>
          </cell>
          <cell r="R168" t="str">
            <v/>
          </cell>
        </row>
        <row r="169">
          <cell r="A169" t="str">
            <v xml:space="preserve">SKF-02089.BB                  </v>
          </cell>
          <cell r="B169">
            <v>2089</v>
          </cell>
          <cell r="C169" t="str">
            <v xml:space="preserve">060F-711-SR-2089; Body                            </v>
          </cell>
          <cell r="D169" t="str">
            <v xml:space="preserve">06"            </v>
          </cell>
          <cell r="E169" t="str">
            <v xml:space="preserve">                                                  </v>
          </cell>
          <cell r="F169" t="str">
            <v xml:space="preserve">                         </v>
          </cell>
          <cell r="G169" t="str">
            <v xml:space="preserve">                         </v>
          </cell>
          <cell r="H169" t="str">
            <v xml:space="preserve">                         </v>
          </cell>
          <cell r="I169">
            <v>0</v>
          </cell>
          <cell r="J169">
            <v>0</v>
          </cell>
          <cell r="K169">
            <v>0</v>
          </cell>
          <cell r="L169">
            <v>0</v>
          </cell>
          <cell r="M169">
            <v>0</v>
          </cell>
          <cell r="N169" t="str">
            <v xml:space="preserve">                                                  </v>
          </cell>
          <cell r="O169">
            <v>0</v>
          </cell>
          <cell r="P169">
            <v>0</v>
          </cell>
          <cell r="Q169" t="str">
            <v xml:space="preserve">                         </v>
          </cell>
          <cell r="R169" t="str">
            <v/>
          </cell>
        </row>
        <row r="170">
          <cell r="A170" t="str">
            <v xml:space="preserve">SKF-02088.BB                  </v>
          </cell>
          <cell r="B170">
            <v>2088</v>
          </cell>
          <cell r="C170" t="str">
            <v xml:space="preserve">122F-616-SR+9(K)(BR)-2088; Body                   </v>
          </cell>
          <cell r="D170" t="str">
            <v xml:space="preserve">12-1/4"        </v>
          </cell>
          <cell r="E170" t="str">
            <v xml:space="preserve">                                                  </v>
          </cell>
          <cell r="F170" t="str">
            <v xml:space="preserve">                         </v>
          </cell>
          <cell r="G170" t="str">
            <v xml:space="preserve">                         </v>
          </cell>
          <cell r="H170" t="str">
            <v xml:space="preserve">                         </v>
          </cell>
          <cell r="I170">
            <v>0</v>
          </cell>
          <cell r="J170">
            <v>0</v>
          </cell>
          <cell r="K170">
            <v>0</v>
          </cell>
          <cell r="L170">
            <v>0</v>
          </cell>
          <cell r="M170">
            <v>0</v>
          </cell>
          <cell r="N170" t="str">
            <v xml:space="preserve">                                                  </v>
          </cell>
          <cell r="O170">
            <v>0</v>
          </cell>
          <cell r="P170">
            <v>0</v>
          </cell>
          <cell r="Q170" t="str">
            <v xml:space="preserve">                         </v>
          </cell>
          <cell r="R170" t="str">
            <v/>
          </cell>
        </row>
        <row r="171">
          <cell r="A171" t="str">
            <v xml:space="preserve">SKF-02085.BB                  </v>
          </cell>
          <cell r="B171">
            <v>2085</v>
          </cell>
          <cell r="C171" t="str">
            <v xml:space="preserve">174F-616-SR+9(K)-2085; Body                       </v>
          </cell>
          <cell r="D171" t="str">
            <v xml:space="preserve">17-1/2"        </v>
          </cell>
          <cell r="E171" t="str">
            <v xml:space="preserve">                                                  </v>
          </cell>
          <cell r="F171" t="str">
            <v xml:space="preserve">                         </v>
          </cell>
          <cell r="G171" t="str">
            <v xml:space="preserve">                         </v>
          </cell>
          <cell r="H171" t="str">
            <v xml:space="preserve">                         </v>
          </cell>
          <cell r="I171">
            <v>0</v>
          </cell>
          <cell r="J171">
            <v>0</v>
          </cell>
          <cell r="K171">
            <v>0</v>
          </cell>
          <cell r="L171">
            <v>0</v>
          </cell>
          <cell r="M171">
            <v>0</v>
          </cell>
          <cell r="N171" t="str">
            <v xml:space="preserve">                                                  </v>
          </cell>
          <cell r="O171">
            <v>0</v>
          </cell>
          <cell r="P171">
            <v>0</v>
          </cell>
          <cell r="Q171" t="str">
            <v xml:space="preserve">                         </v>
          </cell>
          <cell r="R171" t="str">
            <v/>
          </cell>
        </row>
        <row r="172">
          <cell r="A172" t="str">
            <v xml:space="preserve">SKF-02083.BB                  </v>
          </cell>
          <cell r="B172">
            <v>2083</v>
          </cell>
          <cell r="C172" t="str">
            <v xml:space="preserve">110F-616-SR9-2083; Body                           </v>
          </cell>
          <cell r="D172" t="str">
            <v xml:space="preserve">11"            </v>
          </cell>
          <cell r="E172" t="str">
            <v xml:space="preserve">                                                  </v>
          </cell>
          <cell r="F172" t="str">
            <v xml:space="preserve">                         </v>
          </cell>
          <cell r="G172" t="str">
            <v xml:space="preserve">                         </v>
          </cell>
          <cell r="H172" t="str">
            <v xml:space="preserve">                         </v>
          </cell>
          <cell r="I172">
            <v>0</v>
          </cell>
          <cell r="J172">
            <v>0</v>
          </cell>
          <cell r="K172">
            <v>0</v>
          </cell>
          <cell r="L172">
            <v>0</v>
          </cell>
          <cell r="M172">
            <v>0</v>
          </cell>
          <cell r="N172" t="str">
            <v xml:space="preserve">                                                  </v>
          </cell>
          <cell r="O172">
            <v>0</v>
          </cell>
          <cell r="P172">
            <v>0</v>
          </cell>
          <cell r="Q172" t="str">
            <v xml:space="preserve">                         </v>
          </cell>
          <cell r="R172" t="str">
            <v/>
          </cell>
        </row>
        <row r="173">
          <cell r="A173" t="str">
            <v xml:space="preserve">SKF-02082.BB                  </v>
          </cell>
          <cell r="B173">
            <v>2082</v>
          </cell>
          <cell r="C173" t="str">
            <v xml:space="preserve">122F-516-XR8(K)(BR)-2082; Body                    </v>
          </cell>
          <cell r="D173" t="str">
            <v xml:space="preserve">12-1/4"        </v>
          </cell>
          <cell r="E173" t="str">
            <v xml:space="preserve">                                                  </v>
          </cell>
          <cell r="F173" t="str">
            <v xml:space="preserve">                         </v>
          </cell>
          <cell r="G173" t="str">
            <v xml:space="preserve">                         </v>
          </cell>
          <cell r="H173" t="str">
            <v xml:space="preserve">                         </v>
          </cell>
          <cell r="I173">
            <v>0</v>
          </cell>
          <cell r="J173">
            <v>0</v>
          </cell>
          <cell r="K173">
            <v>0</v>
          </cell>
          <cell r="L173">
            <v>0</v>
          </cell>
          <cell r="M173">
            <v>0</v>
          </cell>
          <cell r="N173" t="str">
            <v xml:space="preserve">                                                  </v>
          </cell>
          <cell r="O173">
            <v>0</v>
          </cell>
          <cell r="P173">
            <v>0</v>
          </cell>
          <cell r="Q173" t="str">
            <v xml:space="preserve">                         </v>
          </cell>
          <cell r="R173" t="str">
            <v/>
          </cell>
        </row>
        <row r="174">
          <cell r="A174" t="str">
            <v xml:space="preserve">SKF-02081.BB                  </v>
          </cell>
          <cell r="B174">
            <v>2081</v>
          </cell>
          <cell r="C174" t="str">
            <v xml:space="preserve">086F-516-SR-2081; Body                            </v>
          </cell>
          <cell r="D174" t="str">
            <v xml:space="preserve">08-3/4"        </v>
          </cell>
          <cell r="E174" t="str">
            <v xml:space="preserve">                                                  </v>
          </cell>
          <cell r="F174" t="str">
            <v xml:space="preserve">                         </v>
          </cell>
          <cell r="G174" t="str">
            <v xml:space="preserve">                         </v>
          </cell>
          <cell r="H174" t="str">
            <v xml:space="preserve">                         </v>
          </cell>
          <cell r="I174">
            <v>0</v>
          </cell>
          <cell r="J174">
            <v>0</v>
          </cell>
          <cell r="K174">
            <v>0</v>
          </cell>
          <cell r="L174">
            <v>0</v>
          </cell>
          <cell r="M174">
            <v>0</v>
          </cell>
          <cell r="N174" t="str">
            <v xml:space="preserve">                                                  </v>
          </cell>
          <cell r="O174">
            <v>0</v>
          </cell>
          <cell r="P174">
            <v>0</v>
          </cell>
          <cell r="Q174" t="str">
            <v xml:space="preserve">                         </v>
          </cell>
          <cell r="R174" t="str">
            <v/>
          </cell>
        </row>
        <row r="175">
          <cell r="A175" t="str">
            <v xml:space="preserve">SKF-02080.BB                  </v>
          </cell>
          <cell r="B175">
            <v>2080</v>
          </cell>
          <cell r="C175" t="str">
            <v xml:space="preserve">122F-716-XR(K)(BR)-2080; Body                     </v>
          </cell>
          <cell r="D175" t="str">
            <v xml:space="preserve">12-1/4"        </v>
          </cell>
          <cell r="E175" t="str">
            <v xml:space="preserve">                                                  </v>
          </cell>
          <cell r="F175" t="str">
            <v xml:space="preserve">                         </v>
          </cell>
          <cell r="G175" t="str">
            <v xml:space="preserve">                         </v>
          </cell>
          <cell r="H175" t="str">
            <v xml:space="preserve">                         </v>
          </cell>
          <cell r="I175">
            <v>0</v>
          </cell>
          <cell r="J175">
            <v>0</v>
          </cell>
          <cell r="K175">
            <v>0</v>
          </cell>
          <cell r="L175">
            <v>0</v>
          </cell>
          <cell r="M175">
            <v>0</v>
          </cell>
          <cell r="N175" t="str">
            <v xml:space="preserve">                                                  </v>
          </cell>
          <cell r="O175">
            <v>0</v>
          </cell>
          <cell r="P175">
            <v>0</v>
          </cell>
          <cell r="Q175" t="str">
            <v xml:space="preserve">                         </v>
          </cell>
          <cell r="R175" t="str">
            <v/>
          </cell>
        </row>
        <row r="176">
          <cell r="A176" t="str">
            <v xml:space="preserve">SKF-02079.BB                  </v>
          </cell>
          <cell r="B176">
            <v>2079</v>
          </cell>
          <cell r="C176" t="str">
            <v xml:space="preserve">061F-413-SR(K)-2079; Body                         </v>
          </cell>
          <cell r="D176" t="str">
            <v xml:space="preserve">06-1/8"        </v>
          </cell>
          <cell r="E176" t="str">
            <v xml:space="preserve">                                                  </v>
          </cell>
          <cell r="F176" t="str">
            <v xml:space="preserve">                         </v>
          </cell>
          <cell r="G176" t="str">
            <v xml:space="preserve">                         </v>
          </cell>
          <cell r="H176" t="str">
            <v xml:space="preserve">                         </v>
          </cell>
          <cell r="I176">
            <v>0</v>
          </cell>
          <cell r="J176">
            <v>0</v>
          </cell>
          <cell r="K176">
            <v>0</v>
          </cell>
          <cell r="L176">
            <v>0</v>
          </cell>
          <cell r="M176">
            <v>0</v>
          </cell>
          <cell r="N176" t="str">
            <v xml:space="preserve">                                                  </v>
          </cell>
          <cell r="O176">
            <v>0</v>
          </cell>
          <cell r="P176">
            <v>0</v>
          </cell>
          <cell r="Q176" t="str">
            <v xml:space="preserve">                         </v>
          </cell>
          <cell r="R176" t="str">
            <v/>
          </cell>
        </row>
        <row r="177">
          <cell r="A177" t="str">
            <v xml:space="preserve">SKF-02078.BB                  </v>
          </cell>
          <cell r="B177">
            <v>2078</v>
          </cell>
          <cell r="C177" t="str">
            <v xml:space="preserve">122F-616-XR9(K)(BR)-2078; Body                    </v>
          </cell>
          <cell r="D177" t="str">
            <v xml:space="preserve">12-1/4"        </v>
          </cell>
          <cell r="E177" t="str">
            <v xml:space="preserve">Various                                           </v>
          </cell>
          <cell r="F177" t="str">
            <v xml:space="preserve">                         </v>
          </cell>
          <cell r="G177" t="str">
            <v xml:space="preserve">Vertical                 </v>
          </cell>
          <cell r="H177" t="str">
            <v xml:space="preserve">Bent Motor               </v>
          </cell>
          <cell r="I177">
            <v>500</v>
          </cell>
          <cell r="J177">
            <v>8000</v>
          </cell>
          <cell r="K177">
            <v>200</v>
          </cell>
          <cell r="L177">
            <v>80</v>
          </cell>
          <cell r="M177">
            <v>6</v>
          </cell>
          <cell r="N177" t="str">
            <v xml:space="preserve">Diamond Wear Elements                             </v>
          </cell>
          <cell r="O177">
            <v>0.08</v>
          </cell>
          <cell r="P177">
            <v>0</v>
          </cell>
          <cell r="Q177" t="str">
            <v xml:space="preserve">Single Set               </v>
          </cell>
          <cell r="R177" t="str">
            <v>Designed to be fast drill out. Aggressive cone and shoulder backrake. Elliptical profile.
Backup cutters flush with leading cutters. Knuckle tip offset .025".</v>
          </cell>
        </row>
        <row r="178">
          <cell r="A178" t="str">
            <v xml:space="preserve">SKF-02077.BB                  </v>
          </cell>
          <cell r="B178">
            <v>2077</v>
          </cell>
          <cell r="C178" t="str">
            <v xml:space="preserve">086F-611-SR(K)(BR)-2077; Body                     </v>
          </cell>
          <cell r="D178" t="str">
            <v xml:space="preserve">08-1/2"        </v>
          </cell>
          <cell r="E178" t="str">
            <v xml:space="preserve">                                                  </v>
          </cell>
          <cell r="F178" t="str">
            <v xml:space="preserve">                         </v>
          </cell>
          <cell r="G178" t="str">
            <v xml:space="preserve">                         </v>
          </cell>
          <cell r="H178" t="str">
            <v xml:space="preserve">                         </v>
          </cell>
          <cell r="I178">
            <v>0</v>
          </cell>
          <cell r="J178">
            <v>0</v>
          </cell>
          <cell r="K178">
            <v>0</v>
          </cell>
          <cell r="L178">
            <v>0</v>
          </cell>
          <cell r="M178">
            <v>0</v>
          </cell>
          <cell r="N178" t="str">
            <v xml:space="preserve">                                                  </v>
          </cell>
          <cell r="O178">
            <v>0</v>
          </cell>
          <cell r="P178">
            <v>0</v>
          </cell>
          <cell r="Q178" t="str">
            <v xml:space="preserve">                         </v>
          </cell>
          <cell r="R178" t="str">
            <v/>
          </cell>
        </row>
        <row r="179">
          <cell r="A179" t="str">
            <v xml:space="preserve">SKF-02076.BB                  </v>
          </cell>
          <cell r="B179">
            <v>2076</v>
          </cell>
          <cell r="C179" t="str">
            <v xml:space="preserve">086F-513-SR(K)(BR)-2076; Body                     </v>
          </cell>
          <cell r="D179" t="str">
            <v xml:space="preserve">08-3/4"        </v>
          </cell>
          <cell r="E179" t="str">
            <v xml:space="preserve">                                                  </v>
          </cell>
          <cell r="F179" t="str">
            <v xml:space="preserve">                         </v>
          </cell>
          <cell r="G179" t="str">
            <v xml:space="preserve">                         </v>
          </cell>
          <cell r="H179" t="str">
            <v xml:space="preserve">                         </v>
          </cell>
          <cell r="I179">
            <v>0</v>
          </cell>
          <cell r="J179">
            <v>0</v>
          </cell>
          <cell r="K179">
            <v>0</v>
          </cell>
          <cell r="L179">
            <v>0</v>
          </cell>
          <cell r="M179">
            <v>0</v>
          </cell>
          <cell r="N179" t="str">
            <v xml:space="preserve">                                                  </v>
          </cell>
          <cell r="O179">
            <v>0</v>
          </cell>
          <cell r="P179">
            <v>0</v>
          </cell>
          <cell r="Q179" t="str">
            <v xml:space="preserve">                         </v>
          </cell>
          <cell r="R179" t="str">
            <v/>
          </cell>
        </row>
        <row r="180">
          <cell r="A180" t="str">
            <v xml:space="preserve">SKF-02075.BB                  </v>
          </cell>
          <cell r="B180">
            <v>2075</v>
          </cell>
          <cell r="C180" t="str">
            <v xml:space="preserve">084F-611-SR(K)(BR)-2075; Body                     </v>
          </cell>
          <cell r="D180" t="str">
            <v xml:space="preserve">08-1/2"        </v>
          </cell>
          <cell r="E180" t="str">
            <v xml:space="preserve">                                                  </v>
          </cell>
          <cell r="F180" t="str">
            <v xml:space="preserve">                         </v>
          </cell>
          <cell r="G180" t="str">
            <v xml:space="preserve">                         </v>
          </cell>
          <cell r="H180" t="str">
            <v xml:space="preserve">                         </v>
          </cell>
          <cell r="I180">
            <v>0</v>
          </cell>
          <cell r="J180">
            <v>0</v>
          </cell>
          <cell r="K180">
            <v>0</v>
          </cell>
          <cell r="L180">
            <v>0</v>
          </cell>
          <cell r="M180">
            <v>0</v>
          </cell>
          <cell r="N180" t="str">
            <v xml:space="preserve">                                                  </v>
          </cell>
          <cell r="O180">
            <v>0</v>
          </cell>
          <cell r="P180">
            <v>0</v>
          </cell>
          <cell r="Q180" t="str">
            <v xml:space="preserve">                         </v>
          </cell>
          <cell r="R180" t="str">
            <v/>
          </cell>
        </row>
        <row r="181">
          <cell r="A181" t="str">
            <v xml:space="preserve">SKF-02074.BB                  </v>
          </cell>
          <cell r="B181">
            <v>2074</v>
          </cell>
          <cell r="C181" t="str">
            <v xml:space="preserve">084F-513-SR(K)(BR)-2074; Body                     </v>
          </cell>
          <cell r="D181" t="str">
            <v xml:space="preserve">08-1/2"        </v>
          </cell>
          <cell r="E181" t="str">
            <v xml:space="preserve">                                                  </v>
          </cell>
          <cell r="F181" t="str">
            <v xml:space="preserve">                         </v>
          </cell>
          <cell r="G181" t="str">
            <v xml:space="preserve">                         </v>
          </cell>
          <cell r="H181" t="str">
            <v xml:space="preserve">                         </v>
          </cell>
          <cell r="I181">
            <v>0</v>
          </cell>
          <cell r="J181">
            <v>0</v>
          </cell>
          <cell r="K181">
            <v>0</v>
          </cell>
          <cell r="L181">
            <v>0</v>
          </cell>
          <cell r="M181">
            <v>0</v>
          </cell>
          <cell r="N181" t="str">
            <v xml:space="preserve">                                                  </v>
          </cell>
          <cell r="O181">
            <v>0</v>
          </cell>
          <cell r="P181">
            <v>0</v>
          </cell>
          <cell r="Q181" t="str">
            <v xml:space="preserve">                         </v>
          </cell>
          <cell r="R181" t="str">
            <v/>
          </cell>
        </row>
        <row r="182">
          <cell r="A182" t="str">
            <v xml:space="preserve">SKF-02073.BB                  </v>
          </cell>
          <cell r="B182">
            <v>2073</v>
          </cell>
          <cell r="C182" t="str">
            <v xml:space="preserve">122F-616-XR9(K)-2073; Body                        </v>
          </cell>
          <cell r="D182" t="str">
            <v xml:space="preserve">12-1/4"        </v>
          </cell>
          <cell r="E182" t="str">
            <v xml:space="preserve">                                                  </v>
          </cell>
          <cell r="F182" t="str">
            <v xml:space="preserve">                         </v>
          </cell>
          <cell r="G182" t="str">
            <v xml:space="preserve">                         </v>
          </cell>
          <cell r="H182" t="str">
            <v xml:space="preserve">                         </v>
          </cell>
          <cell r="I182">
            <v>0</v>
          </cell>
          <cell r="J182">
            <v>0</v>
          </cell>
          <cell r="K182">
            <v>0</v>
          </cell>
          <cell r="L182">
            <v>0</v>
          </cell>
          <cell r="M182">
            <v>0</v>
          </cell>
          <cell r="N182" t="str">
            <v xml:space="preserve">                                                  </v>
          </cell>
          <cell r="O182">
            <v>0</v>
          </cell>
          <cell r="P182">
            <v>0</v>
          </cell>
          <cell r="Q182" t="str">
            <v xml:space="preserve">                         </v>
          </cell>
          <cell r="R182" t="str">
            <v/>
          </cell>
        </row>
        <row r="183">
          <cell r="A183" t="str">
            <v xml:space="preserve">SKF-02072.BB                  </v>
          </cell>
          <cell r="B183">
            <v>2072</v>
          </cell>
          <cell r="C183" t="str">
            <v xml:space="preserve">077F-616-XR(K)-2072; Body                         </v>
          </cell>
          <cell r="D183" t="str">
            <v xml:space="preserve">07-7/8"        </v>
          </cell>
          <cell r="E183" t="str">
            <v xml:space="preserve">                                                  </v>
          </cell>
          <cell r="F183" t="str">
            <v xml:space="preserve">                         </v>
          </cell>
          <cell r="G183" t="str">
            <v xml:space="preserve">                         </v>
          </cell>
          <cell r="H183" t="str">
            <v xml:space="preserve">                         </v>
          </cell>
          <cell r="I183">
            <v>0</v>
          </cell>
          <cell r="J183">
            <v>0</v>
          </cell>
          <cell r="K183">
            <v>0</v>
          </cell>
          <cell r="L183">
            <v>0</v>
          </cell>
          <cell r="M183">
            <v>0</v>
          </cell>
          <cell r="N183" t="str">
            <v xml:space="preserve">                                                  </v>
          </cell>
          <cell r="O183">
            <v>0</v>
          </cell>
          <cell r="P183">
            <v>0</v>
          </cell>
          <cell r="Q183" t="str">
            <v xml:space="preserve">                         </v>
          </cell>
          <cell r="R183" t="str">
            <v/>
          </cell>
        </row>
        <row r="184">
          <cell r="A184" t="str">
            <v xml:space="preserve">SKF-02071.BB                  </v>
          </cell>
          <cell r="B184">
            <v>2071</v>
          </cell>
          <cell r="C184" t="str">
            <v xml:space="preserve">122F-616-YR9(K)(BR)-2071; Body                    </v>
          </cell>
          <cell r="D184" t="str">
            <v xml:space="preserve">12-1/4"        </v>
          </cell>
          <cell r="E184" t="str">
            <v xml:space="preserve">                                                  </v>
          </cell>
          <cell r="F184" t="str">
            <v xml:space="preserve">                         </v>
          </cell>
          <cell r="G184" t="str">
            <v xml:space="preserve">                         </v>
          </cell>
          <cell r="H184" t="str">
            <v xml:space="preserve">                         </v>
          </cell>
          <cell r="I184">
            <v>0</v>
          </cell>
          <cell r="J184">
            <v>0</v>
          </cell>
          <cell r="K184">
            <v>0</v>
          </cell>
          <cell r="L184">
            <v>0</v>
          </cell>
          <cell r="M184">
            <v>0</v>
          </cell>
          <cell r="N184" t="str">
            <v xml:space="preserve">                                                  </v>
          </cell>
          <cell r="O184">
            <v>0</v>
          </cell>
          <cell r="P184">
            <v>0</v>
          </cell>
          <cell r="Q184" t="str">
            <v xml:space="preserve">                         </v>
          </cell>
          <cell r="R184" t="str">
            <v/>
          </cell>
        </row>
        <row r="185">
          <cell r="A185" t="str">
            <v xml:space="preserve">SKF-02070.BB                  </v>
          </cell>
          <cell r="B185">
            <v>2070</v>
          </cell>
          <cell r="C185" t="str">
            <v xml:space="preserve">084F-516-YR(K)(BR)-2070; Body                     </v>
          </cell>
          <cell r="D185" t="str">
            <v xml:space="preserve">08-1/2"        </v>
          </cell>
          <cell r="E185" t="str">
            <v xml:space="preserve">Generic                                           </v>
          </cell>
          <cell r="F185" t="str">
            <v xml:space="preserve">                         </v>
          </cell>
          <cell r="G185" t="str">
            <v xml:space="preserve">Lateral                  </v>
          </cell>
          <cell r="H185" t="str">
            <v xml:space="preserve">Bent Motor               </v>
          </cell>
          <cell r="I185">
            <v>0</v>
          </cell>
          <cell r="J185">
            <v>0</v>
          </cell>
          <cell r="K185">
            <v>150</v>
          </cell>
          <cell r="L185">
            <v>70</v>
          </cell>
          <cell r="M185">
            <v>0</v>
          </cell>
          <cell r="N185" t="str">
            <v xml:space="preserve">                                                  </v>
          </cell>
          <cell r="O185">
            <v>9.2999999999999999E-2</v>
          </cell>
          <cell r="P185">
            <v>0</v>
          </cell>
          <cell r="Q185" t="str">
            <v xml:space="preserve">                         </v>
          </cell>
          <cell r="R185" t="str">
            <v>Designed April 2015 as a generic motor bit for show and tell. Mimicked the MMD55DM.</v>
          </cell>
        </row>
        <row r="186">
          <cell r="A186" t="str">
            <v xml:space="preserve">SKF-02068.BB                  </v>
          </cell>
          <cell r="B186">
            <v>2068</v>
          </cell>
          <cell r="C186" t="str">
            <v xml:space="preserve">086F-516-YR(K)(BR)-2068; Body                     </v>
          </cell>
          <cell r="D186" t="str">
            <v xml:space="preserve">08-3/4"        </v>
          </cell>
          <cell r="E186" t="str">
            <v xml:space="preserve">                                                  </v>
          </cell>
          <cell r="F186" t="str">
            <v xml:space="preserve">                         </v>
          </cell>
          <cell r="G186" t="str">
            <v xml:space="preserve">                         </v>
          </cell>
          <cell r="H186" t="str">
            <v xml:space="preserve">                         </v>
          </cell>
          <cell r="I186">
            <v>0</v>
          </cell>
          <cell r="J186">
            <v>0</v>
          </cell>
          <cell r="K186">
            <v>0</v>
          </cell>
          <cell r="L186">
            <v>0</v>
          </cell>
          <cell r="M186">
            <v>0</v>
          </cell>
          <cell r="N186" t="str">
            <v xml:space="preserve">                                                  </v>
          </cell>
          <cell r="O186">
            <v>0</v>
          </cell>
          <cell r="P186">
            <v>0</v>
          </cell>
          <cell r="Q186" t="str">
            <v xml:space="preserve">                         </v>
          </cell>
          <cell r="R186" t="str">
            <v/>
          </cell>
        </row>
        <row r="187">
          <cell r="A187" t="str">
            <v xml:space="preserve">SKF-02067.BB                  </v>
          </cell>
          <cell r="B187">
            <v>2067</v>
          </cell>
          <cell r="C187" t="str">
            <v xml:space="preserve">122F-616-SR9(K)(BR)-2067; Body                    </v>
          </cell>
          <cell r="D187" t="str">
            <v xml:space="preserve">12-1/4"        </v>
          </cell>
          <cell r="E187" t="str">
            <v xml:space="preserve">                                                  </v>
          </cell>
          <cell r="F187" t="str">
            <v xml:space="preserve">                         </v>
          </cell>
          <cell r="G187" t="str">
            <v xml:space="preserve">                         </v>
          </cell>
          <cell r="H187" t="str">
            <v xml:space="preserve">                         </v>
          </cell>
          <cell r="I187">
            <v>0</v>
          </cell>
          <cell r="J187">
            <v>0</v>
          </cell>
          <cell r="K187">
            <v>0</v>
          </cell>
          <cell r="L187">
            <v>0</v>
          </cell>
          <cell r="M187">
            <v>0</v>
          </cell>
          <cell r="N187" t="str">
            <v xml:space="preserve">                                                  </v>
          </cell>
          <cell r="O187">
            <v>0</v>
          </cell>
          <cell r="P187">
            <v>0</v>
          </cell>
          <cell r="Q187" t="str">
            <v xml:space="preserve">                         </v>
          </cell>
          <cell r="R187" t="str">
            <v/>
          </cell>
        </row>
        <row r="188">
          <cell r="A188" t="str">
            <v xml:space="preserve">SKF-02066.BB                  </v>
          </cell>
          <cell r="B188">
            <v>2066</v>
          </cell>
          <cell r="C188" t="str">
            <v xml:space="preserve">110F-616-SR9(K)(BR)-2066; Body                    </v>
          </cell>
          <cell r="D188" t="str">
            <v xml:space="preserve">11"            </v>
          </cell>
          <cell r="E188" t="str">
            <v xml:space="preserve">                                                  </v>
          </cell>
          <cell r="F188" t="str">
            <v xml:space="preserve">                         </v>
          </cell>
          <cell r="G188" t="str">
            <v xml:space="preserve">                         </v>
          </cell>
          <cell r="H188" t="str">
            <v xml:space="preserve">                         </v>
          </cell>
          <cell r="I188">
            <v>0</v>
          </cell>
          <cell r="J188">
            <v>0</v>
          </cell>
          <cell r="K188">
            <v>0</v>
          </cell>
          <cell r="L188">
            <v>0</v>
          </cell>
          <cell r="M188">
            <v>0</v>
          </cell>
          <cell r="N188" t="str">
            <v xml:space="preserve">                                                  </v>
          </cell>
          <cell r="O188">
            <v>0</v>
          </cell>
          <cell r="P188">
            <v>0</v>
          </cell>
          <cell r="Q188" t="str">
            <v xml:space="preserve">                         </v>
          </cell>
          <cell r="R188" t="str">
            <v/>
          </cell>
        </row>
        <row r="189">
          <cell r="A189" t="str">
            <v xml:space="preserve">SKF-02064.BB                  </v>
          </cell>
          <cell r="B189">
            <v>2064</v>
          </cell>
          <cell r="C189" t="str">
            <v xml:space="preserve">122F-616-SR9(K)(BR)-2064; Body                    </v>
          </cell>
          <cell r="D189" t="str">
            <v xml:space="preserve">12-1/4"        </v>
          </cell>
          <cell r="E189" t="str">
            <v xml:space="preserve">                                                  </v>
          </cell>
          <cell r="F189" t="str">
            <v xml:space="preserve">                         </v>
          </cell>
          <cell r="G189" t="str">
            <v xml:space="preserve">                         </v>
          </cell>
          <cell r="H189" t="str">
            <v xml:space="preserve">                         </v>
          </cell>
          <cell r="I189">
            <v>0</v>
          </cell>
          <cell r="J189">
            <v>0</v>
          </cell>
          <cell r="K189">
            <v>0</v>
          </cell>
          <cell r="L189">
            <v>0</v>
          </cell>
          <cell r="M189">
            <v>0</v>
          </cell>
          <cell r="N189" t="str">
            <v xml:space="preserve">                                                  </v>
          </cell>
          <cell r="O189">
            <v>0</v>
          </cell>
          <cell r="P189">
            <v>0</v>
          </cell>
          <cell r="Q189" t="str">
            <v xml:space="preserve">                         </v>
          </cell>
          <cell r="R189" t="str">
            <v/>
          </cell>
        </row>
        <row r="190">
          <cell r="A190" t="str">
            <v xml:space="preserve">SKF-02063.BB                  </v>
          </cell>
          <cell r="B190">
            <v>2063</v>
          </cell>
          <cell r="C190" t="str">
            <v xml:space="preserve">097F-616-YR(K)-2063; Body                         </v>
          </cell>
          <cell r="D190" t="str">
            <v xml:space="preserve">09-7/8"        </v>
          </cell>
          <cell r="E190" t="str">
            <v xml:space="preserve">                                                  </v>
          </cell>
          <cell r="F190" t="str">
            <v xml:space="preserve">                         </v>
          </cell>
          <cell r="G190" t="str">
            <v xml:space="preserve">                         </v>
          </cell>
          <cell r="H190" t="str">
            <v xml:space="preserve">                         </v>
          </cell>
          <cell r="I190">
            <v>0</v>
          </cell>
          <cell r="J190">
            <v>0</v>
          </cell>
          <cell r="K190">
            <v>0</v>
          </cell>
          <cell r="L190">
            <v>0</v>
          </cell>
          <cell r="M190">
            <v>0</v>
          </cell>
          <cell r="N190" t="str">
            <v xml:space="preserve">                                                  </v>
          </cell>
          <cell r="O190">
            <v>0</v>
          </cell>
          <cell r="P190">
            <v>0</v>
          </cell>
          <cell r="Q190" t="str">
            <v xml:space="preserve">                         </v>
          </cell>
          <cell r="R190" t="str">
            <v/>
          </cell>
        </row>
        <row r="191">
          <cell r="A191" t="str">
            <v xml:space="preserve">SKF-02062.BB                  </v>
          </cell>
          <cell r="B191">
            <v>2062</v>
          </cell>
          <cell r="C191" t="str">
            <v xml:space="preserve">122F-616-SR9(K)(BR)-2062; Body                    </v>
          </cell>
          <cell r="D191" t="str">
            <v xml:space="preserve">12-1/4"        </v>
          </cell>
          <cell r="E191" t="str">
            <v xml:space="preserve">                                                  </v>
          </cell>
          <cell r="F191" t="str">
            <v xml:space="preserve">                         </v>
          </cell>
          <cell r="G191" t="str">
            <v xml:space="preserve">                         </v>
          </cell>
          <cell r="H191" t="str">
            <v xml:space="preserve">                         </v>
          </cell>
          <cell r="I191">
            <v>0</v>
          </cell>
          <cell r="J191">
            <v>0</v>
          </cell>
          <cell r="K191">
            <v>0</v>
          </cell>
          <cell r="L191">
            <v>0</v>
          </cell>
          <cell r="M191">
            <v>0</v>
          </cell>
          <cell r="N191" t="str">
            <v xml:space="preserve">                                                  </v>
          </cell>
          <cell r="O191">
            <v>0</v>
          </cell>
          <cell r="P191">
            <v>0</v>
          </cell>
          <cell r="Q191" t="str">
            <v xml:space="preserve">                         </v>
          </cell>
          <cell r="R191" t="str">
            <v/>
          </cell>
        </row>
        <row r="192">
          <cell r="A192" t="str">
            <v xml:space="preserve">SKF-02061.BB                  </v>
          </cell>
          <cell r="B192">
            <v>2061</v>
          </cell>
          <cell r="C192" t="str">
            <v xml:space="preserve">122F-616-SR+9(K)(BR)-2061; Body                   </v>
          </cell>
          <cell r="D192" t="str">
            <v xml:space="preserve">12-1/4"        </v>
          </cell>
          <cell r="E192" t="str">
            <v xml:space="preserve">                                                  </v>
          </cell>
          <cell r="F192" t="str">
            <v xml:space="preserve">                         </v>
          </cell>
          <cell r="G192" t="str">
            <v xml:space="preserve">                         </v>
          </cell>
          <cell r="H192" t="str">
            <v xml:space="preserve">                         </v>
          </cell>
          <cell r="I192">
            <v>0</v>
          </cell>
          <cell r="J192">
            <v>0</v>
          </cell>
          <cell r="K192">
            <v>0</v>
          </cell>
          <cell r="L192">
            <v>0</v>
          </cell>
          <cell r="M192">
            <v>0</v>
          </cell>
          <cell r="N192" t="str">
            <v xml:space="preserve">                                                  </v>
          </cell>
          <cell r="O192">
            <v>0</v>
          </cell>
          <cell r="P192">
            <v>0</v>
          </cell>
          <cell r="Q192" t="str">
            <v xml:space="preserve">                         </v>
          </cell>
          <cell r="R192" t="str">
            <v/>
          </cell>
        </row>
        <row r="193">
          <cell r="A193" t="str">
            <v xml:space="preserve">SKF-02060.BB                  </v>
          </cell>
          <cell r="B193">
            <v>2060</v>
          </cell>
          <cell r="C193" t="str">
            <v xml:space="preserve">200F-616-SR9-2060; Body                           </v>
          </cell>
          <cell r="D193" t="str">
            <v xml:space="preserve">20"            </v>
          </cell>
          <cell r="E193" t="str">
            <v xml:space="preserve">                                                  </v>
          </cell>
          <cell r="F193" t="str">
            <v xml:space="preserve">                         </v>
          </cell>
          <cell r="G193" t="str">
            <v xml:space="preserve">                         </v>
          </cell>
          <cell r="H193" t="str">
            <v xml:space="preserve">                         </v>
          </cell>
          <cell r="I193">
            <v>0</v>
          </cell>
          <cell r="J193">
            <v>0</v>
          </cell>
          <cell r="K193">
            <v>0</v>
          </cell>
          <cell r="L193">
            <v>0</v>
          </cell>
          <cell r="M193">
            <v>0</v>
          </cell>
          <cell r="N193" t="str">
            <v xml:space="preserve">                                                  </v>
          </cell>
          <cell r="O193">
            <v>0</v>
          </cell>
          <cell r="P193">
            <v>0</v>
          </cell>
          <cell r="Q193" t="str">
            <v xml:space="preserve">                         </v>
          </cell>
          <cell r="R193" t="str">
            <v/>
          </cell>
        </row>
        <row r="194">
          <cell r="A194" t="str">
            <v xml:space="preserve">SKF-02059.BB                  </v>
          </cell>
          <cell r="B194">
            <v>2059</v>
          </cell>
          <cell r="C194" t="str">
            <v xml:space="preserve">122F-616-SR9(K)(BR)-2059; Body                    </v>
          </cell>
          <cell r="D194" t="str">
            <v xml:space="preserve">12-1/4"        </v>
          </cell>
          <cell r="E194" t="str">
            <v xml:space="preserve">                                                  </v>
          </cell>
          <cell r="F194" t="str">
            <v xml:space="preserve">                         </v>
          </cell>
          <cell r="G194" t="str">
            <v xml:space="preserve">                         </v>
          </cell>
          <cell r="H194" t="str">
            <v xml:space="preserve">                         </v>
          </cell>
          <cell r="I194">
            <v>0</v>
          </cell>
          <cell r="J194">
            <v>0</v>
          </cell>
          <cell r="K194">
            <v>0</v>
          </cell>
          <cell r="L194">
            <v>0</v>
          </cell>
          <cell r="M194">
            <v>0</v>
          </cell>
          <cell r="N194" t="str">
            <v xml:space="preserve">                                                  </v>
          </cell>
          <cell r="O194">
            <v>0</v>
          </cell>
          <cell r="P194">
            <v>0</v>
          </cell>
          <cell r="Q194" t="str">
            <v xml:space="preserve">                         </v>
          </cell>
          <cell r="R194" t="str">
            <v/>
          </cell>
        </row>
        <row r="195">
          <cell r="A195" t="str">
            <v xml:space="preserve">SKF-02058.BB                  </v>
          </cell>
          <cell r="B195">
            <v>2058</v>
          </cell>
          <cell r="C195" t="str">
            <v xml:space="preserve">122F-616-SR9(K)-2058; Body                        </v>
          </cell>
          <cell r="D195" t="str">
            <v xml:space="preserve">12-1/4"        </v>
          </cell>
          <cell r="E195" t="str">
            <v xml:space="preserve">                                                  </v>
          </cell>
          <cell r="F195" t="str">
            <v xml:space="preserve">                         </v>
          </cell>
          <cell r="G195" t="str">
            <v xml:space="preserve">                         </v>
          </cell>
          <cell r="H195" t="str">
            <v xml:space="preserve">                         </v>
          </cell>
          <cell r="I195">
            <v>0</v>
          </cell>
          <cell r="J195">
            <v>0</v>
          </cell>
          <cell r="K195">
            <v>0</v>
          </cell>
          <cell r="L195">
            <v>0</v>
          </cell>
          <cell r="M195">
            <v>0</v>
          </cell>
          <cell r="N195" t="str">
            <v xml:space="preserve">                                                  </v>
          </cell>
          <cell r="O195">
            <v>0</v>
          </cell>
          <cell r="P195">
            <v>0</v>
          </cell>
          <cell r="Q195" t="str">
            <v xml:space="preserve">                         </v>
          </cell>
          <cell r="R195" t="str">
            <v/>
          </cell>
        </row>
        <row r="196">
          <cell r="A196" t="str">
            <v xml:space="preserve">SKF-02057.BB                  </v>
          </cell>
          <cell r="B196">
            <v>2057</v>
          </cell>
          <cell r="C196" t="str">
            <v xml:space="preserve">122F-616-YR9-2057; Body                           </v>
          </cell>
          <cell r="D196" t="str">
            <v xml:space="preserve">12-1/4"        </v>
          </cell>
          <cell r="E196" t="str">
            <v xml:space="preserve">                                                  </v>
          </cell>
          <cell r="F196" t="str">
            <v xml:space="preserve">                         </v>
          </cell>
          <cell r="G196" t="str">
            <v xml:space="preserve">                         </v>
          </cell>
          <cell r="H196" t="str">
            <v xml:space="preserve">                         </v>
          </cell>
          <cell r="I196">
            <v>0</v>
          </cell>
          <cell r="J196">
            <v>0</v>
          </cell>
          <cell r="K196">
            <v>0</v>
          </cell>
          <cell r="L196">
            <v>0</v>
          </cell>
          <cell r="M196">
            <v>0</v>
          </cell>
          <cell r="N196" t="str">
            <v xml:space="preserve">                                                  </v>
          </cell>
          <cell r="O196">
            <v>0</v>
          </cell>
          <cell r="P196">
            <v>0</v>
          </cell>
          <cell r="Q196" t="str">
            <v xml:space="preserve">                         </v>
          </cell>
          <cell r="R196" t="str">
            <v/>
          </cell>
        </row>
        <row r="197">
          <cell r="A197" t="str">
            <v xml:space="preserve">SKF-02055.BB                  </v>
          </cell>
          <cell r="B197">
            <v>2055</v>
          </cell>
          <cell r="C197" t="str">
            <v xml:space="preserve">110F-616-SR9-2055; Body                           </v>
          </cell>
          <cell r="D197" t="str">
            <v xml:space="preserve">11"            </v>
          </cell>
          <cell r="E197" t="str">
            <v xml:space="preserve">                                                  </v>
          </cell>
          <cell r="F197" t="str">
            <v xml:space="preserve">                         </v>
          </cell>
          <cell r="G197" t="str">
            <v xml:space="preserve">                         </v>
          </cell>
          <cell r="H197" t="str">
            <v xml:space="preserve">                         </v>
          </cell>
          <cell r="I197">
            <v>0</v>
          </cell>
          <cell r="J197">
            <v>0</v>
          </cell>
          <cell r="K197">
            <v>0</v>
          </cell>
          <cell r="L197">
            <v>0</v>
          </cell>
          <cell r="M197">
            <v>0</v>
          </cell>
          <cell r="N197" t="str">
            <v xml:space="preserve">                                                  </v>
          </cell>
          <cell r="O197">
            <v>0</v>
          </cell>
          <cell r="P197">
            <v>0</v>
          </cell>
          <cell r="Q197" t="str">
            <v xml:space="preserve">                         </v>
          </cell>
          <cell r="R197" t="str">
            <v/>
          </cell>
        </row>
        <row r="198">
          <cell r="A198" t="str">
            <v xml:space="preserve">SKF-02054.BB                  </v>
          </cell>
          <cell r="B198">
            <v>2054</v>
          </cell>
          <cell r="C198" t="str">
            <v xml:space="preserve">084F-616-YR(BR)-2054; Body                        </v>
          </cell>
          <cell r="D198" t="str">
            <v xml:space="preserve">08-1/2"        </v>
          </cell>
          <cell r="E198" t="str">
            <v xml:space="preserve">                                                  </v>
          </cell>
          <cell r="F198" t="str">
            <v xml:space="preserve">                         </v>
          </cell>
          <cell r="G198" t="str">
            <v xml:space="preserve">                         </v>
          </cell>
          <cell r="H198" t="str">
            <v xml:space="preserve">                         </v>
          </cell>
          <cell r="I198">
            <v>0</v>
          </cell>
          <cell r="J198">
            <v>0</v>
          </cell>
          <cell r="K198">
            <v>0</v>
          </cell>
          <cell r="L198">
            <v>0</v>
          </cell>
          <cell r="M198">
            <v>0</v>
          </cell>
          <cell r="N198" t="str">
            <v xml:space="preserve">                                                  </v>
          </cell>
          <cell r="O198">
            <v>0</v>
          </cell>
          <cell r="P198">
            <v>0</v>
          </cell>
          <cell r="Q198" t="str">
            <v xml:space="preserve">                         </v>
          </cell>
          <cell r="R198" t="str">
            <v/>
          </cell>
        </row>
        <row r="199">
          <cell r="A199" t="str">
            <v xml:space="preserve">SKF-02053.BB                  </v>
          </cell>
          <cell r="B199">
            <v>2053</v>
          </cell>
          <cell r="C199" t="str">
            <v xml:space="preserve">084F-616-YR(BR)-2053; Body                        </v>
          </cell>
          <cell r="D199" t="str">
            <v xml:space="preserve">08-1/2"        </v>
          </cell>
          <cell r="E199" t="str">
            <v xml:space="preserve">                                                  </v>
          </cell>
          <cell r="F199" t="str">
            <v xml:space="preserve">                         </v>
          </cell>
          <cell r="G199" t="str">
            <v xml:space="preserve">                         </v>
          </cell>
          <cell r="H199" t="str">
            <v xml:space="preserve">                         </v>
          </cell>
          <cell r="I199">
            <v>0</v>
          </cell>
          <cell r="J199">
            <v>0</v>
          </cell>
          <cell r="K199">
            <v>0</v>
          </cell>
          <cell r="L199">
            <v>0</v>
          </cell>
          <cell r="M199">
            <v>0</v>
          </cell>
          <cell r="N199" t="str">
            <v xml:space="preserve">                                                  </v>
          </cell>
          <cell r="O199">
            <v>0</v>
          </cell>
          <cell r="P199">
            <v>0</v>
          </cell>
          <cell r="Q199" t="str">
            <v xml:space="preserve">                         </v>
          </cell>
          <cell r="R199" t="str">
            <v/>
          </cell>
        </row>
        <row r="200">
          <cell r="A200" t="str">
            <v xml:space="preserve">SKF-02052.BB                  </v>
          </cell>
          <cell r="B200">
            <v>2052</v>
          </cell>
          <cell r="C200" t="str">
            <v xml:space="preserve">110F-616-SR9-2052; Body                           </v>
          </cell>
          <cell r="D200" t="str">
            <v xml:space="preserve">11"            </v>
          </cell>
          <cell r="E200" t="str">
            <v xml:space="preserve">                                                  </v>
          </cell>
          <cell r="F200" t="str">
            <v xml:space="preserve">                         </v>
          </cell>
          <cell r="G200" t="str">
            <v xml:space="preserve">                         </v>
          </cell>
          <cell r="H200" t="str">
            <v xml:space="preserve">                         </v>
          </cell>
          <cell r="I200">
            <v>0</v>
          </cell>
          <cell r="J200">
            <v>0</v>
          </cell>
          <cell r="K200">
            <v>0</v>
          </cell>
          <cell r="L200">
            <v>0</v>
          </cell>
          <cell r="M200">
            <v>0</v>
          </cell>
          <cell r="N200" t="str">
            <v xml:space="preserve">                                                  </v>
          </cell>
          <cell r="O200">
            <v>0</v>
          </cell>
          <cell r="P200">
            <v>0</v>
          </cell>
          <cell r="Q200" t="str">
            <v xml:space="preserve">                         </v>
          </cell>
          <cell r="R200" t="str">
            <v/>
          </cell>
        </row>
        <row r="201">
          <cell r="A201" t="str">
            <v xml:space="preserve">SKF-02051.BB                  </v>
          </cell>
          <cell r="B201">
            <v>2051</v>
          </cell>
          <cell r="C201" t="str">
            <v xml:space="preserve">146F-616-SR9-2051; Body                           </v>
          </cell>
          <cell r="D201" t="str">
            <v xml:space="preserve">14-3/4"        </v>
          </cell>
          <cell r="E201" t="str">
            <v xml:space="preserve">                                                  </v>
          </cell>
          <cell r="F201" t="str">
            <v xml:space="preserve">                         </v>
          </cell>
          <cell r="G201" t="str">
            <v xml:space="preserve">                         </v>
          </cell>
          <cell r="H201" t="str">
            <v xml:space="preserve">                         </v>
          </cell>
          <cell r="I201">
            <v>0</v>
          </cell>
          <cell r="J201">
            <v>0</v>
          </cell>
          <cell r="K201">
            <v>0</v>
          </cell>
          <cell r="L201">
            <v>0</v>
          </cell>
          <cell r="M201">
            <v>0</v>
          </cell>
          <cell r="N201" t="str">
            <v xml:space="preserve">                                                  </v>
          </cell>
          <cell r="O201">
            <v>0</v>
          </cell>
          <cell r="P201">
            <v>0</v>
          </cell>
          <cell r="Q201" t="str">
            <v xml:space="preserve">                         </v>
          </cell>
          <cell r="R201" t="str">
            <v/>
          </cell>
        </row>
        <row r="202">
          <cell r="A202" t="str">
            <v xml:space="preserve">SKF-02050.BB                  </v>
          </cell>
          <cell r="B202">
            <v>2050</v>
          </cell>
          <cell r="C202" t="str">
            <v xml:space="preserve">160F-616-SR9-2050; Body                           </v>
          </cell>
          <cell r="D202" t="str">
            <v xml:space="preserve">               </v>
          </cell>
          <cell r="E202" t="str">
            <v xml:space="preserve">                                                  </v>
          </cell>
          <cell r="F202" t="str">
            <v xml:space="preserve">                         </v>
          </cell>
          <cell r="G202" t="str">
            <v xml:space="preserve">                         </v>
          </cell>
          <cell r="H202" t="str">
            <v xml:space="preserve">                         </v>
          </cell>
          <cell r="I202">
            <v>0</v>
          </cell>
          <cell r="J202">
            <v>0</v>
          </cell>
          <cell r="K202">
            <v>0</v>
          </cell>
          <cell r="L202">
            <v>0</v>
          </cell>
          <cell r="M202">
            <v>0</v>
          </cell>
          <cell r="N202" t="str">
            <v xml:space="preserve">                                                  </v>
          </cell>
          <cell r="O202">
            <v>0</v>
          </cell>
          <cell r="P202">
            <v>0</v>
          </cell>
          <cell r="Q202" t="str">
            <v xml:space="preserve">                         </v>
          </cell>
          <cell r="R202" t="str">
            <v/>
          </cell>
        </row>
        <row r="203">
          <cell r="A203" t="str">
            <v xml:space="preserve">SKF-02049.BB                  </v>
          </cell>
          <cell r="B203">
            <v>2049</v>
          </cell>
          <cell r="C203" t="str">
            <v xml:space="preserve">134F-616-SR9-2049; Body                           </v>
          </cell>
          <cell r="D203" t="str">
            <v xml:space="preserve">               </v>
          </cell>
          <cell r="E203" t="str">
            <v xml:space="preserve">                                                  </v>
          </cell>
          <cell r="F203" t="str">
            <v xml:space="preserve">                         </v>
          </cell>
          <cell r="G203" t="str">
            <v xml:space="preserve">                         </v>
          </cell>
          <cell r="H203" t="str">
            <v xml:space="preserve">                         </v>
          </cell>
          <cell r="I203">
            <v>0</v>
          </cell>
          <cell r="J203">
            <v>0</v>
          </cell>
          <cell r="K203">
            <v>0</v>
          </cell>
          <cell r="L203">
            <v>0</v>
          </cell>
          <cell r="M203">
            <v>0</v>
          </cell>
          <cell r="N203" t="str">
            <v xml:space="preserve">                                                  </v>
          </cell>
          <cell r="O203">
            <v>0</v>
          </cell>
          <cell r="P203">
            <v>0</v>
          </cell>
          <cell r="Q203" t="str">
            <v xml:space="preserve">                         </v>
          </cell>
          <cell r="R203" t="str">
            <v/>
          </cell>
        </row>
        <row r="204">
          <cell r="A204" t="str">
            <v xml:space="preserve">SKF-02047.BB                  </v>
          </cell>
          <cell r="B204">
            <v>2047</v>
          </cell>
          <cell r="C204" t="str">
            <v xml:space="preserve">077F-616-YR-2047; Body                            </v>
          </cell>
          <cell r="D204" t="str">
            <v xml:space="preserve">07-7/8"        </v>
          </cell>
          <cell r="E204" t="str">
            <v xml:space="preserve">                                                  </v>
          </cell>
          <cell r="F204" t="str">
            <v xml:space="preserve">                         </v>
          </cell>
          <cell r="G204" t="str">
            <v xml:space="preserve">                         </v>
          </cell>
          <cell r="H204" t="str">
            <v xml:space="preserve">                         </v>
          </cell>
          <cell r="I204">
            <v>0</v>
          </cell>
          <cell r="J204">
            <v>0</v>
          </cell>
          <cell r="K204">
            <v>0</v>
          </cell>
          <cell r="L204">
            <v>0</v>
          </cell>
          <cell r="M204">
            <v>0</v>
          </cell>
          <cell r="N204" t="str">
            <v xml:space="preserve">                                                  </v>
          </cell>
          <cell r="O204">
            <v>0</v>
          </cell>
          <cell r="P204">
            <v>0</v>
          </cell>
          <cell r="Q204" t="str">
            <v xml:space="preserve">                         </v>
          </cell>
          <cell r="R204" t="str">
            <v/>
          </cell>
        </row>
        <row r="205">
          <cell r="A205" t="str">
            <v xml:space="preserve">SKF-02046.BB                  </v>
          </cell>
          <cell r="B205">
            <v>2046</v>
          </cell>
          <cell r="C205" t="str">
            <v xml:space="preserve">061F-313-YR-2046; Body                            </v>
          </cell>
          <cell r="D205" t="str">
            <v xml:space="preserve">06-1/8"        </v>
          </cell>
          <cell r="E205" t="str">
            <v xml:space="preserve">                                                  </v>
          </cell>
          <cell r="F205" t="str">
            <v xml:space="preserve">                         </v>
          </cell>
          <cell r="G205" t="str">
            <v xml:space="preserve">                         </v>
          </cell>
          <cell r="H205" t="str">
            <v xml:space="preserve">                         </v>
          </cell>
          <cell r="I205">
            <v>0</v>
          </cell>
          <cell r="J205">
            <v>0</v>
          </cell>
          <cell r="K205">
            <v>0</v>
          </cell>
          <cell r="L205">
            <v>0</v>
          </cell>
          <cell r="M205">
            <v>0</v>
          </cell>
          <cell r="N205" t="str">
            <v xml:space="preserve">                                                  </v>
          </cell>
          <cell r="O205">
            <v>0</v>
          </cell>
          <cell r="P205">
            <v>0</v>
          </cell>
          <cell r="Q205" t="str">
            <v xml:space="preserve">                         </v>
          </cell>
          <cell r="R205" t="str">
            <v/>
          </cell>
        </row>
        <row r="206">
          <cell r="A206" t="str">
            <v xml:space="preserve">SKF-02045.BB                  </v>
          </cell>
          <cell r="B206">
            <v>2045</v>
          </cell>
          <cell r="C206" t="str">
            <v xml:space="preserve">146F-616-SR9-2045; Body                           </v>
          </cell>
          <cell r="D206" t="str">
            <v xml:space="preserve">14-3/4"        </v>
          </cell>
          <cell r="E206" t="str">
            <v xml:space="preserve">                                                  </v>
          </cell>
          <cell r="F206" t="str">
            <v xml:space="preserve">                         </v>
          </cell>
          <cell r="G206" t="str">
            <v xml:space="preserve">                         </v>
          </cell>
          <cell r="H206" t="str">
            <v xml:space="preserve">                         </v>
          </cell>
          <cell r="I206">
            <v>0</v>
          </cell>
          <cell r="J206">
            <v>0</v>
          </cell>
          <cell r="K206">
            <v>0</v>
          </cell>
          <cell r="L206">
            <v>0</v>
          </cell>
          <cell r="M206">
            <v>0</v>
          </cell>
          <cell r="N206" t="str">
            <v xml:space="preserve">                                                  </v>
          </cell>
          <cell r="O206">
            <v>0</v>
          </cell>
          <cell r="P206">
            <v>0</v>
          </cell>
          <cell r="Q206" t="str">
            <v xml:space="preserve">                         </v>
          </cell>
          <cell r="R206" t="str">
            <v/>
          </cell>
        </row>
        <row r="207">
          <cell r="A207" t="str">
            <v xml:space="preserve">SKF-02044.BB                  </v>
          </cell>
          <cell r="B207">
            <v>2044</v>
          </cell>
          <cell r="C207" t="str">
            <v xml:space="preserve">086F-516-SR7(BR)-2044; Body                       </v>
          </cell>
          <cell r="D207" t="str">
            <v xml:space="preserve">               </v>
          </cell>
          <cell r="E207" t="str">
            <v xml:space="preserve">                                                  </v>
          </cell>
          <cell r="F207" t="str">
            <v xml:space="preserve">                         </v>
          </cell>
          <cell r="G207" t="str">
            <v xml:space="preserve">                         </v>
          </cell>
          <cell r="H207" t="str">
            <v xml:space="preserve">                         </v>
          </cell>
          <cell r="I207">
            <v>0</v>
          </cell>
          <cell r="J207">
            <v>0</v>
          </cell>
          <cell r="K207">
            <v>0</v>
          </cell>
          <cell r="L207">
            <v>0</v>
          </cell>
          <cell r="M207">
            <v>0</v>
          </cell>
          <cell r="N207" t="str">
            <v xml:space="preserve">                                                  </v>
          </cell>
          <cell r="O207">
            <v>0</v>
          </cell>
          <cell r="P207">
            <v>0</v>
          </cell>
          <cell r="Q207" t="str">
            <v xml:space="preserve">                         </v>
          </cell>
          <cell r="R207" t="str">
            <v/>
          </cell>
        </row>
        <row r="208">
          <cell r="A208" t="str">
            <v xml:space="preserve">SKF-02043.BB                  </v>
          </cell>
          <cell r="B208">
            <v>2043</v>
          </cell>
          <cell r="C208" t="str">
            <v xml:space="preserve">060F-616-SR-2043; Body                            </v>
          </cell>
          <cell r="D208" t="str">
            <v xml:space="preserve">06"            </v>
          </cell>
          <cell r="E208" t="str">
            <v xml:space="preserve">                                                  </v>
          </cell>
          <cell r="F208" t="str">
            <v xml:space="preserve">                         </v>
          </cell>
          <cell r="G208" t="str">
            <v xml:space="preserve">                         </v>
          </cell>
          <cell r="H208" t="str">
            <v xml:space="preserve">                         </v>
          </cell>
          <cell r="I208">
            <v>0</v>
          </cell>
          <cell r="J208">
            <v>0</v>
          </cell>
          <cell r="K208">
            <v>0</v>
          </cell>
          <cell r="L208">
            <v>0</v>
          </cell>
          <cell r="M208">
            <v>0</v>
          </cell>
          <cell r="N208" t="str">
            <v xml:space="preserve">                                                  </v>
          </cell>
          <cell r="O208">
            <v>0</v>
          </cell>
          <cell r="P208">
            <v>0</v>
          </cell>
          <cell r="Q208" t="str">
            <v xml:space="preserve">                         </v>
          </cell>
          <cell r="R208" t="str">
            <v/>
          </cell>
        </row>
        <row r="209">
          <cell r="A209" t="str">
            <v xml:space="preserve">SKF-02042.BB                  </v>
          </cell>
          <cell r="B209">
            <v>2042</v>
          </cell>
          <cell r="C209" t="str">
            <v xml:space="preserve">174F-616-SR9-2042; Body                           </v>
          </cell>
          <cell r="D209" t="str">
            <v xml:space="preserve">17-1/2"        </v>
          </cell>
          <cell r="E209" t="str">
            <v xml:space="preserve">                                                  </v>
          </cell>
          <cell r="F209" t="str">
            <v xml:space="preserve">                         </v>
          </cell>
          <cell r="G209" t="str">
            <v xml:space="preserve">                         </v>
          </cell>
          <cell r="H209" t="str">
            <v xml:space="preserve">                         </v>
          </cell>
          <cell r="I209">
            <v>0</v>
          </cell>
          <cell r="J209">
            <v>0</v>
          </cell>
          <cell r="K209">
            <v>0</v>
          </cell>
          <cell r="L209">
            <v>0</v>
          </cell>
          <cell r="M209">
            <v>0</v>
          </cell>
          <cell r="N209" t="str">
            <v xml:space="preserve">                                                  </v>
          </cell>
          <cell r="O209">
            <v>0</v>
          </cell>
          <cell r="P209">
            <v>0</v>
          </cell>
          <cell r="Q209" t="str">
            <v xml:space="preserve">                         </v>
          </cell>
          <cell r="R209" t="str">
            <v/>
          </cell>
        </row>
        <row r="210">
          <cell r="A210" t="str">
            <v xml:space="preserve">SKF-02041.BB                  </v>
          </cell>
          <cell r="B210">
            <v>2041</v>
          </cell>
          <cell r="C210" t="str">
            <v xml:space="preserve">174F-616-SR9-2041; Body                           </v>
          </cell>
          <cell r="D210" t="str">
            <v xml:space="preserve">17-1/2"        </v>
          </cell>
          <cell r="E210" t="str">
            <v xml:space="preserve">                                                  </v>
          </cell>
          <cell r="F210" t="str">
            <v xml:space="preserve">                         </v>
          </cell>
          <cell r="G210" t="str">
            <v xml:space="preserve">                         </v>
          </cell>
          <cell r="H210" t="str">
            <v xml:space="preserve">                         </v>
          </cell>
          <cell r="I210">
            <v>0</v>
          </cell>
          <cell r="J210">
            <v>0</v>
          </cell>
          <cell r="K210">
            <v>0</v>
          </cell>
          <cell r="L210">
            <v>0</v>
          </cell>
          <cell r="M210">
            <v>0</v>
          </cell>
          <cell r="N210" t="str">
            <v xml:space="preserve">                                                  </v>
          </cell>
          <cell r="O210">
            <v>0</v>
          </cell>
          <cell r="P210">
            <v>0</v>
          </cell>
          <cell r="Q210" t="str">
            <v xml:space="preserve">                         </v>
          </cell>
          <cell r="R210" t="str">
            <v/>
          </cell>
        </row>
        <row r="211">
          <cell r="A211" t="str">
            <v xml:space="preserve">SKF-02040.BB                  </v>
          </cell>
          <cell r="B211">
            <v>2040</v>
          </cell>
          <cell r="C211" t="str">
            <v xml:space="preserve">110F-616-SR9-2040; Body                           </v>
          </cell>
          <cell r="D211" t="str">
            <v xml:space="preserve">11"            </v>
          </cell>
          <cell r="E211" t="str">
            <v xml:space="preserve">                                                  </v>
          </cell>
          <cell r="F211" t="str">
            <v xml:space="preserve">                         </v>
          </cell>
          <cell r="G211" t="str">
            <v xml:space="preserve">                         </v>
          </cell>
          <cell r="H211" t="str">
            <v xml:space="preserve">                         </v>
          </cell>
          <cell r="I211">
            <v>0</v>
          </cell>
          <cell r="J211">
            <v>0</v>
          </cell>
          <cell r="K211">
            <v>0</v>
          </cell>
          <cell r="L211">
            <v>0</v>
          </cell>
          <cell r="M211">
            <v>0</v>
          </cell>
          <cell r="N211" t="str">
            <v xml:space="preserve">                                                  </v>
          </cell>
          <cell r="O211">
            <v>0</v>
          </cell>
          <cell r="P211">
            <v>0</v>
          </cell>
          <cell r="Q211" t="str">
            <v xml:space="preserve">                         </v>
          </cell>
          <cell r="R211" t="str">
            <v/>
          </cell>
        </row>
        <row r="212">
          <cell r="A212" t="str">
            <v xml:space="preserve">SKF-02039.BB                  </v>
          </cell>
          <cell r="B212">
            <v>2039</v>
          </cell>
          <cell r="C212" t="str">
            <v xml:space="preserve">077F-616-XR-2039; Body                            </v>
          </cell>
          <cell r="D212" t="str">
            <v xml:space="preserve">07-7/8"        </v>
          </cell>
          <cell r="E212" t="str">
            <v xml:space="preserve">                                                  </v>
          </cell>
          <cell r="F212" t="str">
            <v xml:space="preserve">                         </v>
          </cell>
          <cell r="G212" t="str">
            <v xml:space="preserve">                         </v>
          </cell>
          <cell r="H212" t="str">
            <v xml:space="preserve">                         </v>
          </cell>
          <cell r="I212">
            <v>0</v>
          </cell>
          <cell r="J212">
            <v>0</v>
          </cell>
          <cell r="K212">
            <v>0</v>
          </cell>
          <cell r="L212">
            <v>0</v>
          </cell>
          <cell r="M212">
            <v>0</v>
          </cell>
          <cell r="N212" t="str">
            <v xml:space="preserve">                                                  </v>
          </cell>
          <cell r="O212">
            <v>0</v>
          </cell>
          <cell r="P212">
            <v>0</v>
          </cell>
          <cell r="Q212" t="str">
            <v xml:space="preserve">                         </v>
          </cell>
          <cell r="R212" t="str">
            <v/>
          </cell>
        </row>
        <row r="213">
          <cell r="A213" t="str">
            <v xml:space="preserve">SKF-02038.BB                  </v>
          </cell>
          <cell r="B213">
            <v>2038</v>
          </cell>
          <cell r="C213" t="str">
            <v xml:space="preserve">086F-616-SR+-2038; Body                           </v>
          </cell>
          <cell r="D213" t="str">
            <v xml:space="preserve">               </v>
          </cell>
          <cell r="E213" t="str">
            <v xml:space="preserve">                                                  </v>
          </cell>
          <cell r="F213" t="str">
            <v xml:space="preserve">                         </v>
          </cell>
          <cell r="G213" t="str">
            <v xml:space="preserve">                         </v>
          </cell>
          <cell r="H213" t="str">
            <v xml:space="preserve">                         </v>
          </cell>
          <cell r="I213">
            <v>0</v>
          </cell>
          <cell r="J213">
            <v>0</v>
          </cell>
          <cell r="K213">
            <v>0</v>
          </cell>
          <cell r="L213">
            <v>0</v>
          </cell>
          <cell r="M213">
            <v>0</v>
          </cell>
          <cell r="N213" t="str">
            <v xml:space="preserve">                                                  </v>
          </cell>
          <cell r="O213">
            <v>0</v>
          </cell>
          <cell r="P213">
            <v>0</v>
          </cell>
          <cell r="Q213" t="str">
            <v xml:space="preserve">                         </v>
          </cell>
          <cell r="R213" t="str">
            <v/>
          </cell>
        </row>
        <row r="214">
          <cell r="A214" t="str">
            <v xml:space="preserve">SKF-02037.BB                  </v>
          </cell>
          <cell r="B214">
            <v>2037</v>
          </cell>
          <cell r="C214" t="str">
            <v xml:space="preserve">077F-616-YR-2037; Body                            </v>
          </cell>
          <cell r="D214" t="str">
            <v xml:space="preserve">07-7/8"        </v>
          </cell>
          <cell r="E214" t="str">
            <v xml:space="preserve">                                                  </v>
          </cell>
          <cell r="F214" t="str">
            <v xml:space="preserve">                         </v>
          </cell>
          <cell r="G214" t="str">
            <v xml:space="preserve">                         </v>
          </cell>
          <cell r="H214" t="str">
            <v xml:space="preserve">                         </v>
          </cell>
          <cell r="I214">
            <v>0</v>
          </cell>
          <cell r="J214">
            <v>0</v>
          </cell>
          <cell r="K214">
            <v>0</v>
          </cell>
          <cell r="L214">
            <v>0</v>
          </cell>
          <cell r="M214">
            <v>0</v>
          </cell>
          <cell r="N214" t="str">
            <v xml:space="preserve">                                                  </v>
          </cell>
          <cell r="O214">
            <v>0</v>
          </cell>
          <cell r="P214">
            <v>0</v>
          </cell>
          <cell r="Q214" t="str">
            <v xml:space="preserve">                         </v>
          </cell>
          <cell r="R214" t="str">
            <v/>
          </cell>
        </row>
        <row r="215">
          <cell r="A215" t="str">
            <v xml:space="preserve">SKF-02036.BB                  </v>
          </cell>
          <cell r="B215">
            <v>2036</v>
          </cell>
          <cell r="C215" t="str">
            <v xml:space="preserve">174F-616-SR9-2036; Body                           </v>
          </cell>
          <cell r="D215" t="str">
            <v xml:space="preserve">17-1/2"        </v>
          </cell>
          <cell r="E215" t="str">
            <v xml:space="preserve">                                                  </v>
          </cell>
          <cell r="F215" t="str">
            <v xml:space="preserve">                         </v>
          </cell>
          <cell r="G215" t="str">
            <v xml:space="preserve">                         </v>
          </cell>
          <cell r="H215" t="str">
            <v xml:space="preserve">                         </v>
          </cell>
          <cell r="I215">
            <v>0</v>
          </cell>
          <cell r="J215">
            <v>0</v>
          </cell>
          <cell r="K215">
            <v>0</v>
          </cell>
          <cell r="L215">
            <v>0</v>
          </cell>
          <cell r="M215">
            <v>0</v>
          </cell>
          <cell r="N215" t="str">
            <v xml:space="preserve">                                                  </v>
          </cell>
          <cell r="O215">
            <v>0</v>
          </cell>
          <cell r="P215">
            <v>0</v>
          </cell>
          <cell r="Q215" t="str">
            <v xml:space="preserve">                         </v>
          </cell>
          <cell r="R215" t="str">
            <v/>
          </cell>
        </row>
        <row r="216">
          <cell r="A216" t="str">
            <v xml:space="preserve">SKF-02035.BB                  </v>
          </cell>
          <cell r="B216">
            <v>2035</v>
          </cell>
          <cell r="C216" t="str">
            <v xml:space="preserve">077F-616-SR-2035; Body                            </v>
          </cell>
          <cell r="D216" t="str">
            <v xml:space="preserve">               </v>
          </cell>
          <cell r="E216" t="str">
            <v xml:space="preserve">                                                  </v>
          </cell>
          <cell r="F216" t="str">
            <v xml:space="preserve">                         </v>
          </cell>
          <cell r="G216" t="str">
            <v xml:space="preserve">                         </v>
          </cell>
          <cell r="H216" t="str">
            <v xml:space="preserve">                         </v>
          </cell>
          <cell r="I216">
            <v>0</v>
          </cell>
          <cell r="J216">
            <v>0</v>
          </cell>
          <cell r="K216">
            <v>0</v>
          </cell>
          <cell r="L216">
            <v>0</v>
          </cell>
          <cell r="M216">
            <v>0</v>
          </cell>
          <cell r="N216" t="str">
            <v xml:space="preserve">                                                  </v>
          </cell>
          <cell r="O216">
            <v>0</v>
          </cell>
          <cell r="P216">
            <v>0</v>
          </cell>
          <cell r="Q216" t="str">
            <v xml:space="preserve">                         </v>
          </cell>
          <cell r="R216" t="str">
            <v/>
          </cell>
        </row>
        <row r="217">
          <cell r="A217" t="str">
            <v xml:space="preserve">SKF-02034.BB                  </v>
          </cell>
          <cell r="B217">
            <v>2034</v>
          </cell>
          <cell r="C217" t="str">
            <v xml:space="preserve">077F-416-SR8-2034; Body                           </v>
          </cell>
          <cell r="D217" t="str">
            <v xml:space="preserve">07-7/8"        </v>
          </cell>
          <cell r="E217" t="str">
            <v xml:space="preserve">                                                  </v>
          </cell>
          <cell r="F217" t="str">
            <v xml:space="preserve">                         </v>
          </cell>
          <cell r="G217" t="str">
            <v xml:space="preserve">                         </v>
          </cell>
          <cell r="H217" t="str">
            <v xml:space="preserve">                         </v>
          </cell>
          <cell r="I217">
            <v>0</v>
          </cell>
          <cell r="J217">
            <v>0</v>
          </cell>
          <cell r="K217">
            <v>0</v>
          </cell>
          <cell r="L217">
            <v>0</v>
          </cell>
          <cell r="M217">
            <v>0</v>
          </cell>
          <cell r="N217" t="str">
            <v xml:space="preserve">                                                  </v>
          </cell>
          <cell r="O217">
            <v>0</v>
          </cell>
          <cell r="P217">
            <v>0</v>
          </cell>
          <cell r="Q217" t="str">
            <v xml:space="preserve">                         </v>
          </cell>
          <cell r="R217" t="str">
            <v/>
          </cell>
        </row>
        <row r="218">
          <cell r="A218" t="str">
            <v xml:space="preserve">SKF-02033.BB                  </v>
          </cell>
          <cell r="B218">
            <v>2033</v>
          </cell>
          <cell r="C218" t="str">
            <v xml:space="preserve">061F-516-SR-2033; Body                            </v>
          </cell>
          <cell r="D218" t="str">
            <v xml:space="preserve">06-1/8"        </v>
          </cell>
          <cell r="E218" t="str">
            <v xml:space="preserve">                                                  </v>
          </cell>
          <cell r="F218" t="str">
            <v xml:space="preserve">                         </v>
          </cell>
          <cell r="G218" t="str">
            <v xml:space="preserve">                         </v>
          </cell>
          <cell r="H218" t="str">
            <v xml:space="preserve">                         </v>
          </cell>
          <cell r="I218">
            <v>0</v>
          </cell>
          <cell r="J218">
            <v>0</v>
          </cell>
          <cell r="K218">
            <v>0</v>
          </cell>
          <cell r="L218">
            <v>0</v>
          </cell>
          <cell r="M218">
            <v>0</v>
          </cell>
          <cell r="N218" t="str">
            <v xml:space="preserve">                                                  </v>
          </cell>
          <cell r="O218">
            <v>0</v>
          </cell>
          <cell r="P218">
            <v>0</v>
          </cell>
          <cell r="Q218" t="str">
            <v xml:space="preserve">                         </v>
          </cell>
          <cell r="R218" t="str">
            <v/>
          </cell>
        </row>
        <row r="219">
          <cell r="A219" t="str">
            <v xml:space="preserve">SKF-02032.BB                  </v>
          </cell>
          <cell r="B219">
            <v>2032</v>
          </cell>
          <cell r="C219" t="str">
            <v xml:space="preserve">077F-616-YR-2032; Body                            </v>
          </cell>
          <cell r="D219" t="str">
            <v xml:space="preserve">07-7/8"        </v>
          </cell>
          <cell r="E219" t="str">
            <v xml:space="preserve">                                                  </v>
          </cell>
          <cell r="F219" t="str">
            <v xml:space="preserve">                         </v>
          </cell>
          <cell r="G219" t="str">
            <v xml:space="preserve">                         </v>
          </cell>
          <cell r="H219" t="str">
            <v xml:space="preserve">                         </v>
          </cell>
          <cell r="I219">
            <v>0</v>
          </cell>
          <cell r="J219">
            <v>0</v>
          </cell>
          <cell r="K219">
            <v>0</v>
          </cell>
          <cell r="L219">
            <v>0</v>
          </cell>
          <cell r="M219">
            <v>0</v>
          </cell>
          <cell r="N219" t="str">
            <v xml:space="preserve">                                                  </v>
          </cell>
          <cell r="O219">
            <v>0</v>
          </cell>
          <cell r="P219">
            <v>0</v>
          </cell>
          <cell r="Q219" t="str">
            <v xml:space="preserve">                         </v>
          </cell>
          <cell r="R219" t="str">
            <v/>
          </cell>
        </row>
        <row r="220">
          <cell r="A220" t="str">
            <v xml:space="preserve">SKF-02031.BB                  </v>
          </cell>
          <cell r="B220">
            <v>2031</v>
          </cell>
          <cell r="C220" t="str">
            <v xml:space="preserve">077F-616-YR-2031; Body                            </v>
          </cell>
          <cell r="D220" t="str">
            <v xml:space="preserve">07-7/8"        </v>
          </cell>
          <cell r="E220" t="str">
            <v xml:space="preserve">                                                  </v>
          </cell>
          <cell r="F220" t="str">
            <v xml:space="preserve">                         </v>
          </cell>
          <cell r="G220" t="str">
            <v xml:space="preserve">                         </v>
          </cell>
          <cell r="H220" t="str">
            <v xml:space="preserve">                         </v>
          </cell>
          <cell r="I220">
            <v>0</v>
          </cell>
          <cell r="J220">
            <v>0</v>
          </cell>
          <cell r="K220">
            <v>0</v>
          </cell>
          <cell r="L220">
            <v>0</v>
          </cell>
          <cell r="M220">
            <v>0</v>
          </cell>
          <cell r="N220" t="str">
            <v xml:space="preserve">                                                  </v>
          </cell>
          <cell r="O220">
            <v>0</v>
          </cell>
          <cell r="P220">
            <v>0</v>
          </cell>
          <cell r="Q220" t="str">
            <v xml:space="preserve">                         </v>
          </cell>
          <cell r="R220" t="str">
            <v/>
          </cell>
        </row>
        <row r="221">
          <cell r="A221" t="str">
            <v xml:space="preserve">SKF-02030.BB                  </v>
          </cell>
          <cell r="B221">
            <v>2030</v>
          </cell>
          <cell r="C221" t="str">
            <v xml:space="preserve">110F-616-SR9-2030; Body                           </v>
          </cell>
          <cell r="D221" t="str">
            <v xml:space="preserve">11"            </v>
          </cell>
          <cell r="E221" t="str">
            <v xml:space="preserve">                                                  </v>
          </cell>
          <cell r="F221" t="str">
            <v xml:space="preserve">                         </v>
          </cell>
          <cell r="G221" t="str">
            <v xml:space="preserve">                         </v>
          </cell>
          <cell r="H221" t="str">
            <v xml:space="preserve">                         </v>
          </cell>
          <cell r="I221">
            <v>0</v>
          </cell>
          <cell r="J221">
            <v>0</v>
          </cell>
          <cell r="K221">
            <v>0</v>
          </cell>
          <cell r="L221">
            <v>0</v>
          </cell>
          <cell r="M221">
            <v>0</v>
          </cell>
          <cell r="N221" t="str">
            <v xml:space="preserve">                                                  </v>
          </cell>
          <cell r="O221">
            <v>0</v>
          </cell>
          <cell r="P221">
            <v>0</v>
          </cell>
          <cell r="Q221" t="str">
            <v xml:space="preserve">                         </v>
          </cell>
          <cell r="R221" t="str">
            <v/>
          </cell>
        </row>
        <row r="222">
          <cell r="A222" t="str">
            <v xml:space="preserve">SKF-02029.BB                  </v>
          </cell>
          <cell r="B222">
            <v>2029</v>
          </cell>
          <cell r="C222" t="str">
            <v xml:space="preserve">077F-516-SR7-2029; Body                           </v>
          </cell>
          <cell r="D222" t="str">
            <v xml:space="preserve">               </v>
          </cell>
          <cell r="E222" t="str">
            <v xml:space="preserve">                                                  </v>
          </cell>
          <cell r="F222" t="str">
            <v xml:space="preserve">                         </v>
          </cell>
          <cell r="G222" t="str">
            <v xml:space="preserve">                         </v>
          </cell>
          <cell r="H222" t="str">
            <v xml:space="preserve">                         </v>
          </cell>
          <cell r="I222">
            <v>0</v>
          </cell>
          <cell r="J222">
            <v>0</v>
          </cell>
          <cell r="K222">
            <v>0</v>
          </cell>
          <cell r="L222">
            <v>0</v>
          </cell>
          <cell r="M222">
            <v>0</v>
          </cell>
          <cell r="N222" t="str">
            <v xml:space="preserve">                                                  </v>
          </cell>
          <cell r="O222">
            <v>0</v>
          </cell>
          <cell r="P222">
            <v>0</v>
          </cell>
          <cell r="Q222" t="str">
            <v xml:space="preserve">                         </v>
          </cell>
          <cell r="R222" t="str">
            <v/>
          </cell>
        </row>
        <row r="223">
          <cell r="A223" t="str">
            <v xml:space="preserve">SKF-02028.BB                  </v>
          </cell>
          <cell r="B223">
            <v>2028</v>
          </cell>
          <cell r="C223" t="str">
            <v xml:space="preserve">084F-513-YR7(BR)-2028; Body                       </v>
          </cell>
          <cell r="D223" t="str">
            <v xml:space="preserve">08-1/2"        </v>
          </cell>
          <cell r="E223" t="str">
            <v xml:space="preserve">                                                  </v>
          </cell>
          <cell r="F223" t="str">
            <v xml:space="preserve">                         </v>
          </cell>
          <cell r="G223" t="str">
            <v xml:space="preserve">                         </v>
          </cell>
          <cell r="H223" t="str">
            <v xml:space="preserve">                         </v>
          </cell>
          <cell r="I223">
            <v>0</v>
          </cell>
          <cell r="J223">
            <v>0</v>
          </cell>
          <cell r="K223">
            <v>0</v>
          </cell>
          <cell r="L223">
            <v>0</v>
          </cell>
          <cell r="M223">
            <v>0</v>
          </cell>
          <cell r="N223" t="str">
            <v xml:space="preserve">                                                  </v>
          </cell>
          <cell r="O223">
            <v>0</v>
          </cell>
          <cell r="P223">
            <v>0</v>
          </cell>
          <cell r="Q223" t="str">
            <v xml:space="preserve">                         </v>
          </cell>
          <cell r="R223" t="str">
            <v/>
          </cell>
        </row>
        <row r="224">
          <cell r="A224" t="str">
            <v xml:space="preserve">SKF-02027.BB                  </v>
          </cell>
          <cell r="B224">
            <v>2027</v>
          </cell>
          <cell r="C224" t="str">
            <v xml:space="preserve">084F-516-SR7-2027; Body                           </v>
          </cell>
          <cell r="D224" t="str">
            <v xml:space="preserve">08-1/2"        </v>
          </cell>
          <cell r="E224" t="str">
            <v xml:space="preserve">                                                  </v>
          </cell>
          <cell r="F224" t="str">
            <v xml:space="preserve">                         </v>
          </cell>
          <cell r="G224" t="str">
            <v xml:space="preserve">                         </v>
          </cell>
          <cell r="H224" t="str">
            <v xml:space="preserve">                         </v>
          </cell>
          <cell r="I224">
            <v>0</v>
          </cell>
          <cell r="J224">
            <v>0</v>
          </cell>
          <cell r="K224">
            <v>0</v>
          </cell>
          <cell r="L224">
            <v>0</v>
          </cell>
          <cell r="M224">
            <v>0</v>
          </cell>
          <cell r="N224" t="str">
            <v xml:space="preserve">                                                  </v>
          </cell>
          <cell r="O224">
            <v>0</v>
          </cell>
          <cell r="P224">
            <v>0</v>
          </cell>
          <cell r="Q224" t="str">
            <v xml:space="preserve">                         </v>
          </cell>
          <cell r="R224" t="str">
            <v/>
          </cell>
        </row>
        <row r="225">
          <cell r="A225" t="str">
            <v xml:space="preserve">SKF-02026.BB                  </v>
          </cell>
          <cell r="B225">
            <v>2026</v>
          </cell>
          <cell r="C225" t="str">
            <v xml:space="preserve">110F-616-SR-2026; Body                            </v>
          </cell>
          <cell r="D225" t="str">
            <v xml:space="preserve">               </v>
          </cell>
          <cell r="E225" t="str">
            <v xml:space="preserve">                                                  </v>
          </cell>
          <cell r="F225" t="str">
            <v xml:space="preserve">                         </v>
          </cell>
          <cell r="G225" t="str">
            <v xml:space="preserve">                         </v>
          </cell>
          <cell r="H225" t="str">
            <v xml:space="preserve">                         </v>
          </cell>
          <cell r="I225">
            <v>0</v>
          </cell>
          <cell r="J225">
            <v>0</v>
          </cell>
          <cell r="K225">
            <v>0</v>
          </cell>
          <cell r="L225">
            <v>0</v>
          </cell>
          <cell r="M225">
            <v>0</v>
          </cell>
          <cell r="N225" t="str">
            <v xml:space="preserve">                                                  </v>
          </cell>
          <cell r="O225">
            <v>0</v>
          </cell>
          <cell r="P225">
            <v>0</v>
          </cell>
          <cell r="Q225" t="str">
            <v xml:space="preserve">                         </v>
          </cell>
          <cell r="R225" t="str">
            <v/>
          </cell>
        </row>
        <row r="226">
          <cell r="A226" t="str">
            <v xml:space="preserve">SKF-02025.BB                  </v>
          </cell>
          <cell r="B226">
            <v>2025</v>
          </cell>
          <cell r="C226" t="str">
            <v xml:space="preserve">077F-616-SR-2025; Body                            </v>
          </cell>
          <cell r="D226" t="str">
            <v xml:space="preserve">               </v>
          </cell>
          <cell r="E226" t="str">
            <v xml:space="preserve">                                                  </v>
          </cell>
          <cell r="F226" t="str">
            <v xml:space="preserve">                         </v>
          </cell>
          <cell r="G226" t="str">
            <v xml:space="preserve">                         </v>
          </cell>
          <cell r="H226" t="str">
            <v xml:space="preserve">                         </v>
          </cell>
          <cell r="I226">
            <v>0</v>
          </cell>
          <cell r="J226">
            <v>0</v>
          </cell>
          <cell r="K226">
            <v>0</v>
          </cell>
          <cell r="L226">
            <v>0</v>
          </cell>
          <cell r="M226">
            <v>0</v>
          </cell>
          <cell r="N226" t="str">
            <v xml:space="preserve">                                                  </v>
          </cell>
          <cell r="O226">
            <v>0</v>
          </cell>
          <cell r="P226">
            <v>0</v>
          </cell>
          <cell r="Q226" t="str">
            <v xml:space="preserve">                         </v>
          </cell>
          <cell r="R226" t="str">
            <v/>
          </cell>
        </row>
        <row r="227">
          <cell r="A227" t="str">
            <v xml:space="preserve">SKF-02024.BB                  </v>
          </cell>
          <cell r="B227">
            <v>2024</v>
          </cell>
          <cell r="C227" t="str">
            <v xml:space="preserve">077F-616-SG-2024; Body                            </v>
          </cell>
          <cell r="D227" t="str">
            <v xml:space="preserve">07-7/8"        </v>
          </cell>
          <cell r="E227" t="str">
            <v xml:space="preserve">                                                  </v>
          </cell>
          <cell r="F227" t="str">
            <v xml:space="preserve">                         </v>
          </cell>
          <cell r="G227" t="str">
            <v xml:space="preserve">                         </v>
          </cell>
          <cell r="H227" t="str">
            <v xml:space="preserve">                         </v>
          </cell>
          <cell r="I227">
            <v>0</v>
          </cell>
          <cell r="J227">
            <v>0</v>
          </cell>
          <cell r="K227">
            <v>0</v>
          </cell>
          <cell r="L227">
            <v>0</v>
          </cell>
          <cell r="M227">
            <v>0</v>
          </cell>
          <cell r="N227" t="str">
            <v xml:space="preserve">                                                  </v>
          </cell>
          <cell r="O227">
            <v>0</v>
          </cell>
          <cell r="P227">
            <v>0</v>
          </cell>
          <cell r="Q227" t="str">
            <v xml:space="preserve">                         </v>
          </cell>
          <cell r="R227" t="str">
            <v/>
          </cell>
        </row>
        <row r="228">
          <cell r="A228" t="str">
            <v xml:space="preserve">SKF-02023.BB                  </v>
          </cell>
          <cell r="B228">
            <v>2023</v>
          </cell>
          <cell r="C228" t="str">
            <v xml:space="preserve">077F-616-YR-2023; Body                            </v>
          </cell>
          <cell r="D228" t="str">
            <v xml:space="preserve">07-7/8"        </v>
          </cell>
          <cell r="E228" t="str">
            <v xml:space="preserve">                                                  </v>
          </cell>
          <cell r="F228" t="str">
            <v xml:space="preserve">                         </v>
          </cell>
          <cell r="G228" t="str">
            <v xml:space="preserve">                         </v>
          </cell>
          <cell r="H228" t="str">
            <v xml:space="preserve">                         </v>
          </cell>
          <cell r="I228">
            <v>0</v>
          </cell>
          <cell r="J228">
            <v>0</v>
          </cell>
          <cell r="K228">
            <v>0</v>
          </cell>
          <cell r="L228">
            <v>0</v>
          </cell>
          <cell r="M228">
            <v>0</v>
          </cell>
          <cell r="N228" t="str">
            <v xml:space="preserve">                                                  </v>
          </cell>
          <cell r="O228">
            <v>0</v>
          </cell>
          <cell r="P228">
            <v>0</v>
          </cell>
          <cell r="Q228" t="str">
            <v xml:space="preserve">                         </v>
          </cell>
          <cell r="R228" t="str">
            <v/>
          </cell>
        </row>
        <row r="229">
          <cell r="A229" t="str">
            <v xml:space="preserve">SKF-02022.BB                  </v>
          </cell>
          <cell r="B229">
            <v>2022</v>
          </cell>
          <cell r="C229" t="str">
            <v xml:space="preserve">077F-619-SR-2022; Body                            </v>
          </cell>
          <cell r="D229" t="str">
            <v xml:space="preserve">               </v>
          </cell>
          <cell r="E229" t="str">
            <v xml:space="preserve">                                                  </v>
          </cell>
          <cell r="F229" t="str">
            <v xml:space="preserve">                         </v>
          </cell>
          <cell r="G229" t="str">
            <v xml:space="preserve">                         </v>
          </cell>
          <cell r="H229" t="str">
            <v xml:space="preserve">                         </v>
          </cell>
          <cell r="I229">
            <v>0</v>
          </cell>
          <cell r="J229">
            <v>0</v>
          </cell>
          <cell r="K229">
            <v>0</v>
          </cell>
          <cell r="L229">
            <v>0</v>
          </cell>
          <cell r="M229">
            <v>0</v>
          </cell>
          <cell r="N229" t="str">
            <v xml:space="preserve">                                                  </v>
          </cell>
          <cell r="O229">
            <v>0</v>
          </cell>
          <cell r="P229">
            <v>0</v>
          </cell>
          <cell r="Q229" t="str">
            <v xml:space="preserve">                         </v>
          </cell>
          <cell r="R229" t="str">
            <v/>
          </cell>
        </row>
        <row r="230">
          <cell r="A230" t="str">
            <v xml:space="preserve">SKF-02021.BB                  </v>
          </cell>
          <cell r="B230">
            <v>2021</v>
          </cell>
          <cell r="C230" t="str">
            <v xml:space="preserve">160F-616-SR9-2021; Body                           </v>
          </cell>
          <cell r="D230" t="str">
            <v xml:space="preserve">               </v>
          </cell>
          <cell r="E230" t="str">
            <v xml:space="preserve">                                                  </v>
          </cell>
          <cell r="F230" t="str">
            <v xml:space="preserve">                         </v>
          </cell>
          <cell r="G230" t="str">
            <v xml:space="preserve">                         </v>
          </cell>
          <cell r="H230" t="str">
            <v xml:space="preserve">                         </v>
          </cell>
          <cell r="I230">
            <v>0</v>
          </cell>
          <cell r="J230">
            <v>0</v>
          </cell>
          <cell r="K230">
            <v>0</v>
          </cell>
          <cell r="L230">
            <v>0</v>
          </cell>
          <cell r="M230">
            <v>0</v>
          </cell>
          <cell r="N230" t="str">
            <v xml:space="preserve">                                                  </v>
          </cell>
          <cell r="O230">
            <v>0</v>
          </cell>
          <cell r="P230">
            <v>0</v>
          </cell>
          <cell r="Q230" t="str">
            <v xml:space="preserve">                         </v>
          </cell>
          <cell r="R230" t="str">
            <v/>
          </cell>
        </row>
        <row r="231">
          <cell r="A231" t="str">
            <v xml:space="preserve">SKF-02020.BB                  </v>
          </cell>
          <cell r="B231">
            <v>2020</v>
          </cell>
          <cell r="C231" t="str">
            <v xml:space="preserve">061F-616-SR-2020; Body                            </v>
          </cell>
          <cell r="D231" t="str">
            <v xml:space="preserve">06-1/8"        </v>
          </cell>
          <cell r="E231" t="str">
            <v xml:space="preserve">                                                  </v>
          </cell>
          <cell r="F231" t="str">
            <v xml:space="preserve">                         </v>
          </cell>
          <cell r="G231" t="str">
            <v xml:space="preserve">                         </v>
          </cell>
          <cell r="H231" t="str">
            <v xml:space="preserve">                         </v>
          </cell>
          <cell r="I231">
            <v>0</v>
          </cell>
          <cell r="J231">
            <v>0</v>
          </cell>
          <cell r="K231">
            <v>0</v>
          </cell>
          <cell r="L231">
            <v>0</v>
          </cell>
          <cell r="M231">
            <v>0</v>
          </cell>
          <cell r="N231" t="str">
            <v xml:space="preserve">                                                  </v>
          </cell>
          <cell r="O231">
            <v>0</v>
          </cell>
          <cell r="P231">
            <v>0</v>
          </cell>
          <cell r="Q231" t="str">
            <v xml:space="preserve">                         </v>
          </cell>
          <cell r="R231" t="str">
            <v/>
          </cell>
        </row>
        <row r="232">
          <cell r="A232" t="str">
            <v xml:space="preserve">SKF-02019.BB                  </v>
          </cell>
          <cell r="B232">
            <v>2019</v>
          </cell>
          <cell r="C232" t="str">
            <v xml:space="preserve">122F-519-SR7-2019; Body                           </v>
          </cell>
          <cell r="D232" t="str">
            <v xml:space="preserve">               </v>
          </cell>
          <cell r="E232" t="str">
            <v xml:space="preserve">                                                  </v>
          </cell>
          <cell r="F232" t="str">
            <v xml:space="preserve">                         </v>
          </cell>
          <cell r="G232" t="str">
            <v xml:space="preserve">                         </v>
          </cell>
          <cell r="H232" t="str">
            <v xml:space="preserve">                         </v>
          </cell>
          <cell r="I232">
            <v>0</v>
          </cell>
          <cell r="J232">
            <v>0</v>
          </cell>
          <cell r="K232">
            <v>0</v>
          </cell>
          <cell r="L232">
            <v>0</v>
          </cell>
          <cell r="M232">
            <v>0</v>
          </cell>
          <cell r="N232" t="str">
            <v xml:space="preserve">                                                  </v>
          </cell>
          <cell r="O232">
            <v>0</v>
          </cell>
          <cell r="P232">
            <v>0</v>
          </cell>
          <cell r="Q232" t="str">
            <v xml:space="preserve">                         </v>
          </cell>
          <cell r="R232" t="str">
            <v/>
          </cell>
        </row>
        <row r="233">
          <cell r="A233" t="str">
            <v xml:space="preserve">SKF-02018.BB                  </v>
          </cell>
          <cell r="B233">
            <v>2018</v>
          </cell>
          <cell r="C233" t="str">
            <v xml:space="preserve">134F-616-SR9-2018; Body                           </v>
          </cell>
          <cell r="D233" t="str">
            <v xml:space="preserve">               </v>
          </cell>
          <cell r="E233" t="str">
            <v xml:space="preserve">                                                  </v>
          </cell>
          <cell r="F233" t="str">
            <v xml:space="preserve">                         </v>
          </cell>
          <cell r="G233" t="str">
            <v xml:space="preserve">                         </v>
          </cell>
          <cell r="H233" t="str">
            <v xml:space="preserve">                         </v>
          </cell>
          <cell r="I233">
            <v>0</v>
          </cell>
          <cell r="J233">
            <v>0</v>
          </cell>
          <cell r="K233">
            <v>0</v>
          </cell>
          <cell r="L233">
            <v>0</v>
          </cell>
          <cell r="M233">
            <v>0</v>
          </cell>
          <cell r="N233" t="str">
            <v xml:space="preserve">                                                  </v>
          </cell>
          <cell r="O233">
            <v>0</v>
          </cell>
          <cell r="P233">
            <v>0</v>
          </cell>
          <cell r="Q233" t="str">
            <v xml:space="preserve">                         </v>
          </cell>
          <cell r="R233" t="str">
            <v/>
          </cell>
        </row>
        <row r="234">
          <cell r="A234" t="str">
            <v xml:space="preserve">SKF-02017.BB                  </v>
          </cell>
          <cell r="B234">
            <v>2017</v>
          </cell>
          <cell r="C234" t="str">
            <v xml:space="preserve">086F-619-SR-2017; Body                            </v>
          </cell>
          <cell r="D234" t="str">
            <v xml:space="preserve">               </v>
          </cell>
          <cell r="E234" t="str">
            <v xml:space="preserve">                                                  </v>
          </cell>
          <cell r="F234" t="str">
            <v xml:space="preserve">                         </v>
          </cell>
          <cell r="G234" t="str">
            <v xml:space="preserve">                         </v>
          </cell>
          <cell r="H234" t="str">
            <v xml:space="preserve">                         </v>
          </cell>
          <cell r="I234">
            <v>0</v>
          </cell>
          <cell r="J234">
            <v>0</v>
          </cell>
          <cell r="K234">
            <v>0</v>
          </cell>
          <cell r="L234">
            <v>0</v>
          </cell>
          <cell r="M234">
            <v>0</v>
          </cell>
          <cell r="N234" t="str">
            <v xml:space="preserve">                                                  </v>
          </cell>
          <cell r="O234">
            <v>0</v>
          </cell>
          <cell r="P234">
            <v>0</v>
          </cell>
          <cell r="Q234" t="str">
            <v xml:space="preserve">                         </v>
          </cell>
          <cell r="R234" t="str">
            <v/>
          </cell>
        </row>
        <row r="235">
          <cell r="A235" t="str">
            <v xml:space="preserve">SKF-02016.BB                  </v>
          </cell>
          <cell r="B235">
            <v>2016</v>
          </cell>
          <cell r="C235" t="str">
            <v xml:space="preserve">077F-616-QR-2016; Body                            </v>
          </cell>
          <cell r="D235" t="str">
            <v xml:space="preserve">07-7/8"        </v>
          </cell>
          <cell r="E235" t="str">
            <v xml:space="preserve">                                                  </v>
          </cell>
          <cell r="F235" t="str">
            <v xml:space="preserve">                         </v>
          </cell>
          <cell r="G235" t="str">
            <v xml:space="preserve">                         </v>
          </cell>
          <cell r="H235" t="str">
            <v xml:space="preserve">                         </v>
          </cell>
          <cell r="I235">
            <v>0</v>
          </cell>
          <cell r="J235">
            <v>0</v>
          </cell>
          <cell r="K235">
            <v>0</v>
          </cell>
          <cell r="L235">
            <v>0</v>
          </cell>
          <cell r="M235">
            <v>0</v>
          </cell>
          <cell r="N235" t="str">
            <v xml:space="preserve">                                                  </v>
          </cell>
          <cell r="O235">
            <v>0</v>
          </cell>
          <cell r="P235">
            <v>0</v>
          </cell>
          <cell r="Q235" t="str">
            <v xml:space="preserve">                         </v>
          </cell>
          <cell r="R235" t="str">
            <v/>
          </cell>
        </row>
        <row r="236">
          <cell r="A236" t="str">
            <v xml:space="preserve">SKF-02015.BB                  </v>
          </cell>
          <cell r="B236">
            <v>2015</v>
          </cell>
          <cell r="C236" t="str">
            <v xml:space="preserve">077F-616-SR-2015; Body                            </v>
          </cell>
          <cell r="D236" t="str">
            <v xml:space="preserve">               </v>
          </cell>
          <cell r="E236" t="str">
            <v xml:space="preserve">                                                  </v>
          </cell>
          <cell r="F236" t="str">
            <v xml:space="preserve">                         </v>
          </cell>
          <cell r="G236" t="str">
            <v xml:space="preserve">                         </v>
          </cell>
          <cell r="H236" t="str">
            <v xml:space="preserve">                         </v>
          </cell>
          <cell r="I236">
            <v>0</v>
          </cell>
          <cell r="J236">
            <v>0</v>
          </cell>
          <cell r="K236">
            <v>0</v>
          </cell>
          <cell r="L236">
            <v>0</v>
          </cell>
          <cell r="M236">
            <v>0</v>
          </cell>
          <cell r="N236" t="str">
            <v xml:space="preserve">                                                  </v>
          </cell>
          <cell r="O236">
            <v>0</v>
          </cell>
          <cell r="P236">
            <v>0</v>
          </cell>
          <cell r="Q236" t="str">
            <v xml:space="preserve">                         </v>
          </cell>
          <cell r="R236" t="str">
            <v/>
          </cell>
        </row>
        <row r="237">
          <cell r="A237" t="str">
            <v xml:space="preserve">SKF-02014.BB                  </v>
          </cell>
          <cell r="B237">
            <v>2014</v>
          </cell>
          <cell r="C237" t="str">
            <v xml:space="preserve">077F-616-SR-2014; Body                            </v>
          </cell>
          <cell r="D237" t="str">
            <v xml:space="preserve">               </v>
          </cell>
          <cell r="E237" t="str">
            <v xml:space="preserve">                                                  </v>
          </cell>
          <cell r="F237" t="str">
            <v xml:space="preserve">                         </v>
          </cell>
          <cell r="G237" t="str">
            <v xml:space="preserve">                         </v>
          </cell>
          <cell r="H237" t="str">
            <v xml:space="preserve">                         </v>
          </cell>
          <cell r="I237">
            <v>0</v>
          </cell>
          <cell r="J237">
            <v>0</v>
          </cell>
          <cell r="K237">
            <v>0</v>
          </cell>
          <cell r="L237">
            <v>0</v>
          </cell>
          <cell r="M237">
            <v>0</v>
          </cell>
          <cell r="N237" t="str">
            <v xml:space="preserve">                                                  </v>
          </cell>
          <cell r="O237">
            <v>0</v>
          </cell>
          <cell r="P237">
            <v>0</v>
          </cell>
          <cell r="Q237" t="str">
            <v xml:space="preserve">                         </v>
          </cell>
          <cell r="R237" t="str">
            <v/>
          </cell>
        </row>
        <row r="238">
          <cell r="A238" t="str">
            <v xml:space="preserve">SKF-02013.BB                  </v>
          </cell>
          <cell r="B238">
            <v>2013</v>
          </cell>
          <cell r="C238" t="str">
            <v xml:space="preserve">077F-516-YR7-2013; Body                           </v>
          </cell>
          <cell r="D238" t="str">
            <v xml:space="preserve">               </v>
          </cell>
          <cell r="E238" t="str">
            <v xml:space="preserve">                                                  </v>
          </cell>
          <cell r="F238" t="str">
            <v xml:space="preserve">                         </v>
          </cell>
          <cell r="G238" t="str">
            <v xml:space="preserve">                         </v>
          </cell>
          <cell r="H238" t="str">
            <v xml:space="preserve">                         </v>
          </cell>
          <cell r="I238">
            <v>0</v>
          </cell>
          <cell r="J238">
            <v>0</v>
          </cell>
          <cell r="K238">
            <v>0</v>
          </cell>
          <cell r="L238">
            <v>0</v>
          </cell>
          <cell r="M238">
            <v>0</v>
          </cell>
          <cell r="N238" t="str">
            <v xml:space="preserve">                                                  </v>
          </cell>
          <cell r="O238">
            <v>0</v>
          </cell>
          <cell r="P238">
            <v>0</v>
          </cell>
          <cell r="Q238" t="str">
            <v xml:space="preserve">                         </v>
          </cell>
          <cell r="R238" t="str">
            <v/>
          </cell>
        </row>
        <row r="239">
          <cell r="A239" t="str">
            <v xml:space="preserve">SKF-02012.BB                  </v>
          </cell>
          <cell r="B239">
            <v>2012</v>
          </cell>
          <cell r="C239" t="str">
            <v xml:space="preserve">097F-619-SR-2012; Body                            </v>
          </cell>
          <cell r="D239" t="str">
            <v xml:space="preserve">               </v>
          </cell>
          <cell r="E239" t="str">
            <v xml:space="preserve">                                                  </v>
          </cell>
          <cell r="F239" t="str">
            <v xml:space="preserve">                         </v>
          </cell>
          <cell r="G239" t="str">
            <v xml:space="preserve">                         </v>
          </cell>
          <cell r="H239" t="str">
            <v xml:space="preserve">                         </v>
          </cell>
          <cell r="I239">
            <v>0</v>
          </cell>
          <cell r="J239">
            <v>0</v>
          </cell>
          <cell r="K239">
            <v>0</v>
          </cell>
          <cell r="L239">
            <v>0</v>
          </cell>
          <cell r="M239">
            <v>0</v>
          </cell>
          <cell r="N239" t="str">
            <v xml:space="preserve">                                                  </v>
          </cell>
          <cell r="O239">
            <v>0</v>
          </cell>
          <cell r="P239">
            <v>0</v>
          </cell>
          <cell r="Q239" t="str">
            <v xml:space="preserve">                         </v>
          </cell>
          <cell r="R239" t="str">
            <v/>
          </cell>
        </row>
        <row r="240">
          <cell r="A240" t="str">
            <v xml:space="preserve">SKF-02011.BB                  </v>
          </cell>
          <cell r="B240">
            <v>2011</v>
          </cell>
          <cell r="C240" t="str">
            <v xml:space="preserve">086F-619-YR-2011; Body                            </v>
          </cell>
          <cell r="D240" t="str">
            <v xml:space="preserve">               </v>
          </cell>
          <cell r="E240" t="str">
            <v xml:space="preserve">                                                  </v>
          </cell>
          <cell r="F240" t="str">
            <v xml:space="preserve">                         </v>
          </cell>
          <cell r="G240" t="str">
            <v xml:space="preserve">                         </v>
          </cell>
          <cell r="H240" t="str">
            <v xml:space="preserve">                         </v>
          </cell>
          <cell r="I240">
            <v>0</v>
          </cell>
          <cell r="J240">
            <v>0</v>
          </cell>
          <cell r="K240">
            <v>0</v>
          </cell>
          <cell r="L240">
            <v>0</v>
          </cell>
          <cell r="M240">
            <v>0</v>
          </cell>
          <cell r="N240" t="str">
            <v xml:space="preserve">                                                  </v>
          </cell>
          <cell r="O240">
            <v>0</v>
          </cell>
          <cell r="P240">
            <v>0</v>
          </cell>
          <cell r="Q240" t="str">
            <v xml:space="preserve">                         </v>
          </cell>
          <cell r="R240" t="str">
            <v/>
          </cell>
        </row>
        <row r="241">
          <cell r="A241" t="str">
            <v xml:space="preserve">SKF-02010.BB                  </v>
          </cell>
          <cell r="B241">
            <v>2010</v>
          </cell>
          <cell r="C241" t="str">
            <v xml:space="preserve">105F-616-YR9-2010; Body                           </v>
          </cell>
          <cell r="D241" t="str">
            <v xml:space="preserve">               </v>
          </cell>
          <cell r="E241" t="str">
            <v xml:space="preserve">                                                  </v>
          </cell>
          <cell r="F241" t="str">
            <v xml:space="preserve">                         </v>
          </cell>
          <cell r="G241" t="str">
            <v xml:space="preserve">                         </v>
          </cell>
          <cell r="H241" t="str">
            <v xml:space="preserve">                         </v>
          </cell>
          <cell r="I241">
            <v>0</v>
          </cell>
          <cell r="J241">
            <v>0</v>
          </cell>
          <cell r="K241">
            <v>0</v>
          </cell>
          <cell r="L241">
            <v>0</v>
          </cell>
          <cell r="M241">
            <v>0</v>
          </cell>
          <cell r="N241" t="str">
            <v xml:space="preserve">                                                  </v>
          </cell>
          <cell r="O241">
            <v>0</v>
          </cell>
          <cell r="P241">
            <v>0</v>
          </cell>
          <cell r="Q241" t="str">
            <v xml:space="preserve">                         </v>
          </cell>
          <cell r="R241" t="str">
            <v/>
          </cell>
        </row>
        <row r="242">
          <cell r="A242" t="str">
            <v xml:space="preserve">SKF-02009.BB                  </v>
          </cell>
          <cell r="B242">
            <v>2009</v>
          </cell>
          <cell r="C242" t="str">
            <v xml:space="preserve">174F-616-SR9-2009; Body                           </v>
          </cell>
          <cell r="D242" t="str">
            <v xml:space="preserve">               </v>
          </cell>
          <cell r="E242" t="str">
            <v xml:space="preserve">                                                  </v>
          </cell>
          <cell r="F242" t="str">
            <v xml:space="preserve">                         </v>
          </cell>
          <cell r="G242" t="str">
            <v xml:space="preserve">                         </v>
          </cell>
          <cell r="H242" t="str">
            <v xml:space="preserve">                         </v>
          </cell>
          <cell r="I242">
            <v>0</v>
          </cell>
          <cell r="J242">
            <v>0</v>
          </cell>
          <cell r="K242">
            <v>0</v>
          </cell>
          <cell r="L242">
            <v>0</v>
          </cell>
          <cell r="M242">
            <v>0</v>
          </cell>
          <cell r="N242" t="str">
            <v xml:space="preserve">                                                  </v>
          </cell>
          <cell r="O242">
            <v>0</v>
          </cell>
          <cell r="P242">
            <v>0</v>
          </cell>
          <cell r="Q242" t="str">
            <v xml:space="preserve">                         </v>
          </cell>
          <cell r="R242" t="str">
            <v/>
          </cell>
        </row>
        <row r="243">
          <cell r="A243" t="str">
            <v xml:space="preserve">SKF-02008.BB                  </v>
          </cell>
          <cell r="B243">
            <v>2008</v>
          </cell>
          <cell r="C243" t="str">
            <v xml:space="preserve">086F-616-YR-2008; Body                            </v>
          </cell>
          <cell r="D243" t="str">
            <v xml:space="preserve">               </v>
          </cell>
          <cell r="E243" t="str">
            <v xml:space="preserve">                                                  </v>
          </cell>
          <cell r="F243" t="str">
            <v xml:space="preserve">                         </v>
          </cell>
          <cell r="G243" t="str">
            <v xml:space="preserve">                         </v>
          </cell>
          <cell r="H243" t="str">
            <v xml:space="preserve">                         </v>
          </cell>
          <cell r="I243">
            <v>0</v>
          </cell>
          <cell r="J243">
            <v>0</v>
          </cell>
          <cell r="K243">
            <v>0</v>
          </cell>
          <cell r="L243">
            <v>0</v>
          </cell>
          <cell r="M243">
            <v>0</v>
          </cell>
          <cell r="N243" t="str">
            <v xml:space="preserve">                                                  </v>
          </cell>
          <cell r="O243">
            <v>0</v>
          </cell>
          <cell r="P243">
            <v>0</v>
          </cell>
          <cell r="Q243" t="str">
            <v xml:space="preserve">                         </v>
          </cell>
          <cell r="R243" t="str">
            <v/>
          </cell>
        </row>
        <row r="244">
          <cell r="A244" t="str">
            <v xml:space="preserve">SKF-02007.BB                  </v>
          </cell>
          <cell r="B244">
            <v>2007</v>
          </cell>
          <cell r="C244" t="str">
            <v xml:space="preserve">077F-613-YR-2007; Body                            </v>
          </cell>
          <cell r="D244" t="str">
            <v xml:space="preserve">               </v>
          </cell>
          <cell r="E244" t="str">
            <v xml:space="preserve">                                                  </v>
          </cell>
          <cell r="F244" t="str">
            <v xml:space="preserve">                         </v>
          </cell>
          <cell r="G244" t="str">
            <v xml:space="preserve">                         </v>
          </cell>
          <cell r="H244" t="str">
            <v xml:space="preserve">                         </v>
          </cell>
          <cell r="I244">
            <v>0</v>
          </cell>
          <cell r="J244">
            <v>0</v>
          </cell>
          <cell r="K244">
            <v>0</v>
          </cell>
          <cell r="L244">
            <v>0</v>
          </cell>
          <cell r="M244">
            <v>0</v>
          </cell>
          <cell r="N244" t="str">
            <v xml:space="preserve">                                                  </v>
          </cell>
          <cell r="O244">
            <v>0</v>
          </cell>
          <cell r="P244">
            <v>0</v>
          </cell>
          <cell r="Q244" t="str">
            <v xml:space="preserve">                         </v>
          </cell>
          <cell r="R244" t="str">
            <v/>
          </cell>
        </row>
        <row r="245">
          <cell r="A245" t="str">
            <v xml:space="preserve">SKF-02006.BB                  </v>
          </cell>
          <cell r="B245">
            <v>2006</v>
          </cell>
          <cell r="C245" t="str">
            <v xml:space="preserve">061F-613-YR-2006; Body                            </v>
          </cell>
          <cell r="D245" t="str">
            <v xml:space="preserve">               </v>
          </cell>
          <cell r="E245" t="str">
            <v xml:space="preserve">                                                  </v>
          </cell>
          <cell r="F245" t="str">
            <v xml:space="preserve">                         </v>
          </cell>
          <cell r="G245" t="str">
            <v xml:space="preserve">                         </v>
          </cell>
          <cell r="H245" t="str">
            <v xml:space="preserve">                         </v>
          </cell>
          <cell r="I245">
            <v>0</v>
          </cell>
          <cell r="J245">
            <v>0</v>
          </cell>
          <cell r="K245">
            <v>0</v>
          </cell>
          <cell r="L245">
            <v>0</v>
          </cell>
          <cell r="M245">
            <v>0</v>
          </cell>
          <cell r="N245" t="str">
            <v xml:space="preserve">                                                  </v>
          </cell>
          <cell r="O245">
            <v>0</v>
          </cell>
          <cell r="P245">
            <v>0</v>
          </cell>
          <cell r="Q245" t="str">
            <v xml:space="preserve">                         </v>
          </cell>
          <cell r="R245" t="str">
            <v/>
          </cell>
        </row>
        <row r="246">
          <cell r="A246" t="str">
            <v xml:space="preserve">SKF-02005.BB                  </v>
          </cell>
          <cell r="B246">
            <v>2005</v>
          </cell>
          <cell r="C246" t="str">
            <v xml:space="preserve">084F-619-SR-2005; Body                            </v>
          </cell>
          <cell r="D246" t="str">
            <v xml:space="preserve">               </v>
          </cell>
          <cell r="E246" t="str">
            <v xml:space="preserve">                                                  </v>
          </cell>
          <cell r="F246" t="str">
            <v xml:space="preserve">                         </v>
          </cell>
          <cell r="G246" t="str">
            <v xml:space="preserve">                         </v>
          </cell>
          <cell r="H246" t="str">
            <v xml:space="preserve">                         </v>
          </cell>
          <cell r="I246">
            <v>0</v>
          </cell>
          <cell r="J246">
            <v>0</v>
          </cell>
          <cell r="K246">
            <v>0</v>
          </cell>
          <cell r="L246">
            <v>0</v>
          </cell>
          <cell r="M246">
            <v>0</v>
          </cell>
          <cell r="N246" t="str">
            <v xml:space="preserve">                                                  </v>
          </cell>
          <cell r="O246">
            <v>0</v>
          </cell>
          <cell r="P246">
            <v>0</v>
          </cell>
          <cell r="Q246" t="str">
            <v xml:space="preserve">                         </v>
          </cell>
          <cell r="R246" t="str">
            <v/>
          </cell>
        </row>
        <row r="247">
          <cell r="A247" t="str">
            <v xml:space="preserve">SKF-02004.BB                  </v>
          </cell>
          <cell r="B247">
            <v>2004</v>
          </cell>
          <cell r="C247" t="str">
            <v xml:space="preserve">086F-616-YR-2004; Body                            </v>
          </cell>
          <cell r="D247" t="str">
            <v xml:space="preserve">               </v>
          </cell>
          <cell r="E247" t="str">
            <v xml:space="preserve">                                                  </v>
          </cell>
          <cell r="F247" t="str">
            <v xml:space="preserve">                         </v>
          </cell>
          <cell r="G247" t="str">
            <v xml:space="preserve">                         </v>
          </cell>
          <cell r="H247" t="str">
            <v xml:space="preserve">                         </v>
          </cell>
          <cell r="I247">
            <v>0</v>
          </cell>
          <cell r="J247">
            <v>0</v>
          </cell>
          <cell r="K247">
            <v>0</v>
          </cell>
          <cell r="L247">
            <v>0</v>
          </cell>
          <cell r="M247">
            <v>0</v>
          </cell>
          <cell r="N247" t="str">
            <v xml:space="preserve">                                                  </v>
          </cell>
          <cell r="O247">
            <v>0</v>
          </cell>
          <cell r="P247">
            <v>0</v>
          </cell>
          <cell r="Q247" t="str">
            <v xml:space="preserve">                         </v>
          </cell>
          <cell r="R247" t="str">
            <v/>
          </cell>
        </row>
        <row r="248">
          <cell r="A248" t="str">
            <v xml:space="preserve">SKF-02003.BB                  </v>
          </cell>
          <cell r="B248">
            <v>2003</v>
          </cell>
          <cell r="C248" t="str">
            <v xml:space="preserve">146F-616-SR9-2003; Body                           </v>
          </cell>
          <cell r="D248" t="str">
            <v xml:space="preserve">               </v>
          </cell>
          <cell r="E248" t="str">
            <v xml:space="preserve">                                                  </v>
          </cell>
          <cell r="F248" t="str">
            <v xml:space="preserve">                         </v>
          </cell>
          <cell r="G248" t="str">
            <v xml:space="preserve">                         </v>
          </cell>
          <cell r="H248" t="str">
            <v xml:space="preserve">                         </v>
          </cell>
          <cell r="I248">
            <v>0</v>
          </cell>
          <cell r="J248">
            <v>0</v>
          </cell>
          <cell r="K248">
            <v>0</v>
          </cell>
          <cell r="L248">
            <v>0</v>
          </cell>
          <cell r="M248">
            <v>0</v>
          </cell>
          <cell r="N248" t="str">
            <v xml:space="preserve">                                                  </v>
          </cell>
          <cell r="O248">
            <v>0</v>
          </cell>
          <cell r="P248">
            <v>0</v>
          </cell>
          <cell r="Q248" t="str">
            <v xml:space="preserve">                         </v>
          </cell>
          <cell r="R248" t="str">
            <v/>
          </cell>
        </row>
        <row r="249">
          <cell r="A249" t="str">
            <v xml:space="preserve">SKF-02002.BB                  </v>
          </cell>
          <cell r="B249">
            <v>2002</v>
          </cell>
          <cell r="C249" t="str">
            <v xml:space="preserve">110F-616-YR9-2002; Body                           </v>
          </cell>
          <cell r="D249" t="str">
            <v xml:space="preserve">               </v>
          </cell>
          <cell r="E249" t="str">
            <v xml:space="preserve">                                                  </v>
          </cell>
          <cell r="F249" t="str">
            <v xml:space="preserve">                         </v>
          </cell>
          <cell r="G249" t="str">
            <v xml:space="preserve">                         </v>
          </cell>
          <cell r="H249" t="str">
            <v xml:space="preserve">                         </v>
          </cell>
          <cell r="I249">
            <v>0</v>
          </cell>
          <cell r="J249">
            <v>0</v>
          </cell>
          <cell r="K249">
            <v>0</v>
          </cell>
          <cell r="L249">
            <v>0</v>
          </cell>
          <cell r="M249">
            <v>0</v>
          </cell>
          <cell r="N249" t="str">
            <v xml:space="preserve">                                                  </v>
          </cell>
          <cell r="O249">
            <v>0</v>
          </cell>
          <cell r="P249">
            <v>0</v>
          </cell>
          <cell r="Q249" t="str">
            <v xml:space="preserve">                         </v>
          </cell>
          <cell r="R249" t="str">
            <v/>
          </cell>
        </row>
        <row r="250">
          <cell r="A250" t="str">
            <v xml:space="preserve">SKF-02001.BB                  </v>
          </cell>
          <cell r="B250">
            <v>2001</v>
          </cell>
          <cell r="C250" t="str">
            <v xml:space="preserve">122F-616-SR9-2001; Body                           </v>
          </cell>
          <cell r="D250" t="str">
            <v xml:space="preserve">               </v>
          </cell>
          <cell r="E250" t="str">
            <v xml:space="preserve">                                                  </v>
          </cell>
          <cell r="F250" t="str">
            <v xml:space="preserve">                         </v>
          </cell>
          <cell r="G250" t="str">
            <v xml:space="preserve">                         </v>
          </cell>
          <cell r="H250" t="str">
            <v xml:space="preserve">                         </v>
          </cell>
          <cell r="I250">
            <v>0</v>
          </cell>
          <cell r="J250">
            <v>0</v>
          </cell>
          <cell r="K250">
            <v>0</v>
          </cell>
          <cell r="L250">
            <v>0</v>
          </cell>
          <cell r="M250">
            <v>0</v>
          </cell>
          <cell r="N250" t="str">
            <v xml:space="preserve">                                                  </v>
          </cell>
          <cell r="O250">
            <v>0</v>
          </cell>
          <cell r="P250">
            <v>0</v>
          </cell>
          <cell r="Q250" t="str">
            <v xml:space="preserve">                         </v>
          </cell>
          <cell r="R250" t="str">
            <v/>
          </cell>
        </row>
        <row r="251">
          <cell r="A251" t="str">
            <v xml:space="preserve">SKF-02000.BB                  </v>
          </cell>
          <cell r="B251">
            <v>2000</v>
          </cell>
          <cell r="C251" t="str">
            <v xml:space="preserve">077F-513-SR7(k)-2000; Body                        </v>
          </cell>
          <cell r="D251" t="str">
            <v xml:space="preserve">               </v>
          </cell>
          <cell r="E251" t="str">
            <v xml:space="preserve">                                                  </v>
          </cell>
          <cell r="F251" t="str">
            <v xml:space="preserve">                         </v>
          </cell>
          <cell r="G251" t="str">
            <v xml:space="preserve">                         </v>
          </cell>
          <cell r="H251" t="str">
            <v xml:space="preserve">                         </v>
          </cell>
          <cell r="I251">
            <v>0</v>
          </cell>
          <cell r="J251">
            <v>0</v>
          </cell>
          <cell r="K251">
            <v>0</v>
          </cell>
          <cell r="L251">
            <v>0</v>
          </cell>
          <cell r="M251">
            <v>0</v>
          </cell>
          <cell r="N251" t="str">
            <v xml:space="preserve">                                                  </v>
          </cell>
          <cell r="O251">
            <v>0</v>
          </cell>
          <cell r="P251">
            <v>0</v>
          </cell>
          <cell r="Q251" t="str">
            <v xml:space="preserve">                         </v>
          </cell>
          <cell r="R251" t="str">
            <v/>
          </cell>
        </row>
        <row r="252">
          <cell r="A252" t="str">
            <v xml:space="preserve">SKF-01998.BB                  </v>
          </cell>
          <cell r="B252">
            <v>1998</v>
          </cell>
          <cell r="C252" t="str">
            <v xml:space="preserve">122F-616-YR9-1998; Body                           </v>
          </cell>
          <cell r="D252" t="str">
            <v xml:space="preserve">               </v>
          </cell>
          <cell r="E252" t="str">
            <v xml:space="preserve">                                                  </v>
          </cell>
          <cell r="F252" t="str">
            <v xml:space="preserve">                         </v>
          </cell>
          <cell r="G252" t="str">
            <v xml:space="preserve">                         </v>
          </cell>
          <cell r="H252" t="str">
            <v xml:space="preserve">                         </v>
          </cell>
          <cell r="I252">
            <v>0</v>
          </cell>
          <cell r="J252">
            <v>0</v>
          </cell>
          <cell r="K252">
            <v>0</v>
          </cell>
          <cell r="L252">
            <v>0</v>
          </cell>
          <cell r="M252">
            <v>0</v>
          </cell>
          <cell r="N252" t="str">
            <v xml:space="preserve">                                                  </v>
          </cell>
          <cell r="O252">
            <v>0</v>
          </cell>
          <cell r="P252">
            <v>0</v>
          </cell>
          <cell r="Q252" t="str">
            <v xml:space="preserve">                         </v>
          </cell>
          <cell r="R252" t="str">
            <v/>
          </cell>
        </row>
        <row r="253">
          <cell r="A253" t="str">
            <v xml:space="preserve">SKF-01997.BB                  </v>
          </cell>
          <cell r="B253">
            <v>1997</v>
          </cell>
          <cell r="C253" t="str">
            <v xml:space="preserve">077F-513-SR7(k)-1997; Body                        </v>
          </cell>
          <cell r="D253" t="str">
            <v xml:space="preserve">               </v>
          </cell>
          <cell r="E253" t="str">
            <v xml:space="preserve">                                                  </v>
          </cell>
          <cell r="F253" t="str">
            <v xml:space="preserve">                         </v>
          </cell>
          <cell r="G253" t="str">
            <v xml:space="preserve">                         </v>
          </cell>
          <cell r="H253" t="str">
            <v xml:space="preserve">                         </v>
          </cell>
          <cell r="I253">
            <v>0</v>
          </cell>
          <cell r="J253">
            <v>0</v>
          </cell>
          <cell r="K253">
            <v>0</v>
          </cell>
          <cell r="L253">
            <v>0</v>
          </cell>
          <cell r="M253">
            <v>0</v>
          </cell>
          <cell r="N253" t="str">
            <v xml:space="preserve">                                                  </v>
          </cell>
          <cell r="O253">
            <v>0</v>
          </cell>
          <cell r="P253">
            <v>0</v>
          </cell>
          <cell r="Q253" t="str">
            <v xml:space="preserve">                         </v>
          </cell>
          <cell r="R253" t="str">
            <v/>
          </cell>
        </row>
        <row r="254">
          <cell r="A254" t="str">
            <v xml:space="preserve">SKF-01996.BB                  </v>
          </cell>
          <cell r="B254">
            <v>1996</v>
          </cell>
          <cell r="C254" t="str">
            <v xml:space="preserve">086F-516-YR7-1996; Body                           </v>
          </cell>
          <cell r="D254" t="str">
            <v xml:space="preserve">               </v>
          </cell>
          <cell r="E254" t="str">
            <v xml:space="preserve">                                                  </v>
          </cell>
          <cell r="F254" t="str">
            <v xml:space="preserve">                         </v>
          </cell>
          <cell r="G254" t="str">
            <v xml:space="preserve">                         </v>
          </cell>
          <cell r="H254" t="str">
            <v xml:space="preserve">                         </v>
          </cell>
          <cell r="I254">
            <v>0</v>
          </cell>
          <cell r="J254">
            <v>0</v>
          </cell>
          <cell r="K254">
            <v>0</v>
          </cell>
          <cell r="L254">
            <v>0</v>
          </cell>
          <cell r="M254">
            <v>0</v>
          </cell>
          <cell r="N254" t="str">
            <v xml:space="preserve">                                                  </v>
          </cell>
          <cell r="O254">
            <v>0</v>
          </cell>
          <cell r="P254">
            <v>0</v>
          </cell>
          <cell r="Q254" t="str">
            <v xml:space="preserve">                         </v>
          </cell>
          <cell r="R254" t="str">
            <v/>
          </cell>
        </row>
        <row r="255">
          <cell r="A255" t="str">
            <v xml:space="preserve">SKF-01995.BB                  </v>
          </cell>
          <cell r="B255">
            <v>1995</v>
          </cell>
          <cell r="C255" t="str">
            <v xml:space="preserve">086F-513-YR7-1995; Body                           </v>
          </cell>
          <cell r="D255" t="str">
            <v xml:space="preserve">               </v>
          </cell>
          <cell r="E255" t="str">
            <v xml:space="preserve">                                                  </v>
          </cell>
          <cell r="F255" t="str">
            <v xml:space="preserve">                         </v>
          </cell>
          <cell r="G255" t="str">
            <v xml:space="preserve">                         </v>
          </cell>
          <cell r="H255" t="str">
            <v xml:space="preserve">                         </v>
          </cell>
          <cell r="I255">
            <v>0</v>
          </cell>
          <cell r="J255">
            <v>0</v>
          </cell>
          <cell r="K255">
            <v>0</v>
          </cell>
          <cell r="L255">
            <v>0</v>
          </cell>
          <cell r="M255">
            <v>0</v>
          </cell>
          <cell r="N255" t="str">
            <v xml:space="preserve">                                                  </v>
          </cell>
          <cell r="O255">
            <v>0</v>
          </cell>
          <cell r="P255">
            <v>0</v>
          </cell>
          <cell r="Q255" t="str">
            <v xml:space="preserve">                         </v>
          </cell>
          <cell r="R255" t="str">
            <v/>
          </cell>
        </row>
        <row r="256">
          <cell r="A256" t="str">
            <v xml:space="preserve">SKF-01994.BB                  </v>
          </cell>
          <cell r="B256">
            <v>1994</v>
          </cell>
          <cell r="C256" t="str">
            <v xml:space="preserve">086F-516-SR7(k)-1994; Body                        </v>
          </cell>
          <cell r="D256" t="str">
            <v xml:space="preserve">               </v>
          </cell>
          <cell r="E256" t="str">
            <v xml:space="preserve">                                                  </v>
          </cell>
          <cell r="F256" t="str">
            <v xml:space="preserve">                         </v>
          </cell>
          <cell r="G256" t="str">
            <v xml:space="preserve">                         </v>
          </cell>
          <cell r="H256" t="str">
            <v xml:space="preserve">                         </v>
          </cell>
          <cell r="I256">
            <v>0</v>
          </cell>
          <cell r="J256">
            <v>0</v>
          </cell>
          <cell r="K256">
            <v>0</v>
          </cell>
          <cell r="L256">
            <v>0</v>
          </cell>
          <cell r="M256">
            <v>0</v>
          </cell>
          <cell r="N256" t="str">
            <v xml:space="preserve">                                                  </v>
          </cell>
          <cell r="O256">
            <v>0</v>
          </cell>
          <cell r="P256">
            <v>0</v>
          </cell>
          <cell r="Q256" t="str">
            <v xml:space="preserve">                         </v>
          </cell>
          <cell r="R256" t="str">
            <v/>
          </cell>
        </row>
        <row r="257">
          <cell r="A257" t="str">
            <v xml:space="preserve">SKF-01993.BB                  </v>
          </cell>
          <cell r="B257">
            <v>1993</v>
          </cell>
          <cell r="C257" t="str">
            <v xml:space="preserve">086F-513-SR7(k)-1993; Body                        </v>
          </cell>
          <cell r="D257" t="str">
            <v xml:space="preserve">               </v>
          </cell>
          <cell r="E257" t="str">
            <v xml:space="preserve">                                                  </v>
          </cell>
          <cell r="F257" t="str">
            <v xml:space="preserve">                         </v>
          </cell>
          <cell r="G257" t="str">
            <v xml:space="preserve">                         </v>
          </cell>
          <cell r="H257" t="str">
            <v xml:space="preserve">                         </v>
          </cell>
          <cell r="I257">
            <v>0</v>
          </cell>
          <cell r="J257">
            <v>0</v>
          </cell>
          <cell r="K257">
            <v>0</v>
          </cell>
          <cell r="L257">
            <v>0</v>
          </cell>
          <cell r="M257">
            <v>0</v>
          </cell>
          <cell r="N257" t="str">
            <v xml:space="preserve">                                                  </v>
          </cell>
          <cell r="O257">
            <v>0</v>
          </cell>
          <cell r="P257">
            <v>0</v>
          </cell>
          <cell r="Q257" t="str">
            <v xml:space="preserve">                         </v>
          </cell>
          <cell r="R257" t="str">
            <v/>
          </cell>
        </row>
        <row r="258">
          <cell r="A258" t="str">
            <v xml:space="preserve">SKF-01992.BB                  </v>
          </cell>
          <cell r="B258">
            <v>1992</v>
          </cell>
          <cell r="C258" t="str">
            <v xml:space="preserve">077F-616-YR-1992; Body                            </v>
          </cell>
          <cell r="D258" t="str">
            <v xml:space="preserve">07-7/8"        </v>
          </cell>
          <cell r="E258" t="str">
            <v xml:space="preserve">                                                  </v>
          </cell>
          <cell r="F258" t="str">
            <v xml:space="preserve">                         </v>
          </cell>
          <cell r="G258" t="str">
            <v xml:space="preserve">                         </v>
          </cell>
          <cell r="H258" t="str">
            <v xml:space="preserve">                         </v>
          </cell>
          <cell r="I258">
            <v>0</v>
          </cell>
          <cell r="J258">
            <v>0</v>
          </cell>
          <cell r="K258">
            <v>0</v>
          </cell>
          <cell r="L258">
            <v>0</v>
          </cell>
          <cell r="M258">
            <v>0</v>
          </cell>
          <cell r="N258" t="str">
            <v xml:space="preserve">                                                  </v>
          </cell>
          <cell r="O258">
            <v>0</v>
          </cell>
          <cell r="P258">
            <v>0</v>
          </cell>
          <cell r="Q258" t="str">
            <v xml:space="preserve">                         </v>
          </cell>
          <cell r="R258" t="str">
            <v/>
          </cell>
        </row>
        <row r="259">
          <cell r="A259" t="str">
            <v xml:space="preserve">SKF-01991.BB                  </v>
          </cell>
          <cell r="B259">
            <v>1991</v>
          </cell>
          <cell r="C259" t="str">
            <v xml:space="preserve">084F-419-SR6-1991; Body                           </v>
          </cell>
          <cell r="D259" t="str">
            <v xml:space="preserve">               </v>
          </cell>
          <cell r="E259" t="str">
            <v xml:space="preserve">                                                  </v>
          </cell>
          <cell r="F259" t="str">
            <v xml:space="preserve">                         </v>
          </cell>
          <cell r="G259" t="str">
            <v xml:space="preserve">                         </v>
          </cell>
          <cell r="H259" t="str">
            <v xml:space="preserve">                         </v>
          </cell>
          <cell r="I259">
            <v>0</v>
          </cell>
          <cell r="J259">
            <v>0</v>
          </cell>
          <cell r="K259">
            <v>0</v>
          </cell>
          <cell r="L259">
            <v>0</v>
          </cell>
          <cell r="M259">
            <v>0</v>
          </cell>
          <cell r="N259" t="str">
            <v xml:space="preserve">                                                  </v>
          </cell>
          <cell r="O259">
            <v>0</v>
          </cell>
          <cell r="P259">
            <v>0</v>
          </cell>
          <cell r="Q259" t="str">
            <v xml:space="preserve">                         </v>
          </cell>
          <cell r="R259" t="str">
            <v/>
          </cell>
        </row>
        <row r="260">
          <cell r="A260" t="str">
            <v xml:space="preserve">SKF-01990.BB                  </v>
          </cell>
          <cell r="B260">
            <v>1990</v>
          </cell>
          <cell r="C260" t="str">
            <v xml:space="preserve">086F-513-SR7(k)-1990; Body                        </v>
          </cell>
          <cell r="D260" t="str">
            <v xml:space="preserve">               </v>
          </cell>
          <cell r="E260" t="str">
            <v xml:space="preserve">                                                  </v>
          </cell>
          <cell r="F260" t="str">
            <v xml:space="preserve">                         </v>
          </cell>
          <cell r="G260" t="str">
            <v xml:space="preserve">                         </v>
          </cell>
          <cell r="H260" t="str">
            <v xml:space="preserve">                         </v>
          </cell>
          <cell r="I260">
            <v>0</v>
          </cell>
          <cell r="J260">
            <v>0</v>
          </cell>
          <cell r="K260">
            <v>0</v>
          </cell>
          <cell r="L260">
            <v>0</v>
          </cell>
          <cell r="M260">
            <v>0</v>
          </cell>
          <cell r="N260" t="str">
            <v xml:space="preserve">                                                  </v>
          </cell>
          <cell r="O260">
            <v>0</v>
          </cell>
          <cell r="P260">
            <v>0</v>
          </cell>
          <cell r="Q260" t="str">
            <v xml:space="preserve">                         </v>
          </cell>
          <cell r="R260" t="str">
            <v/>
          </cell>
        </row>
        <row r="261">
          <cell r="A261" t="str">
            <v xml:space="preserve">SKF-01989.BB                  </v>
          </cell>
          <cell r="B261">
            <v>1989</v>
          </cell>
          <cell r="C261" t="str">
            <v xml:space="preserve">084F-513-SR7(k)-1989; Body                        </v>
          </cell>
          <cell r="D261" t="str">
            <v xml:space="preserve">               </v>
          </cell>
          <cell r="E261" t="str">
            <v xml:space="preserve">                                                  </v>
          </cell>
          <cell r="F261" t="str">
            <v xml:space="preserve">                         </v>
          </cell>
          <cell r="G261" t="str">
            <v xml:space="preserve">                         </v>
          </cell>
          <cell r="H261" t="str">
            <v xml:space="preserve">                         </v>
          </cell>
          <cell r="I261">
            <v>0</v>
          </cell>
          <cell r="J261">
            <v>0</v>
          </cell>
          <cell r="K261">
            <v>0</v>
          </cell>
          <cell r="L261">
            <v>0</v>
          </cell>
          <cell r="M261">
            <v>0</v>
          </cell>
          <cell r="N261" t="str">
            <v xml:space="preserve">                                                  </v>
          </cell>
          <cell r="O261">
            <v>0</v>
          </cell>
          <cell r="P261">
            <v>0</v>
          </cell>
          <cell r="Q261" t="str">
            <v xml:space="preserve">                         </v>
          </cell>
          <cell r="R261" t="str">
            <v/>
          </cell>
        </row>
        <row r="262">
          <cell r="A262" t="str">
            <v xml:space="preserve">SKF-01988.BB                  </v>
          </cell>
          <cell r="B262">
            <v>1988</v>
          </cell>
          <cell r="C262" t="str">
            <v xml:space="preserve">077F-616-YR-1988; Body                            </v>
          </cell>
          <cell r="D262" t="str">
            <v xml:space="preserve">               </v>
          </cell>
          <cell r="E262" t="str">
            <v xml:space="preserve">                                                  </v>
          </cell>
          <cell r="F262" t="str">
            <v xml:space="preserve">                         </v>
          </cell>
          <cell r="G262" t="str">
            <v xml:space="preserve">                         </v>
          </cell>
          <cell r="H262" t="str">
            <v xml:space="preserve">                         </v>
          </cell>
          <cell r="I262">
            <v>0</v>
          </cell>
          <cell r="J262">
            <v>0</v>
          </cell>
          <cell r="K262">
            <v>0</v>
          </cell>
          <cell r="L262">
            <v>0</v>
          </cell>
          <cell r="M262">
            <v>0</v>
          </cell>
          <cell r="N262" t="str">
            <v xml:space="preserve">                                                  </v>
          </cell>
          <cell r="O262">
            <v>0</v>
          </cell>
          <cell r="P262">
            <v>0</v>
          </cell>
          <cell r="Q262" t="str">
            <v xml:space="preserve">                         </v>
          </cell>
          <cell r="R262" t="str">
            <v/>
          </cell>
        </row>
        <row r="263">
          <cell r="A263" t="str">
            <v xml:space="preserve">SKF-01987.BB                  </v>
          </cell>
          <cell r="B263">
            <v>1987</v>
          </cell>
          <cell r="C263" t="str">
            <v xml:space="preserve">077F-613-YR-1987; Body                            </v>
          </cell>
          <cell r="D263" t="str">
            <v xml:space="preserve">               </v>
          </cell>
          <cell r="E263" t="str">
            <v xml:space="preserve">                                                  </v>
          </cell>
          <cell r="F263" t="str">
            <v xml:space="preserve">                         </v>
          </cell>
          <cell r="G263" t="str">
            <v xml:space="preserve">                         </v>
          </cell>
          <cell r="H263" t="str">
            <v xml:space="preserve">                         </v>
          </cell>
          <cell r="I263">
            <v>0</v>
          </cell>
          <cell r="J263">
            <v>0</v>
          </cell>
          <cell r="K263">
            <v>0</v>
          </cell>
          <cell r="L263">
            <v>0</v>
          </cell>
          <cell r="M263">
            <v>0</v>
          </cell>
          <cell r="N263" t="str">
            <v xml:space="preserve">                                                  </v>
          </cell>
          <cell r="O263">
            <v>0</v>
          </cell>
          <cell r="P263">
            <v>0</v>
          </cell>
          <cell r="Q263" t="str">
            <v xml:space="preserve">                         </v>
          </cell>
          <cell r="R263" t="str">
            <v/>
          </cell>
        </row>
        <row r="264">
          <cell r="A264" t="str">
            <v xml:space="preserve">SKF-01986.BB                  </v>
          </cell>
          <cell r="B264">
            <v>1986</v>
          </cell>
          <cell r="C264" t="str">
            <v xml:space="preserve">077F-616-SR-1986; Body                            </v>
          </cell>
          <cell r="D264" t="str">
            <v xml:space="preserve">               </v>
          </cell>
          <cell r="E264" t="str">
            <v xml:space="preserve">                                                  </v>
          </cell>
          <cell r="F264" t="str">
            <v xml:space="preserve">                         </v>
          </cell>
          <cell r="G264" t="str">
            <v xml:space="preserve">                         </v>
          </cell>
          <cell r="H264" t="str">
            <v xml:space="preserve">                         </v>
          </cell>
          <cell r="I264">
            <v>0</v>
          </cell>
          <cell r="J264">
            <v>0</v>
          </cell>
          <cell r="K264">
            <v>0</v>
          </cell>
          <cell r="L264">
            <v>0</v>
          </cell>
          <cell r="M264">
            <v>0</v>
          </cell>
          <cell r="N264" t="str">
            <v xml:space="preserve">                                                  </v>
          </cell>
          <cell r="O264">
            <v>0</v>
          </cell>
          <cell r="P264">
            <v>0</v>
          </cell>
          <cell r="Q264" t="str">
            <v xml:space="preserve">                         </v>
          </cell>
          <cell r="R264" t="str">
            <v/>
          </cell>
        </row>
        <row r="265">
          <cell r="A265" t="str">
            <v xml:space="preserve">SKF-01985.BB                  </v>
          </cell>
          <cell r="B265">
            <v>1985</v>
          </cell>
          <cell r="C265" t="str">
            <v xml:space="preserve">077F-616-XR-1985; Body                            </v>
          </cell>
          <cell r="D265" t="str">
            <v xml:space="preserve">               </v>
          </cell>
          <cell r="E265" t="str">
            <v xml:space="preserve">                                                  </v>
          </cell>
          <cell r="F265" t="str">
            <v xml:space="preserve">                         </v>
          </cell>
          <cell r="G265" t="str">
            <v xml:space="preserve">                         </v>
          </cell>
          <cell r="H265" t="str">
            <v xml:space="preserve">                         </v>
          </cell>
          <cell r="I265">
            <v>0</v>
          </cell>
          <cell r="J265">
            <v>0</v>
          </cell>
          <cell r="K265">
            <v>0</v>
          </cell>
          <cell r="L265">
            <v>0</v>
          </cell>
          <cell r="M265">
            <v>0</v>
          </cell>
          <cell r="N265" t="str">
            <v xml:space="preserve">                                                  </v>
          </cell>
          <cell r="O265">
            <v>0</v>
          </cell>
          <cell r="P265">
            <v>0</v>
          </cell>
          <cell r="Q265" t="str">
            <v xml:space="preserve">                         </v>
          </cell>
          <cell r="R265" t="str">
            <v/>
          </cell>
        </row>
        <row r="266">
          <cell r="A266" t="str">
            <v xml:space="preserve">SKF-01984.BB                  </v>
          </cell>
          <cell r="B266">
            <v>1984</v>
          </cell>
          <cell r="C266" t="str">
            <v xml:space="preserve">077F-616-SR-1984; Body                            </v>
          </cell>
          <cell r="D266" t="str">
            <v xml:space="preserve">               </v>
          </cell>
          <cell r="E266" t="str">
            <v xml:space="preserve">                                                  </v>
          </cell>
          <cell r="F266" t="str">
            <v xml:space="preserve">                         </v>
          </cell>
          <cell r="G266" t="str">
            <v xml:space="preserve">                         </v>
          </cell>
          <cell r="H266" t="str">
            <v xml:space="preserve">                         </v>
          </cell>
          <cell r="I266">
            <v>0</v>
          </cell>
          <cell r="J266">
            <v>0</v>
          </cell>
          <cell r="K266">
            <v>0</v>
          </cell>
          <cell r="L266">
            <v>0</v>
          </cell>
          <cell r="M266">
            <v>0</v>
          </cell>
          <cell r="N266" t="str">
            <v xml:space="preserve">                                                  </v>
          </cell>
          <cell r="O266">
            <v>0</v>
          </cell>
          <cell r="P266">
            <v>0</v>
          </cell>
          <cell r="Q266" t="str">
            <v xml:space="preserve">                         </v>
          </cell>
          <cell r="R266" t="str">
            <v/>
          </cell>
        </row>
        <row r="267">
          <cell r="A267" t="str">
            <v xml:space="preserve">SKF-01983.BB                  </v>
          </cell>
          <cell r="B267">
            <v>1983</v>
          </cell>
          <cell r="C267" t="str">
            <v xml:space="preserve">077F-616-YR+-1983; Body                           </v>
          </cell>
          <cell r="D267" t="str">
            <v xml:space="preserve">               </v>
          </cell>
          <cell r="E267" t="str">
            <v xml:space="preserve">                                                  </v>
          </cell>
          <cell r="F267" t="str">
            <v xml:space="preserve">                         </v>
          </cell>
          <cell r="G267" t="str">
            <v xml:space="preserve">                         </v>
          </cell>
          <cell r="H267" t="str">
            <v xml:space="preserve">                         </v>
          </cell>
          <cell r="I267">
            <v>0</v>
          </cell>
          <cell r="J267">
            <v>0</v>
          </cell>
          <cell r="K267">
            <v>0</v>
          </cell>
          <cell r="L267">
            <v>0</v>
          </cell>
          <cell r="M267">
            <v>0</v>
          </cell>
          <cell r="N267" t="str">
            <v xml:space="preserve">                                                  </v>
          </cell>
          <cell r="O267">
            <v>0</v>
          </cell>
          <cell r="P267">
            <v>0</v>
          </cell>
          <cell r="Q267" t="str">
            <v xml:space="preserve">                         </v>
          </cell>
          <cell r="R267" t="str">
            <v/>
          </cell>
        </row>
        <row r="268">
          <cell r="A268" t="str">
            <v xml:space="preserve">SKF-01982.BB                  </v>
          </cell>
          <cell r="B268">
            <v>1982</v>
          </cell>
          <cell r="C268" t="str">
            <v xml:space="preserve">077F-616-SR-1982; Body                            </v>
          </cell>
          <cell r="D268" t="str">
            <v xml:space="preserve">               </v>
          </cell>
          <cell r="E268" t="str">
            <v xml:space="preserve">                                                  </v>
          </cell>
          <cell r="F268" t="str">
            <v xml:space="preserve">                         </v>
          </cell>
          <cell r="G268" t="str">
            <v xml:space="preserve">                         </v>
          </cell>
          <cell r="H268" t="str">
            <v xml:space="preserve">                         </v>
          </cell>
          <cell r="I268">
            <v>0</v>
          </cell>
          <cell r="J268">
            <v>0</v>
          </cell>
          <cell r="K268">
            <v>0</v>
          </cell>
          <cell r="L268">
            <v>0</v>
          </cell>
          <cell r="M268">
            <v>0</v>
          </cell>
          <cell r="N268" t="str">
            <v xml:space="preserve">                                                  </v>
          </cell>
          <cell r="O268">
            <v>0</v>
          </cell>
          <cell r="P268">
            <v>0</v>
          </cell>
          <cell r="Q268" t="str">
            <v xml:space="preserve">                         </v>
          </cell>
          <cell r="R268" t="str">
            <v/>
          </cell>
        </row>
        <row r="269">
          <cell r="A269" t="str">
            <v xml:space="preserve">SKF-01981.BB                  </v>
          </cell>
          <cell r="B269">
            <v>1981</v>
          </cell>
          <cell r="C269" t="str">
            <v xml:space="preserve">077F-613-YR+-1981; Body                           </v>
          </cell>
          <cell r="D269" t="str">
            <v xml:space="preserve">               </v>
          </cell>
          <cell r="E269" t="str">
            <v xml:space="preserve">                                                  </v>
          </cell>
          <cell r="F269" t="str">
            <v xml:space="preserve">                         </v>
          </cell>
          <cell r="G269" t="str">
            <v xml:space="preserve">                         </v>
          </cell>
          <cell r="H269" t="str">
            <v xml:space="preserve">                         </v>
          </cell>
          <cell r="I269">
            <v>0</v>
          </cell>
          <cell r="J269">
            <v>0</v>
          </cell>
          <cell r="K269">
            <v>0</v>
          </cell>
          <cell r="L269">
            <v>0</v>
          </cell>
          <cell r="M269">
            <v>0</v>
          </cell>
          <cell r="N269" t="str">
            <v xml:space="preserve">                                                  </v>
          </cell>
          <cell r="O269">
            <v>0</v>
          </cell>
          <cell r="P269">
            <v>0</v>
          </cell>
          <cell r="Q269" t="str">
            <v xml:space="preserve">                         </v>
          </cell>
          <cell r="R269" t="str">
            <v/>
          </cell>
        </row>
        <row r="270">
          <cell r="A270" t="str">
            <v xml:space="preserve">SKF-01980.BB                  </v>
          </cell>
          <cell r="B270">
            <v>1980</v>
          </cell>
          <cell r="C270" t="str">
            <v xml:space="preserve">110F-616-SR9-1980; Body                           </v>
          </cell>
          <cell r="D270" t="str">
            <v xml:space="preserve">11"            </v>
          </cell>
          <cell r="E270" t="str">
            <v xml:space="preserve">                                                  </v>
          </cell>
          <cell r="F270" t="str">
            <v xml:space="preserve">                         </v>
          </cell>
          <cell r="G270" t="str">
            <v xml:space="preserve">                         </v>
          </cell>
          <cell r="H270" t="str">
            <v xml:space="preserve">                         </v>
          </cell>
          <cell r="I270">
            <v>0</v>
          </cell>
          <cell r="J270">
            <v>0</v>
          </cell>
          <cell r="K270">
            <v>0</v>
          </cell>
          <cell r="L270">
            <v>0</v>
          </cell>
          <cell r="M270">
            <v>0</v>
          </cell>
          <cell r="N270" t="str">
            <v xml:space="preserve">                                                  </v>
          </cell>
          <cell r="O270">
            <v>0</v>
          </cell>
          <cell r="P270">
            <v>0</v>
          </cell>
          <cell r="Q270" t="str">
            <v xml:space="preserve">                         </v>
          </cell>
          <cell r="R270" t="str">
            <v/>
          </cell>
        </row>
        <row r="271">
          <cell r="A271" t="str">
            <v xml:space="preserve">SKF-01979.BB                  </v>
          </cell>
          <cell r="B271">
            <v>1979</v>
          </cell>
          <cell r="C271" t="str">
            <v xml:space="preserve">077F-613-SR(K)-1979; Body                         </v>
          </cell>
          <cell r="D271" t="str">
            <v xml:space="preserve">               </v>
          </cell>
          <cell r="E271" t="str">
            <v xml:space="preserve">                                                  </v>
          </cell>
          <cell r="F271" t="str">
            <v xml:space="preserve">                         </v>
          </cell>
          <cell r="G271" t="str">
            <v xml:space="preserve">                         </v>
          </cell>
          <cell r="H271" t="str">
            <v xml:space="preserve">                         </v>
          </cell>
          <cell r="I271">
            <v>0</v>
          </cell>
          <cell r="J271">
            <v>0</v>
          </cell>
          <cell r="K271">
            <v>0</v>
          </cell>
          <cell r="L271">
            <v>0</v>
          </cell>
          <cell r="M271">
            <v>0</v>
          </cell>
          <cell r="N271" t="str">
            <v xml:space="preserve">                                                  </v>
          </cell>
          <cell r="O271">
            <v>0</v>
          </cell>
          <cell r="P271">
            <v>0</v>
          </cell>
          <cell r="Q271" t="str">
            <v xml:space="preserve">                         </v>
          </cell>
          <cell r="R271" t="str">
            <v/>
          </cell>
        </row>
        <row r="272">
          <cell r="A272" t="str">
            <v xml:space="preserve">SKF-01978.BB                  </v>
          </cell>
          <cell r="B272">
            <v>1978</v>
          </cell>
          <cell r="C272" t="str">
            <v xml:space="preserve">110F-616-SR9-1978; Body                           </v>
          </cell>
          <cell r="D272" t="str">
            <v xml:space="preserve">               </v>
          </cell>
          <cell r="E272" t="str">
            <v xml:space="preserve">                                                  </v>
          </cell>
          <cell r="F272" t="str">
            <v xml:space="preserve">                         </v>
          </cell>
          <cell r="G272" t="str">
            <v xml:space="preserve">                         </v>
          </cell>
          <cell r="H272" t="str">
            <v xml:space="preserve">                         </v>
          </cell>
          <cell r="I272">
            <v>0</v>
          </cell>
          <cell r="J272">
            <v>0</v>
          </cell>
          <cell r="K272">
            <v>0</v>
          </cell>
          <cell r="L272">
            <v>0</v>
          </cell>
          <cell r="M272">
            <v>0</v>
          </cell>
          <cell r="N272" t="str">
            <v xml:space="preserve">                                                  </v>
          </cell>
          <cell r="O272">
            <v>0</v>
          </cell>
          <cell r="P272">
            <v>0</v>
          </cell>
          <cell r="Q272" t="str">
            <v xml:space="preserve">                         </v>
          </cell>
          <cell r="R272" t="str">
            <v/>
          </cell>
        </row>
        <row r="273">
          <cell r="A273" t="str">
            <v xml:space="preserve">SKF-01977.BB                  </v>
          </cell>
          <cell r="B273">
            <v>1977</v>
          </cell>
          <cell r="C273" t="str">
            <v xml:space="preserve">110F-616-SR9-1977; Body                           </v>
          </cell>
          <cell r="D273" t="str">
            <v xml:space="preserve">               </v>
          </cell>
          <cell r="E273" t="str">
            <v xml:space="preserve">                                                  </v>
          </cell>
          <cell r="F273" t="str">
            <v xml:space="preserve">                         </v>
          </cell>
          <cell r="G273" t="str">
            <v xml:space="preserve">                         </v>
          </cell>
          <cell r="H273" t="str">
            <v xml:space="preserve">                         </v>
          </cell>
          <cell r="I273">
            <v>0</v>
          </cell>
          <cell r="J273">
            <v>0</v>
          </cell>
          <cell r="K273">
            <v>0</v>
          </cell>
          <cell r="L273">
            <v>0</v>
          </cell>
          <cell r="M273">
            <v>0</v>
          </cell>
          <cell r="N273" t="str">
            <v xml:space="preserve">                                                  </v>
          </cell>
          <cell r="O273">
            <v>0</v>
          </cell>
          <cell r="P273">
            <v>0</v>
          </cell>
          <cell r="Q273" t="str">
            <v xml:space="preserve">                         </v>
          </cell>
          <cell r="R273" t="str">
            <v/>
          </cell>
        </row>
        <row r="274">
          <cell r="A274" t="str">
            <v xml:space="preserve">SKF-01976.BB                  </v>
          </cell>
          <cell r="B274">
            <v>1976</v>
          </cell>
          <cell r="C274" t="str">
            <v xml:space="preserve">077F-616-SR-1976; Body                            </v>
          </cell>
          <cell r="D274" t="str">
            <v xml:space="preserve">               </v>
          </cell>
          <cell r="E274" t="str">
            <v xml:space="preserve">                                                  </v>
          </cell>
          <cell r="F274" t="str">
            <v xml:space="preserve">                         </v>
          </cell>
          <cell r="G274" t="str">
            <v xml:space="preserve">                         </v>
          </cell>
          <cell r="H274" t="str">
            <v xml:space="preserve">                         </v>
          </cell>
          <cell r="I274">
            <v>0</v>
          </cell>
          <cell r="J274">
            <v>0</v>
          </cell>
          <cell r="K274">
            <v>0</v>
          </cell>
          <cell r="L274">
            <v>0</v>
          </cell>
          <cell r="M274">
            <v>0</v>
          </cell>
          <cell r="N274" t="str">
            <v xml:space="preserve">                                                  </v>
          </cell>
          <cell r="O274">
            <v>0</v>
          </cell>
          <cell r="P274">
            <v>0</v>
          </cell>
          <cell r="Q274" t="str">
            <v xml:space="preserve">                         </v>
          </cell>
          <cell r="R274" t="str">
            <v/>
          </cell>
        </row>
        <row r="275">
          <cell r="A275" t="str">
            <v xml:space="preserve">SKF-01975.BB                  </v>
          </cell>
          <cell r="B275">
            <v>1975</v>
          </cell>
          <cell r="C275" t="str">
            <v xml:space="preserve">066F-613-SR(BR)-1975; Body                        </v>
          </cell>
          <cell r="D275" t="str">
            <v xml:space="preserve">               </v>
          </cell>
          <cell r="E275" t="str">
            <v xml:space="preserve">                                                  </v>
          </cell>
          <cell r="F275" t="str">
            <v xml:space="preserve">                         </v>
          </cell>
          <cell r="G275" t="str">
            <v xml:space="preserve">                         </v>
          </cell>
          <cell r="H275" t="str">
            <v xml:space="preserve">                         </v>
          </cell>
          <cell r="I275">
            <v>0</v>
          </cell>
          <cell r="J275">
            <v>0</v>
          </cell>
          <cell r="K275">
            <v>0</v>
          </cell>
          <cell r="L275">
            <v>0</v>
          </cell>
          <cell r="M275">
            <v>0</v>
          </cell>
          <cell r="N275" t="str">
            <v xml:space="preserve">                                                  </v>
          </cell>
          <cell r="O275">
            <v>0</v>
          </cell>
          <cell r="P275">
            <v>0</v>
          </cell>
          <cell r="Q275" t="str">
            <v xml:space="preserve">                         </v>
          </cell>
          <cell r="R275" t="str">
            <v/>
          </cell>
        </row>
        <row r="276">
          <cell r="A276" t="str">
            <v xml:space="preserve">SKF-01974.BB                  </v>
          </cell>
          <cell r="B276">
            <v>1974</v>
          </cell>
          <cell r="C276" t="str">
            <v xml:space="preserve">097F-616-SR(K)(BR)-1974; Body                     </v>
          </cell>
          <cell r="D276" t="str">
            <v xml:space="preserve">               </v>
          </cell>
          <cell r="E276" t="str">
            <v xml:space="preserve">                                                  </v>
          </cell>
          <cell r="F276" t="str">
            <v xml:space="preserve">                         </v>
          </cell>
          <cell r="G276" t="str">
            <v xml:space="preserve">                         </v>
          </cell>
          <cell r="H276" t="str">
            <v xml:space="preserve">                         </v>
          </cell>
          <cell r="I276">
            <v>0</v>
          </cell>
          <cell r="J276">
            <v>0</v>
          </cell>
          <cell r="K276">
            <v>0</v>
          </cell>
          <cell r="L276">
            <v>0</v>
          </cell>
          <cell r="M276">
            <v>0</v>
          </cell>
          <cell r="N276" t="str">
            <v xml:space="preserve">                                                  </v>
          </cell>
          <cell r="O276">
            <v>0</v>
          </cell>
          <cell r="P276">
            <v>0</v>
          </cell>
          <cell r="Q276" t="str">
            <v xml:space="preserve">                         </v>
          </cell>
          <cell r="R276" t="str">
            <v/>
          </cell>
        </row>
        <row r="277">
          <cell r="A277" t="str">
            <v xml:space="preserve">SKF-01973.BB                  </v>
          </cell>
          <cell r="B277">
            <v>1973</v>
          </cell>
          <cell r="C277" t="str">
            <v xml:space="preserve">077F-619-SR-1973; Body                            </v>
          </cell>
          <cell r="D277" t="str">
            <v xml:space="preserve">               </v>
          </cell>
          <cell r="E277" t="str">
            <v xml:space="preserve">                                                  </v>
          </cell>
          <cell r="F277" t="str">
            <v xml:space="preserve">                         </v>
          </cell>
          <cell r="G277" t="str">
            <v xml:space="preserve">                         </v>
          </cell>
          <cell r="H277" t="str">
            <v xml:space="preserve">                         </v>
          </cell>
          <cell r="I277">
            <v>0</v>
          </cell>
          <cell r="J277">
            <v>0</v>
          </cell>
          <cell r="K277">
            <v>0</v>
          </cell>
          <cell r="L277">
            <v>0</v>
          </cell>
          <cell r="M277">
            <v>0</v>
          </cell>
          <cell r="N277" t="str">
            <v xml:space="preserve">                                                  </v>
          </cell>
          <cell r="O277">
            <v>0</v>
          </cell>
          <cell r="P277">
            <v>0</v>
          </cell>
          <cell r="Q277" t="str">
            <v xml:space="preserve">                         </v>
          </cell>
          <cell r="R277" t="str">
            <v/>
          </cell>
        </row>
        <row r="278">
          <cell r="A278" t="str">
            <v xml:space="preserve">SKF-01972.BB                  </v>
          </cell>
          <cell r="B278">
            <v>1972</v>
          </cell>
          <cell r="C278" t="str">
            <v xml:space="preserve">077F-616-SR-1972; Body                            </v>
          </cell>
          <cell r="D278" t="str">
            <v xml:space="preserve">               </v>
          </cell>
          <cell r="E278" t="str">
            <v xml:space="preserve">                                                  </v>
          </cell>
          <cell r="F278" t="str">
            <v xml:space="preserve">                         </v>
          </cell>
          <cell r="G278" t="str">
            <v xml:space="preserve">                         </v>
          </cell>
          <cell r="H278" t="str">
            <v xml:space="preserve">                         </v>
          </cell>
          <cell r="I278">
            <v>0</v>
          </cell>
          <cell r="J278">
            <v>0</v>
          </cell>
          <cell r="K278">
            <v>0</v>
          </cell>
          <cell r="L278">
            <v>0</v>
          </cell>
          <cell r="M278">
            <v>0</v>
          </cell>
          <cell r="N278" t="str">
            <v xml:space="preserve">                                                  </v>
          </cell>
          <cell r="O278">
            <v>0</v>
          </cell>
          <cell r="P278">
            <v>0</v>
          </cell>
          <cell r="Q278" t="str">
            <v xml:space="preserve">                         </v>
          </cell>
          <cell r="R278" t="str">
            <v/>
          </cell>
        </row>
        <row r="279">
          <cell r="A279" t="str">
            <v xml:space="preserve">SKF-01971.BB                  </v>
          </cell>
          <cell r="B279">
            <v>1971</v>
          </cell>
          <cell r="C279" t="str">
            <v xml:space="preserve">077F-616-SR-1971; Body                            </v>
          </cell>
          <cell r="D279" t="str">
            <v xml:space="preserve">               </v>
          </cell>
          <cell r="E279" t="str">
            <v xml:space="preserve">                                                  </v>
          </cell>
          <cell r="F279" t="str">
            <v xml:space="preserve">                         </v>
          </cell>
          <cell r="G279" t="str">
            <v xml:space="preserve">                         </v>
          </cell>
          <cell r="H279" t="str">
            <v xml:space="preserve">                         </v>
          </cell>
          <cell r="I279">
            <v>0</v>
          </cell>
          <cell r="J279">
            <v>0</v>
          </cell>
          <cell r="K279">
            <v>0</v>
          </cell>
          <cell r="L279">
            <v>0</v>
          </cell>
          <cell r="M279">
            <v>0</v>
          </cell>
          <cell r="N279" t="str">
            <v xml:space="preserve">                                                  </v>
          </cell>
          <cell r="O279">
            <v>0</v>
          </cell>
          <cell r="P279">
            <v>0</v>
          </cell>
          <cell r="Q279" t="str">
            <v xml:space="preserve">                         </v>
          </cell>
          <cell r="R279" t="str">
            <v/>
          </cell>
        </row>
        <row r="280">
          <cell r="A280" t="str">
            <v xml:space="preserve">SKF-01970.BB                  </v>
          </cell>
          <cell r="B280">
            <v>1970</v>
          </cell>
          <cell r="C280" t="str">
            <v xml:space="preserve">060F-613-SR-1970; Body                            </v>
          </cell>
          <cell r="D280" t="str">
            <v xml:space="preserve">               </v>
          </cell>
          <cell r="E280" t="str">
            <v xml:space="preserve">                                                  </v>
          </cell>
          <cell r="F280" t="str">
            <v xml:space="preserve">                         </v>
          </cell>
          <cell r="G280" t="str">
            <v xml:space="preserve">                         </v>
          </cell>
          <cell r="H280" t="str">
            <v xml:space="preserve">                         </v>
          </cell>
          <cell r="I280">
            <v>0</v>
          </cell>
          <cell r="J280">
            <v>0</v>
          </cell>
          <cell r="K280">
            <v>0</v>
          </cell>
          <cell r="L280">
            <v>0</v>
          </cell>
          <cell r="M280">
            <v>0</v>
          </cell>
          <cell r="N280" t="str">
            <v xml:space="preserve">                                                  </v>
          </cell>
          <cell r="O280">
            <v>0</v>
          </cell>
          <cell r="P280">
            <v>0</v>
          </cell>
          <cell r="Q280" t="str">
            <v xml:space="preserve">                         </v>
          </cell>
          <cell r="R280" t="str">
            <v/>
          </cell>
        </row>
        <row r="281">
          <cell r="A281" t="str">
            <v xml:space="preserve">SKF-01969.BB                  </v>
          </cell>
          <cell r="B281">
            <v>1969</v>
          </cell>
          <cell r="C281" t="str">
            <v xml:space="preserve">086F-613-SR(K)(BR)-1969; Body                     </v>
          </cell>
          <cell r="D281" t="str">
            <v xml:space="preserve">               </v>
          </cell>
          <cell r="E281" t="str">
            <v xml:space="preserve">                                                  </v>
          </cell>
          <cell r="F281" t="str">
            <v xml:space="preserve">                         </v>
          </cell>
          <cell r="G281" t="str">
            <v xml:space="preserve">                         </v>
          </cell>
          <cell r="H281" t="str">
            <v xml:space="preserve">                         </v>
          </cell>
          <cell r="I281">
            <v>0</v>
          </cell>
          <cell r="J281">
            <v>0</v>
          </cell>
          <cell r="K281">
            <v>0</v>
          </cell>
          <cell r="L281">
            <v>0</v>
          </cell>
          <cell r="M281">
            <v>0</v>
          </cell>
          <cell r="N281" t="str">
            <v xml:space="preserve">                                                  </v>
          </cell>
          <cell r="O281">
            <v>0</v>
          </cell>
          <cell r="P281">
            <v>0</v>
          </cell>
          <cell r="Q281" t="str">
            <v xml:space="preserve">                         </v>
          </cell>
          <cell r="R281" t="str">
            <v/>
          </cell>
        </row>
        <row r="282">
          <cell r="A282" t="str">
            <v xml:space="preserve">SKF-01968.BB                  </v>
          </cell>
          <cell r="B282">
            <v>1968</v>
          </cell>
          <cell r="C282" t="str">
            <v xml:space="preserve">086F-616-SR(BR)-1968; Body                        </v>
          </cell>
          <cell r="D282" t="str">
            <v xml:space="preserve">               </v>
          </cell>
          <cell r="E282" t="str">
            <v xml:space="preserve">                                                  </v>
          </cell>
          <cell r="F282" t="str">
            <v xml:space="preserve">                         </v>
          </cell>
          <cell r="G282" t="str">
            <v xml:space="preserve">                         </v>
          </cell>
          <cell r="H282" t="str">
            <v xml:space="preserve">                         </v>
          </cell>
          <cell r="I282">
            <v>0</v>
          </cell>
          <cell r="J282">
            <v>0</v>
          </cell>
          <cell r="K282">
            <v>0</v>
          </cell>
          <cell r="L282">
            <v>0</v>
          </cell>
          <cell r="M282">
            <v>0</v>
          </cell>
          <cell r="N282" t="str">
            <v xml:space="preserve">                                                  </v>
          </cell>
          <cell r="O282">
            <v>0</v>
          </cell>
          <cell r="P282">
            <v>0</v>
          </cell>
          <cell r="Q282" t="str">
            <v xml:space="preserve">                         </v>
          </cell>
          <cell r="R282" t="str">
            <v/>
          </cell>
        </row>
        <row r="283">
          <cell r="A283" t="str">
            <v xml:space="preserve">SKF-01967.BB                  </v>
          </cell>
          <cell r="B283">
            <v>1967</v>
          </cell>
          <cell r="C283" t="str">
            <v xml:space="preserve">086F-616-SR(BR)-1967; Body                        </v>
          </cell>
          <cell r="D283" t="str">
            <v xml:space="preserve">               </v>
          </cell>
          <cell r="E283" t="str">
            <v xml:space="preserve">                                                  </v>
          </cell>
          <cell r="F283" t="str">
            <v xml:space="preserve">                         </v>
          </cell>
          <cell r="G283" t="str">
            <v xml:space="preserve">                         </v>
          </cell>
          <cell r="H283" t="str">
            <v xml:space="preserve">                         </v>
          </cell>
          <cell r="I283">
            <v>0</v>
          </cell>
          <cell r="J283">
            <v>0</v>
          </cell>
          <cell r="K283">
            <v>0</v>
          </cell>
          <cell r="L283">
            <v>0</v>
          </cell>
          <cell r="M283">
            <v>0</v>
          </cell>
          <cell r="N283" t="str">
            <v xml:space="preserve">                                                  </v>
          </cell>
          <cell r="O283">
            <v>0</v>
          </cell>
          <cell r="P283">
            <v>0</v>
          </cell>
          <cell r="Q283" t="str">
            <v xml:space="preserve">                         </v>
          </cell>
          <cell r="R283" t="str">
            <v/>
          </cell>
        </row>
        <row r="284">
          <cell r="A284" t="str">
            <v xml:space="preserve">SKF-01966.BB                  </v>
          </cell>
          <cell r="B284">
            <v>1966</v>
          </cell>
          <cell r="C284" t="str">
            <v xml:space="preserve">086F-613-SR(K)(BR)-1966; Body                     </v>
          </cell>
          <cell r="D284" t="str">
            <v xml:space="preserve">               </v>
          </cell>
          <cell r="E284" t="str">
            <v xml:space="preserve">                                                  </v>
          </cell>
          <cell r="F284" t="str">
            <v xml:space="preserve">                         </v>
          </cell>
          <cell r="G284" t="str">
            <v xml:space="preserve">                         </v>
          </cell>
          <cell r="H284" t="str">
            <v xml:space="preserve">                         </v>
          </cell>
          <cell r="I284">
            <v>0</v>
          </cell>
          <cell r="J284">
            <v>0</v>
          </cell>
          <cell r="K284">
            <v>0</v>
          </cell>
          <cell r="L284">
            <v>0</v>
          </cell>
          <cell r="M284">
            <v>0</v>
          </cell>
          <cell r="N284" t="str">
            <v xml:space="preserve">                                                  </v>
          </cell>
          <cell r="O284">
            <v>0</v>
          </cell>
          <cell r="P284">
            <v>0</v>
          </cell>
          <cell r="Q284" t="str">
            <v xml:space="preserve">                         </v>
          </cell>
          <cell r="R284" t="str">
            <v/>
          </cell>
        </row>
        <row r="285">
          <cell r="A285" t="str">
            <v xml:space="preserve">SKF-01965.BB                  </v>
          </cell>
          <cell r="B285">
            <v>1965</v>
          </cell>
          <cell r="C285" t="str">
            <v xml:space="preserve">054F-413-SR(BR)-1965; Body                        </v>
          </cell>
          <cell r="D285" t="str">
            <v xml:space="preserve">               </v>
          </cell>
          <cell r="E285" t="str">
            <v xml:space="preserve">                                                  </v>
          </cell>
          <cell r="F285" t="str">
            <v xml:space="preserve">                         </v>
          </cell>
          <cell r="G285" t="str">
            <v xml:space="preserve">                         </v>
          </cell>
          <cell r="H285" t="str">
            <v xml:space="preserve">                         </v>
          </cell>
          <cell r="I285">
            <v>0</v>
          </cell>
          <cell r="J285">
            <v>0</v>
          </cell>
          <cell r="K285">
            <v>0</v>
          </cell>
          <cell r="L285">
            <v>0</v>
          </cell>
          <cell r="M285">
            <v>0</v>
          </cell>
          <cell r="N285" t="str">
            <v xml:space="preserve">                                                  </v>
          </cell>
          <cell r="O285">
            <v>0</v>
          </cell>
          <cell r="P285">
            <v>0</v>
          </cell>
          <cell r="Q285" t="str">
            <v xml:space="preserve">                         </v>
          </cell>
          <cell r="R285" t="str">
            <v/>
          </cell>
        </row>
        <row r="286">
          <cell r="A286" t="str">
            <v xml:space="preserve">SKF-01964.BB                  </v>
          </cell>
          <cell r="B286">
            <v>1964</v>
          </cell>
          <cell r="C286" t="str">
            <v xml:space="preserve">077F-613-SR(K)-1964; Body                         </v>
          </cell>
          <cell r="D286" t="str">
            <v xml:space="preserve">               </v>
          </cell>
          <cell r="E286" t="str">
            <v xml:space="preserve">                                                  </v>
          </cell>
          <cell r="F286" t="str">
            <v xml:space="preserve">                         </v>
          </cell>
          <cell r="G286" t="str">
            <v xml:space="preserve">                         </v>
          </cell>
          <cell r="H286" t="str">
            <v xml:space="preserve">                         </v>
          </cell>
          <cell r="I286">
            <v>0</v>
          </cell>
          <cell r="J286">
            <v>0</v>
          </cell>
          <cell r="K286">
            <v>0</v>
          </cell>
          <cell r="L286">
            <v>0</v>
          </cell>
          <cell r="M286">
            <v>0</v>
          </cell>
          <cell r="N286" t="str">
            <v xml:space="preserve">                                                  </v>
          </cell>
          <cell r="O286">
            <v>0</v>
          </cell>
          <cell r="P286">
            <v>0</v>
          </cell>
          <cell r="Q286" t="str">
            <v xml:space="preserve">                         </v>
          </cell>
          <cell r="R286" t="str">
            <v/>
          </cell>
        </row>
        <row r="287">
          <cell r="A287" t="str">
            <v xml:space="preserve">SKF-01963.BB                  </v>
          </cell>
          <cell r="B287">
            <v>1963</v>
          </cell>
          <cell r="C287" t="str">
            <v xml:space="preserve">077F-616-SR-1963; Body                            </v>
          </cell>
          <cell r="D287" t="str">
            <v xml:space="preserve">               </v>
          </cell>
          <cell r="E287" t="str">
            <v xml:space="preserve">                                                  </v>
          </cell>
          <cell r="F287" t="str">
            <v xml:space="preserve">                         </v>
          </cell>
          <cell r="G287" t="str">
            <v xml:space="preserve">                         </v>
          </cell>
          <cell r="H287" t="str">
            <v xml:space="preserve">                         </v>
          </cell>
          <cell r="I287">
            <v>0</v>
          </cell>
          <cell r="J287">
            <v>0</v>
          </cell>
          <cell r="K287">
            <v>0</v>
          </cell>
          <cell r="L287">
            <v>0</v>
          </cell>
          <cell r="M287">
            <v>0</v>
          </cell>
          <cell r="N287" t="str">
            <v xml:space="preserve">                                                  </v>
          </cell>
          <cell r="O287">
            <v>0</v>
          </cell>
          <cell r="P287">
            <v>0</v>
          </cell>
          <cell r="Q287" t="str">
            <v xml:space="preserve">                         </v>
          </cell>
          <cell r="R287" t="str">
            <v/>
          </cell>
        </row>
        <row r="288">
          <cell r="A288" t="str">
            <v xml:space="preserve">SKF-01962.BB                  </v>
          </cell>
          <cell r="B288">
            <v>1962</v>
          </cell>
          <cell r="C288" t="str">
            <v xml:space="preserve">110F-616-SR9(K)-1962; Body                        </v>
          </cell>
          <cell r="D288" t="str">
            <v xml:space="preserve">               </v>
          </cell>
          <cell r="E288" t="str">
            <v xml:space="preserve">                                                  </v>
          </cell>
          <cell r="F288" t="str">
            <v xml:space="preserve">                         </v>
          </cell>
          <cell r="G288" t="str">
            <v xml:space="preserve">                         </v>
          </cell>
          <cell r="H288" t="str">
            <v xml:space="preserve">                         </v>
          </cell>
          <cell r="I288">
            <v>0</v>
          </cell>
          <cell r="J288">
            <v>0</v>
          </cell>
          <cell r="K288">
            <v>0</v>
          </cell>
          <cell r="L288">
            <v>0</v>
          </cell>
          <cell r="M288">
            <v>0</v>
          </cell>
          <cell r="N288" t="str">
            <v xml:space="preserve">                                                  </v>
          </cell>
          <cell r="O288">
            <v>0</v>
          </cell>
          <cell r="P288">
            <v>0</v>
          </cell>
          <cell r="Q288" t="str">
            <v xml:space="preserve">                         </v>
          </cell>
          <cell r="R288" t="str">
            <v/>
          </cell>
        </row>
        <row r="289">
          <cell r="A289" t="str">
            <v xml:space="preserve">SKF-01961.BB                  </v>
          </cell>
          <cell r="B289">
            <v>1961</v>
          </cell>
          <cell r="C289" t="str">
            <v xml:space="preserve">122F-616-SR9-1961; Body                           </v>
          </cell>
          <cell r="D289" t="str">
            <v xml:space="preserve">12-1/4"        </v>
          </cell>
          <cell r="E289" t="str">
            <v xml:space="preserve">                                                  </v>
          </cell>
          <cell r="F289" t="str">
            <v xml:space="preserve">                         </v>
          </cell>
          <cell r="G289" t="str">
            <v xml:space="preserve">                         </v>
          </cell>
          <cell r="H289" t="str">
            <v xml:space="preserve">                         </v>
          </cell>
          <cell r="I289">
            <v>0</v>
          </cell>
          <cell r="J289">
            <v>0</v>
          </cell>
          <cell r="K289">
            <v>0</v>
          </cell>
          <cell r="L289">
            <v>0</v>
          </cell>
          <cell r="M289">
            <v>0</v>
          </cell>
          <cell r="N289" t="str">
            <v xml:space="preserve">                                                  </v>
          </cell>
          <cell r="O289">
            <v>0</v>
          </cell>
          <cell r="P289">
            <v>0</v>
          </cell>
          <cell r="Q289" t="str">
            <v xml:space="preserve">                         </v>
          </cell>
          <cell r="R289" t="str">
            <v/>
          </cell>
        </row>
        <row r="290">
          <cell r="A290" t="str">
            <v xml:space="preserve">SKF-01960.BB                  </v>
          </cell>
          <cell r="B290">
            <v>1960</v>
          </cell>
          <cell r="C290" t="str">
            <v xml:space="preserve">077F-613-SR(K)-1960; Body                         </v>
          </cell>
          <cell r="D290" t="str">
            <v xml:space="preserve">               </v>
          </cell>
          <cell r="E290" t="str">
            <v xml:space="preserve">                                                  </v>
          </cell>
          <cell r="F290" t="str">
            <v xml:space="preserve">                         </v>
          </cell>
          <cell r="G290" t="str">
            <v xml:space="preserve">                         </v>
          </cell>
          <cell r="H290" t="str">
            <v xml:space="preserve">                         </v>
          </cell>
          <cell r="I290">
            <v>0</v>
          </cell>
          <cell r="J290">
            <v>0</v>
          </cell>
          <cell r="K290">
            <v>0</v>
          </cell>
          <cell r="L290">
            <v>0</v>
          </cell>
          <cell r="M290">
            <v>0</v>
          </cell>
          <cell r="N290" t="str">
            <v xml:space="preserve">                                                  </v>
          </cell>
          <cell r="O290">
            <v>0</v>
          </cell>
          <cell r="P290">
            <v>0</v>
          </cell>
          <cell r="Q290" t="str">
            <v xml:space="preserve">                         </v>
          </cell>
          <cell r="R290" t="str">
            <v/>
          </cell>
        </row>
        <row r="291">
          <cell r="A291" t="str">
            <v xml:space="preserve">SKF-01959.BB                  </v>
          </cell>
          <cell r="B291">
            <v>1959</v>
          </cell>
          <cell r="C291" t="str">
            <v xml:space="preserve">110F-616-SR9-1959; Body                           </v>
          </cell>
          <cell r="D291" t="str">
            <v xml:space="preserve">11"            </v>
          </cell>
          <cell r="E291" t="str">
            <v xml:space="preserve">                                                  </v>
          </cell>
          <cell r="F291" t="str">
            <v xml:space="preserve">                         </v>
          </cell>
          <cell r="G291" t="str">
            <v xml:space="preserve">                         </v>
          </cell>
          <cell r="H291" t="str">
            <v xml:space="preserve">                         </v>
          </cell>
          <cell r="I291">
            <v>0</v>
          </cell>
          <cell r="J291">
            <v>0</v>
          </cell>
          <cell r="K291">
            <v>0</v>
          </cell>
          <cell r="L291">
            <v>0</v>
          </cell>
          <cell r="M291">
            <v>0</v>
          </cell>
          <cell r="N291" t="str">
            <v xml:space="preserve">                                                  </v>
          </cell>
          <cell r="O291">
            <v>0</v>
          </cell>
          <cell r="P291">
            <v>0</v>
          </cell>
          <cell r="Q291" t="str">
            <v xml:space="preserve">                         </v>
          </cell>
          <cell r="R291" t="str">
            <v/>
          </cell>
        </row>
        <row r="292">
          <cell r="A292" t="str">
            <v xml:space="preserve">SKF-01958.BB                  </v>
          </cell>
          <cell r="B292">
            <v>1958</v>
          </cell>
          <cell r="C292" t="str">
            <v xml:space="preserve">122F-616-SR9(k)-1958; Body                        </v>
          </cell>
          <cell r="D292" t="str">
            <v xml:space="preserve">               </v>
          </cell>
          <cell r="E292" t="str">
            <v xml:space="preserve">                                                  </v>
          </cell>
          <cell r="F292" t="str">
            <v xml:space="preserve">                         </v>
          </cell>
          <cell r="G292" t="str">
            <v xml:space="preserve">                         </v>
          </cell>
          <cell r="H292" t="str">
            <v xml:space="preserve">                         </v>
          </cell>
          <cell r="I292">
            <v>0</v>
          </cell>
          <cell r="J292">
            <v>0</v>
          </cell>
          <cell r="K292">
            <v>0</v>
          </cell>
          <cell r="L292">
            <v>0</v>
          </cell>
          <cell r="M292">
            <v>0</v>
          </cell>
          <cell r="N292" t="str">
            <v xml:space="preserve">                                                  </v>
          </cell>
          <cell r="O292">
            <v>0</v>
          </cell>
          <cell r="P292">
            <v>0</v>
          </cell>
          <cell r="Q292" t="str">
            <v xml:space="preserve">                         </v>
          </cell>
          <cell r="R292" t="str">
            <v/>
          </cell>
        </row>
        <row r="293">
          <cell r="A293" t="str">
            <v xml:space="preserve">SKF-01957.BB                  </v>
          </cell>
          <cell r="B293">
            <v>1957</v>
          </cell>
          <cell r="C293" t="str">
            <v xml:space="preserve">110F-616-SR9(K)-1957; Body                        </v>
          </cell>
          <cell r="D293" t="str">
            <v xml:space="preserve">               </v>
          </cell>
          <cell r="E293" t="str">
            <v xml:space="preserve">                                                  </v>
          </cell>
          <cell r="F293" t="str">
            <v xml:space="preserve">                         </v>
          </cell>
          <cell r="G293" t="str">
            <v xml:space="preserve">                         </v>
          </cell>
          <cell r="H293" t="str">
            <v xml:space="preserve">                         </v>
          </cell>
          <cell r="I293">
            <v>0</v>
          </cell>
          <cell r="J293">
            <v>0</v>
          </cell>
          <cell r="K293">
            <v>0</v>
          </cell>
          <cell r="L293">
            <v>0</v>
          </cell>
          <cell r="M293">
            <v>0</v>
          </cell>
          <cell r="N293" t="str">
            <v xml:space="preserve">                                                  </v>
          </cell>
          <cell r="O293">
            <v>0</v>
          </cell>
          <cell r="P293">
            <v>0</v>
          </cell>
          <cell r="Q293" t="str">
            <v xml:space="preserve">                         </v>
          </cell>
          <cell r="R293" t="str">
            <v/>
          </cell>
        </row>
        <row r="294">
          <cell r="A294" t="str">
            <v xml:space="preserve">SKF-01956.BB                  </v>
          </cell>
          <cell r="B294">
            <v>1956</v>
          </cell>
          <cell r="C294" t="str">
            <v xml:space="preserve">061F-613-SR-1956; Body                            </v>
          </cell>
          <cell r="D294" t="str">
            <v xml:space="preserve">               </v>
          </cell>
          <cell r="E294" t="str">
            <v xml:space="preserve">                                                  </v>
          </cell>
          <cell r="F294" t="str">
            <v xml:space="preserve">                         </v>
          </cell>
          <cell r="G294" t="str">
            <v xml:space="preserve">                         </v>
          </cell>
          <cell r="H294" t="str">
            <v xml:space="preserve">                         </v>
          </cell>
          <cell r="I294">
            <v>0</v>
          </cell>
          <cell r="J294">
            <v>0</v>
          </cell>
          <cell r="K294">
            <v>0</v>
          </cell>
          <cell r="L294">
            <v>0</v>
          </cell>
          <cell r="M294">
            <v>0</v>
          </cell>
          <cell r="N294" t="str">
            <v xml:space="preserve">                                                  </v>
          </cell>
          <cell r="O294">
            <v>0</v>
          </cell>
          <cell r="P294">
            <v>0</v>
          </cell>
          <cell r="Q294" t="str">
            <v xml:space="preserve">                         </v>
          </cell>
          <cell r="R294" t="str">
            <v/>
          </cell>
        </row>
        <row r="295">
          <cell r="A295" t="str">
            <v xml:space="preserve">SKF-01955.BB                  </v>
          </cell>
          <cell r="B295">
            <v>1955</v>
          </cell>
          <cell r="C295" t="str">
            <v xml:space="preserve">064F-313-SR-1955; Body                            </v>
          </cell>
          <cell r="D295" t="str">
            <v xml:space="preserve">               </v>
          </cell>
          <cell r="E295" t="str">
            <v xml:space="preserve">                                                  </v>
          </cell>
          <cell r="F295" t="str">
            <v xml:space="preserve">                         </v>
          </cell>
          <cell r="G295" t="str">
            <v xml:space="preserve">                         </v>
          </cell>
          <cell r="H295" t="str">
            <v xml:space="preserve">                         </v>
          </cell>
          <cell r="I295">
            <v>0</v>
          </cell>
          <cell r="J295">
            <v>0</v>
          </cell>
          <cell r="K295">
            <v>0</v>
          </cell>
          <cell r="L295">
            <v>0</v>
          </cell>
          <cell r="M295">
            <v>0</v>
          </cell>
          <cell r="N295" t="str">
            <v xml:space="preserve">                                                  </v>
          </cell>
          <cell r="O295">
            <v>0</v>
          </cell>
          <cell r="P295">
            <v>0</v>
          </cell>
          <cell r="Q295" t="str">
            <v xml:space="preserve">                         </v>
          </cell>
          <cell r="R295" t="str">
            <v/>
          </cell>
        </row>
        <row r="296">
          <cell r="A296" t="str">
            <v xml:space="preserve">SKF-01954.BB                  </v>
          </cell>
          <cell r="B296">
            <v>1954</v>
          </cell>
          <cell r="C296" t="str">
            <v xml:space="preserve">064F-413-SR-1954; Body                            </v>
          </cell>
          <cell r="D296" t="str">
            <v xml:space="preserve">               </v>
          </cell>
          <cell r="E296" t="str">
            <v xml:space="preserve">                                                  </v>
          </cell>
          <cell r="F296" t="str">
            <v xml:space="preserve">                         </v>
          </cell>
          <cell r="G296" t="str">
            <v xml:space="preserve">                         </v>
          </cell>
          <cell r="H296" t="str">
            <v xml:space="preserve">                         </v>
          </cell>
          <cell r="I296">
            <v>0</v>
          </cell>
          <cell r="J296">
            <v>0</v>
          </cell>
          <cell r="K296">
            <v>0</v>
          </cell>
          <cell r="L296">
            <v>0</v>
          </cell>
          <cell r="M296">
            <v>0</v>
          </cell>
          <cell r="N296" t="str">
            <v xml:space="preserve">                                                  </v>
          </cell>
          <cell r="O296">
            <v>0</v>
          </cell>
          <cell r="P296">
            <v>0</v>
          </cell>
          <cell r="Q296" t="str">
            <v xml:space="preserve">                         </v>
          </cell>
          <cell r="R296" t="str">
            <v/>
          </cell>
        </row>
        <row r="297">
          <cell r="A297" t="str">
            <v xml:space="preserve">SKF-01953.BB                  </v>
          </cell>
          <cell r="B297">
            <v>1953</v>
          </cell>
          <cell r="C297" t="str">
            <v xml:space="preserve">061F-613-SR-1953; Body                            </v>
          </cell>
          <cell r="D297" t="str">
            <v xml:space="preserve">               </v>
          </cell>
          <cell r="E297" t="str">
            <v xml:space="preserve">                                                  </v>
          </cell>
          <cell r="F297" t="str">
            <v xml:space="preserve">                         </v>
          </cell>
          <cell r="G297" t="str">
            <v xml:space="preserve">                         </v>
          </cell>
          <cell r="H297" t="str">
            <v xml:space="preserve">                         </v>
          </cell>
          <cell r="I297">
            <v>0</v>
          </cell>
          <cell r="J297">
            <v>0</v>
          </cell>
          <cell r="K297">
            <v>0</v>
          </cell>
          <cell r="L297">
            <v>0</v>
          </cell>
          <cell r="M297">
            <v>0</v>
          </cell>
          <cell r="N297" t="str">
            <v xml:space="preserve">                                                  </v>
          </cell>
          <cell r="O297">
            <v>0</v>
          </cell>
          <cell r="P297">
            <v>0</v>
          </cell>
          <cell r="Q297" t="str">
            <v xml:space="preserve">                         </v>
          </cell>
          <cell r="R297" t="str">
            <v/>
          </cell>
        </row>
        <row r="298">
          <cell r="A298" t="str">
            <v xml:space="preserve">SKF-01952.BB                  </v>
          </cell>
          <cell r="B298">
            <v>1952</v>
          </cell>
          <cell r="C298" t="str">
            <v xml:space="preserve">077F-616-SR-1952; Body                            </v>
          </cell>
          <cell r="D298" t="str">
            <v xml:space="preserve">               </v>
          </cell>
          <cell r="E298" t="str">
            <v xml:space="preserve">                                                  </v>
          </cell>
          <cell r="F298" t="str">
            <v xml:space="preserve">                         </v>
          </cell>
          <cell r="G298" t="str">
            <v xml:space="preserve">                         </v>
          </cell>
          <cell r="H298" t="str">
            <v xml:space="preserve">                         </v>
          </cell>
          <cell r="I298">
            <v>0</v>
          </cell>
          <cell r="J298">
            <v>0</v>
          </cell>
          <cell r="K298">
            <v>0</v>
          </cell>
          <cell r="L298">
            <v>0</v>
          </cell>
          <cell r="M298">
            <v>0</v>
          </cell>
          <cell r="N298" t="str">
            <v xml:space="preserve">                                                  </v>
          </cell>
          <cell r="O298">
            <v>0</v>
          </cell>
          <cell r="P298">
            <v>0</v>
          </cell>
          <cell r="Q298" t="str">
            <v xml:space="preserve">                         </v>
          </cell>
          <cell r="R298" t="str">
            <v/>
          </cell>
        </row>
        <row r="299">
          <cell r="A299" t="str">
            <v xml:space="preserve">SKF-01951.BB                  </v>
          </cell>
          <cell r="B299">
            <v>1951</v>
          </cell>
          <cell r="C299" t="str">
            <v xml:space="preserve">077F-616-SR-1951; Body                            </v>
          </cell>
          <cell r="D299" t="str">
            <v xml:space="preserve">               </v>
          </cell>
          <cell r="E299" t="str">
            <v xml:space="preserve">                                                  </v>
          </cell>
          <cell r="F299" t="str">
            <v xml:space="preserve">                         </v>
          </cell>
          <cell r="G299" t="str">
            <v xml:space="preserve">                         </v>
          </cell>
          <cell r="H299" t="str">
            <v xml:space="preserve">                         </v>
          </cell>
          <cell r="I299">
            <v>0</v>
          </cell>
          <cell r="J299">
            <v>0</v>
          </cell>
          <cell r="K299">
            <v>0</v>
          </cell>
          <cell r="L299">
            <v>0</v>
          </cell>
          <cell r="M299">
            <v>0</v>
          </cell>
          <cell r="N299" t="str">
            <v xml:space="preserve">                                                  </v>
          </cell>
          <cell r="O299">
            <v>0</v>
          </cell>
          <cell r="P299">
            <v>0</v>
          </cell>
          <cell r="Q299" t="str">
            <v xml:space="preserve">                         </v>
          </cell>
          <cell r="R299" t="str">
            <v/>
          </cell>
        </row>
        <row r="300">
          <cell r="A300" t="str">
            <v xml:space="preserve">SKF-01950.BB                  </v>
          </cell>
          <cell r="B300">
            <v>1950</v>
          </cell>
          <cell r="C300" t="str">
            <v xml:space="preserve">077F-616-SR(K)-1950; Body                         </v>
          </cell>
          <cell r="D300" t="str">
            <v xml:space="preserve">               </v>
          </cell>
          <cell r="E300" t="str">
            <v xml:space="preserve">                                                  </v>
          </cell>
          <cell r="F300" t="str">
            <v xml:space="preserve">                         </v>
          </cell>
          <cell r="G300" t="str">
            <v xml:space="preserve">                         </v>
          </cell>
          <cell r="H300" t="str">
            <v xml:space="preserve">                         </v>
          </cell>
          <cell r="I300">
            <v>0</v>
          </cell>
          <cell r="J300">
            <v>0</v>
          </cell>
          <cell r="K300">
            <v>0</v>
          </cell>
          <cell r="L300">
            <v>0</v>
          </cell>
          <cell r="M300">
            <v>0</v>
          </cell>
          <cell r="N300" t="str">
            <v xml:space="preserve">                                                  </v>
          </cell>
          <cell r="O300">
            <v>0</v>
          </cell>
          <cell r="P300">
            <v>0</v>
          </cell>
          <cell r="Q300" t="str">
            <v xml:space="preserve">                         </v>
          </cell>
          <cell r="R300" t="str">
            <v/>
          </cell>
        </row>
        <row r="301">
          <cell r="A301" t="str">
            <v xml:space="preserve">SKF-01949.BB                  </v>
          </cell>
          <cell r="B301">
            <v>1949</v>
          </cell>
          <cell r="C301" t="str">
            <v xml:space="preserve">077F-616-SR-1949; Body                            </v>
          </cell>
          <cell r="D301" t="str">
            <v xml:space="preserve">               </v>
          </cell>
          <cell r="E301" t="str">
            <v xml:space="preserve">                                                  </v>
          </cell>
          <cell r="F301" t="str">
            <v xml:space="preserve">                         </v>
          </cell>
          <cell r="G301" t="str">
            <v xml:space="preserve">                         </v>
          </cell>
          <cell r="H301" t="str">
            <v xml:space="preserve">                         </v>
          </cell>
          <cell r="I301">
            <v>0</v>
          </cell>
          <cell r="J301">
            <v>0</v>
          </cell>
          <cell r="K301">
            <v>0</v>
          </cell>
          <cell r="L301">
            <v>0</v>
          </cell>
          <cell r="M301">
            <v>0</v>
          </cell>
          <cell r="N301" t="str">
            <v xml:space="preserve">                                                  </v>
          </cell>
          <cell r="O301">
            <v>0</v>
          </cell>
          <cell r="P301">
            <v>0</v>
          </cell>
          <cell r="Q301" t="str">
            <v xml:space="preserve">                         </v>
          </cell>
          <cell r="R301" t="str">
            <v/>
          </cell>
        </row>
        <row r="302">
          <cell r="A302" t="str">
            <v xml:space="preserve">SKF-01948.BB                  </v>
          </cell>
          <cell r="B302">
            <v>1948</v>
          </cell>
          <cell r="C302" t="str">
            <v xml:space="preserve">054F-413-SR-1948; Body                            </v>
          </cell>
          <cell r="D302" t="str">
            <v xml:space="preserve">               </v>
          </cell>
          <cell r="E302" t="str">
            <v xml:space="preserve">                                                  </v>
          </cell>
          <cell r="F302" t="str">
            <v xml:space="preserve">                         </v>
          </cell>
          <cell r="G302" t="str">
            <v xml:space="preserve">                         </v>
          </cell>
          <cell r="H302" t="str">
            <v xml:space="preserve">                         </v>
          </cell>
          <cell r="I302">
            <v>0</v>
          </cell>
          <cell r="J302">
            <v>0</v>
          </cell>
          <cell r="K302">
            <v>0</v>
          </cell>
          <cell r="L302">
            <v>0</v>
          </cell>
          <cell r="M302">
            <v>0</v>
          </cell>
          <cell r="N302" t="str">
            <v xml:space="preserve">                                                  </v>
          </cell>
          <cell r="O302">
            <v>0</v>
          </cell>
          <cell r="P302">
            <v>0</v>
          </cell>
          <cell r="Q302" t="str">
            <v xml:space="preserve">                         </v>
          </cell>
          <cell r="R302" t="str">
            <v/>
          </cell>
        </row>
        <row r="303">
          <cell r="A303" t="str">
            <v xml:space="preserve">SKF-01947.BB                  </v>
          </cell>
          <cell r="B303">
            <v>1947</v>
          </cell>
          <cell r="C303" t="str">
            <v xml:space="preserve">054F-313-SR-1947; Body                            </v>
          </cell>
          <cell r="D303" t="str">
            <v xml:space="preserve">               </v>
          </cell>
          <cell r="E303" t="str">
            <v xml:space="preserve">                                                  </v>
          </cell>
          <cell r="F303" t="str">
            <v xml:space="preserve">                         </v>
          </cell>
          <cell r="G303" t="str">
            <v xml:space="preserve">                         </v>
          </cell>
          <cell r="H303" t="str">
            <v xml:space="preserve">                         </v>
          </cell>
          <cell r="I303">
            <v>0</v>
          </cell>
          <cell r="J303">
            <v>0</v>
          </cell>
          <cell r="K303">
            <v>0</v>
          </cell>
          <cell r="L303">
            <v>0</v>
          </cell>
          <cell r="M303">
            <v>0</v>
          </cell>
          <cell r="N303" t="str">
            <v xml:space="preserve">                                                  </v>
          </cell>
          <cell r="O303">
            <v>0</v>
          </cell>
          <cell r="P303">
            <v>0</v>
          </cell>
          <cell r="Q303" t="str">
            <v xml:space="preserve">                         </v>
          </cell>
          <cell r="R303" t="str">
            <v/>
          </cell>
        </row>
        <row r="304">
          <cell r="A304" t="str">
            <v xml:space="preserve">SKF-01946.BB                  </v>
          </cell>
          <cell r="B304">
            <v>1946</v>
          </cell>
          <cell r="C304" t="str">
            <v xml:space="preserve">077F-613-SR(K)-1946; Body                         </v>
          </cell>
          <cell r="D304" t="str">
            <v xml:space="preserve">               </v>
          </cell>
          <cell r="E304" t="str">
            <v xml:space="preserve">                                                  </v>
          </cell>
          <cell r="F304" t="str">
            <v xml:space="preserve">                         </v>
          </cell>
          <cell r="G304" t="str">
            <v xml:space="preserve">                         </v>
          </cell>
          <cell r="H304" t="str">
            <v xml:space="preserve">                         </v>
          </cell>
          <cell r="I304">
            <v>0</v>
          </cell>
          <cell r="J304">
            <v>0</v>
          </cell>
          <cell r="K304">
            <v>0</v>
          </cell>
          <cell r="L304">
            <v>0</v>
          </cell>
          <cell r="M304">
            <v>0</v>
          </cell>
          <cell r="N304" t="str">
            <v xml:space="preserve">                                                  </v>
          </cell>
          <cell r="O304">
            <v>0</v>
          </cell>
          <cell r="P304">
            <v>0</v>
          </cell>
          <cell r="Q304" t="str">
            <v xml:space="preserve">                         </v>
          </cell>
          <cell r="R304" t="str">
            <v/>
          </cell>
        </row>
        <row r="305">
          <cell r="A305" t="str">
            <v xml:space="preserve">SKF-01945.BB                  </v>
          </cell>
          <cell r="B305">
            <v>1945</v>
          </cell>
          <cell r="C305" t="str">
            <v xml:space="preserve">077F-613-SR(K)-1945; Body                         </v>
          </cell>
          <cell r="D305" t="str">
            <v xml:space="preserve">               </v>
          </cell>
          <cell r="E305" t="str">
            <v xml:space="preserve">                                                  </v>
          </cell>
          <cell r="F305" t="str">
            <v xml:space="preserve">                         </v>
          </cell>
          <cell r="G305" t="str">
            <v xml:space="preserve">                         </v>
          </cell>
          <cell r="H305" t="str">
            <v xml:space="preserve">                         </v>
          </cell>
          <cell r="I305">
            <v>0</v>
          </cell>
          <cell r="J305">
            <v>0</v>
          </cell>
          <cell r="K305">
            <v>0</v>
          </cell>
          <cell r="L305">
            <v>0</v>
          </cell>
          <cell r="M305">
            <v>0</v>
          </cell>
          <cell r="N305" t="str">
            <v xml:space="preserve">                                                  </v>
          </cell>
          <cell r="O305">
            <v>0</v>
          </cell>
          <cell r="P305">
            <v>0</v>
          </cell>
          <cell r="Q305" t="str">
            <v xml:space="preserve">                         </v>
          </cell>
          <cell r="R305" t="str">
            <v/>
          </cell>
        </row>
        <row r="306">
          <cell r="A306" t="str">
            <v xml:space="preserve">SKF-01944.BB                  </v>
          </cell>
          <cell r="B306">
            <v>1944</v>
          </cell>
          <cell r="C306" t="str">
            <v xml:space="preserve">077F-616-SR-1944; Body                            </v>
          </cell>
          <cell r="D306" t="str">
            <v xml:space="preserve">               </v>
          </cell>
          <cell r="E306" t="str">
            <v xml:space="preserve">                                                  </v>
          </cell>
          <cell r="F306" t="str">
            <v xml:space="preserve">                         </v>
          </cell>
          <cell r="G306" t="str">
            <v xml:space="preserve">                         </v>
          </cell>
          <cell r="H306" t="str">
            <v xml:space="preserve">                         </v>
          </cell>
          <cell r="I306">
            <v>0</v>
          </cell>
          <cell r="J306">
            <v>0</v>
          </cell>
          <cell r="K306">
            <v>0</v>
          </cell>
          <cell r="L306">
            <v>0</v>
          </cell>
          <cell r="M306">
            <v>0</v>
          </cell>
          <cell r="N306" t="str">
            <v xml:space="preserve">                                                  </v>
          </cell>
          <cell r="O306">
            <v>0</v>
          </cell>
          <cell r="P306">
            <v>0</v>
          </cell>
          <cell r="Q306" t="str">
            <v xml:space="preserve">                         </v>
          </cell>
          <cell r="R306" t="str">
            <v/>
          </cell>
        </row>
        <row r="307">
          <cell r="A307" t="str">
            <v xml:space="preserve">SKF-01943.BB                  </v>
          </cell>
          <cell r="B307">
            <v>1943</v>
          </cell>
          <cell r="C307" t="str">
            <v xml:space="preserve">086F-616-SR-1943; Body                            </v>
          </cell>
          <cell r="D307" t="str">
            <v xml:space="preserve">               </v>
          </cell>
          <cell r="E307" t="str">
            <v xml:space="preserve">                                                  </v>
          </cell>
          <cell r="F307" t="str">
            <v xml:space="preserve">                         </v>
          </cell>
          <cell r="G307" t="str">
            <v xml:space="preserve">                         </v>
          </cell>
          <cell r="H307" t="str">
            <v xml:space="preserve">                         </v>
          </cell>
          <cell r="I307">
            <v>0</v>
          </cell>
          <cell r="J307">
            <v>0</v>
          </cell>
          <cell r="K307">
            <v>0</v>
          </cell>
          <cell r="L307">
            <v>0</v>
          </cell>
          <cell r="M307">
            <v>0</v>
          </cell>
          <cell r="N307" t="str">
            <v xml:space="preserve">                                                  </v>
          </cell>
          <cell r="O307">
            <v>0</v>
          </cell>
          <cell r="P307">
            <v>0</v>
          </cell>
          <cell r="Q307" t="str">
            <v xml:space="preserve">                         </v>
          </cell>
          <cell r="R307" t="str">
            <v/>
          </cell>
        </row>
        <row r="308">
          <cell r="A308" t="str">
            <v xml:space="preserve">SKF-01942.BB                  </v>
          </cell>
          <cell r="B308">
            <v>1942</v>
          </cell>
          <cell r="C308" t="str">
            <v xml:space="preserve">086F-613-SR(K)-1942; Body                         </v>
          </cell>
          <cell r="D308" t="str">
            <v xml:space="preserve">               </v>
          </cell>
          <cell r="E308" t="str">
            <v xml:space="preserve">                                                  </v>
          </cell>
          <cell r="F308" t="str">
            <v xml:space="preserve">                         </v>
          </cell>
          <cell r="G308" t="str">
            <v xml:space="preserve">                         </v>
          </cell>
          <cell r="H308" t="str">
            <v xml:space="preserve">                         </v>
          </cell>
          <cell r="I308">
            <v>0</v>
          </cell>
          <cell r="J308">
            <v>0</v>
          </cell>
          <cell r="K308">
            <v>0</v>
          </cell>
          <cell r="L308">
            <v>0</v>
          </cell>
          <cell r="M308">
            <v>0</v>
          </cell>
          <cell r="N308" t="str">
            <v xml:space="preserve">                                                  </v>
          </cell>
          <cell r="O308">
            <v>0</v>
          </cell>
          <cell r="P308">
            <v>0</v>
          </cell>
          <cell r="Q308" t="str">
            <v xml:space="preserve">                         </v>
          </cell>
          <cell r="R308" t="str">
            <v/>
          </cell>
        </row>
        <row r="309">
          <cell r="A309" t="str">
            <v xml:space="preserve">SKF-01941.BB                  </v>
          </cell>
          <cell r="B309">
            <v>1941</v>
          </cell>
          <cell r="C309" t="str">
            <v xml:space="preserve">075F-613-SR(K)-1941; Body                         </v>
          </cell>
          <cell r="D309" t="str">
            <v xml:space="preserve">               </v>
          </cell>
          <cell r="E309" t="str">
            <v xml:space="preserve">                                                  </v>
          </cell>
          <cell r="F309" t="str">
            <v xml:space="preserve">                         </v>
          </cell>
          <cell r="G309" t="str">
            <v xml:space="preserve">                         </v>
          </cell>
          <cell r="H309" t="str">
            <v xml:space="preserve">                         </v>
          </cell>
          <cell r="I309">
            <v>0</v>
          </cell>
          <cell r="J309">
            <v>0</v>
          </cell>
          <cell r="K309">
            <v>0</v>
          </cell>
          <cell r="L309">
            <v>0</v>
          </cell>
          <cell r="M309">
            <v>0</v>
          </cell>
          <cell r="N309" t="str">
            <v xml:space="preserve">                                                  </v>
          </cell>
          <cell r="O309">
            <v>0</v>
          </cell>
          <cell r="P309">
            <v>0</v>
          </cell>
          <cell r="Q309" t="str">
            <v xml:space="preserve">                         </v>
          </cell>
          <cell r="R309" t="str">
            <v/>
          </cell>
        </row>
        <row r="310">
          <cell r="A310" t="str">
            <v xml:space="preserve">SKF-01940.BB                  </v>
          </cell>
          <cell r="B310">
            <v>1940</v>
          </cell>
          <cell r="C310" t="str">
            <v xml:space="preserve">046F-613-SR-1940; Body                            </v>
          </cell>
          <cell r="D310" t="str">
            <v xml:space="preserve">               </v>
          </cell>
          <cell r="E310" t="str">
            <v xml:space="preserve">                                                  </v>
          </cell>
          <cell r="F310" t="str">
            <v xml:space="preserve">                         </v>
          </cell>
          <cell r="G310" t="str">
            <v xml:space="preserve">                         </v>
          </cell>
          <cell r="H310" t="str">
            <v xml:space="preserve">                         </v>
          </cell>
          <cell r="I310">
            <v>0</v>
          </cell>
          <cell r="J310">
            <v>0</v>
          </cell>
          <cell r="K310">
            <v>0</v>
          </cell>
          <cell r="L310">
            <v>0</v>
          </cell>
          <cell r="M310">
            <v>0</v>
          </cell>
          <cell r="N310" t="str">
            <v xml:space="preserve">                                                  </v>
          </cell>
          <cell r="O310">
            <v>0</v>
          </cell>
          <cell r="P310">
            <v>0</v>
          </cell>
          <cell r="Q310" t="str">
            <v xml:space="preserve">                         </v>
          </cell>
          <cell r="R310" t="str">
            <v/>
          </cell>
        </row>
        <row r="311">
          <cell r="A311" t="str">
            <v xml:space="preserve">SKF-01939.BB                  </v>
          </cell>
          <cell r="B311">
            <v>1939</v>
          </cell>
          <cell r="C311" t="str">
            <v xml:space="preserve">077F-613-SR(K)HD-1939; Body                       </v>
          </cell>
          <cell r="D311" t="str">
            <v xml:space="preserve">               </v>
          </cell>
          <cell r="E311" t="str">
            <v xml:space="preserve">                                                  </v>
          </cell>
          <cell r="F311" t="str">
            <v xml:space="preserve">                         </v>
          </cell>
          <cell r="G311" t="str">
            <v xml:space="preserve">                         </v>
          </cell>
          <cell r="H311" t="str">
            <v xml:space="preserve">                         </v>
          </cell>
          <cell r="I311">
            <v>0</v>
          </cell>
          <cell r="J311">
            <v>0</v>
          </cell>
          <cell r="K311">
            <v>0</v>
          </cell>
          <cell r="L311">
            <v>0</v>
          </cell>
          <cell r="M311">
            <v>0</v>
          </cell>
          <cell r="N311" t="str">
            <v xml:space="preserve">                                                  </v>
          </cell>
          <cell r="O311">
            <v>0</v>
          </cell>
          <cell r="P311">
            <v>0</v>
          </cell>
          <cell r="Q311" t="str">
            <v xml:space="preserve">                         </v>
          </cell>
          <cell r="R311" t="str">
            <v/>
          </cell>
        </row>
        <row r="312">
          <cell r="A312" t="str">
            <v xml:space="preserve">SKF-01936.BB                  </v>
          </cell>
          <cell r="B312">
            <v>1936</v>
          </cell>
          <cell r="C312" t="str">
            <v xml:space="preserve">086F-616-XR(BR)-1936; Body                        </v>
          </cell>
          <cell r="D312" t="str">
            <v xml:space="preserve">               </v>
          </cell>
          <cell r="E312" t="str">
            <v xml:space="preserve">                                                  </v>
          </cell>
          <cell r="F312" t="str">
            <v xml:space="preserve">                         </v>
          </cell>
          <cell r="G312" t="str">
            <v xml:space="preserve">                         </v>
          </cell>
          <cell r="H312" t="str">
            <v xml:space="preserve">                         </v>
          </cell>
          <cell r="I312">
            <v>0</v>
          </cell>
          <cell r="J312">
            <v>0</v>
          </cell>
          <cell r="K312">
            <v>0</v>
          </cell>
          <cell r="L312">
            <v>0</v>
          </cell>
          <cell r="M312">
            <v>0</v>
          </cell>
          <cell r="N312" t="str">
            <v xml:space="preserve">                                                  </v>
          </cell>
          <cell r="O312">
            <v>0</v>
          </cell>
          <cell r="P312">
            <v>0</v>
          </cell>
          <cell r="Q312" t="str">
            <v xml:space="preserve">                         </v>
          </cell>
          <cell r="R312" t="str">
            <v/>
          </cell>
        </row>
        <row r="313">
          <cell r="A313" t="str">
            <v xml:space="preserve">SKF-01931.BB                  </v>
          </cell>
          <cell r="B313">
            <v>1931</v>
          </cell>
          <cell r="C313" t="str">
            <v xml:space="preserve">086F-616-XR-1931; Body                            </v>
          </cell>
          <cell r="D313" t="str">
            <v xml:space="preserve">               </v>
          </cell>
          <cell r="E313" t="str">
            <v xml:space="preserve">                                                  </v>
          </cell>
          <cell r="F313" t="str">
            <v xml:space="preserve">                         </v>
          </cell>
          <cell r="G313" t="str">
            <v xml:space="preserve">                         </v>
          </cell>
          <cell r="H313" t="str">
            <v xml:space="preserve">                         </v>
          </cell>
          <cell r="I313">
            <v>0</v>
          </cell>
          <cell r="J313">
            <v>0</v>
          </cell>
          <cell r="K313">
            <v>0</v>
          </cell>
          <cell r="L313">
            <v>0</v>
          </cell>
          <cell r="M313">
            <v>0</v>
          </cell>
          <cell r="N313" t="str">
            <v xml:space="preserve">                                                  </v>
          </cell>
          <cell r="O313">
            <v>0</v>
          </cell>
          <cell r="P313">
            <v>0</v>
          </cell>
          <cell r="Q313" t="str">
            <v xml:space="preserve">                         </v>
          </cell>
          <cell r="R313" t="str">
            <v/>
          </cell>
        </row>
        <row r="314">
          <cell r="A314" t="str">
            <v xml:space="preserve">SKF-01930.BB                  </v>
          </cell>
          <cell r="B314">
            <v>1930</v>
          </cell>
          <cell r="C314" t="str">
            <v xml:space="preserve">086F-613-SR(K)-1930; Body                         </v>
          </cell>
          <cell r="D314" t="str">
            <v xml:space="preserve">               </v>
          </cell>
          <cell r="E314" t="str">
            <v xml:space="preserve">                                                  </v>
          </cell>
          <cell r="F314" t="str">
            <v xml:space="preserve">                         </v>
          </cell>
          <cell r="G314" t="str">
            <v xml:space="preserve">                         </v>
          </cell>
          <cell r="H314" t="str">
            <v xml:space="preserve">                         </v>
          </cell>
          <cell r="I314">
            <v>0</v>
          </cell>
          <cell r="J314">
            <v>0</v>
          </cell>
          <cell r="K314">
            <v>0</v>
          </cell>
          <cell r="L314">
            <v>0</v>
          </cell>
          <cell r="M314">
            <v>0</v>
          </cell>
          <cell r="N314" t="str">
            <v xml:space="preserve">                                                  </v>
          </cell>
          <cell r="O314">
            <v>0</v>
          </cell>
          <cell r="P314">
            <v>0</v>
          </cell>
          <cell r="Q314" t="str">
            <v xml:space="preserve">                         </v>
          </cell>
          <cell r="R314" t="str">
            <v/>
          </cell>
        </row>
        <row r="315">
          <cell r="A315" t="str">
            <v xml:space="preserve">SKF-01929.BB                  </v>
          </cell>
          <cell r="B315">
            <v>1929</v>
          </cell>
          <cell r="C315" t="str">
            <v xml:space="preserve">086F-616-SR-1929; Body                            </v>
          </cell>
          <cell r="D315" t="str">
            <v xml:space="preserve">               </v>
          </cell>
          <cell r="E315" t="str">
            <v xml:space="preserve">                                                  </v>
          </cell>
          <cell r="F315" t="str">
            <v xml:space="preserve">                         </v>
          </cell>
          <cell r="G315" t="str">
            <v xml:space="preserve">                         </v>
          </cell>
          <cell r="H315" t="str">
            <v xml:space="preserve">                         </v>
          </cell>
          <cell r="I315">
            <v>0</v>
          </cell>
          <cell r="J315">
            <v>0</v>
          </cell>
          <cell r="K315">
            <v>0</v>
          </cell>
          <cell r="L315">
            <v>0</v>
          </cell>
          <cell r="M315">
            <v>0</v>
          </cell>
          <cell r="N315" t="str">
            <v xml:space="preserve">                                                  </v>
          </cell>
          <cell r="O315">
            <v>0</v>
          </cell>
          <cell r="P315">
            <v>0</v>
          </cell>
          <cell r="Q315" t="str">
            <v xml:space="preserve">                         </v>
          </cell>
          <cell r="R315" t="str">
            <v/>
          </cell>
        </row>
        <row r="316">
          <cell r="A316" t="str">
            <v xml:space="preserve">SKF-01923.BB                  </v>
          </cell>
          <cell r="B316">
            <v>1923</v>
          </cell>
          <cell r="C316" t="str">
            <v xml:space="preserve">077F-416-XR-1923; Body                            </v>
          </cell>
          <cell r="D316" t="str">
            <v xml:space="preserve">               </v>
          </cell>
          <cell r="E316" t="str">
            <v xml:space="preserve">                                                  </v>
          </cell>
          <cell r="F316" t="str">
            <v xml:space="preserve">                         </v>
          </cell>
          <cell r="G316" t="str">
            <v xml:space="preserve">                         </v>
          </cell>
          <cell r="H316" t="str">
            <v xml:space="preserve">                         </v>
          </cell>
          <cell r="I316">
            <v>0</v>
          </cell>
          <cell r="J316">
            <v>0</v>
          </cell>
          <cell r="K316">
            <v>0</v>
          </cell>
          <cell r="L316">
            <v>0</v>
          </cell>
          <cell r="M316">
            <v>0</v>
          </cell>
          <cell r="N316" t="str">
            <v xml:space="preserve">                                                  </v>
          </cell>
          <cell r="O316">
            <v>0</v>
          </cell>
          <cell r="P316">
            <v>0</v>
          </cell>
          <cell r="Q316" t="str">
            <v xml:space="preserve">                         </v>
          </cell>
          <cell r="R316" t="str">
            <v/>
          </cell>
        </row>
        <row r="317">
          <cell r="A317" t="str">
            <v xml:space="preserve">SKF-01922.BB                  </v>
          </cell>
          <cell r="B317">
            <v>1922</v>
          </cell>
          <cell r="C317" t="str">
            <v xml:space="preserve">077F-613-SR(K)-1922; Body                         </v>
          </cell>
          <cell r="D317" t="str">
            <v xml:space="preserve">               </v>
          </cell>
          <cell r="E317" t="str">
            <v xml:space="preserve">                                                  </v>
          </cell>
          <cell r="F317" t="str">
            <v xml:space="preserve">                         </v>
          </cell>
          <cell r="G317" t="str">
            <v xml:space="preserve">                         </v>
          </cell>
          <cell r="H317" t="str">
            <v xml:space="preserve">                         </v>
          </cell>
          <cell r="I317">
            <v>0</v>
          </cell>
          <cell r="J317">
            <v>0</v>
          </cell>
          <cell r="K317">
            <v>0</v>
          </cell>
          <cell r="L317">
            <v>0</v>
          </cell>
          <cell r="M317">
            <v>0</v>
          </cell>
          <cell r="N317" t="str">
            <v xml:space="preserve">                                                  </v>
          </cell>
          <cell r="O317">
            <v>0</v>
          </cell>
          <cell r="P317">
            <v>0</v>
          </cell>
          <cell r="Q317" t="str">
            <v xml:space="preserve">                         </v>
          </cell>
          <cell r="R317" t="str">
            <v/>
          </cell>
        </row>
        <row r="318">
          <cell r="A318" t="str">
            <v xml:space="preserve">SKF-01921.BB                  </v>
          </cell>
          <cell r="B318">
            <v>1921</v>
          </cell>
          <cell r="C318" t="str">
            <v xml:space="preserve">077F-613-SR(k)-1921; Body                         </v>
          </cell>
          <cell r="D318" t="str">
            <v xml:space="preserve">               </v>
          </cell>
          <cell r="E318" t="str">
            <v xml:space="preserve">                                                  </v>
          </cell>
          <cell r="F318" t="str">
            <v xml:space="preserve">                         </v>
          </cell>
          <cell r="G318" t="str">
            <v xml:space="preserve">                         </v>
          </cell>
          <cell r="H318" t="str">
            <v xml:space="preserve">                         </v>
          </cell>
          <cell r="I318">
            <v>0</v>
          </cell>
          <cell r="J318">
            <v>0</v>
          </cell>
          <cell r="K318">
            <v>0</v>
          </cell>
          <cell r="L318">
            <v>0</v>
          </cell>
          <cell r="M318">
            <v>0</v>
          </cell>
          <cell r="N318" t="str">
            <v xml:space="preserve">                                                  </v>
          </cell>
          <cell r="O318">
            <v>0</v>
          </cell>
          <cell r="P318">
            <v>0</v>
          </cell>
          <cell r="Q318" t="str">
            <v xml:space="preserve">                         </v>
          </cell>
          <cell r="R318" t="str">
            <v/>
          </cell>
        </row>
        <row r="319">
          <cell r="A319" t="str">
            <v xml:space="preserve">SKF-01920.BB                  </v>
          </cell>
          <cell r="B319">
            <v>1920</v>
          </cell>
          <cell r="C319" t="str">
            <v xml:space="preserve">077F-816-SR-1920; Body                            </v>
          </cell>
          <cell r="D319" t="str">
            <v xml:space="preserve">               </v>
          </cell>
          <cell r="E319" t="str">
            <v xml:space="preserve">                                                  </v>
          </cell>
          <cell r="F319" t="str">
            <v xml:space="preserve">                         </v>
          </cell>
          <cell r="G319" t="str">
            <v xml:space="preserve">                         </v>
          </cell>
          <cell r="H319" t="str">
            <v xml:space="preserve">                         </v>
          </cell>
          <cell r="I319">
            <v>0</v>
          </cell>
          <cell r="J319">
            <v>0</v>
          </cell>
          <cell r="K319">
            <v>0</v>
          </cell>
          <cell r="L319">
            <v>0</v>
          </cell>
          <cell r="M319">
            <v>0</v>
          </cell>
          <cell r="N319" t="str">
            <v xml:space="preserve">                                                  </v>
          </cell>
          <cell r="O319">
            <v>0</v>
          </cell>
          <cell r="P319">
            <v>0</v>
          </cell>
          <cell r="Q319" t="str">
            <v xml:space="preserve">                         </v>
          </cell>
          <cell r="R319" t="str">
            <v/>
          </cell>
        </row>
        <row r="320">
          <cell r="A320" t="str">
            <v xml:space="preserve">SKF-01919.BB                  </v>
          </cell>
          <cell r="B320">
            <v>1919</v>
          </cell>
          <cell r="C320" t="str">
            <v xml:space="preserve">086F-616-SR-1919; Body                            </v>
          </cell>
          <cell r="D320" t="str">
            <v xml:space="preserve">               </v>
          </cell>
          <cell r="E320" t="str">
            <v xml:space="preserve">                                                  </v>
          </cell>
          <cell r="F320" t="str">
            <v xml:space="preserve">                         </v>
          </cell>
          <cell r="G320" t="str">
            <v xml:space="preserve">                         </v>
          </cell>
          <cell r="H320" t="str">
            <v xml:space="preserve">                         </v>
          </cell>
          <cell r="I320">
            <v>0</v>
          </cell>
          <cell r="J320">
            <v>0</v>
          </cell>
          <cell r="K320">
            <v>0</v>
          </cell>
          <cell r="L320">
            <v>0</v>
          </cell>
          <cell r="M320">
            <v>0</v>
          </cell>
          <cell r="N320" t="str">
            <v xml:space="preserve">                                                  </v>
          </cell>
          <cell r="O320">
            <v>0</v>
          </cell>
          <cell r="P320">
            <v>0</v>
          </cell>
          <cell r="Q320" t="str">
            <v xml:space="preserve">                         </v>
          </cell>
          <cell r="R320" t="str">
            <v/>
          </cell>
        </row>
        <row r="321">
          <cell r="A321" t="str">
            <v xml:space="preserve">SKF-01918.BB                  </v>
          </cell>
          <cell r="B321">
            <v>1918</v>
          </cell>
          <cell r="C321" t="str">
            <v xml:space="preserve">084F-616-SR(BR)-1918; Body                        </v>
          </cell>
          <cell r="D321" t="str">
            <v xml:space="preserve">               </v>
          </cell>
          <cell r="E321" t="str">
            <v xml:space="preserve">                                                  </v>
          </cell>
          <cell r="F321" t="str">
            <v xml:space="preserve">                         </v>
          </cell>
          <cell r="G321" t="str">
            <v xml:space="preserve">                         </v>
          </cell>
          <cell r="H321" t="str">
            <v xml:space="preserve">                         </v>
          </cell>
          <cell r="I321">
            <v>0</v>
          </cell>
          <cell r="J321">
            <v>0</v>
          </cell>
          <cell r="K321">
            <v>0</v>
          </cell>
          <cell r="L321">
            <v>0</v>
          </cell>
          <cell r="M321">
            <v>0</v>
          </cell>
          <cell r="N321" t="str">
            <v xml:space="preserve">                                                  </v>
          </cell>
          <cell r="O321">
            <v>0</v>
          </cell>
          <cell r="P321">
            <v>0</v>
          </cell>
          <cell r="Q321" t="str">
            <v xml:space="preserve">                         </v>
          </cell>
          <cell r="R321" t="str">
            <v/>
          </cell>
        </row>
        <row r="322">
          <cell r="A322" t="str">
            <v xml:space="preserve">SKF-01917.BB                  </v>
          </cell>
          <cell r="B322">
            <v>1917</v>
          </cell>
          <cell r="C322" t="str">
            <v xml:space="preserve">086F-416-XR-1917; Body                            </v>
          </cell>
          <cell r="D322" t="str">
            <v xml:space="preserve">               </v>
          </cell>
          <cell r="E322" t="str">
            <v xml:space="preserve">                                                  </v>
          </cell>
          <cell r="F322" t="str">
            <v xml:space="preserve">                         </v>
          </cell>
          <cell r="G322" t="str">
            <v xml:space="preserve">                         </v>
          </cell>
          <cell r="H322" t="str">
            <v xml:space="preserve">                         </v>
          </cell>
          <cell r="I322">
            <v>0</v>
          </cell>
          <cell r="J322">
            <v>0</v>
          </cell>
          <cell r="K322">
            <v>0</v>
          </cell>
          <cell r="L322">
            <v>0</v>
          </cell>
          <cell r="M322">
            <v>0</v>
          </cell>
          <cell r="N322" t="str">
            <v xml:space="preserve">                                                  </v>
          </cell>
          <cell r="O322">
            <v>0</v>
          </cell>
          <cell r="P322">
            <v>0</v>
          </cell>
          <cell r="Q322" t="str">
            <v xml:space="preserve">                         </v>
          </cell>
          <cell r="R322" t="str">
            <v/>
          </cell>
        </row>
        <row r="323">
          <cell r="A323" t="str">
            <v xml:space="preserve">SKF-01916.BB                  </v>
          </cell>
          <cell r="B323">
            <v>1916</v>
          </cell>
          <cell r="C323" t="str">
            <v xml:space="preserve">084F-616-SR(BR)-1916; Body                        </v>
          </cell>
          <cell r="D323" t="str">
            <v xml:space="preserve">               </v>
          </cell>
          <cell r="E323" t="str">
            <v xml:space="preserve">                                                  </v>
          </cell>
          <cell r="F323" t="str">
            <v xml:space="preserve">                         </v>
          </cell>
          <cell r="G323" t="str">
            <v xml:space="preserve">                         </v>
          </cell>
          <cell r="H323" t="str">
            <v xml:space="preserve">                         </v>
          </cell>
          <cell r="I323">
            <v>0</v>
          </cell>
          <cell r="J323">
            <v>0</v>
          </cell>
          <cell r="K323">
            <v>0</v>
          </cell>
          <cell r="L323">
            <v>0</v>
          </cell>
          <cell r="M323">
            <v>0</v>
          </cell>
          <cell r="N323" t="str">
            <v xml:space="preserve">                                                  </v>
          </cell>
          <cell r="O323">
            <v>0</v>
          </cell>
          <cell r="P323">
            <v>0</v>
          </cell>
          <cell r="Q323" t="str">
            <v xml:space="preserve">                         </v>
          </cell>
          <cell r="R323" t="str">
            <v/>
          </cell>
        </row>
        <row r="324">
          <cell r="A324" t="str">
            <v xml:space="preserve">SKF-01915.BB                  </v>
          </cell>
          <cell r="B324">
            <v>1915</v>
          </cell>
          <cell r="C324" t="str">
            <v xml:space="preserve">077F-813-XR-1915; Body                            </v>
          </cell>
          <cell r="D324" t="str">
            <v xml:space="preserve">               </v>
          </cell>
          <cell r="E324" t="str">
            <v xml:space="preserve">                                                  </v>
          </cell>
          <cell r="F324" t="str">
            <v xml:space="preserve">                         </v>
          </cell>
          <cell r="G324" t="str">
            <v xml:space="preserve">                         </v>
          </cell>
          <cell r="H324" t="str">
            <v xml:space="preserve">                         </v>
          </cell>
          <cell r="I324">
            <v>0</v>
          </cell>
          <cell r="J324">
            <v>0</v>
          </cell>
          <cell r="K324">
            <v>0</v>
          </cell>
          <cell r="L324">
            <v>0</v>
          </cell>
          <cell r="M324">
            <v>0</v>
          </cell>
          <cell r="N324" t="str">
            <v xml:space="preserve">                                                  </v>
          </cell>
          <cell r="O324">
            <v>0</v>
          </cell>
          <cell r="P324">
            <v>0</v>
          </cell>
          <cell r="Q324" t="str">
            <v xml:space="preserve">                         </v>
          </cell>
          <cell r="R324" t="str">
            <v/>
          </cell>
        </row>
        <row r="325">
          <cell r="A325" t="str">
            <v xml:space="preserve">SKF-01912.BB                  </v>
          </cell>
          <cell r="B325">
            <v>1912</v>
          </cell>
          <cell r="C325" t="str">
            <v xml:space="preserve">077F-613-SR(+)-1912; Body                         </v>
          </cell>
          <cell r="D325" t="str">
            <v xml:space="preserve">               </v>
          </cell>
          <cell r="E325" t="str">
            <v xml:space="preserve">                                                  </v>
          </cell>
          <cell r="F325" t="str">
            <v xml:space="preserve">                         </v>
          </cell>
          <cell r="G325" t="str">
            <v xml:space="preserve">                         </v>
          </cell>
          <cell r="H325" t="str">
            <v xml:space="preserve">                         </v>
          </cell>
          <cell r="I325">
            <v>0</v>
          </cell>
          <cell r="J325">
            <v>0</v>
          </cell>
          <cell r="K325">
            <v>0</v>
          </cell>
          <cell r="L325">
            <v>0</v>
          </cell>
          <cell r="M325">
            <v>0</v>
          </cell>
          <cell r="N325" t="str">
            <v xml:space="preserve">                                                  </v>
          </cell>
          <cell r="O325">
            <v>0</v>
          </cell>
          <cell r="P325">
            <v>0</v>
          </cell>
          <cell r="Q325" t="str">
            <v xml:space="preserve">                         </v>
          </cell>
          <cell r="R325" t="str">
            <v/>
          </cell>
        </row>
        <row r="326">
          <cell r="A326" t="str">
            <v xml:space="preserve">SKF-01911.BB                  </v>
          </cell>
          <cell r="B326">
            <v>1911</v>
          </cell>
          <cell r="C326" t="str">
            <v xml:space="preserve">110F-616-XR9-1911; Body                           </v>
          </cell>
          <cell r="D326" t="str">
            <v xml:space="preserve">               </v>
          </cell>
          <cell r="E326" t="str">
            <v xml:space="preserve">                                                  </v>
          </cell>
          <cell r="F326" t="str">
            <v xml:space="preserve">                         </v>
          </cell>
          <cell r="G326" t="str">
            <v xml:space="preserve">                         </v>
          </cell>
          <cell r="H326" t="str">
            <v xml:space="preserve">                         </v>
          </cell>
          <cell r="I326">
            <v>0</v>
          </cell>
          <cell r="J326">
            <v>0</v>
          </cell>
          <cell r="K326">
            <v>0</v>
          </cell>
          <cell r="L326">
            <v>0</v>
          </cell>
          <cell r="M326">
            <v>0</v>
          </cell>
          <cell r="N326" t="str">
            <v xml:space="preserve">                                                  </v>
          </cell>
          <cell r="O326">
            <v>0</v>
          </cell>
          <cell r="P326">
            <v>0</v>
          </cell>
          <cell r="Q326" t="str">
            <v xml:space="preserve">                         </v>
          </cell>
          <cell r="R326" t="str">
            <v/>
          </cell>
        </row>
        <row r="327">
          <cell r="A327" t="str">
            <v xml:space="preserve">SKF-01910.BB                  </v>
          </cell>
          <cell r="B327">
            <v>1910</v>
          </cell>
          <cell r="C327" t="str">
            <v xml:space="preserve">110F-616-SR+9-1910; Body                          </v>
          </cell>
          <cell r="D327" t="str">
            <v xml:space="preserve">               </v>
          </cell>
          <cell r="E327" t="str">
            <v xml:space="preserve">                                                  </v>
          </cell>
          <cell r="F327" t="str">
            <v xml:space="preserve">                         </v>
          </cell>
          <cell r="G327" t="str">
            <v xml:space="preserve">                         </v>
          </cell>
          <cell r="H327" t="str">
            <v xml:space="preserve">                         </v>
          </cell>
          <cell r="I327">
            <v>0</v>
          </cell>
          <cell r="J327">
            <v>0</v>
          </cell>
          <cell r="K327">
            <v>0</v>
          </cell>
          <cell r="L327">
            <v>0</v>
          </cell>
          <cell r="M327">
            <v>0</v>
          </cell>
          <cell r="N327" t="str">
            <v xml:space="preserve">                                                  </v>
          </cell>
          <cell r="O327">
            <v>0</v>
          </cell>
          <cell r="P327">
            <v>0</v>
          </cell>
          <cell r="Q327" t="str">
            <v xml:space="preserve">                         </v>
          </cell>
          <cell r="R327" t="str">
            <v/>
          </cell>
        </row>
        <row r="328">
          <cell r="A328" t="str">
            <v xml:space="preserve">SKF-01909.BB                  </v>
          </cell>
          <cell r="B328">
            <v>1909</v>
          </cell>
          <cell r="C328" t="str">
            <v xml:space="preserve">077F-416-XR-1909; Body                            </v>
          </cell>
          <cell r="D328" t="str">
            <v xml:space="preserve">               </v>
          </cell>
          <cell r="E328" t="str">
            <v xml:space="preserve">                                                  </v>
          </cell>
          <cell r="F328" t="str">
            <v xml:space="preserve">                         </v>
          </cell>
          <cell r="G328" t="str">
            <v xml:space="preserve">                         </v>
          </cell>
          <cell r="H328" t="str">
            <v xml:space="preserve">                         </v>
          </cell>
          <cell r="I328">
            <v>0</v>
          </cell>
          <cell r="J328">
            <v>0</v>
          </cell>
          <cell r="K328">
            <v>0</v>
          </cell>
          <cell r="L328">
            <v>0</v>
          </cell>
          <cell r="M328">
            <v>0</v>
          </cell>
          <cell r="N328" t="str">
            <v xml:space="preserve">                                                  </v>
          </cell>
          <cell r="O328">
            <v>0</v>
          </cell>
          <cell r="P328">
            <v>0</v>
          </cell>
          <cell r="Q328" t="str">
            <v xml:space="preserve">                         </v>
          </cell>
          <cell r="R328" t="str">
            <v/>
          </cell>
        </row>
        <row r="329">
          <cell r="A329" t="str">
            <v xml:space="preserve">SKF-01908.BB                  </v>
          </cell>
          <cell r="B329">
            <v>1908</v>
          </cell>
          <cell r="C329" t="str">
            <v xml:space="preserve">077F-416-SR(+)-1908; Body                         </v>
          </cell>
          <cell r="D329" t="str">
            <v xml:space="preserve">               </v>
          </cell>
          <cell r="E329" t="str">
            <v xml:space="preserve">                                                  </v>
          </cell>
          <cell r="F329" t="str">
            <v xml:space="preserve">                         </v>
          </cell>
          <cell r="G329" t="str">
            <v xml:space="preserve">                         </v>
          </cell>
          <cell r="H329" t="str">
            <v xml:space="preserve">                         </v>
          </cell>
          <cell r="I329">
            <v>0</v>
          </cell>
          <cell r="J329">
            <v>0</v>
          </cell>
          <cell r="K329">
            <v>0</v>
          </cell>
          <cell r="L329">
            <v>0</v>
          </cell>
          <cell r="M329">
            <v>0</v>
          </cell>
          <cell r="N329" t="str">
            <v xml:space="preserve">                                                  </v>
          </cell>
          <cell r="O329">
            <v>0</v>
          </cell>
          <cell r="P329">
            <v>0</v>
          </cell>
          <cell r="Q329" t="str">
            <v xml:space="preserve">                         </v>
          </cell>
          <cell r="R329" t="str">
            <v/>
          </cell>
        </row>
        <row r="330">
          <cell r="A330" t="str">
            <v xml:space="preserve">SKF-01901.BB                  </v>
          </cell>
          <cell r="B330">
            <v>1901</v>
          </cell>
          <cell r="C330" t="str">
            <v xml:space="preserve">077F-413-SR(+)-1901; Body                         </v>
          </cell>
          <cell r="D330" t="str">
            <v xml:space="preserve">               </v>
          </cell>
          <cell r="E330" t="str">
            <v xml:space="preserve">                                                  </v>
          </cell>
          <cell r="F330" t="str">
            <v xml:space="preserve">                         </v>
          </cell>
          <cell r="G330" t="str">
            <v xml:space="preserve">                         </v>
          </cell>
          <cell r="H330" t="str">
            <v xml:space="preserve">                         </v>
          </cell>
          <cell r="I330">
            <v>0</v>
          </cell>
          <cell r="J330">
            <v>0</v>
          </cell>
          <cell r="K330">
            <v>0</v>
          </cell>
          <cell r="L330">
            <v>0</v>
          </cell>
          <cell r="M330">
            <v>0</v>
          </cell>
          <cell r="N330" t="str">
            <v xml:space="preserve">                                                  </v>
          </cell>
          <cell r="O330">
            <v>0</v>
          </cell>
          <cell r="P330">
            <v>0</v>
          </cell>
          <cell r="Q330" t="str">
            <v xml:space="preserve">                         </v>
          </cell>
          <cell r="R330" t="str">
            <v/>
          </cell>
        </row>
        <row r="331">
          <cell r="A331" t="str">
            <v xml:space="preserve">SKF-01899.BB                  </v>
          </cell>
          <cell r="B331">
            <v>1899</v>
          </cell>
          <cell r="C331" t="str">
            <v xml:space="preserve">077F-413-XR-1888; Body                            </v>
          </cell>
          <cell r="D331" t="str">
            <v xml:space="preserve">               </v>
          </cell>
          <cell r="E331" t="str">
            <v xml:space="preserve">                                                  </v>
          </cell>
          <cell r="F331" t="str">
            <v xml:space="preserve">                         </v>
          </cell>
          <cell r="G331" t="str">
            <v xml:space="preserve">                         </v>
          </cell>
          <cell r="H331" t="str">
            <v xml:space="preserve">                         </v>
          </cell>
          <cell r="I331">
            <v>0</v>
          </cell>
          <cell r="J331">
            <v>0</v>
          </cell>
          <cell r="K331">
            <v>0</v>
          </cell>
          <cell r="L331">
            <v>0</v>
          </cell>
          <cell r="M331">
            <v>0</v>
          </cell>
          <cell r="N331" t="str">
            <v xml:space="preserve">                                                  </v>
          </cell>
          <cell r="O331">
            <v>0</v>
          </cell>
          <cell r="P331">
            <v>0</v>
          </cell>
          <cell r="Q331" t="str">
            <v xml:space="preserve">                         </v>
          </cell>
          <cell r="R331" t="str">
            <v/>
          </cell>
        </row>
        <row r="332">
          <cell r="A332" t="str">
            <v xml:space="preserve">SKF-01895.BB                  </v>
          </cell>
          <cell r="B332">
            <v>1895</v>
          </cell>
          <cell r="C332" t="str">
            <v xml:space="preserve">077F-616-SR(k)-1895; Body                         </v>
          </cell>
          <cell r="D332" t="str">
            <v xml:space="preserve">               </v>
          </cell>
          <cell r="E332" t="str">
            <v xml:space="preserve">                                                  </v>
          </cell>
          <cell r="F332" t="str">
            <v xml:space="preserve">                         </v>
          </cell>
          <cell r="G332" t="str">
            <v xml:space="preserve">                         </v>
          </cell>
          <cell r="H332" t="str">
            <v xml:space="preserve">                         </v>
          </cell>
          <cell r="I332">
            <v>0</v>
          </cell>
          <cell r="J332">
            <v>0</v>
          </cell>
          <cell r="K332">
            <v>0</v>
          </cell>
          <cell r="L332">
            <v>0</v>
          </cell>
          <cell r="M332">
            <v>0</v>
          </cell>
          <cell r="N332" t="str">
            <v xml:space="preserve">                                                  </v>
          </cell>
          <cell r="O332">
            <v>0</v>
          </cell>
          <cell r="P332">
            <v>0</v>
          </cell>
          <cell r="Q332" t="str">
            <v xml:space="preserve">                         </v>
          </cell>
          <cell r="R332" t="str">
            <v/>
          </cell>
        </row>
        <row r="333">
          <cell r="A333" t="str">
            <v xml:space="preserve">SKF-01894.BB                  </v>
          </cell>
          <cell r="B333">
            <v>1894</v>
          </cell>
          <cell r="C333" t="str">
            <v xml:space="preserve">077F-616-SR-1894; Body                            </v>
          </cell>
          <cell r="D333" t="str">
            <v xml:space="preserve">               </v>
          </cell>
          <cell r="E333" t="str">
            <v xml:space="preserve">                                                  </v>
          </cell>
          <cell r="F333" t="str">
            <v xml:space="preserve">                         </v>
          </cell>
          <cell r="G333" t="str">
            <v xml:space="preserve">                         </v>
          </cell>
          <cell r="H333" t="str">
            <v xml:space="preserve">                         </v>
          </cell>
          <cell r="I333">
            <v>0</v>
          </cell>
          <cell r="J333">
            <v>0</v>
          </cell>
          <cell r="K333">
            <v>0</v>
          </cell>
          <cell r="L333">
            <v>0</v>
          </cell>
          <cell r="M333">
            <v>0</v>
          </cell>
          <cell r="N333" t="str">
            <v xml:space="preserve">                                                  </v>
          </cell>
          <cell r="O333">
            <v>0</v>
          </cell>
          <cell r="P333">
            <v>0</v>
          </cell>
          <cell r="Q333" t="str">
            <v xml:space="preserve">                         </v>
          </cell>
          <cell r="R333" t="str">
            <v/>
          </cell>
        </row>
        <row r="334">
          <cell r="A334" t="str">
            <v xml:space="preserve">SKF-01893.BB                  </v>
          </cell>
          <cell r="B334">
            <v>1893</v>
          </cell>
          <cell r="C334" t="str">
            <v xml:space="preserve">086F-613-SR(k)-1893; Body                         </v>
          </cell>
          <cell r="D334" t="str">
            <v xml:space="preserve">               </v>
          </cell>
          <cell r="E334" t="str">
            <v xml:space="preserve">                                                  </v>
          </cell>
          <cell r="F334" t="str">
            <v xml:space="preserve">                         </v>
          </cell>
          <cell r="G334" t="str">
            <v xml:space="preserve">                         </v>
          </cell>
          <cell r="H334" t="str">
            <v xml:space="preserve">                         </v>
          </cell>
          <cell r="I334">
            <v>0</v>
          </cell>
          <cell r="J334">
            <v>0</v>
          </cell>
          <cell r="K334">
            <v>0</v>
          </cell>
          <cell r="L334">
            <v>0</v>
          </cell>
          <cell r="M334">
            <v>0</v>
          </cell>
          <cell r="N334" t="str">
            <v xml:space="preserve">                                                  </v>
          </cell>
          <cell r="O334">
            <v>0</v>
          </cell>
          <cell r="P334">
            <v>0</v>
          </cell>
          <cell r="Q334" t="str">
            <v xml:space="preserve">                         </v>
          </cell>
          <cell r="R334" t="str">
            <v/>
          </cell>
        </row>
        <row r="335">
          <cell r="A335" t="str">
            <v xml:space="preserve">SKF-01892.BB                  </v>
          </cell>
          <cell r="B335">
            <v>1892</v>
          </cell>
          <cell r="C335" t="str">
            <v xml:space="preserve">110F-616-SR9(k)-1892; Body                        </v>
          </cell>
          <cell r="D335" t="str">
            <v xml:space="preserve">               </v>
          </cell>
          <cell r="E335" t="str">
            <v xml:space="preserve">                                                  </v>
          </cell>
          <cell r="F335" t="str">
            <v xml:space="preserve">                         </v>
          </cell>
          <cell r="G335" t="str">
            <v xml:space="preserve">                         </v>
          </cell>
          <cell r="H335" t="str">
            <v xml:space="preserve">                         </v>
          </cell>
          <cell r="I335">
            <v>0</v>
          </cell>
          <cell r="J335">
            <v>0</v>
          </cell>
          <cell r="K335">
            <v>0</v>
          </cell>
          <cell r="L335">
            <v>0</v>
          </cell>
          <cell r="M335">
            <v>0</v>
          </cell>
          <cell r="N335" t="str">
            <v xml:space="preserve">                                                  </v>
          </cell>
          <cell r="O335">
            <v>0</v>
          </cell>
          <cell r="P335">
            <v>0</v>
          </cell>
          <cell r="Q335" t="str">
            <v xml:space="preserve">                         </v>
          </cell>
          <cell r="R335" t="str">
            <v/>
          </cell>
        </row>
        <row r="336">
          <cell r="A336" t="str">
            <v xml:space="preserve">SKF-01891.BB                  </v>
          </cell>
          <cell r="B336">
            <v>1891</v>
          </cell>
          <cell r="C336" t="str">
            <v xml:space="preserve">122F-616-SR9(k)-1891; Body                        </v>
          </cell>
          <cell r="D336" t="str">
            <v xml:space="preserve">               </v>
          </cell>
          <cell r="E336" t="str">
            <v xml:space="preserve">                                                  </v>
          </cell>
          <cell r="F336" t="str">
            <v xml:space="preserve">                         </v>
          </cell>
          <cell r="G336" t="str">
            <v xml:space="preserve">                         </v>
          </cell>
          <cell r="H336" t="str">
            <v xml:space="preserve">                         </v>
          </cell>
          <cell r="I336">
            <v>0</v>
          </cell>
          <cell r="J336">
            <v>0</v>
          </cell>
          <cell r="K336">
            <v>0</v>
          </cell>
          <cell r="L336">
            <v>0</v>
          </cell>
          <cell r="M336">
            <v>0</v>
          </cell>
          <cell r="N336" t="str">
            <v xml:space="preserve">                                                  </v>
          </cell>
          <cell r="O336">
            <v>0</v>
          </cell>
          <cell r="P336">
            <v>0</v>
          </cell>
          <cell r="Q336" t="str">
            <v xml:space="preserve">                         </v>
          </cell>
          <cell r="R336" t="str">
            <v/>
          </cell>
        </row>
        <row r="337">
          <cell r="A337" t="str">
            <v xml:space="preserve">SKF-01890.BB                  </v>
          </cell>
          <cell r="B337">
            <v>1890</v>
          </cell>
          <cell r="C337" t="str">
            <v xml:space="preserve">077F-616-SR(k)HD-1890; Body                       </v>
          </cell>
          <cell r="D337" t="str">
            <v xml:space="preserve">               </v>
          </cell>
          <cell r="E337" t="str">
            <v xml:space="preserve">                                                  </v>
          </cell>
          <cell r="F337" t="str">
            <v xml:space="preserve">                         </v>
          </cell>
          <cell r="G337" t="str">
            <v xml:space="preserve">                         </v>
          </cell>
          <cell r="H337" t="str">
            <v xml:space="preserve">                         </v>
          </cell>
          <cell r="I337">
            <v>0</v>
          </cell>
          <cell r="J337">
            <v>0</v>
          </cell>
          <cell r="K337">
            <v>0</v>
          </cell>
          <cell r="L337">
            <v>0</v>
          </cell>
          <cell r="M337">
            <v>0</v>
          </cell>
          <cell r="N337" t="str">
            <v xml:space="preserve">                                                  </v>
          </cell>
          <cell r="O337">
            <v>0</v>
          </cell>
          <cell r="P337">
            <v>0</v>
          </cell>
          <cell r="Q337" t="str">
            <v xml:space="preserve">                         </v>
          </cell>
          <cell r="R337" t="str">
            <v/>
          </cell>
        </row>
        <row r="338">
          <cell r="A338" t="str">
            <v xml:space="preserve">SKF-01888.BB                  </v>
          </cell>
          <cell r="B338">
            <v>1888</v>
          </cell>
          <cell r="C338" t="str">
            <v xml:space="preserve">077F-613-SR(k)-1888; Body                         </v>
          </cell>
          <cell r="D338" t="str">
            <v xml:space="preserve">               </v>
          </cell>
          <cell r="E338" t="str">
            <v xml:space="preserve">                                                  </v>
          </cell>
          <cell r="F338" t="str">
            <v xml:space="preserve">                         </v>
          </cell>
          <cell r="G338" t="str">
            <v xml:space="preserve">                         </v>
          </cell>
          <cell r="H338" t="str">
            <v xml:space="preserve">                         </v>
          </cell>
          <cell r="I338">
            <v>0</v>
          </cell>
          <cell r="J338">
            <v>0</v>
          </cell>
          <cell r="K338">
            <v>0</v>
          </cell>
          <cell r="L338">
            <v>0</v>
          </cell>
          <cell r="M338">
            <v>0</v>
          </cell>
          <cell r="N338" t="str">
            <v xml:space="preserve">                                                  </v>
          </cell>
          <cell r="O338">
            <v>0</v>
          </cell>
          <cell r="P338">
            <v>0</v>
          </cell>
          <cell r="Q338" t="str">
            <v xml:space="preserve">                         </v>
          </cell>
          <cell r="R338" t="str">
            <v/>
          </cell>
        </row>
        <row r="339">
          <cell r="A339" t="str">
            <v xml:space="preserve">SKF-01884.BB                  </v>
          </cell>
          <cell r="B339">
            <v>1884</v>
          </cell>
          <cell r="C339" t="str">
            <v xml:space="preserve">086F-616-SR-1884; Body                            </v>
          </cell>
          <cell r="D339" t="str">
            <v xml:space="preserve">               </v>
          </cell>
          <cell r="E339" t="str">
            <v xml:space="preserve">                                                  </v>
          </cell>
          <cell r="F339" t="str">
            <v xml:space="preserve">                         </v>
          </cell>
          <cell r="G339" t="str">
            <v xml:space="preserve">                         </v>
          </cell>
          <cell r="H339" t="str">
            <v xml:space="preserve">                         </v>
          </cell>
          <cell r="I339">
            <v>0</v>
          </cell>
          <cell r="J339">
            <v>0</v>
          </cell>
          <cell r="K339">
            <v>0</v>
          </cell>
          <cell r="L339">
            <v>0</v>
          </cell>
          <cell r="M339">
            <v>0</v>
          </cell>
          <cell r="N339" t="str">
            <v xml:space="preserve">                                                  </v>
          </cell>
          <cell r="O339">
            <v>0</v>
          </cell>
          <cell r="P339">
            <v>0</v>
          </cell>
          <cell r="Q339" t="str">
            <v xml:space="preserve">                         </v>
          </cell>
          <cell r="R339" t="str">
            <v/>
          </cell>
        </row>
        <row r="340">
          <cell r="A340" t="str">
            <v xml:space="preserve">SKF-01883.BB                  </v>
          </cell>
          <cell r="B340">
            <v>1883</v>
          </cell>
          <cell r="C340" t="str">
            <v xml:space="preserve">110F-616-SR9 (K)-1883; Body                       </v>
          </cell>
          <cell r="D340" t="str">
            <v xml:space="preserve">               </v>
          </cell>
          <cell r="E340" t="str">
            <v xml:space="preserve">                                                  </v>
          </cell>
          <cell r="F340" t="str">
            <v xml:space="preserve">                         </v>
          </cell>
          <cell r="G340" t="str">
            <v xml:space="preserve">                         </v>
          </cell>
          <cell r="H340" t="str">
            <v xml:space="preserve">                         </v>
          </cell>
          <cell r="I340">
            <v>0</v>
          </cell>
          <cell r="J340">
            <v>0</v>
          </cell>
          <cell r="K340">
            <v>0</v>
          </cell>
          <cell r="L340">
            <v>0</v>
          </cell>
          <cell r="M340">
            <v>0</v>
          </cell>
          <cell r="N340" t="str">
            <v xml:space="preserve">                                                  </v>
          </cell>
          <cell r="O340">
            <v>0</v>
          </cell>
          <cell r="P340">
            <v>0</v>
          </cell>
          <cell r="Q340" t="str">
            <v xml:space="preserve">                         </v>
          </cell>
          <cell r="R340" t="str">
            <v/>
          </cell>
        </row>
        <row r="341">
          <cell r="A341" t="str">
            <v xml:space="preserve">SKF-01882.BB                  </v>
          </cell>
          <cell r="B341">
            <v>1882</v>
          </cell>
          <cell r="C341" t="str">
            <v xml:space="preserve">077F-616-SR(k)HD-1882; Body                       </v>
          </cell>
          <cell r="D341" t="str">
            <v xml:space="preserve">               </v>
          </cell>
          <cell r="E341" t="str">
            <v xml:space="preserve">                                                  </v>
          </cell>
          <cell r="F341" t="str">
            <v xml:space="preserve">                         </v>
          </cell>
          <cell r="G341" t="str">
            <v xml:space="preserve">                         </v>
          </cell>
          <cell r="H341" t="str">
            <v xml:space="preserve">                         </v>
          </cell>
          <cell r="I341">
            <v>0</v>
          </cell>
          <cell r="J341">
            <v>0</v>
          </cell>
          <cell r="K341">
            <v>0</v>
          </cell>
          <cell r="L341">
            <v>0</v>
          </cell>
          <cell r="M341">
            <v>0</v>
          </cell>
          <cell r="N341" t="str">
            <v xml:space="preserve">                                                  </v>
          </cell>
          <cell r="O341">
            <v>0</v>
          </cell>
          <cell r="P341">
            <v>0</v>
          </cell>
          <cell r="Q341" t="str">
            <v xml:space="preserve">                         </v>
          </cell>
          <cell r="R341" t="str">
            <v/>
          </cell>
        </row>
        <row r="342">
          <cell r="A342" t="str">
            <v xml:space="preserve">SKF-01881.BB                  </v>
          </cell>
          <cell r="B342">
            <v>1881</v>
          </cell>
          <cell r="C342" t="str">
            <v xml:space="preserve">077F-616-SR(K)-1881; Body                         </v>
          </cell>
          <cell r="D342" t="str">
            <v xml:space="preserve">               </v>
          </cell>
          <cell r="E342" t="str">
            <v xml:space="preserve">                                                  </v>
          </cell>
          <cell r="F342" t="str">
            <v xml:space="preserve">                         </v>
          </cell>
          <cell r="G342" t="str">
            <v xml:space="preserve">                         </v>
          </cell>
          <cell r="H342" t="str">
            <v xml:space="preserve">                         </v>
          </cell>
          <cell r="I342">
            <v>0</v>
          </cell>
          <cell r="J342">
            <v>0</v>
          </cell>
          <cell r="K342">
            <v>0</v>
          </cell>
          <cell r="L342">
            <v>0</v>
          </cell>
          <cell r="M342">
            <v>0</v>
          </cell>
          <cell r="N342" t="str">
            <v xml:space="preserve">                                                  </v>
          </cell>
          <cell r="O342">
            <v>0</v>
          </cell>
          <cell r="P342">
            <v>0</v>
          </cell>
          <cell r="Q342" t="str">
            <v xml:space="preserve">                         </v>
          </cell>
          <cell r="R342" t="str">
            <v/>
          </cell>
        </row>
        <row r="343">
          <cell r="A343" t="str">
            <v xml:space="preserve">SKF-01878.BB                  </v>
          </cell>
          <cell r="B343">
            <v>1878</v>
          </cell>
          <cell r="C343" t="str">
            <v xml:space="preserve">077F-616-SR-1878; Body                            </v>
          </cell>
          <cell r="D343" t="str">
            <v xml:space="preserve">               </v>
          </cell>
          <cell r="E343" t="str">
            <v xml:space="preserve">                                                  </v>
          </cell>
          <cell r="F343" t="str">
            <v xml:space="preserve">                         </v>
          </cell>
          <cell r="G343" t="str">
            <v xml:space="preserve">                         </v>
          </cell>
          <cell r="H343" t="str">
            <v xml:space="preserve">                         </v>
          </cell>
          <cell r="I343">
            <v>0</v>
          </cell>
          <cell r="J343">
            <v>0</v>
          </cell>
          <cell r="K343">
            <v>0</v>
          </cell>
          <cell r="L343">
            <v>0</v>
          </cell>
          <cell r="M343">
            <v>0</v>
          </cell>
          <cell r="N343" t="str">
            <v xml:space="preserve">                                                  </v>
          </cell>
          <cell r="O343">
            <v>0</v>
          </cell>
          <cell r="P343">
            <v>0</v>
          </cell>
          <cell r="Q343" t="str">
            <v xml:space="preserve">                         </v>
          </cell>
          <cell r="R343" t="str">
            <v/>
          </cell>
        </row>
        <row r="344">
          <cell r="A344" t="str">
            <v xml:space="preserve">SKF-01876.BB                  </v>
          </cell>
          <cell r="B344">
            <v>1876</v>
          </cell>
          <cell r="C344" t="str">
            <v xml:space="preserve">077F-616-SR-1876; Body                            </v>
          </cell>
          <cell r="D344" t="str">
            <v xml:space="preserve">               </v>
          </cell>
          <cell r="E344" t="str">
            <v xml:space="preserve">                                                  </v>
          </cell>
          <cell r="F344" t="str">
            <v xml:space="preserve">                         </v>
          </cell>
          <cell r="G344" t="str">
            <v xml:space="preserve">                         </v>
          </cell>
          <cell r="H344" t="str">
            <v xml:space="preserve">                         </v>
          </cell>
          <cell r="I344">
            <v>0</v>
          </cell>
          <cell r="J344">
            <v>0</v>
          </cell>
          <cell r="K344">
            <v>0</v>
          </cell>
          <cell r="L344">
            <v>0</v>
          </cell>
          <cell r="M344">
            <v>0</v>
          </cell>
          <cell r="N344" t="str">
            <v xml:space="preserve">                                                  </v>
          </cell>
          <cell r="O344">
            <v>0</v>
          </cell>
          <cell r="P344">
            <v>0</v>
          </cell>
          <cell r="Q344" t="str">
            <v xml:space="preserve">                         </v>
          </cell>
          <cell r="R344" t="str">
            <v/>
          </cell>
        </row>
        <row r="345">
          <cell r="A345" t="str">
            <v xml:space="preserve">SKF-01875.BB                  </v>
          </cell>
          <cell r="B345">
            <v>1875</v>
          </cell>
          <cell r="C345" t="str">
            <v xml:space="preserve">077F-616-SR(hd)-1875; Body                        </v>
          </cell>
          <cell r="D345" t="str">
            <v xml:space="preserve">               </v>
          </cell>
          <cell r="E345" t="str">
            <v xml:space="preserve">                                                  </v>
          </cell>
          <cell r="F345" t="str">
            <v xml:space="preserve">                         </v>
          </cell>
          <cell r="G345" t="str">
            <v xml:space="preserve">                         </v>
          </cell>
          <cell r="H345" t="str">
            <v xml:space="preserve">                         </v>
          </cell>
          <cell r="I345">
            <v>0</v>
          </cell>
          <cell r="J345">
            <v>0</v>
          </cell>
          <cell r="K345">
            <v>0</v>
          </cell>
          <cell r="L345">
            <v>0</v>
          </cell>
          <cell r="M345">
            <v>0</v>
          </cell>
          <cell r="N345" t="str">
            <v xml:space="preserve">                                                  </v>
          </cell>
          <cell r="O345">
            <v>0</v>
          </cell>
          <cell r="P345">
            <v>0</v>
          </cell>
          <cell r="Q345" t="str">
            <v xml:space="preserve">                         </v>
          </cell>
          <cell r="R345" t="str">
            <v/>
          </cell>
        </row>
        <row r="346">
          <cell r="A346" t="str">
            <v xml:space="preserve">SKF-01874.BB                  </v>
          </cell>
          <cell r="B346">
            <v>1874</v>
          </cell>
          <cell r="C346" t="str">
            <v xml:space="preserve">077F-616-SR+HD-1874; Body                         </v>
          </cell>
          <cell r="D346" t="str">
            <v xml:space="preserve">               </v>
          </cell>
          <cell r="E346" t="str">
            <v xml:space="preserve">                                                  </v>
          </cell>
          <cell r="F346" t="str">
            <v xml:space="preserve">                         </v>
          </cell>
          <cell r="G346" t="str">
            <v xml:space="preserve">                         </v>
          </cell>
          <cell r="H346" t="str">
            <v xml:space="preserve">                         </v>
          </cell>
          <cell r="I346">
            <v>0</v>
          </cell>
          <cell r="J346">
            <v>0</v>
          </cell>
          <cell r="K346">
            <v>0</v>
          </cell>
          <cell r="L346">
            <v>0</v>
          </cell>
          <cell r="M346">
            <v>0</v>
          </cell>
          <cell r="N346" t="str">
            <v xml:space="preserve">                                                  </v>
          </cell>
          <cell r="O346">
            <v>0</v>
          </cell>
          <cell r="P346">
            <v>0</v>
          </cell>
          <cell r="Q346" t="str">
            <v xml:space="preserve">                         </v>
          </cell>
          <cell r="R346" t="str">
            <v/>
          </cell>
        </row>
        <row r="347">
          <cell r="A347" t="str">
            <v xml:space="preserve">SKF-01873.BB                  </v>
          </cell>
          <cell r="B347">
            <v>1873</v>
          </cell>
          <cell r="C347" t="str">
            <v xml:space="preserve">077F-616-XRHD-1873; Body                          </v>
          </cell>
          <cell r="D347" t="str">
            <v xml:space="preserve">               </v>
          </cell>
          <cell r="E347" t="str">
            <v xml:space="preserve">                                                  </v>
          </cell>
          <cell r="F347" t="str">
            <v xml:space="preserve">                         </v>
          </cell>
          <cell r="G347" t="str">
            <v xml:space="preserve">                         </v>
          </cell>
          <cell r="H347" t="str">
            <v xml:space="preserve">                         </v>
          </cell>
          <cell r="I347">
            <v>0</v>
          </cell>
          <cell r="J347">
            <v>0</v>
          </cell>
          <cell r="K347">
            <v>0</v>
          </cell>
          <cell r="L347">
            <v>0</v>
          </cell>
          <cell r="M347">
            <v>0</v>
          </cell>
          <cell r="N347" t="str">
            <v xml:space="preserve">                                                  </v>
          </cell>
          <cell r="O347">
            <v>0</v>
          </cell>
          <cell r="P347">
            <v>0</v>
          </cell>
          <cell r="Q347" t="str">
            <v xml:space="preserve">                         </v>
          </cell>
          <cell r="R347" t="str">
            <v/>
          </cell>
        </row>
        <row r="348">
          <cell r="A348" t="str">
            <v xml:space="preserve">SKF-01871.BB                  </v>
          </cell>
          <cell r="B348">
            <v>1871</v>
          </cell>
          <cell r="C348" t="str">
            <v xml:space="preserve">077F-616-XR-1871; Body                            </v>
          </cell>
          <cell r="D348" t="str">
            <v xml:space="preserve">               </v>
          </cell>
          <cell r="E348" t="str">
            <v xml:space="preserve">                                                  </v>
          </cell>
          <cell r="F348" t="str">
            <v xml:space="preserve">                         </v>
          </cell>
          <cell r="G348" t="str">
            <v xml:space="preserve">                         </v>
          </cell>
          <cell r="H348" t="str">
            <v xml:space="preserve">                         </v>
          </cell>
          <cell r="I348">
            <v>0</v>
          </cell>
          <cell r="J348">
            <v>0</v>
          </cell>
          <cell r="K348">
            <v>0</v>
          </cell>
          <cell r="L348">
            <v>0</v>
          </cell>
          <cell r="M348">
            <v>0</v>
          </cell>
          <cell r="N348" t="str">
            <v xml:space="preserve">                                                  </v>
          </cell>
          <cell r="O348">
            <v>0</v>
          </cell>
          <cell r="P348">
            <v>0</v>
          </cell>
          <cell r="Q348" t="str">
            <v xml:space="preserve">                         </v>
          </cell>
          <cell r="R348" t="str">
            <v/>
          </cell>
        </row>
        <row r="349">
          <cell r="A349" t="str">
            <v xml:space="preserve">SKF-01850.BB                  </v>
          </cell>
          <cell r="B349">
            <v>1850</v>
          </cell>
          <cell r="C349" t="str">
            <v xml:space="preserve">077F-616-SR-1850; Body                            </v>
          </cell>
          <cell r="D349" t="str">
            <v xml:space="preserve">               </v>
          </cell>
          <cell r="E349" t="str">
            <v xml:space="preserve">                                                  </v>
          </cell>
          <cell r="F349" t="str">
            <v xml:space="preserve">                         </v>
          </cell>
          <cell r="G349" t="str">
            <v xml:space="preserve">                         </v>
          </cell>
          <cell r="H349" t="str">
            <v xml:space="preserve">                         </v>
          </cell>
          <cell r="I349">
            <v>0</v>
          </cell>
          <cell r="J349">
            <v>0</v>
          </cell>
          <cell r="K349">
            <v>0</v>
          </cell>
          <cell r="L349">
            <v>0</v>
          </cell>
          <cell r="M349">
            <v>0</v>
          </cell>
          <cell r="N349" t="str">
            <v xml:space="preserve">                                                  </v>
          </cell>
          <cell r="O349">
            <v>0</v>
          </cell>
          <cell r="P349">
            <v>0</v>
          </cell>
          <cell r="Q349" t="str">
            <v xml:space="preserve">                         </v>
          </cell>
          <cell r="R349" t="str">
            <v/>
          </cell>
        </row>
      </sheetData>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01C377-7BC4-4E73-8652-D2E689E4932A}" name="Table1" displayName="Table1" ref="B4:BW156" totalsRowShown="0" headerRowDxfId="79" headerRowBorderDxfId="77" tableBorderDxfId="78" totalsRowBorderDxfId="76">
  <autoFilter ref="B4:BW156" xr:uid="{F301C377-7BC4-4E73-8652-D2E689E4932A}"/>
  <sortState xmlns:xlrd2="http://schemas.microsoft.com/office/spreadsheetml/2017/richdata2" ref="B5:BW156">
    <sortCondition ref="B6:B158"/>
  </sortState>
  <tableColumns count="74">
    <tableColumn id="1" xr3:uid="{DC04E385-5229-427F-BDE1-56504884D007}" name="Old Assy #" dataDxfId="75"/>
    <tableColumn id="4" xr3:uid="{65FA1D07-F831-4BB1-9C0F-96C02DB8E4F3}" name="Long TJ" dataDxfId="4"/>
    <tableColumn id="28" xr3:uid="{0311DA28-FED7-4764-831A-6D4DBFDDDDB2}" name="Design Request" dataDxfId="2"/>
    <tableColumn id="2" xr3:uid="{C8FD5151-D688-45DC-8AFE-F013A93877CA}" name="Design" dataDxfId="3"/>
    <tableColumn id="3" xr3:uid="{97F54C9D-DAD8-44A3-9DDC-F37FF0F7B1FD}" name="Cutter Layout" dataDxfId="74"/>
    <tableColumn id="5" xr3:uid="{6D0E3A39-6BF1-4451-839B-D11E1DE938EB}" name="Solid Edge Assy File" dataDxfId="73"/>
    <tableColumn id="43" xr3:uid="{FCF424FF-5FB1-4CDA-B660-E2953B660B78}" name="Design Summary" dataDxfId="72"/>
    <tableColumn id="6" xr3:uid="{72821228-7007-4497-91F1-57F8A9F3781E}" name="Top" dataDxfId="71"/>
    <tableColumn id="7" xr3:uid="{A684FA24-CF14-45B1-B577-37DCCF0EEBEB}" name="ISO" dataDxfId="70"/>
    <tableColumn id="8" xr3:uid="{E4565DD8-8169-4E72-9F5A-38A429641EF7}" name="Spec Sheet" dataDxfId="69"/>
    <tableColumn id="9" xr3:uid="{BA9789C5-3D5A-4116-A350-0CD2B1942BEB}" name="Import Model" dataDxfId="68"/>
    <tableColumn id="27" xr3:uid="{130E00DA-2541-439A-AAF1-BBC61FF846FA}" name="Layout with Cuttlets" dataDxfId="67"/>
    <tableColumn id="10" xr3:uid="{4C59C007-20BA-483B-9081-FE0635FFBA79}" name="Layout" dataDxfId="66"/>
    <tableColumn id="11" xr3:uid="{629EA07B-34F0-4549-BAE2-60375AB6EC4D}" name="Cuttlet IPR (1)" dataDxfId="65"/>
    <tableColumn id="13" xr3:uid="{59F4616F-978C-4D46-A77B-7810E7235644}" name="Cuttlet IPR (2)" dataDxfId="64"/>
    <tableColumn id="14" xr3:uid="{B7946BF9-8CF0-4C90-89A5-BC367F1A2EAC}" name="Profitability Projections" dataDxfId="63"/>
    <tableColumn id="15" xr3:uid="{28C81B0E-C240-4960-8EB6-598E1E8547DE}" name="Blank" dataDxfId="62">
      <calculatedColumnFormula>COUNTIFS([1]Fleet!$E:$E,Table1[[#This Row],[Old Assy '#]])+COUNTIFS([1]OnDeck!$E:$E,Table1[[#This Row],[Old Assy '#]])</calculatedColumnFormula>
    </tableColumn>
    <tableColumn id="82" xr3:uid="{77EDAB86-517D-4000-B561-C1898D3EFDCA}" name="Created Date (.BB) " dataDxfId="61"/>
    <tableColumn id="87" xr3:uid="{E7E63CEB-D9E0-4299-8B4E-B061E414544B}" name="Design Flaw" dataDxfId="60"/>
    <tableColumn id="84" xr3:uid="{2CCE4139-2B31-4E4F-9FB0-7C855C315FAA}" name="Phase Out" dataDxfId="59"/>
    <tableColumn id="83" xr3:uid="{4A5A3971-223B-4C37-B683-A032D9ED542A}" name="Zero Inventory" dataDxfId="58"/>
    <tableColumn id="85" xr3:uid="{DE89FD99-36B8-44A7-B3CD-D7197840810C}" name="Phase out &amp; Zero Inventory" dataDxfId="57">
      <calculatedColumnFormula>IF(AND(Table1[[#This Row],[Phase Out]]="Y",Table1[[#This Row],[Zero Inventory]]="Y"),"Y","")</calculatedColumnFormula>
    </tableColumn>
    <tableColumn id="16" xr3:uid="{E929DC0F-886C-4EF9-8D51-724A45BF2846}" name="Size" dataDxfId="56"/>
    <tableColumn id="17" xr3:uid="{45267240-CBDD-4FF7-9578-C99D9C379805}" name="Model" dataDxfId="55"/>
    <tableColumn id="81" xr3:uid="{71ECA33D-F908-4B2C-8701-6670427E5928}" name="Model Series" dataDxfId="54">
      <calculatedColumnFormula>IF(LEFT(Table1[[#This Row],[Model]],2)="NX","NX",IF(LEFT(Table1[[#This Row],[Model]],2)="CR","CR",""))</calculatedColumnFormula>
    </tableColumn>
    <tableColumn id="63" xr3:uid="{EEB8DA55-47F3-4FD0-8C21-0077162E714A}" name="Blade Count" dataDxfId="53">
      <calculatedColumnFormula>LEFT(SUBSTITUTE(SUBSTITUTE(Table1[[#This Row],[Model]],"NX",""),"CR",""),1)</calculatedColumnFormula>
    </tableColumn>
    <tableColumn id="64" xr3:uid="{72365B80-392F-4BAB-8263-F10B341D86F2}" name="Primary Cutter Size" dataDxfId="52">
      <calculatedColumnFormula>MID(SUBSTITUTE(SUBSTITUTE(Table1[[#This Row],[Model]],"NX",""),"CR",""),2,2)</calculatedColumnFormula>
    </tableColumn>
    <tableColumn id="66" xr3:uid="{608D1F82-9828-4385-9674-C9A979898475}" name="Matrix" dataDxfId="51">
      <calculatedColumnFormula>IF(ISNUMBER(FIND("M",Table1[[#This Row],[Model]])),"M","")</calculatedColumnFormula>
    </tableColumn>
    <tableColumn id="65" xr3:uid="{69230CEC-B570-4AD1-98E0-1A68923BE599}" name="Model Type" dataDxfId="50">
      <calculatedColumnFormula>CONCATENATE(MID(Table1[[#This Row],[Model]],FIND("-",Table1[[#This Row],[Model]])+1,2),IF(RIGHT(MID(Table1[[#This Row],[Model]],FIND("-",Table1[[#This Row],[Model]])+1,3),1)="+","+",""))</calculatedColumnFormula>
    </tableColumn>
    <tableColumn id="69" xr3:uid="{70429B59-DB50-47A0-B4D0-8E6442EFA25C}" name="Nozzle Count" dataDxfId="49">
      <calculatedColumnFormula>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calculatedColumnFormula>
    </tableColumn>
    <tableColumn id="67" xr3:uid="{40AC939E-4616-47D0-9CBD-464B4317524C}" name="(K)" dataDxfId="48">
      <calculatedColumnFormula>IF(ISNUMBER(SEARCH("(K)",Table1[[#This Row],[Model]])),"(K)","")</calculatedColumnFormula>
    </tableColumn>
    <tableColumn id="68" xr3:uid="{13E4D120-3EF8-48B6-A3E5-E957090AAE96}" name="(BR)" dataDxfId="47">
      <calculatedColumnFormula>IF(ISNUMBER(SEARCH("(BR)",Table1[[#This Row],[Model]])),"(BR)","")</calculatedColumnFormula>
    </tableColumn>
    <tableColumn id="18" xr3:uid="{82563657-0305-4272-A03D-CE18147CA7D5}" name="Bit material" dataDxfId="46"/>
    <tableColumn id="20" xr3:uid="{1B84F595-4703-4380-BFA0-150A9BCD17DB}" name="API Thread" dataDxfId="45"/>
    <tableColumn id="78" xr3:uid="{65D67248-8F48-4535-B5F9-FA08121BEB88}" name="Notes" dataDxfId="44"/>
    <tableColumn id="77" xr3:uid="{5252AB5F-65AD-4E5B-AF74-E11A352FB7B3}" name="X Notes " dataDxfId="43"/>
    <tableColumn id="59" xr3:uid="{6D8CA40E-6C4A-4108-B838-F9FE7979BEF6}" name="App (V, C, L)" dataDxfId="42"/>
    <tableColumn id="49" xr3:uid="{3BAFAE2D-4C98-4EE5-98FB-E26F4B1D164E}" name="App Interval Type" dataDxfId="41">
      <calculatedColumnFormula>SUBSTITUTE(INDEX('[2]M1 App'!$A$2:$R$349,MATCH(VALUE(LEFT(Table1[[#This Row],[Old Assy '#]],4)),'[2]M1 App'!$B$2:$B$349,0),MATCH(Table1[[#Headers],[App Interval Type]],'[2]M1 App'!$A$1:$R$1,0))," ","")</calculatedColumnFormula>
    </tableColumn>
    <tableColumn id="57" xr3:uid="{28AC9DAE-04FA-4D95-86D1-FDB7E2B57E42}" name="App Std cost" dataDxfId="40"/>
    <tableColumn id="62" xr3:uid="{B8BA7469-9E72-4BA5-93E6-1FA722A15D7C}" name="Layout Durability 0-9" dataDxfId="39"/>
    <tableColumn id="61" xr3:uid="{155C54C7-8092-4319-BAAB-798FAFF44FFD}" name="Steerability 0-9" dataDxfId="38"/>
    <tableColumn id="42" xr3:uid="{E0739374-056D-4D6B-91E9-7AE11D4D11E6}" name="App Six Three" dataDxfId="37">
      <calculatedColumnFormula>VALUE(SUBSTITUTE(INDEX('[2]M1 App'!$A$2:$R$349,MATCH(VALUE(LEFT(Table1[[#This Row],[Old Assy '#]],4)),'[2]M1 App'!$B$2:$B$349,0),MATCH(Table1[[#Headers],[App Six Three]],'[2]M1 App'!$A$1:$R$1,0))," ",""))</calculatedColumnFormula>
    </tableColumn>
    <tableColumn id="55" xr3:uid="{029A37B6-0B11-47F5-A91F-58EBCFB76A77}" name="App Cutter Layout" dataDxfId="36">
      <calculatedColumnFormula>SUBSTITUTE(INDEX('[2]M1 App'!$A$2:$R$349,MATCH(VALUE(LEFT(Table1[[#This Row],[Old Assy '#]],4)),'[2]M1 App'!$B$2:$B$349,0),MATCH(Table1[[#Headers],[App Cutter Layout]],'[2]M1 App'!$A$1:$R$1,0))," ","")</calculatedColumnFormula>
    </tableColumn>
    <tableColumn id="53" xr3:uid="{637B2CEA-A677-424A-9D0E-D27653E2FE9C}" name="Pattern Order" dataDxfId="35"/>
    <tableColumn id="54" xr3:uid="{CFCFBAA1-58FE-4B8B-A846-BC83D8F8A5B6}" name="Above gauge Ø" dataDxfId="34"/>
    <tableColumn id="56" xr3:uid="{4C30FFA7-D5AD-4402-8BF5-50D57FF1D264}" name="Above gauge exposure" dataDxfId="33">
      <calculatedColumnFormula>IF(ISNUMBER(Table1[[#This Row],[Above gauge Ø]]),((Table1[[#This Row],[Size]]-Table1[[#This Row],[Above gauge Ø]])/2)-0.05,"")</calculatedColumnFormula>
    </tableColumn>
    <tableColumn id="79" xr3:uid="{8B7C0D0A-6E32-42F0-A05F-4FA655AA30AC}" name="Apex Exposure after HM (%)" dataDxfId="32" dataCellStyle="Percent"/>
    <tableColumn id="48" xr3:uid="{07984EA9-1D79-4703-90AA-97FDB571F528}" name="Profile Type" dataDxfId="31"/>
    <tableColumn id="52" xr3:uid="{DC0A880E-3F96-46E1-8F21-CADFFBD25F85}" name="Gauge Ø" dataDxfId="30"/>
    <tableColumn id="51" xr3:uid="{D95DD9FF-92BB-4BA2-A977-47E262A2FB47}" name="Shoulder Shape" dataDxfId="29"/>
    <tableColumn id="47" xr3:uid="{A1E863C9-2B99-46CE-B75C-1C6258B97BBC}" name="Cone Angle" dataDxfId="28"/>
    <tableColumn id="22" xr3:uid="{6DC6CD52-C8EB-4B6A-8EA3-9939D9404140}" name="6-3 --- Pri. PDC's on Sec. Blades Engage --- (min fthr·100rpm)" dataDxfId="27"/>
    <tableColumn id="46" xr3:uid="{CD1A72F3-9E15-4791-81AC-13781A474FFA}" name="Nose --- Sec. PDC's Engage --- (min fthr·100rpm)" dataDxfId="26"/>
    <tableColumn id="80" xr3:uid="{48C974E0-4B14-47D6-B6E6-A0E7A39FA959}" name="Taper --- Sec. PDC Engage --- (min fthr·100rpm)" dataDxfId="25"/>
    <tableColumn id="44" xr3:uid="{9474CB6C-9487-4B0B-982D-AF39C1E14A06}" name="Nose --- Knuckles Engage --- (min fthr·100rpm)" dataDxfId="24"/>
    <tableColumn id="45" xr3:uid="{56755A04-BC44-42F5-A09A-0EB9604C7D0B}" name="Taper --- Knuckles Engage --- (min fthr·100rpm)" dataDxfId="23"/>
    <tableColumn id="23" xr3:uid="{5ED454BC-5CAE-4435-A646-9AAF8B3F58E9}" name="Back Rake (Cone ≈25% Ø)" dataDxfId="22"/>
    <tableColumn id="24" xr3:uid="{A66ACD12-25A0-446E-9F97-4F2BA18327F1}" name="Back Rake (Nose ≈55% Ø)" dataDxfId="21"/>
    <tableColumn id="25" xr3:uid="{4B6375EA-6A70-4D0E-99B5-81E83CC90389}" name="Back Rake (Taper ≈80% Ø)" dataDxfId="20"/>
    <tableColumn id="21" xr3:uid="{7B4E2208-49F5-4F33-A3CA-7B8BD0935C30}" name="Back Rake (Gauge 100% Ø)" dataDxfId="19"/>
    <tableColumn id="58" xr3:uid="{F6BC1F80-3CD0-4A41-A12F-E5601D1C2265}" name="Summary" dataDxfId="18">
      <calculatedColumnFormula>CONCATENATE("► M1 Notes: ",#REF!," •-----► CL-SKF Notes: ",#REF!," •-----► DS Notes: ",#REF!)</calculatedColumnFormula>
    </tableColumn>
    <tableColumn id="35" xr3:uid="{45F283AE-AE24-49C3-80E3-8B2140C4A45D}" name="Primary Cutting Structure" dataDxfId="17"/>
    <tableColumn id="29" xr3:uid="{7CAE2FD4-ADBC-45EB-9472-6E45996D3EB3}" name="Wear Pad Length" dataDxfId="16"/>
    <tableColumn id="30" xr3:uid="{56D1262D-A99B-44F1-8827-5A39F187196C}" name="Wear Pad Type" dataDxfId="15"/>
    <tableColumn id="31" xr3:uid="{926D214E-606F-48CD-9F30-92E3B236FF7F}" name="Wear pad in2" dataDxfId="14"/>
    <tableColumn id="32" xr3:uid="{A28704F7-86E8-4F66-99CB-94ED304F788A}" name="JSA" dataDxfId="13"/>
    <tableColumn id="33" xr3:uid="{CE0657D6-CFA4-4E42-B391-9EA4505EF741}" name="Blade Relief?" dataDxfId="12"/>
    <tableColumn id="34" xr3:uid="{92B7E947-F80F-4953-ADB5-3526EFB1C7FC}" name="Cone Relief?" dataDxfId="11"/>
    <tableColumn id="36" xr3:uid="{B6B41CE4-3DF8-4D0A-A3DF-2034CC995ECF}" name="Sec. Blade Webbing?" dataDxfId="10"/>
    <tableColumn id="37" xr3:uid="{6099326B-B9DB-42CB-BA3F-C5B228C27208}" name="Pri. Nozzle Series" dataDxfId="9"/>
    <tableColumn id="38" xr3:uid="{97CC4785-857F-4605-944A-9DF129068956}" name="Sec. Nozzle Series" dataDxfId="8"/>
    <tableColumn id="39" xr3:uid="{ED8F3D7A-94C7-4B5C-9100-41E8F5E7421F}" name="Pri. Nozzle Count" dataDxfId="7"/>
    <tableColumn id="40" xr3:uid="{619D44E3-58A3-481F-A557-2B295DA9FE88}" name="Sec. Nozzle Count" dataDxfId="6"/>
    <tableColumn id="41" xr3:uid="{9E97090C-1EC4-40F6-9DDC-AA725B43202B}" name="Max TFA"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1" Type="http://schemas.openxmlformats.org/officeDocument/2006/relationships/hyperlink" Target="file:///\\cot-dc01.cot-i.com\CapRockDocuments\Engineering\01_Designs\2020\CDG-38413r1.dwg" TargetMode="External"/><Relationship Id="rId170" Type="http://schemas.openxmlformats.org/officeDocument/2006/relationships/hyperlink" Target="file:///\\cot-dc01.cot-i.com\CapRockDocuments\Engineering\01_Designs\2020\061%20South%20Texas%20Vertical%20Production%20PDC%20Bit%20Design%20Request%20rev%20C.docx" TargetMode="External"/><Relationship Id="rId268" Type="http://schemas.openxmlformats.org/officeDocument/2006/relationships/hyperlink" Target="file:///\\cot-dc01.cot-i.com\CapRockDocuments\Engineering\01_Designs\2272\2272.dwg" TargetMode="External"/><Relationship Id="rId475" Type="http://schemas.openxmlformats.org/officeDocument/2006/relationships/hyperlink" Target="file:///\\cot-dc01.cot-i.com\CapRockDocuments\Engineering\02_Spec%20Sheets\Original%20Assy%20Spec%20Sheets\2272.pdf" TargetMode="External"/><Relationship Id="rId682" Type="http://schemas.openxmlformats.org/officeDocument/2006/relationships/hyperlink" Target="file:///\\COT-SQL01\SEData\cot-i\eg\se\rel\Fixed%20Cutter%20Rockbits%20SKF\Size%2017.500\Blade%206\SKF-02194r03.asm" TargetMode="External"/><Relationship Id="rId128" Type="http://schemas.openxmlformats.org/officeDocument/2006/relationships/hyperlink" Target="file:///\\cot-dc01.cot-i.com\CapRockDocuments\Engineering\01_Designs\2152\2152A_Summary.docx" TargetMode="External"/><Relationship Id="rId335" Type="http://schemas.openxmlformats.org/officeDocument/2006/relationships/hyperlink" Target="file:///\\cot-dc01.cot-i.com\CapRockDocuments\Engineering\01_Designs\2140\2140B%20at%20.200%20inRev.pdf" TargetMode="External"/><Relationship Id="rId542" Type="http://schemas.openxmlformats.org/officeDocument/2006/relationships/hyperlink" Target="file:///\\cot-dc01.cot-i.com\CapRockDocuments\Engineering\02_Spec%20Sheets\WIP%202.0\5244.2179\2179.Top.C.png" TargetMode="External"/><Relationship Id="rId987" Type="http://schemas.openxmlformats.org/officeDocument/2006/relationships/hyperlink" Target="file:///\\cot-dc01.cot-i.com\CapRockDocuments\Engineering\01_Designs\2143\2143%20LO.dwg" TargetMode="External"/><Relationship Id="rId1172" Type="http://schemas.openxmlformats.org/officeDocument/2006/relationships/hyperlink" Target="file:///\\cot-dc01.cot-i.com\CapRockDocuments\Engineering\01_Designs\2556\2556r00%20@%200.250%20in_rev.dwg" TargetMode="External"/><Relationship Id="rId402" Type="http://schemas.openxmlformats.org/officeDocument/2006/relationships/hyperlink" Target="file:///\\cot-dc01.cot-i.com\CapRockDocuments\Engineering\02_Spec%20Sheets\WIP%202.0\7118.2247\2247.ISO.C.png" TargetMode="External"/><Relationship Id="rId847" Type="http://schemas.openxmlformats.org/officeDocument/2006/relationships/hyperlink" Target="file:///\\cot-dc01.cot-i.com\CapRockDocuments\Engineering\01_Designs\2225\2225%20@%200.25%20IPR.dwg" TargetMode="External"/><Relationship Id="rId1032" Type="http://schemas.openxmlformats.org/officeDocument/2006/relationships/hyperlink" Target="file:///\\cot-dc01.cot-i.com\CapRockDocuments\Engineering\01_Designs\2043\2043%20LO.dwg" TargetMode="External"/><Relationship Id="rId707" Type="http://schemas.openxmlformats.org/officeDocument/2006/relationships/hyperlink" Target="file:///\\COT-SQL01\SEData\cot-i\eg\se\rel\Fixed%20Cutter%20Rockbits%20SKF\Size%2004.750\Blade%206\SKB-02242r00.asm" TargetMode="External"/><Relationship Id="rId914" Type="http://schemas.openxmlformats.org/officeDocument/2006/relationships/hyperlink" Target="file:///\\cot-dc01.cot-i.com\CapRockDocuments\Engineering\01_Designs\2074\2074%20@%200.25%20IPR.xls" TargetMode="External"/><Relationship Id="rId1337" Type="http://schemas.openxmlformats.org/officeDocument/2006/relationships/hyperlink" Target="file:///\\cot-dc01.cot-i.com\CapRockDocuments\Engineering\01_Designs\9387\9387r0%20Design.dft" TargetMode="External"/><Relationship Id="rId43" Type="http://schemas.openxmlformats.org/officeDocument/2006/relationships/hyperlink" Target="file:///\\cot-dc01.cot-i.com\CapRockDocuments\Engineering\01_Designs\2141\CDG-38739r1.xlsm" TargetMode="External"/><Relationship Id="rId192" Type="http://schemas.openxmlformats.org/officeDocument/2006/relationships/hyperlink" Target="file:///\\cot-dc01.cot-i.com\CapRockDocuments\Engineering\01_Designs\2217\DRQ%20-%20Midland%20Basin%20-%2012.25%202138%20Replacement.doc" TargetMode="External"/><Relationship Id="rId497" Type="http://schemas.openxmlformats.org/officeDocument/2006/relationships/hyperlink" Target="file:///\\cot-dc01.cot-i.com\CapRockDocuments\Engineering\02_Spec%20Sheets\Original%20Assy%20Spec%20Sheets\2180.pdf" TargetMode="External"/><Relationship Id="rId357" Type="http://schemas.openxmlformats.org/officeDocument/2006/relationships/hyperlink" Target="file:///\\cot-dc01.cot-i.com\CapRockDocuments\Engineering\02_Spec%20Sheets\WIP%202.0\5699.2051\2051.ISO.C.png" TargetMode="External"/><Relationship Id="rId1194" Type="http://schemas.openxmlformats.org/officeDocument/2006/relationships/hyperlink" Target="file:///\\cot-dc01.cot-i.com\CapRockDocuments\Engineering\01_Designs\5674\5674r00%20ISO.png" TargetMode="External"/><Relationship Id="rId217" Type="http://schemas.openxmlformats.org/officeDocument/2006/relationships/hyperlink" Target="file:///\\cot-dc01.cot-i.com\CapRockDocuments\Engineering\02_Spec%20Sheets\WIP%202.0\5128.2070\2070.Top.C.png" TargetMode="External"/><Relationship Id="rId564" Type="http://schemas.openxmlformats.org/officeDocument/2006/relationships/hyperlink" Target="file:///\\cot-dc01.cot-i.com\CapRockDocuments\Engineering\02_Spec%20Sheets\WIP%202.0\9801.2198\2198.Top.C.png" TargetMode="External"/><Relationship Id="rId771" Type="http://schemas.openxmlformats.org/officeDocument/2006/relationships/hyperlink" Target="file:///\\cot-dc01.cot-i.com\CapRockDocuments\Engineering\01_Designs\2194\2194.dwg" TargetMode="External"/><Relationship Id="rId869" Type="http://schemas.openxmlformats.org/officeDocument/2006/relationships/hyperlink" Target="file:///\\cot-dc01.cot-i.com\CapRockDocuments\Engineering\01_Designs\2268\2268%20LO.dwg" TargetMode="External"/><Relationship Id="rId424" Type="http://schemas.openxmlformats.org/officeDocument/2006/relationships/hyperlink" Target="file:///\\cot-dc01.cot-i.com\CapRockDocuments\Engineering\02_Spec%20Sheets\Original%20Assy%20Spec%20Sheets\2005.pdf" TargetMode="External"/><Relationship Id="rId631" Type="http://schemas.openxmlformats.org/officeDocument/2006/relationships/hyperlink" Target="file:///\\COT-SQL01\SEData\cot-i\eg\se\rel\Fixed%20Cutter%20Rockbits%20SKF\Size%2008.500\Blade%205\SKF-02070r01.asm" TargetMode="External"/><Relationship Id="rId729" Type="http://schemas.openxmlformats.org/officeDocument/2006/relationships/hyperlink" Target="file:///\\cot-dc01.cot-i.com\CapRockDocuments\Engineering\01_Designs\2247\2247%20@%200.25%20IPR.xls" TargetMode="External"/><Relationship Id="rId1054" Type="http://schemas.openxmlformats.org/officeDocument/2006/relationships/hyperlink" Target="file:///\\cot-dc01.cot-i.com\CapRockDocuments\Engineering\01_Designs\2018L\2018%20@%200.25%20IPR.dwg" TargetMode="External"/><Relationship Id="rId1261" Type="http://schemas.openxmlformats.org/officeDocument/2006/relationships/hyperlink" Target="file:///\\cot-dc01.cot-i.com\CapRockDocuments\Engineering\01_Designs\5749\5749r00%20Min%20Engagement%20v8.01.xlsm" TargetMode="External"/><Relationship Id="rId1359" Type="http://schemas.openxmlformats.org/officeDocument/2006/relationships/hyperlink" Target="file:///\\cot-dc01.cot-i.com\CapRockDocuments\Engineering\02_Spec%20Sheets\Original%20Assy%20Spec%20Sheets\4796r00%20Spec%20Sheet.pdf" TargetMode="External"/><Relationship Id="rId936" Type="http://schemas.openxmlformats.org/officeDocument/2006/relationships/hyperlink" Target="file:///\\cot-dc01.cot-i.com\CapRockDocuments\Engineering\01_Designs\2093\2093%20LO.dwg" TargetMode="External"/><Relationship Id="rId1121" Type="http://schemas.openxmlformats.org/officeDocument/2006/relationships/hyperlink" Target="file:///\\cot-dc01.cot-i.com\CapRockDocuments\Engineering\02_Spec%20Sheets\Original%20Assy%20Spec%20Sheets\5481.pdf" TargetMode="External"/><Relationship Id="rId1219" Type="http://schemas.openxmlformats.org/officeDocument/2006/relationships/hyperlink" Target="file:///\\cot-dc01.cot-i.com\CapRockDocuments\Engineering\01_Designs\3336\3336r00%20CS%20Placement%20V4.xls" TargetMode="External"/><Relationship Id="rId65" Type="http://schemas.openxmlformats.org/officeDocument/2006/relationships/hyperlink" Target="file:///\\cot-dc01.cot-i.com\CapRockDocuments\Engineering\01_Designs\2091\CDG-38639r1.xlsm" TargetMode="External"/><Relationship Id="rId281" Type="http://schemas.openxmlformats.org/officeDocument/2006/relationships/hyperlink" Target="file:///\\cot-dc01.cot-i.com\CapRockDocuments\Engineering\01_Designs\2143\2143.dwg" TargetMode="External"/><Relationship Id="rId141" Type="http://schemas.openxmlformats.org/officeDocument/2006/relationships/hyperlink" Target="file:///\\cot-dc01.cot-i.com\CapRockDocuments\Engineering\01_Designs\2196\2196A_Summary.docx" TargetMode="External"/><Relationship Id="rId379" Type="http://schemas.openxmlformats.org/officeDocument/2006/relationships/hyperlink" Target="file:///\\cot-dc01.cot-i.com\CapRockDocuments\Engineering\02_Spec%20Sheets\WIP%202.0\6713.2124\2124.ISO.C.png" TargetMode="External"/><Relationship Id="rId586" Type="http://schemas.openxmlformats.org/officeDocument/2006/relationships/hyperlink" Target="file:///\\cot-dc01.cot-i.com\CapRockDocuments\Engineering\02_Spec%20Sheets\WIP%202.0\5320.2145\2145.ISO.C.png" TargetMode="External"/><Relationship Id="rId793" Type="http://schemas.openxmlformats.org/officeDocument/2006/relationships/hyperlink" Target="file:///\\cot-dc01.cot-i.com\CapRockDocuments\Engineering\01_Designs\2193\2193%20@%200.25%20IPR.dwg" TargetMode="External"/><Relationship Id="rId7" Type="http://schemas.openxmlformats.org/officeDocument/2006/relationships/hyperlink" Target="file:///\\cot-dc01.cot-i.com\CapRockDocuments\Engineering\01_Designs\2141\CDG-38739r1.dwg" TargetMode="External"/><Relationship Id="rId239" Type="http://schemas.openxmlformats.org/officeDocument/2006/relationships/hyperlink" Target="file:///\\cot-dc01.cot-i.com\CapRockDocuments\Engineering\02_Spec%20Sheets\WIP%202.0\4599.2140\2140.Top.C.png" TargetMode="External"/><Relationship Id="rId446" Type="http://schemas.openxmlformats.org/officeDocument/2006/relationships/hyperlink" Target="file:///\\cot-dc01.cot-i.com\CapRockDocuments\Engineering\02_Spec%20Sheets\Original%20Assy%20Spec%20Sheets\2091.pdf" TargetMode="External"/><Relationship Id="rId653" Type="http://schemas.openxmlformats.org/officeDocument/2006/relationships/hyperlink" Target="file:///\\COT-SQL01\SEData\cot-i\eg\se\rel\Fixed%20Cutter%20Rockbits%20SKF\Size%2007.875\Blade%206\SKF-02131r01.asm" TargetMode="External"/><Relationship Id="rId1076" Type="http://schemas.openxmlformats.org/officeDocument/2006/relationships/hyperlink" Target="file:///\\cot-dc01.cot-i.com\CapRockDocuments\Engineering\01_Designs\8479\8479%20@%200.25%20IPR.dwg" TargetMode="External"/><Relationship Id="rId1283" Type="http://schemas.openxmlformats.org/officeDocument/2006/relationships/hyperlink" Target="file:///\\cot-dc01.cot-i.com\CapRockDocuments\Engineering\01_Designs\9692\9692r00%20Min%20Engagement%20v8.01.xlsm" TargetMode="External"/><Relationship Id="rId306" Type="http://schemas.openxmlformats.org/officeDocument/2006/relationships/hyperlink" Target="file:///\\cot-dc01.cot-i.com\CapRockDocuments\Engineering\01_Designs\2091\2091A.dwg" TargetMode="External"/><Relationship Id="rId860" Type="http://schemas.openxmlformats.org/officeDocument/2006/relationships/hyperlink" Target="file:///\\cot-dc01.cot-i.com\CapRockDocuments\Engineering\01_Designs\2252\2252%20@%200.25%20IPR.xls" TargetMode="External"/><Relationship Id="rId958" Type="http://schemas.openxmlformats.org/officeDocument/2006/relationships/hyperlink" Target="file:///\\cot-dc01.cot-i.com\CapRockDocuments\Engineering\01_Designs\2117\2117%20@%200.25%20IPR.dwg" TargetMode="External"/><Relationship Id="rId1143" Type="http://schemas.openxmlformats.org/officeDocument/2006/relationships/hyperlink" Target="file:///\\cot-dc01.cot-i.com\CapRockDocuments\Engineering\01_Designs\6513\6513%20CS%20Placement%20V4.xls" TargetMode="External"/><Relationship Id="rId87" Type="http://schemas.openxmlformats.org/officeDocument/2006/relationships/hyperlink" Target="file:///\\cot-dc01.cot-i.com\CapRockDocuments\Engineering\01_Designs\2122\2122A_Summary.docx" TargetMode="External"/><Relationship Id="rId513" Type="http://schemas.openxmlformats.org/officeDocument/2006/relationships/hyperlink" Target="file:///\\cot-dc01.cot-i.com\CapRockDocuments\Engineering\02_Spec%20Sheets\Original%20Assy%20Spec%20Sheets\2075.pdf" TargetMode="External"/><Relationship Id="rId720" Type="http://schemas.openxmlformats.org/officeDocument/2006/relationships/hyperlink" Target="file:///\\COT-SQL01\SEData\cot-i\eg\se\rel\Fixed%20Cutter%20Rockbits%20SKF\Size%2013.500\blade%206\SKF-02049r02.asm" TargetMode="External"/><Relationship Id="rId818" Type="http://schemas.openxmlformats.org/officeDocument/2006/relationships/hyperlink" Target="file:///\\cot-dc01.cot-i.com\CapRockDocuments\Engineering\01_Designs\2185\2185.dwg" TargetMode="External"/><Relationship Id="rId1350" Type="http://schemas.openxmlformats.org/officeDocument/2006/relationships/hyperlink" Target="file:///\\cot-dc01.cot-i.com\CapRockDocuments\Engineering\02_Spec%20Sheets\Original%20Assy%20Spec%20Sheets\6841r00%20Spec%20Sheet.pdf" TargetMode="External"/><Relationship Id="rId1003" Type="http://schemas.openxmlformats.org/officeDocument/2006/relationships/hyperlink" Target="file:///\\cot-dc01.cot-i.com\CapRockDocuments\Engineering\01_Designs\2157\2157%20@%200.25%20IPR.dwg" TargetMode="External"/><Relationship Id="rId1210" Type="http://schemas.openxmlformats.org/officeDocument/2006/relationships/hyperlink" Target="file:///\\cot-dc01.cot-i.com\CapRockDocuments\Engineering\01_Designs\5646\5646r00%20Layout.dwg" TargetMode="External"/><Relationship Id="rId1308" Type="http://schemas.openxmlformats.org/officeDocument/2006/relationships/hyperlink" Target="file:///\\cot-dc01.cot-i.com\CapRockDocuments\Engineering\01_Designs\2362\2362r00%20Design.dwg" TargetMode="External"/><Relationship Id="rId14" Type="http://schemas.openxmlformats.org/officeDocument/2006/relationships/hyperlink" Target="file:///\\cot-dc01.cot-i.com\CapRockDocuments\Engineering\01_Designs\2077\CDG-38594r1.dwg" TargetMode="External"/><Relationship Id="rId163" Type="http://schemas.openxmlformats.org/officeDocument/2006/relationships/hyperlink" Target="file:///\\cot-dc01.cot-i.com\CapRockDocuments\Engineering\01_Designs\2017\086%20619-SR%20(South%20Texas)%20PDC%20Bit%20Design%20Request%20rev%20C.docx" TargetMode="External"/><Relationship Id="rId370" Type="http://schemas.openxmlformats.org/officeDocument/2006/relationships/hyperlink" Target="file:///\\cot-dc01.cot-i.com\CapRockDocuments\Engineering\02_Spec%20Sheets\WIP%202.0\7426.2104\2104.ISO.C.png" TargetMode="External"/><Relationship Id="rId230" Type="http://schemas.openxmlformats.org/officeDocument/2006/relationships/hyperlink" Target="file:///\\cot-dc01.cot-i.com\CapRockDocuments\Engineering\02_Spec%20Sheets\WIP%202.0\9826.2117\2117.Top.C.png" TargetMode="External"/><Relationship Id="rId468" Type="http://schemas.openxmlformats.org/officeDocument/2006/relationships/hyperlink" Target="file:///\\cot-dc01.cot-i.com\CapRockDocuments\Engineering\02_Spec%20Sheets\Original%20Assy%20Spec%20Sheets\2196.pdf" TargetMode="External"/><Relationship Id="rId675" Type="http://schemas.openxmlformats.org/officeDocument/2006/relationships/hyperlink" Target="file:///\\COT-SQL01\SEData\cot-i\eg\se\rel\Fixed%20Cutter%20Rockbits%20SKF\Size%2007.875\Blade%206\SKF-02181r01.asm" TargetMode="External"/><Relationship Id="rId882" Type="http://schemas.openxmlformats.org/officeDocument/2006/relationships/hyperlink" Target="file:///\\cot-dc01.cot-i.com\CapRockDocuments\Engineering\01_Designs\2186\2186%20LO.dwg" TargetMode="External"/><Relationship Id="rId1098" Type="http://schemas.openxmlformats.org/officeDocument/2006/relationships/hyperlink" Target="file:///\\cot-dc01.cot-i.com\CapRockDocuments\Engineering\01_Designs\4720\4720%20@%200.25%20IPR.xls" TargetMode="External"/><Relationship Id="rId328" Type="http://schemas.openxmlformats.org/officeDocument/2006/relationships/hyperlink" Target="file:///\\cot-dc01.cot-i.com\CapRockDocuments\Engineering\01_Designs\2224\2224.dwg" TargetMode="External"/><Relationship Id="rId535" Type="http://schemas.openxmlformats.org/officeDocument/2006/relationships/hyperlink" Target="file:///\\cot-dc01.cot-i.com\CapRockDocuments\Engineering\02_Spec%20Sheets\WIP%202.0\4291.2186\2186.Top.C.png" TargetMode="External"/><Relationship Id="rId742" Type="http://schemas.openxmlformats.org/officeDocument/2006/relationships/hyperlink" Target="file:///\\cot-dc01.cot-i.com\CapRockDocuments\Engineering\01_Designs\2226\2226.dwg" TargetMode="External"/><Relationship Id="rId1165" Type="http://schemas.openxmlformats.org/officeDocument/2006/relationships/hyperlink" Target="file:///\\cot-dc01.cot-i.com\CapRockDocuments\Engineering\01_Designs\3449\3449r00%20@%200.25%20in_rev.dwg" TargetMode="External"/><Relationship Id="rId1372" Type="http://schemas.openxmlformats.org/officeDocument/2006/relationships/hyperlink" Target="file:///\\cot-dc01.cot-i.com\CapRockDocuments\Engineering\02_Spec%20Sheets\Original%20Assy%20Spec%20Sheets\2746r00%20Spec%20Sheet.pdf" TargetMode="External"/><Relationship Id="rId602" Type="http://schemas.openxmlformats.org/officeDocument/2006/relationships/hyperlink" Target="file:///\\cot-dc01.cot-i.com\CapRockDocuments\Engineering\02_Spec%20Sheets\WIP%202.0\8570.2256\2256.ISO.C.png" TargetMode="External"/><Relationship Id="rId1025" Type="http://schemas.openxmlformats.org/officeDocument/2006/relationships/hyperlink" Target="file:///\\cot-dc01.cot-i.com\CapRockDocuments\Engineering\01_Designs\2049L\2049%20@%200.25%20IPR.xls" TargetMode="External"/><Relationship Id="rId1232" Type="http://schemas.openxmlformats.org/officeDocument/2006/relationships/hyperlink" Target="file:///\\cot-dc01.cot-i.com\CapRockDocuments\Engineering\01_Designs\3219\3219r00%20Design.dwg" TargetMode="External"/><Relationship Id="rId907" Type="http://schemas.openxmlformats.org/officeDocument/2006/relationships/hyperlink" Target="file:///\\cot-dc01.cot-i.com\CapRockDocuments\Engineering\01_Designs\2192\2192%20@%200.25%20IPR.dwg" TargetMode="External"/><Relationship Id="rId36" Type="http://schemas.openxmlformats.org/officeDocument/2006/relationships/hyperlink" Target="file:///\\cot-dc01.cot-i.com\CapRockDocuments\Engineering\01_Designs\2270\CDG-39120r1.dwg" TargetMode="External"/><Relationship Id="rId185" Type="http://schemas.openxmlformats.org/officeDocument/2006/relationships/hyperlink" Target="file:///\\cot-dc01.cot-i.com\CapRockDocuments\Engineering\01_Designs\2193\NDR%20-%20XTO%20Energy%20-%208.5%20Vertical%20SWD%20Bit.doc" TargetMode="External"/><Relationship Id="rId392" Type="http://schemas.openxmlformats.org/officeDocument/2006/relationships/hyperlink" Target="file:///\\cot-dc01.cot-i.com\CapRockDocuments\Engineering\02_Spec%20Sheets\WIP%202.0\2570.2158\2158.ISO.C.png" TargetMode="External"/><Relationship Id="rId697" Type="http://schemas.openxmlformats.org/officeDocument/2006/relationships/hyperlink" Target="file:///\\COT-SQL01\SEData\cot-i\eg\se\rel\Fixed%20Cutter%20Rockbits%20SKF\Size%2006.125\Blade%204\SKF-02225r01.asm" TargetMode="External"/><Relationship Id="rId252" Type="http://schemas.openxmlformats.org/officeDocument/2006/relationships/hyperlink" Target="file:///\\cot-dc01.cot-i.com\CapRockDocuments\Engineering\02_Spec%20Sheets\WIP%202.0\6597.2172\2172.Top.C.png" TargetMode="External"/><Relationship Id="rId1187" Type="http://schemas.openxmlformats.org/officeDocument/2006/relationships/hyperlink" Target="file:///\\cot-dc01.cot-i.com\CapRockDocuments\Engineering\01_Designs\7823\7823r00%20Layout.dwg" TargetMode="External"/><Relationship Id="rId112" Type="http://schemas.openxmlformats.org/officeDocument/2006/relationships/hyperlink" Target="file:///\\cot-dc01.cot-i.com\CapRockDocuments\Engineering\01_Designs\2075\2075A_Summary.docx" TargetMode="External"/><Relationship Id="rId557" Type="http://schemas.openxmlformats.org/officeDocument/2006/relationships/hyperlink" Target="file:///\\cot-dc01.cot-i.com\CapRockDocuments\Engineering\02_Spec%20Sheets\WIP%202.0\7798.2190\2190.Top.C.png" TargetMode="External"/><Relationship Id="rId764" Type="http://schemas.openxmlformats.org/officeDocument/2006/relationships/hyperlink" Target="file:///\\cot-dc01.cot-i.com\CapRockDocuments\Engineering\01_Designs\2198\2198.dwg" TargetMode="External"/><Relationship Id="rId971" Type="http://schemas.openxmlformats.org/officeDocument/2006/relationships/hyperlink" Target="file:///\\cot-dc01.cot-i.com\CapRockDocuments\Engineering\01_Designs\2124\2124%20@%200.25%20IPR.xls" TargetMode="External"/><Relationship Id="rId417" Type="http://schemas.openxmlformats.org/officeDocument/2006/relationships/hyperlink" Target="file:///\\cot-dc01.cot-i.com\CapRockDocuments\Engineering\02_Spec%20Sheets\Original%20Assy%20Spec%20Sheets\2205.pdf" TargetMode="External"/><Relationship Id="rId624" Type="http://schemas.openxmlformats.org/officeDocument/2006/relationships/hyperlink" Target="file:///\\COT-SQL01\SEData\cot-i\eg\se\rel\Fixed%20Cutter%20Rockbits%20SKF\Size%2017.500\Blade%206\SKF-02036r4.asm" TargetMode="External"/><Relationship Id="rId831" Type="http://schemas.openxmlformats.org/officeDocument/2006/relationships/hyperlink" Target="file:///\\cot-dc01.cot-i.com\CapRockDocuments\Engineering\01_Designs\1970\1970.dwg" TargetMode="External"/><Relationship Id="rId1047" Type="http://schemas.openxmlformats.org/officeDocument/2006/relationships/hyperlink" Target="file:///\\cot-dc01.cot-i.com\CapRockDocuments\Engineering\01_Designs\2020\2020%20LO.dwg" TargetMode="External"/><Relationship Id="rId1254" Type="http://schemas.openxmlformats.org/officeDocument/2006/relationships/hyperlink" Target="file:///\\cot-dc01.cot-i.com\CapRockDocuments\Engineering\01_Designs\5132\5132r00%20ISO.png" TargetMode="External"/><Relationship Id="rId929" Type="http://schemas.openxmlformats.org/officeDocument/2006/relationships/hyperlink" Target="file:///\\cot-dc01.cot-i.com\CapRockDocuments\Engineering\01_Designs\2090\2090%20@%200.25%20IPR.xls" TargetMode="External"/><Relationship Id="rId1114" Type="http://schemas.openxmlformats.org/officeDocument/2006/relationships/hyperlink" Target="file:///\\cot-dc01.cot-i.com\CapRockDocuments\Engineering\01_Designs\3943\3943.dwg" TargetMode="External"/><Relationship Id="rId1321" Type="http://schemas.openxmlformats.org/officeDocument/2006/relationships/hyperlink" Target="file:///\\cot-dc01.cot-i.com\CapRockDocuments\Engineering\02_Spec%20Sheets\Original%20Assy%20Spec%20Sheets\2268.pdf" TargetMode="External"/><Relationship Id="rId58" Type="http://schemas.openxmlformats.org/officeDocument/2006/relationships/hyperlink" Target="file:///\\cot-dc01.cot-i.com\CapRockDocuments\Engineering\01_Designs\2010\CDG-38381r1.xls" TargetMode="External"/><Relationship Id="rId274" Type="http://schemas.openxmlformats.org/officeDocument/2006/relationships/hyperlink" Target="file:///\\cot-dc01.cot-i.com\CapRockDocuments\Engineering\01_Designs\2049L\2049A.dwg" TargetMode="External"/><Relationship Id="rId481" Type="http://schemas.openxmlformats.org/officeDocument/2006/relationships/hyperlink" Target="file:///\\cot-dc01.cot-i.com\CapRockDocuments\Engineering\02_Spec%20Sheets\Original%20Assy%20Spec%20Sheets\2115.pdf" TargetMode="External"/><Relationship Id="rId134" Type="http://schemas.openxmlformats.org/officeDocument/2006/relationships/hyperlink" Target="file:///\\cot-dc01.cot-i.com\CapRockDocuments\Engineering\01_Designs\2181\2181A_Summary.docx" TargetMode="External"/><Relationship Id="rId579" Type="http://schemas.openxmlformats.org/officeDocument/2006/relationships/hyperlink" Target="file:///\\cot-dc01.cot-i.com\CapRockDocuments\Engineering\02_Spec%20Sheets\WIP%202.0\4408.2173\2173.ISO.C.png" TargetMode="External"/><Relationship Id="rId786" Type="http://schemas.openxmlformats.org/officeDocument/2006/relationships/hyperlink" Target="file:///\\cot-dc01.cot-i.com\CapRockDocuments\Engineering\01_Designs\2004\2004%20@%200.25%20IPR.xls" TargetMode="External"/><Relationship Id="rId993" Type="http://schemas.openxmlformats.org/officeDocument/2006/relationships/hyperlink" Target="file:///\\cot-dc01.cot-i.com\CapRockDocuments\Engineering\01_Designs\2152\2152%20LO.dwg" TargetMode="External"/><Relationship Id="rId341" Type="http://schemas.openxmlformats.org/officeDocument/2006/relationships/hyperlink" Target="file:///\\cot-dc01.cot-i.com\CapRockDocuments\Engineering\02_Spec%20Sheets\WIP%202.0\4718.1967\1967.ISO.C.png" TargetMode="External"/><Relationship Id="rId439" Type="http://schemas.openxmlformats.org/officeDocument/2006/relationships/hyperlink" Target="file:///\\cot-dc01.cot-i.com\CapRockDocuments\Engineering\02_Spec%20Sheets\Original%20Assy%20Spec%20Sheets\2033.pdf" TargetMode="External"/><Relationship Id="rId646" Type="http://schemas.openxmlformats.org/officeDocument/2006/relationships/hyperlink" Target="file:///\\COT-SQL01\SEData\cot-i\eg\se\rel\Fixed%20Cutter%20Rockbits%20SKF\Size%2006.750\Blade%205\SKF-02117r01.asm" TargetMode="External"/><Relationship Id="rId1069" Type="http://schemas.openxmlformats.org/officeDocument/2006/relationships/hyperlink" Target="file:///\\cot-dc01.cot-i.com\CapRockDocuments\Engineering\01_Designs\2381\2381%20LO.dwg" TargetMode="External"/><Relationship Id="rId1276" Type="http://schemas.openxmlformats.org/officeDocument/2006/relationships/hyperlink" Target="file:///\\cot-dc01.cot-i.com\CapRockDocuments\Engineering\01_Designs\9692\2024.10.20%20-%20NDRr01%20-%209692%20-%207.875%20613%20VCL-19kft.doc" TargetMode="External"/><Relationship Id="rId201" Type="http://schemas.openxmlformats.org/officeDocument/2006/relationships/hyperlink" Target="file:///\\cot-dc01.cot-i.com\CapRockDocuments\Engineering\02_Spec%20Sheets\WIP%202.0\3123.2004\2004.Top.C.png" TargetMode="External"/><Relationship Id="rId506" Type="http://schemas.openxmlformats.org/officeDocument/2006/relationships/hyperlink" Target="file:///\\cot-dc01.cot-i.com\CapRockDocuments\Engineering\02_Spec%20Sheets\Original%20Assy%20Spec%20Sheets\2192.pdf" TargetMode="External"/><Relationship Id="rId853" Type="http://schemas.openxmlformats.org/officeDocument/2006/relationships/hyperlink" Target="file:///\\cot-dc01.cot-i.com\CapRockDocuments\Engineering\01_Designs\2240\2240%20@%200.25%20IPR.dwg" TargetMode="External"/><Relationship Id="rId1136" Type="http://schemas.openxmlformats.org/officeDocument/2006/relationships/hyperlink" Target="file:///\\cot-dc01.cot-i.com\CapRockDocuments\Engineering\01_Designs\4538\4538r0%20Min%20Engagement%20v6.10.xlsm" TargetMode="External"/><Relationship Id="rId713" Type="http://schemas.openxmlformats.org/officeDocument/2006/relationships/hyperlink" Target="file:///\\COT-SQL01\SEData\cot-i\eg\se\rel\Fixed%20Cutter%20Rockbits%20SKF\Size%2012.250\Blade%206\SKF-02265r01.asm" TargetMode="External"/><Relationship Id="rId920" Type="http://schemas.openxmlformats.org/officeDocument/2006/relationships/hyperlink" Target="file:///\\cot-dc01.cot-i.com\CapRockDocuments\Engineering\01_Designs\2077\2077%20@%200.25%20IPR.xls" TargetMode="External"/><Relationship Id="rId1343" Type="http://schemas.openxmlformats.org/officeDocument/2006/relationships/hyperlink" Target="file:///\\cot-dc01.cot-i.com\CapRockDocuments\Engineering\01_Designs\6841\&#216;%207.875%20516M-XR7(K)(BR)%20---%20Assy%203060%20---%20NDRr01.doc" TargetMode="External"/><Relationship Id="rId1203" Type="http://schemas.openxmlformats.org/officeDocument/2006/relationships/hyperlink" Target="file:///\\cot-dc01.cot-i.com\CapRockDocuments\Engineering\01_Designs\6150\6150r01@0.25_in_rev.dwg" TargetMode="External"/><Relationship Id="rId296" Type="http://schemas.openxmlformats.org/officeDocument/2006/relationships/hyperlink" Target="file:///\\cot-dc01.cot-i.com\CapRockDocuments\Engineering\01_Designs\2043\2043A.dwg" TargetMode="External"/><Relationship Id="rId156" Type="http://schemas.openxmlformats.org/officeDocument/2006/relationships/hyperlink" Target="file:///\\cot-dc01.cot-i.com\CapRockDocuments\Engineering\01_Designs\2240\2240A_Summary.docx" TargetMode="External"/><Relationship Id="rId363" Type="http://schemas.openxmlformats.org/officeDocument/2006/relationships/hyperlink" Target="file:///\\cot-dc01.cot-i.com\CapRockDocuments\Engineering\02_Spec%20Sheets\WIP%202.0\3193.2077\2077.ISO.C.png" TargetMode="External"/><Relationship Id="rId570" Type="http://schemas.openxmlformats.org/officeDocument/2006/relationships/hyperlink" Target="file:///\\cot-dc01.cot-i.com\CapRockDocuments\Engineering\02_Spec%20Sheets\WIP%202.0\3442.2010\2010.ISO.C.png" TargetMode="External"/><Relationship Id="rId223" Type="http://schemas.openxmlformats.org/officeDocument/2006/relationships/hyperlink" Target="file:///\\cot-dc01.cot-i.com\CapRockDocuments\Engineering\02_Spec%20Sheets\WIP%202.0\4979.2091\2091.Top.C.png" TargetMode="External"/><Relationship Id="rId430" Type="http://schemas.openxmlformats.org/officeDocument/2006/relationships/hyperlink" Target="file:///\\cot-dc01.cot-i.com\CapRockDocuments\Engineering\02_Spec%20Sheets\Original%20Assy%20Spec%20Sheets\2141.pdf" TargetMode="External"/><Relationship Id="rId668" Type="http://schemas.openxmlformats.org/officeDocument/2006/relationships/hyperlink" Target="file:///\\COT-SQL01\SEData\cot-i\eg\se\rel\Fixed%20Cutter%20Rockbits%20SKF\Size%2014.750\Blade%206\SKF-02169r02.asm" TargetMode="External"/><Relationship Id="rId875" Type="http://schemas.openxmlformats.org/officeDocument/2006/relationships/hyperlink" Target="file:///\\cot-dc01.cot-i.com\CapRockDocuments\Engineering\01_Designs\2174\2174%20@%200.25%20IPR.dwg" TargetMode="External"/><Relationship Id="rId1060" Type="http://schemas.openxmlformats.org/officeDocument/2006/relationships/hyperlink" Target="file:///\\cot-dc01.cot-i.com\CapRockDocuments\Engineering\01_Designs\2169\2169%20@%200.25%20IPR.dwg" TargetMode="External"/><Relationship Id="rId1298" Type="http://schemas.openxmlformats.org/officeDocument/2006/relationships/hyperlink" Target="file:///\\cot-dc01.cot-i.com\CapRockDocuments\Engineering\01_Designs\8896\8896r00%20Layout.dwg" TargetMode="External"/><Relationship Id="rId528" Type="http://schemas.openxmlformats.org/officeDocument/2006/relationships/hyperlink" Target="file:///\\cot-dc01.cot-i.com\CapRockDocuments\Engineering\02_Spec%20Sheets\WIP%202.0\3442.2010\2010.Top.C.png" TargetMode="External"/><Relationship Id="rId735" Type="http://schemas.openxmlformats.org/officeDocument/2006/relationships/hyperlink" Target="file:///\\cot-dc01.cot-i.com\CapRockDocuments\Engineering\01_Designs\2232\2232%20@%200.25%20IPR.xls" TargetMode="External"/><Relationship Id="rId942" Type="http://schemas.openxmlformats.org/officeDocument/2006/relationships/hyperlink" Target="file:///\\cot-dc01.cot-i.com\CapRockDocuments\Engineering\01_Designs\2096\2096%20LO.dwg" TargetMode="External"/><Relationship Id="rId1158" Type="http://schemas.openxmlformats.org/officeDocument/2006/relationships/hyperlink" Target="file:///\\cot-dc01.cot-i.com\CapRockDocuments\Engineering\01_Designs\9023\9023r0%20Design.dwg" TargetMode="External"/><Relationship Id="rId1365" Type="http://schemas.openxmlformats.org/officeDocument/2006/relationships/hyperlink" Target="file:///\\cot-dc01.cot-i.com\CapRockDocuments\Engineering\01_Designs\4149\4149r00%20Min%20Engagement%20v8.01.xlsm" TargetMode="External"/><Relationship Id="rId1018" Type="http://schemas.openxmlformats.org/officeDocument/2006/relationships/hyperlink" Target="file:///\\cot-dc01.cot-i.com\CapRockDocuments\Engineering\01_Designs\2053\2053%20@%200.25%20IPR.dwg" TargetMode="External"/><Relationship Id="rId1225" Type="http://schemas.openxmlformats.org/officeDocument/2006/relationships/hyperlink" Target="file:///\\cot-dc01.cot-i.com\CapRockDocuments\Engineering\01_Designs\7273\7273r00%20@%200.25%20in_rev.dwg" TargetMode="External"/><Relationship Id="rId71" Type="http://schemas.openxmlformats.org/officeDocument/2006/relationships/hyperlink" Target="file:///\\cot-dc01.cot-i.com\CapRockDocuments\Engineering\01_Designs\2172\CDG-38823r1.xlsm" TargetMode="External"/><Relationship Id="rId802" Type="http://schemas.openxmlformats.org/officeDocument/2006/relationships/hyperlink" Target="file:///\\cot-dc01.cot-i.com\CapRockDocuments\Engineering\01_Designs\2012\2012%20@%200.25%20IPR.xls" TargetMode="External"/><Relationship Id="rId29" Type="http://schemas.openxmlformats.org/officeDocument/2006/relationships/hyperlink" Target="file:///\\cot-dc01.cot-i.com\CapRockDocuments\Engineering\01_Designs\2172\CDG-38823r1.dwg" TargetMode="External"/><Relationship Id="rId178" Type="http://schemas.openxmlformats.org/officeDocument/2006/relationships/hyperlink" Target="file:///\\cot-dc01.cot-i.com\CapRockDocuments\Engineering\01_Designs\2174\New%20Design%20Request%20-%20Jagged%20Peak%20-%208.75%20Curve%20Bit.doc" TargetMode="External"/><Relationship Id="rId385" Type="http://schemas.openxmlformats.org/officeDocument/2006/relationships/hyperlink" Target="file:///\\cot-dc01.cot-i.com\CapRockDocuments\Engineering\02_Spec%20Sheets\WIP%202.0\7681.2142\2142.ISO.C.png" TargetMode="External"/><Relationship Id="rId592" Type="http://schemas.openxmlformats.org/officeDocument/2006/relationships/hyperlink" Target="file:///\\cot-dc01.cot-i.com\CapRockDocuments\Engineering\02_Spec%20Sheets\WIP%202.0\6441.2196\2196.ISO.C.png" TargetMode="External"/><Relationship Id="rId245" Type="http://schemas.openxmlformats.org/officeDocument/2006/relationships/hyperlink" Target="file:///\\cot-dc01.cot-i.com\CapRockDocuments\Engineering\02_Spec%20Sheets\WIP%202.0\9227.2153\2153.Top.C.png" TargetMode="External"/><Relationship Id="rId452" Type="http://schemas.openxmlformats.org/officeDocument/2006/relationships/hyperlink" Target="file:///\\cot-dc01.cot-i.com\CapRockDocuments\Engineering\02_Spec%20Sheets\Original%20Assy%20Spec%20Sheets\2179.pdf" TargetMode="External"/><Relationship Id="rId897" Type="http://schemas.openxmlformats.org/officeDocument/2006/relationships/hyperlink" Target="file:///\\cot-dc01.cot-i.com\CapRockDocuments\Engineering\01_Designs\2251\2251%20LO.dwg" TargetMode="External"/><Relationship Id="rId1082" Type="http://schemas.openxmlformats.org/officeDocument/2006/relationships/hyperlink" Target="file:///\\cot-dc01.cot-i.com\CapRockDocuments\Engineering\01_Designs\6207\6207%20@%200.25%20IPR.xls" TargetMode="External"/><Relationship Id="rId105" Type="http://schemas.openxmlformats.org/officeDocument/2006/relationships/hyperlink" Target="file:///\\cot-dc01.cot-i.com\CapRockDocuments\Engineering\01_Designs\2033\2033A_Summary.doc" TargetMode="External"/><Relationship Id="rId312" Type="http://schemas.openxmlformats.org/officeDocument/2006/relationships/hyperlink" Target="file:///\\cot-dc01.cot-i.com\CapRockDocuments\Engineering\01_Designs\2115\2115A.dwg" TargetMode="External"/><Relationship Id="rId757" Type="http://schemas.openxmlformats.org/officeDocument/2006/relationships/hyperlink" Target="file:///\\cot-dc01.cot-i.com\CapRockDocuments\Engineering\01_Designs\2208\2208%20@%200.25%20IPR.xls" TargetMode="External"/><Relationship Id="rId964" Type="http://schemas.openxmlformats.org/officeDocument/2006/relationships/hyperlink" Target="file:///\\cot-dc01.cot-i.com\CapRockDocuments\Engineering\01_Designs\2120\2120%20@%200.25%20IPR.dwg" TargetMode="External"/><Relationship Id="rId93" Type="http://schemas.openxmlformats.org/officeDocument/2006/relationships/hyperlink" Target="file:///\\cot-dc01.cot-i.com\CapRockDocuments\Engineering\01_Designs\2142\2142A_Summary.docx" TargetMode="External"/><Relationship Id="rId617" Type="http://schemas.openxmlformats.org/officeDocument/2006/relationships/hyperlink" Target="file:///\\COT-SQL01\SEData\cot-i\eg\se\rel\Fixed%20Cutter%20Rockbits%20SKF\Size%2009.875\Blade%206\SKF-02012r02.asm" TargetMode="External"/><Relationship Id="rId824" Type="http://schemas.openxmlformats.org/officeDocument/2006/relationships/hyperlink" Target="file:///\\cot-dc01.cot-i.com\CapRockDocuments\Engineering\01_Designs\2190\2190.dwg" TargetMode="External"/><Relationship Id="rId1247" Type="http://schemas.openxmlformats.org/officeDocument/2006/relationships/hyperlink" Target="file:///\\cot-dc01.cot-i.com\CapRockDocuments\Engineering\01_Designs\4288\4288r00%20TOP.png" TargetMode="External"/><Relationship Id="rId1107" Type="http://schemas.openxmlformats.org/officeDocument/2006/relationships/hyperlink" Target="file:///\\cot-dc01.cot-i.com\CapRockDocuments\Engineering\01_Designs\3943\3943r1%20Design.dwg" TargetMode="External"/><Relationship Id="rId1314" Type="http://schemas.openxmlformats.org/officeDocument/2006/relationships/hyperlink" Target="file:///\\cot-dc01.cot-i.com\CapRockDocuments\Engineering\01_Designs\2362\2362r00%20TOP.png" TargetMode="External"/><Relationship Id="rId20" Type="http://schemas.openxmlformats.org/officeDocument/2006/relationships/hyperlink" Target="file:///\\cot-dc01.cot-i.com\CapRockDocuments\Engineering\01_Designs\2012\CDG-38392r1.dwg" TargetMode="External"/><Relationship Id="rId267" Type="http://schemas.openxmlformats.org/officeDocument/2006/relationships/hyperlink" Target="file:///\\cot-dc01.cot-i.com\CapRockDocuments\Engineering\01_Designs\2268\2268.dwg" TargetMode="External"/><Relationship Id="rId474" Type="http://schemas.openxmlformats.org/officeDocument/2006/relationships/hyperlink" Target="file:///\\cot-dc01.cot-i.com\CapRockDocuments\Engineering\02_Spec%20Sheets\Original%20Assy%20Spec%20Sheets\1970.pdf" TargetMode="External"/><Relationship Id="rId127" Type="http://schemas.openxmlformats.org/officeDocument/2006/relationships/hyperlink" Target="file:///\\cot-dc01.cot-i.com\CapRockDocuments\Engineering\01_Designs\2131\2131A_Summary.docx" TargetMode="External"/><Relationship Id="rId681" Type="http://schemas.openxmlformats.org/officeDocument/2006/relationships/hyperlink" Target="file:///\\COT-SQL01\SEData\cot-i\eg\se\rel\Fixed%20Cutter%20Rockbits%20SKF\Size%2008.500\Blade%207\SKF-02193r01.asm" TargetMode="External"/><Relationship Id="rId779" Type="http://schemas.openxmlformats.org/officeDocument/2006/relationships/hyperlink" Target="file:///\\cot-dc01.cot-i.com\CapRockDocuments\Engineering\01_Designs\2174\2174.dwg" TargetMode="External"/><Relationship Id="rId986" Type="http://schemas.openxmlformats.org/officeDocument/2006/relationships/hyperlink" Target="file:///\\cot-dc01.cot-i.com\CapRockDocuments\Engineering\01_Designs\2143\2143%20@%200.25%20IPR.xls" TargetMode="External"/><Relationship Id="rId334" Type="http://schemas.openxmlformats.org/officeDocument/2006/relationships/hyperlink" Target="file:///\\cot-dc01.cot-i.com\CapRockDocuments\Engineering\01_Designs\2131\2131A%20@%20.200%20in_rev.pdf" TargetMode="External"/><Relationship Id="rId541" Type="http://schemas.openxmlformats.org/officeDocument/2006/relationships/hyperlink" Target="file:///\\cot-dc01.cot-i.com\CapRockDocuments\Engineering\02_Spec%20Sheets\WIP%202.0\5104.2206\2206.Top.C.png" TargetMode="External"/><Relationship Id="rId639" Type="http://schemas.openxmlformats.org/officeDocument/2006/relationships/hyperlink" Target="file:///\\COT-SQL01\SEData\cot-i\eg\se\rel\Fixed%20Cutter%20Rockbits%20SKF\Size%2007.875\Blade%204\SKF-02093r01.asm" TargetMode="External"/><Relationship Id="rId1171" Type="http://schemas.openxmlformats.org/officeDocument/2006/relationships/hyperlink" Target="file:///\\cot-dc01.cot-i.com\CapRockDocuments\Engineering\01_Designs\2556\2556r00%20LO.dwg" TargetMode="External"/><Relationship Id="rId1269" Type="http://schemas.openxmlformats.org/officeDocument/2006/relationships/hyperlink" Target="file:///\\cot-dc01.cot-i.com\CapRockDocuments\Engineering\01_Designs\6653\6653r00%20Top.png" TargetMode="External"/><Relationship Id="rId401" Type="http://schemas.openxmlformats.org/officeDocument/2006/relationships/hyperlink" Target="file:///\\cot-dc01.cot-i.com\CapRockDocuments\Engineering\02_Spec%20Sheets\WIP%202.0\4211.2216\2216.ISO.C.png" TargetMode="External"/><Relationship Id="rId846" Type="http://schemas.openxmlformats.org/officeDocument/2006/relationships/hyperlink" Target="file:///\\cot-dc01.cot-i.com\CapRockDocuments\Engineering\01_Designs\2227\2227%20@%200.25%20IPR.dwg" TargetMode="External"/><Relationship Id="rId1031" Type="http://schemas.openxmlformats.org/officeDocument/2006/relationships/hyperlink" Target="file:///\\cot-dc01.cot-i.com\CapRockDocuments\Engineering\01_Designs\2043\2043%20@%200.25%20IPR.xls" TargetMode="External"/><Relationship Id="rId1129" Type="http://schemas.openxmlformats.org/officeDocument/2006/relationships/hyperlink" Target="file:///\\cot-dc01.cot-i.com\CapRockDocuments\Engineering\01_Designs\9427\9427r1%20Top.png" TargetMode="External"/><Relationship Id="rId706" Type="http://schemas.openxmlformats.org/officeDocument/2006/relationships/hyperlink" Target="file:///\\COT-SQL01\SEData\cot-i\eg\se\rel\Fixed%20Cutter%20Rockbits%20SKF\Size%2010.625\Blade%206\SKF-02241r01.asm" TargetMode="External"/><Relationship Id="rId913" Type="http://schemas.openxmlformats.org/officeDocument/2006/relationships/hyperlink" Target="file:///\\cot-dc01.cot-i.com\CapRockDocuments\Engineering\01_Designs\2070\2070%20@%200.25%20IPR.dwg" TargetMode="External"/><Relationship Id="rId1336" Type="http://schemas.openxmlformats.org/officeDocument/2006/relationships/hyperlink" Target="file:///\\cot-dc01.cot-i.com\CapRockDocuments\Engineering\01_Designs\9387\9387r00%20CS%20Placement%20V5.xls" TargetMode="External"/><Relationship Id="rId42" Type="http://schemas.openxmlformats.org/officeDocument/2006/relationships/hyperlink" Target="file:///\\cot-dc01.cot-i.com\CapRockDocuments\Engineering\01_Designs\2122\CDG-38705r1.xlsm" TargetMode="External"/><Relationship Id="rId191" Type="http://schemas.openxmlformats.org/officeDocument/2006/relationships/hyperlink" Target="file:///\\cot-dc01.cot-i.com\CapRockDocuments\Engineering\01_Designs\2210\DRQ%20-%20Howard%20County%20-%2012.25%20716%20Drillout.doc" TargetMode="External"/><Relationship Id="rId289" Type="http://schemas.openxmlformats.org/officeDocument/2006/relationships/hyperlink" Target="file:///\\cot-dc01.cot-i.com\CapRockDocuments\Engineering\01_Designs\2077\2077A.dwg" TargetMode="External"/><Relationship Id="rId496" Type="http://schemas.openxmlformats.org/officeDocument/2006/relationships/hyperlink" Target="file:///\\cot-dc01.cot-i.com\CapRockDocuments\Engineering\02_Spec%20Sheets\Original%20Assy%20Spec%20Sheets\2120.pdf" TargetMode="External"/><Relationship Id="rId149" Type="http://schemas.openxmlformats.org/officeDocument/2006/relationships/hyperlink" Target="file:///\\cot-dc01.cot-i.com\CapRockDocuments\Engineering\01_Designs\2220\2220A_Summary.docx" TargetMode="External"/><Relationship Id="rId356" Type="http://schemas.openxmlformats.org/officeDocument/2006/relationships/hyperlink" Target="file:///\\cot-dc01.cot-i.com\CapRockDocuments\Engineering\02_Spec%20Sheets\WIP%202.0\5136.2050\2050.ISO.C.png" TargetMode="External"/><Relationship Id="rId563" Type="http://schemas.openxmlformats.org/officeDocument/2006/relationships/hyperlink" Target="file:///\\cot-dc01.cot-i.com\CapRockDocuments\Engineering\02_Spec%20Sheets\WIP%202.0\9561.2240\2240.Top.C.png" TargetMode="External"/><Relationship Id="rId770" Type="http://schemas.openxmlformats.org/officeDocument/2006/relationships/hyperlink" Target="file:///\\cot-dc01.cot-i.com\CapRockDocuments\Engineering\01_Designs\2195\2195%20@%200.25%20IPR.dwg" TargetMode="External"/><Relationship Id="rId1193" Type="http://schemas.openxmlformats.org/officeDocument/2006/relationships/hyperlink" Target="file:///\\cot-dc01.cot-i.com\CapRockDocuments\Engineering\01_Designs\5674\5674r00%20Top.png" TargetMode="External"/><Relationship Id="rId216" Type="http://schemas.openxmlformats.org/officeDocument/2006/relationships/hyperlink" Target="file:///\\cot-dc01.cot-i.com\CapRockDocuments\Engineering\02_Spec%20Sheets\WIP%202.0\2529.2054\2054.Top.C.png" TargetMode="External"/><Relationship Id="rId423" Type="http://schemas.openxmlformats.org/officeDocument/2006/relationships/hyperlink" Target="file:///\\cot-dc01.cot-i.com\CapRockDocuments\Engineering\02_Spec%20Sheets\Original%20Assy%20Spec%20Sheets\2236.pdf" TargetMode="External"/><Relationship Id="rId868" Type="http://schemas.openxmlformats.org/officeDocument/2006/relationships/hyperlink" Target="file:///\\cot-dc01.cot-i.com\CapRockDocuments\Engineering\01_Designs\2268\2268%20@%200.25%20IPR.xls" TargetMode="External"/><Relationship Id="rId1053" Type="http://schemas.openxmlformats.org/officeDocument/2006/relationships/hyperlink" Target="file:///\\cot-dc01.cot-i.com\CapRockDocuments\Engineering\01_Designs\2018L\2018%20LO.dwg" TargetMode="External"/><Relationship Id="rId1260" Type="http://schemas.openxmlformats.org/officeDocument/2006/relationships/hyperlink" Target="file:///\\cot-dc01.cot-i.com\CapRockDocuments\Engineering\01_Designs\5749\5749r00%20CS%20Placement%20V4.xls" TargetMode="External"/><Relationship Id="rId630" Type="http://schemas.openxmlformats.org/officeDocument/2006/relationships/hyperlink" Target="file:///\\COT-SQL01\SEData\cot-i\eg\se\rel\Fixed%20Cutter%20Rockbits%20SKF\Size%2008.500\Blade%206\SKF-02054r01.asm" TargetMode="External"/><Relationship Id="rId728" Type="http://schemas.openxmlformats.org/officeDocument/2006/relationships/hyperlink" Target="file:///\\cot-dc01.cot-i.com\CapRockDocuments\Engineering\01_Designs\2249\2249%20@%200.25%20IPR.dwg" TargetMode="External"/><Relationship Id="rId935" Type="http://schemas.openxmlformats.org/officeDocument/2006/relationships/hyperlink" Target="file:///\\cot-dc01.cot-i.com\CapRockDocuments\Engineering\01_Designs\2093\2093%20@%200.25%20IPR.xls" TargetMode="External"/><Relationship Id="rId1358" Type="http://schemas.openxmlformats.org/officeDocument/2006/relationships/hyperlink" Target="file:///\\cot-sql01\sedata\cot-i\eg\se\rel\Fixed%20Cutter%20Rockbits%20SKF\Size%2006.750\Blade%206\4796r00%20Design.par" TargetMode="External"/><Relationship Id="rId64" Type="http://schemas.openxmlformats.org/officeDocument/2006/relationships/hyperlink" Target="file:///\\cot-dc01.cot-i.com\CapRockDocuments\Engineering\01_Designs\2081\CDG-38611.xlsm" TargetMode="External"/><Relationship Id="rId1120" Type="http://schemas.openxmlformats.org/officeDocument/2006/relationships/hyperlink" Target="file:///\\cot-dc01.cot-i.com\CapRockDocuments\Engineering\02_Spec%20Sheets\WIP%202.0\5481\5481.ISO.C.png" TargetMode="External"/><Relationship Id="rId1218" Type="http://schemas.openxmlformats.org/officeDocument/2006/relationships/hyperlink" Target="file:///\\cot-dc01.cot-i.com\CapRockDocuments\Engineering\01_Designs\3336\3336r00%20Min%20Engagement%20v7.01.xlsm" TargetMode="External"/><Relationship Id="rId280" Type="http://schemas.openxmlformats.org/officeDocument/2006/relationships/hyperlink" Target="file:///\\cot-dc01.cot-i.com\CapRockDocuments\Engineering\01_Designs\2114\2114A.dwg" TargetMode="External"/><Relationship Id="rId140" Type="http://schemas.openxmlformats.org/officeDocument/2006/relationships/hyperlink" Target="file:///\\cot-dc01.cot-i.com\CapRockDocuments\Engineering\01_Designs\2195\2195A_Summary.docx" TargetMode="External"/><Relationship Id="rId378" Type="http://schemas.openxmlformats.org/officeDocument/2006/relationships/hyperlink" Target="file:///\\cot-dc01.cot-i.com\CapRockDocuments\Engineering\02_Spec%20Sheets\WIP%202.0\7410.2122\2122.ISO.C.png" TargetMode="External"/><Relationship Id="rId585" Type="http://schemas.openxmlformats.org/officeDocument/2006/relationships/hyperlink" Target="file:///\\cot-dc01.cot-i.com\CapRockDocuments\Engineering\02_Spec%20Sheets\WIP%202.0\5305.2270\2270.ISO.C.png" TargetMode="External"/><Relationship Id="rId792" Type="http://schemas.openxmlformats.org/officeDocument/2006/relationships/hyperlink" Target="file:///\\cot-dc01.cot-i.com\CapRockDocuments\Engineering\01_Designs\2193\2193.dwg" TargetMode="External"/><Relationship Id="rId6" Type="http://schemas.openxmlformats.org/officeDocument/2006/relationships/hyperlink" Target="file:///\\cot-dc01.cot-i.com\CapRockDocuments\Engineering\01_Designs\2122\CDG-38705r1.dwg" TargetMode="External"/><Relationship Id="rId238" Type="http://schemas.openxmlformats.org/officeDocument/2006/relationships/hyperlink" Target="file:///\\cot-dc01.cot-i.com\CapRockDocuments\Engineering\02_Spec%20Sheets\WIP%202.0\3665.2137\2137.Top.C.png" TargetMode="External"/><Relationship Id="rId445" Type="http://schemas.openxmlformats.org/officeDocument/2006/relationships/hyperlink" Target="file:///\\cot-dc01.cot-i.com\CapRockDocuments\Engineering\02_Spec%20Sheets\Original%20Assy%20Spec%20Sheets\2224.pdf" TargetMode="External"/><Relationship Id="rId652" Type="http://schemas.openxmlformats.org/officeDocument/2006/relationships/hyperlink" Target="file:///\\COT-SQL01\SEData\cot-i\eg\se\rel\Fixed%20Cutter%20Rockbits%20SKF\Size%2006.750\Blade%205\SKF-02126r01.asm" TargetMode="External"/><Relationship Id="rId1075" Type="http://schemas.openxmlformats.org/officeDocument/2006/relationships/hyperlink" Target="file:///\\cot-dc01.cot-i.com\CapRockDocuments\Engineering\01_Designs\8479\8479_LO.dwg" TargetMode="External"/><Relationship Id="rId1282" Type="http://schemas.openxmlformats.org/officeDocument/2006/relationships/hyperlink" Target="file:///\\cot-dc01.cot-i.com\CapRockDocuments\Engineering\01_Designs\9692\9692r00%20ISO.png" TargetMode="External"/><Relationship Id="rId305" Type="http://schemas.openxmlformats.org/officeDocument/2006/relationships/hyperlink" Target="file:///\\cot-dc01.cot-i.com\CapRockDocuments\Engineering\01_Designs\2090\2090A.dwg" TargetMode="External"/><Relationship Id="rId512" Type="http://schemas.openxmlformats.org/officeDocument/2006/relationships/hyperlink" Target="file:///\\cot-dc01.cot-i.com\CapRockDocuments\Engineering\02_Spec%20Sheets\Original%20Assy%20Spec%20Sheets\2198.pdf" TargetMode="External"/><Relationship Id="rId957" Type="http://schemas.openxmlformats.org/officeDocument/2006/relationships/hyperlink" Target="file:///\\cot-dc01.cot-i.com\CapRockDocuments\Engineering\01_Designs\2117\2117%20LO.dwg" TargetMode="External"/><Relationship Id="rId1142" Type="http://schemas.openxmlformats.org/officeDocument/2006/relationships/hyperlink" Target="file:///\\cot-dc01.cot-i.com\CapRockDocuments\Engineering\01_Designs\6513\6513r0%20Design.dwg" TargetMode="External"/><Relationship Id="rId86" Type="http://schemas.openxmlformats.org/officeDocument/2006/relationships/hyperlink" Target="file:///\\cot-dc01.cot-i.com\CapRockDocuments\Engineering\01_Designs\2119\2119A_Summary.docx" TargetMode="External"/><Relationship Id="rId817" Type="http://schemas.openxmlformats.org/officeDocument/2006/relationships/hyperlink" Target="file:///\\cot-dc01.cot-i.com\CapRockDocuments\Engineering\01_Designs\2185\2185%20@%200.25%20IPR.xls" TargetMode="External"/><Relationship Id="rId1002" Type="http://schemas.openxmlformats.org/officeDocument/2006/relationships/hyperlink" Target="file:///\\cot-dc01.cot-i.com\CapRockDocuments\Engineering\01_Designs\2157\2157%20LO.dwg" TargetMode="External"/><Relationship Id="rId1307" Type="http://schemas.openxmlformats.org/officeDocument/2006/relationships/hyperlink" Target="file:///\\cot-dc01.cot-i.com\CapRockDocuments\Engineering\01_Designs\2362\2362r00%20CS%20Placement%20V5.xls" TargetMode="External"/><Relationship Id="rId13" Type="http://schemas.openxmlformats.org/officeDocument/2006/relationships/hyperlink" Target="file:///\\cot-dc01.cot-i.com\CapRockDocuments\Engineering\01_Designs\2054\CDG-38531r1.dwg" TargetMode="External"/><Relationship Id="rId162" Type="http://schemas.openxmlformats.org/officeDocument/2006/relationships/hyperlink" Target="file:///\\cot-dc01.cot-i.com\CapRockDocuments\Engineering\01_Designs\2004\086%20616-YR%20PDC%20Bit%20Design%20Request%20rev%20C.docx" TargetMode="External"/><Relationship Id="rId467" Type="http://schemas.openxmlformats.org/officeDocument/2006/relationships/hyperlink" Target="file:///\\cot-dc01.cot-i.com\CapRockDocuments\Engineering\02_Spec%20Sheets\Original%20Assy%20Spec%20Sheets\2194.pdf" TargetMode="External"/><Relationship Id="rId1097" Type="http://schemas.openxmlformats.org/officeDocument/2006/relationships/hyperlink" Target="file:///\\cot-dc01.cot-i.com\CapRockDocuments\Engineering\01_Designs\4720\4720r1%20Design%202.xlsm" TargetMode="External"/><Relationship Id="rId674" Type="http://schemas.openxmlformats.org/officeDocument/2006/relationships/hyperlink" Target="file:///\\COT-SQL01\SEData\cot-i\eg\se\rel\Fixed%20Cutter%20Rockbits%20SKF\Size%2010.625\Blade%207\SKF-02180r01.asm" TargetMode="External"/><Relationship Id="rId881" Type="http://schemas.openxmlformats.org/officeDocument/2006/relationships/hyperlink" Target="file:///\\cot-dc01.cot-i.com\CapRockDocuments\Engineering\01_Designs\2186\2186%20@%200.25%20IPR.xls" TargetMode="External"/><Relationship Id="rId979" Type="http://schemas.openxmlformats.org/officeDocument/2006/relationships/hyperlink" Target="file:///\\cot-dc01.cot-i.com\CapRockDocuments\Engineering\01_Designs\2137\2137%20@%200.25%20IPR.dwg" TargetMode="External"/><Relationship Id="rId327" Type="http://schemas.openxmlformats.org/officeDocument/2006/relationships/hyperlink" Target="file:///\\cot-dc01.cot-i.com\CapRockDocuments\Engineering\01_Designs\2209\2209.dwg" TargetMode="External"/><Relationship Id="rId534" Type="http://schemas.openxmlformats.org/officeDocument/2006/relationships/hyperlink" Target="file:///\\cot-dc01.cot-i.com\CapRockDocuments\Engineering\02_Spec%20Sheets\WIP%202.0\4178.2241\2241.Top.C.png" TargetMode="External"/><Relationship Id="rId741" Type="http://schemas.openxmlformats.org/officeDocument/2006/relationships/hyperlink" Target="file:///\\cot-dc01.cot-i.com\CapRockDocuments\Engineering\01_Designs\2226\2226%20@%200.25%20IPR.xls" TargetMode="External"/><Relationship Id="rId839" Type="http://schemas.openxmlformats.org/officeDocument/2006/relationships/hyperlink" Target="file:///\\cot-dc01.cot-i.com\CapRockDocuments\Engineering\01_Designs\2207\2207%20@%200.25%20ipr.xls" TargetMode="External"/><Relationship Id="rId1164" Type="http://schemas.openxmlformats.org/officeDocument/2006/relationships/hyperlink" Target="file:///\\cot-dc01.cot-i.com\CapRockDocuments\Engineering\01_Designs\3449\3449r00.dwg" TargetMode="External"/><Relationship Id="rId1371" Type="http://schemas.openxmlformats.org/officeDocument/2006/relationships/hyperlink" Target="file:///\\cot-dc01.cot-i.com\CapRockDocuments\Engineering\02_Spec%20Sheets\Original%20Assy%20Spec%20Sheets\6135r00.pdf" TargetMode="External"/><Relationship Id="rId601" Type="http://schemas.openxmlformats.org/officeDocument/2006/relationships/hyperlink" Target="file:///\\cot-dc01.cot-i.com\CapRockDocuments\Engineering\02_Spec%20Sheets\WIP%202.0\8515.2235\2235.ISO.C.png" TargetMode="External"/><Relationship Id="rId1024" Type="http://schemas.openxmlformats.org/officeDocument/2006/relationships/hyperlink" Target="file:///\\cot-dc01.cot-i.com\CapRockDocuments\Engineering\01_Designs\2050\2050%20@%200.25%20IPR.dwg" TargetMode="External"/><Relationship Id="rId1231" Type="http://schemas.openxmlformats.org/officeDocument/2006/relationships/hyperlink" Target="file:///\\cot-dc01.cot-i.com\CapRockDocuments\Engineering\02_Spec%20Sheets\Original%20Assy%20Spec%20Sheets\7273r00.pdf" TargetMode="External"/><Relationship Id="rId906" Type="http://schemas.openxmlformats.org/officeDocument/2006/relationships/hyperlink" Target="file:///\\cot-dc01.cot-i.com\CapRockDocuments\Engineering\01_Designs\2192\2192%20LO.dwg" TargetMode="External"/><Relationship Id="rId1329" Type="http://schemas.openxmlformats.org/officeDocument/2006/relationships/hyperlink" Target="file:///\\cot-dc01.cot-i.com\CapRockDocuments\Engineering\01_Designs\6135\6135r00%20Min%20Engagement%20v8.01.xlsm" TargetMode="External"/><Relationship Id="rId35" Type="http://schemas.openxmlformats.org/officeDocument/2006/relationships/hyperlink" Target="file:///\\cot-dc01.cot-i.com\CapRockDocuments\Engineering\01_Designs\2242\CDG-39050r1.dwg" TargetMode="External"/><Relationship Id="rId184" Type="http://schemas.openxmlformats.org/officeDocument/2006/relationships/hyperlink" Target="file:///\\cot-dc01.cot-i.com\CapRockDocuments\Engineering\01_Designs\2192\NDR%20-%20Henley%20&amp;%20Associates%20-%208.75%20Intermediate%20Anadarko%20Basin.doc" TargetMode="External"/><Relationship Id="rId391" Type="http://schemas.openxmlformats.org/officeDocument/2006/relationships/hyperlink" Target="file:///\\cot-dc01.cot-i.com\CapRockDocuments\Engineering\02_Spec%20Sheets\WIP%202.0\8852.2157\2157.ISO.C.png" TargetMode="External"/><Relationship Id="rId251" Type="http://schemas.openxmlformats.org/officeDocument/2006/relationships/hyperlink" Target="file:///\\cot-dc01.cot-i.com\CapRockDocuments\Engineering\02_Spec%20Sheets\WIP%202.0\7584.2169\2169.Top.C.png" TargetMode="External"/><Relationship Id="rId489" Type="http://schemas.openxmlformats.org/officeDocument/2006/relationships/hyperlink" Target="file:///\\cot-dc01.cot-i.com\CapRockDocuments\Engineering\02_Spec%20Sheets\Original%20Assy%20Spec%20Sheets\2169.pdf" TargetMode="External"/><Relationship Id="rId696" Type="http://schemas.openxmlformats.org/officeDocument/2006/relationships/hyperlink" Target="file:///\\COT-SQL01\SEData\cot-i\eg\se\rel\Fixed%20Cutter%20Rockbits%20SKF\Size%2016.000\Blade%206\SKF-02224r01.asm" TargetMode="External"/><Relationship Id="rId349" Type="http://schemas.openxmlformats.org/officeDocument/2006/relationships/hyperlink" Target="file:///\\cot-dc01.cot-i.com\CapRockDocuments\Engineering\02_Spec%20Sheets\WIP%202.0\6902.2020\2020.ISO.C.png" TargetMode="External"/><Relationship Id="rId556" Type="http://schemas.openxmlformats.org/officeDocument/2006/relationships/hyperlink" Target="file:///\\cot-dc01.cot-i.com\CapRockDocuments\Engineering\02_Spec%20Sheets\WIP%202.0\7611.2181\2181.Top.C.png" TargetMode="External"/><Relationship Id="rId763" Type="http://schemas.openxmlformats.org/officeDocument/2006/relationships/hyperlink" Target="file:///\\cot-dc01.cot-i.com\CapRockDocuments\Engineering\01_Designs\2198\2198%20@%200.25%20IPR.xls" TargetMode="External"/><Relationship Id="rId1186" Type="http://schemas.openxmlformats.org/officeDocument/2006/relationships/hyperlink" Target="file:///\\cot-dc01.cot-i.com\CapRockDocuments\Engineering\01_Designs\7823\7823r00%20Min%20Engagement%20v7.01.xlsm" TargetMode="External"/><Relationship Id="rId111" Type="http://schemas.openxmlformats.org/officeDocument/2006/relationships/hyperlink" Target="file:///\\cot-dc01.cot-i.com\CapRockDocuments\Engineering\01_Designs\2074\2074A_Summary.docx" TargetMode="External"/><Relationship Id="rId195" Type="http://schemas.openxmlformats.org/officeDocument/2006/relationships/hyperlink" Target="file:///\\cot-dc01.cot-i.com\CapRockDocuments\Engineering\02_Spec%20Sheets\WIP%202.0\7348.1941\1941.Top.C.png" TargetMode="External"/><Relationship Id="rId209" Type="http://schemas.openxmlformats.org/officeDocument/2006/relationships/hyperlink" Target="file:///\\cot-dc01.cot-i.com\CapRockDocuments\Engineering\02_Spec%20Sheets\WIP%202.0\4318.2033\2033.Top.C.png" TargetMode="External"/><Relationship Id="rId416" Type="http://schemas.openxmlformats.org/officeDocument/2006/relationships/hyperlink" Target="file:///\\cot-dc01.cot-i.com\CapRockDocuments\Engineering\02_Spec%20Sheets\Original%20Assy%20Spec%20Sheets\2158.pdf" TargetMode="External"/><Relationship Id="rId970" Type="http://schemas.openxmlformats.org/officeDocument/2006/relationships/hyperlink" Target="file:///\\cot-dc01.cot-i.com\CapRockDocuments\Engineering\01_Designs\2122\2122%20@%200.25%20IPR.dwg" TargetMode="External"/><Relationship Id="rId1046" Type="http://schemas.openxmlformats.org/officeDocument/2006/relationships/hyperlink" Target="file:///\\cot-dc01.cot-i.com\CapRockDocuments\Engineering\01_Designs\2020\2020%20@%200.25%20IPR.xls" TargetMode="External"/><Relationship Id="rId1253" Type="http://schemas.openxmlformats.org/officeDocument/2006/relationships/hyperlink" Target="file:///\\cot-dc01.cot-i.com\CapRockDocuments\Engineering\01_Designs\5132\5132r00%20Top.png" TargetMode="External"/><Relationship Id="rId623" Type="http://schemas.openxmlformats.org/officeDocument/2006/relationships/hyperlink" Target="file:///\\COT-SQL01\SEData\cot-i\eg\se\rel\Fixed%20Cutter%20Rockbits%20SKF\Size%2006.125\Blade%205\SKF-02033r01.asm" TargetMode="External"/><Relationship Id="rId830" Type="http://schemas.openxmlformats.org/officeDocument/2006/relationships/hyperlink" Target="file:///\\cot-dc01.cot-i.com\CapRockDocuments\Engineering\01_Designs\1970\1970%20@%200.25%20IPR.xls" TargetMode="External"/><Relationship Id="rId928" Type="http://schemas.openxmlformats.org/officeDocument/2006/relationships/hyperlink" Target="file:///\\cot-dc01.cot-i.com\CapRockDocuments\Engineering\01_Designs\2081\2081%20@%200.25%20IPR.dwg" TargetMode="External"/><Relationship Id="rId57" Type="http://schemas.openxmlformats.org/officeDocument/2006/relationships/hyperlink" Target="file:///\\cot-dc01.cot-i.com\CapRockDocuments\Engineering\01_Designs\2005\CDG-38368r1.xls" TargetMode="External"/><Relationship Id="rId262" Type="http://schemas.openxmlformats.org/officeDocument/2006/relationships/hyperlink" Target="file:///\\cot-dc01.cot-i.com\CapRockDocuments\Engineering\02_Spec%20Sheets\WIP%202.0\7459.2267\2267.Top.C.png" TargetMode="External"/><Relationship Id="rId567" Type="http://schemas.openxmlformats.org/officeDocument/2006/relationships/hyperlink" Target="file:///\\cot-dc01.cot-i.com\CapRockDocuments\Engineering\02_Spec%20Sheets\WIP%202.0\2781.2220\2220.ISO.C.png" TargetMode="External"/><Relationship Id="rId1113" Type="http://schemas.openxmlformats.org/officeDocument/2006/relationships/hyperlink" Target="file:///\\cot-dc01.cot-i.com\CapRockDocuments\Engineering\01_Designs\3943\3943%20Design.xlsm" TargetMode="External"/><Relationship Id="rId1197" Type="http://schemas.openxmlformats.org/officeDocument/2006/relationships/hyperlink" Target="file:///\\cot-dc01.cot-i.com\CapRockDocuments\Engineering\01_Designs\5674\5674r00%20@%200.250%20in_rev.dwg" TargetMode="External"/><Relationship Id="rId1320" Type="http://schemas.openxmlformats.org/officeDocument/2006/relationships/hyperlink" Target="file:///\\cot-dc01.cot-i.com\CapRockDocuments\Engineering\02_Spec%20Sheets\Original%20Assy%20Spec%20Sheets\5911r00%20SS.pdf" TargetMode="External"/><Relationship Id="rId122" Type="http://schemas.openxmlformats.org/officeDocument/2006/relationships/hyperlink" Target="file:///\\cot-dc01.cot-i.com\CapRockDocuments\Engineering\01_Designs\2117\2117A_Summary.docx" TargetMode="External"/><Relationship Id="rId774" Type="http://schemas.openxmlformats.org/officeDocument/2006/relationships/hyperlink" Target="file:///\\cot-dc01.cot-i.com\CapRockDocuments\Engineering\01_Designs\2179\2179%20@%200.25%20IPR.dwg" TargetMode="External"/><Relationship Id="rId981" Type="http://schemas.openxmlformats.org/officeDocument/2006/relationships/hyperlink" Target="file:///\\cot-dc01.cot-i.com\CapRockDocuments\Engineering\01_Designs\2141\2141%20LO.dwg" TargetMode="External"/><Relationship Id="rId1057" Type="http://schemas.openxmlformats.org/officeDocument/2006/relationships/hyperlink" Target="file:///\\cot-dc01.cot-i.com\CapRockDocuments\Engineering\01_Designs\2017\2017%20@%200.25%20IPR.dwg" TargetMode="External"/><Relationship Id="rId427" Type="http://schemas.openxmlformats.org/officeDocument/2006/relationships/hyperlink" Target="file:///\\cot-dc01.cot-i.com\CapRockDocuments\Engineering\02_Spec%20Sheets\Original%20Assy%20Spec%20Sheets\2210.pdf" TargetMode="External"/><Relationship Id="rId634" Type="http://schemas.openxmlformats.org/officeDocument/2006/relationships/hyperlink" Target="file:///\\COT-SQL01\SEData\cot-i\eg\se\rel\Fixed%20Cutter%20Rockbits%20SKF\Size%2008.750\Blade%206\SKF-02077r01.asm" TargetMode="External"/><Relationship Id="rId841" Type="http://schemas.openxmlformats.org/officeDocument/2006/relationships/hyperlink" Target="file:///\\cot-dc01.cot-i.com\CapRockDocuments\Engineering\01_Designs\2207\2207%20@%200.25%20IPR.dwg" TargetMode="External"/><Relationship Id="rId1264" Type="http://schemas.openxmlformats.org/officeDocument/2006/relationships/hyperlink" Target="file:///\\COT-SQL01\SEData\cot-i\eg\se\rel\Fixed%20Cutter%20Rockbits%20SKF\Size%2009.875\Blade%206\SKF-05749r00.asm" TargetMode="External"/><Relationship Id="rId273" Type="http://schemas.openxmlformats.org/officeDocument/2006/relationships/hyperlink" Target="file:///\\cot-dc01.cot-i.com\CapRockDocuments\Engineering\01_Designs\2018L\2018A.dwg" TargetMode="External"/><Relationship Id="rId480" Type="http://schemas.openxmlformats.org/officeDocument/2006/relationships/hyperlink" Target="file:///\\cot-dc01.cot-i.com\CapRockDocuments\Engineering\02_Spec%20Sheets\Original%20Assy%20Spec%20Sheets\2090.pdf" TargetMode="External"/><Relationship Id="rId701" Type="http://schemas.openxmlformats.org/officeDocument/2006/relationships/hyperlink" Target="file:///\\COT-SQL01\SEData\cot-i\eg\se\rel\Fixed%20Cutter%20Rockbits%20SKF\Size%2012.250\Blade%206\SKF-02232r01.asm" TargetMode="External"/><Relationship Id="rId939" Type="http://schemas.openxmlformats.org/officeDocument/2006/relationships/hyperlink" Target="file:///\\cot-dc01.cot-i.com\CapRockDocuments\Engineering\01_Designs\2095\2095%20LO.dwg" TargetMode="External"/><Relationship Id="rId1124" Type="http://schemas.openxmlformats.org/officeDocument/2006/relationships/hyperlink" Target="file:///\\cot-dc01.cot-i.com\CapRockDocuments\Engineering\01_Designs\5481\5481%20@%200.250%20in_rev.dwg" TargetMode="External"/><Relationship Id="rId1331" Type="http://schemas.openxmlformats.org/officeDocument/2006/relationships/hyperlink" Target="file:///\\cot-sql01\sedata\cot-i\eg\se\rel\Fixed%20Cutter%20Rockbits%20SKF\Size%2014.750\Blade%206\SKF-06135r00.asm" TargetMode="External"/><Relationship Id="rId68" Type="http://schemas.openxmlformats.org/officeDocument/2006/relationships/hyperlink" Target="file:///\\cot-dc01.cot-i.com\CapRockDocuments\Engineering\01_Designs\2152\CDG-38770r1.xlsm" TargetMode="External"/><Relationship Id="rId133" Type="http://schemas.openxmlformats.org/officeDocument/2006/relationships/hyperlink" Target="file:///\\cot-dc01.cot-i.com\CapRockDocuments\Engineering\01_Designs\2180\2180A_Summary.docx" TargetMode="External"/><Relationship Id="rId340" Type="http://schemas.openxmlformats.org/officeDocument/2006/relationships/hyperlink" Target="file:///\\cot-dc01.cot-i.com\CapRockDocuments\Engineering\02_Spec%20Sheets\WIP%202.0\8904.1961\1961.ISO.C.png" TargetMode="External"/><Relationship Id="rId578" Type="http://schemas.openxmlformats.org/officeDocument/2006/relationships/hyperlink" Target="file:///\\cot-dc01.cot-i.com\CapRockDocuments\Engineering\02_Spec%20Sheets\WIP%202.0\4339.2079\2079.ISO.C.png" TargetMode="External"/><Relationship Id="rId785" Type="http://schemas.openxmlformats.org/officeDocument/2006/relationships/hyperlink" Target="file:///\\cot-dc01.cot-i.com\CapRockDocuments\Engineering\01_Designs\2005\2005%20@%200.25%20IPR.dwg" TargetMode="External"/><Relationship Id="rId992" Type="http://schemas.openxmlformats.org/officeDocument/2006/relationships/hyperlink" Target="file:///\\cot-dc01.cot-i.com\CapRockDocuments\Engineering\01_Designs\2152\2152%20@%200.25%20IPR.xls" TargetMode="External"/><Relationship Id="rId200" Type="http://schemas.openxmlformats.org/officeDocument/2006/relationships/hyperlink" Target="file:///\\cot-dc01.cot-i.com\CapRockDocuments\Engineering\02_Spec%20Sheets\WIP%202.0\7622.2001\2001.Top.C.png" TargetMode="External"/><Relationship Id="rId438" Type="http://schemas.openxmlformats.org/officeDocument/2006/relationships/hyperlink" Target="file:///\\cot-dc01.cot-i.com\CapRockDocuments\Engineering\02_Spec%20Sheets\Original%20Assy%20Spec%20Sheets\2096.pdf" TargetMode="External"/><Relationship Id="rId645" Type="http://schemas.openxmlformats.org/officeDocument/2006/relationships/hyperlink" Target="file:///\\COT-SQL01\SEData\cot-i\eg\se\rel\Fixed%20Cutter%20Rockbits%20SKF\Size%2006.750\Blade%205\SKF-02115r01.asm" TargetMode="External"/><Relationship Id="rId852" Type="http://schemas.openxmlformats.org/officeDocument/2006/relationships/hyperlink" Target="file:///\\cot-dc01.cot-i.com\CapRockDocuments\Engineering\01_Designs\2240\2240.dwg" TargetMode="External"/><Relationship Id="rId1068" Type="http://schemas.openxmlformats.org/officeDocument/2006/relationships/hyperlink" Target="file:///\\cot-dc01.cot-i.com\CapRockDocuments\Engineering\02_Spec%20Sheets\Original%20Assy%20Spec%20Sheets\2381.pdf" TargetMode="External"/><Relationship Id="rId1275" Type="http://schemas.openxmlformats.org/officeDocument/2006/relationships/hyperlink" Target="file:///\\cot-dc01.cot-i.com\CapRockDocuments\Engineering\01_Designs\6653\6653r00%20@%200.250%20in_rev.dwg" TargetMode="External"/><Relationship Id="rId284" Type="http://schemas.openxmlformats.org/officeDocument/2006/relationships/hyperlink" Target="file:///\\cot-dc01.cot-i.com\CapRockDocuments\Engineering\01_Designs\2157\2157.dwg" TargetMode="External"/><Relationship Id="rId491" Type="http://schemas.openxmlformats.org/officeDocument/2006/relationships/hyperlink" Target="file:///\\cot-dc01.cot-i.com\CapRockDocuments\Engineering\02_Spec%20Sheets\Original%20Assy%20Spec%20Sheets\2001.pdf" TargetMode="External"/><Relationship Id="rId505" Type="http://schemas.openxmlformats.org/officeDocument/2006/relationships/hyperlink" Target="file:///\\cot-dc01.cot-i.com\CapRockDocuments\Engineering\02_Spec%20Sheets\Original%20Assy%20Spec%20Sheets\2193.pdf" TargetMode="External"/><Relationship Id="rId712" Type="http://schemas.openxmlformats.org/officeDocument/2006/relationships/hyperlink" Target="file:///\\COT-SQL01\SEData\cot-i\eg\se\rel\Fixed%20Cutter%20Rockbits%20SKF\Size%2014.750\Blade%206\SKF-02256r02.asm" TargetMode="External"/><Relationship Id="rId1135" Type="http://schemas.openxmlformats.org/officeDocument/2006/relationships/hyperlink" Target="file:///\\cot-dc01.cot-i.com\CapRockDocuments\Engineering\01_Designs\4538\4538r0%20ISO.png" TargetMode="External"/><Relationship Id="rId1342" Type="http://schemas.openxmlformats.org/officeDocument/2006/relationships/hyperlink" Target="file:///\\cot-dc01.cot-i.com\CapRockDocuments\Engineering\01_Designs\6841\6841r00%20CS%20Placement%20V6.xls" TargetMode="External"/><Relationship Id="rId79" Type="http://schemas.openxmlformats.org/officeDocument/2006/relationships/hyperlink" Target="file:///\\cot-dc01.cot-i.com\CapRockDocuments\Engineering\01_Designs\2169\2169_Summary.doc" TargetMode="External"/><Relationship Id="rId144" Type="http://schemas.openxmlformats.org/officeDocument/2006/relationships/hyperlink" Target="file:///\\cot-dc01.cot-i.com\CapRockDocuments\Engineering\01_Designs\2207\2207A_Summary.docx" TargetMode="External"/><Relationship Id="rId589" Type="http://schemas.openxmlformats.org/officeDocument/2006/relationships/hyperlink" Target="file:///\\cot-dc01.cot-i.com\CapRockDocuments\Engineering\02_Spec%20Sheets\WIP%202.0\6202.2227\2227.ISO.C.png" TargetMode="External"/><Relationship Id="rId796" Type="http://schemas.openxmlformats.org/officeDocument/2006/relationships/hyperlink" Target="file:///\\cot-dc01.cot-i.com\CapRockDocuments\Engineering\01_Designs\1967\1967%20@%200.25%20IPR.dwg" TargetMode="External"/><Relationship Id="rId1202" Type="http://schemas.openxmlformats.org/officeDocument/2006/relationships/hyperlink" Target="file:///\\cot-dc01.cot-i.com\CapRockDocuments\Engineering\01_Designs\6150\6150r01_Layout.dwg" TargetMode="External"/><Relationship Id="rId351" Type="http://schemas.openxmlformats.org/officeDocument/2006/relationships/hyperlink" Target="file:///\\cot-dc01.cot-i.com\CapRockDocuments\Engineering\02_Spec%20Sheets\WIP%202.0\7221.2028\2028.ISO.C.png" TargetMode="External"/><Relationship Id="rId449" Type="http://schemas.openxmlformats.org/officeDocument/2006/relationships/hyperlink" Target="file:///\\cot-dc01.cot-i.com\CapRockDocuments\Engineering\02_Spec%20Sheets\Original%20Assy%20Spec%20Sheets\2050.pdf" TargetMode="External"/><Relationship Id="rId656" Type="http://schemas.openxmlformats.org/officeDocument/2006/relationships/hyperlink" Target="file:///\\COT-SQL01\SEData\cot-i\eg\se\rel\Fixed%20Cutter%20Rockbits%20SKF\Size%2012.250\Blade%206\SKF-02141r01.asm" TargetMode="External"/><Relationship Id="rId863" Type="http://schemas.openxmlformats.org/officeDocument/2006/relationships/hyperlink" Target="file:///\\cot-dc01.cot-i.com\CapRockDocuments\Engineering\01_Designs\2256\2256%20@%200.25%20IPR.xls" TargetMode="External"/><Relationship Id="rId1079" Type="http://schemas.openxmlformats.org/officeDocument/2006/relationships/hyperlink" Target="file:///\\cot-dc01.cot-i.com\CapRockDocuments\Engineering\02_Spec%20Sheets\WIP%202.0\6207\8479.Top.C.png" TargetMode="External"/><Relationship Id="rId1286" Type="http://schemas.openxmlformats.org/officeDocument/2006/relationships/hyperlink" Target="file:///\\cot-dc01.cot-i.com\CapRockDocuments\Engineering\02_Spec%20Sheets\Original%20Assy%20Spec%20Sheets\9692r00.pdf" TargetMode="External"/><Relationship Id="rId211" Type="http://schemas.openxmlformats.org/officeDocument/2006/relationships/hyperlink" Target="file:///\\cot-dc01.cot-i.com\CapRockDocuments\Engineering\02_Spec%20Sheets\WIP%202.0\6545.2043\2043.Top.C.png" TargetMode="External"/><Relationship Id="rId295" Type="http://schemas.openxmlformats.org/officeDocument/2006/relationships/hyperlink" Target="file:///\\cot-dc01.cot-i.com\CapRockDocuments\Engineering\01_Designs\2033\2033A.dwg" TargetMode="External"/><Relationship Id="rId309" Type="http://schemas.openxmlformats.org/officeDocument/2006/relationships/hyperlink" Target="file:///\\cot-dc01.cot-i.com\CapRockDocuments\Engineering\01_Designs\2096\2096A.dwg" TargetMode="External"/><Relationship Id="rId516" Type="http://schemas.openxmlformats.org/officeDocument/2006/relationships/hyperlink" Target="file:///\\cot-dc01.cot-i.com\CapRockDocuments\Engineering\02_Spec%20Sheets\Original%20Assy%20Spec%20Sheets\2186.pdf" TargetMode="External"/><Relationship Id="rId1146" Type="http://schemas.openxmlformats.org/officeDocument/2006/relationships/hyperlink" Target="file:///\\cot-dc01.cot-i.com\CapRockDocuments\Engineering\01_Designs\6513\6513r0%20Min%20Engagement%20v6.10.xlsm" TargetMode="External"/><Relationship Id="rId723" Type="http://schemas.openxmlformats.org/officeDocument/2006/relationships/hyperlink" Target="file:///\\cot-dc01.cot-i.com\CapRockDocuments\Engineering\01_Designs\2216\2216.dwg" TargetMode="External"/><Relationship Id="rId930" Type="http://schemas.openxmlformats.org/officeDocument/2006/relationships/hyperlink" Target="file:///\\cot-dc01.cot-i.com\CapRockDocuments\Engineering\01_Designs\2090\2090%20LO.dwg" TargetMode="External"/><Relationship Id="rId1006" Type="http://schemas.openxmlformats.org/officeDocument/2006/relationships/hyperlink" Target="file:///\\cot-dc01.cot-i.com\CapRockDocuments\Engineering\01_Designs\2164\2164%20@%200.25%20IPR.dwg" TargetMode="External"/><Relationship Id="rId1353" Type="http://schemas.openxmlformats.org/officeDocument/2006/relationships/hyperlink" Target="file:///\\cot-dc01.cot-i.com\CapRockDocuments\Engineering\01_Designs\4796\4796r00%20Min%20Engagement%20v8.01.xlsm" TargetMode="External"/><Relationship Id="rId155" Type="http://schemas.openxmlformats.org/officeDocument/2006/relationships/hyperlink" Target="file:///\\cot-dc01.cot-i.com\CapRockDocuments\Engineering\01_Designs\2236\2236A_Summary.docx" TargetMode="External"/><Relationship Id="rId362" Type="http://schemas.openxmlformats.org/officeDocument/2006/relationships/hyperlink" Target="file:///\\cot-dc01.cot-i.com\CapRockDocuments\Engineering\02_Spec%20Sheets\WIP%202.0\9807.2075\2075.ISO.C.png" TargetMode="External"/><Relationship Id="rId1213" Type="http://schemas.openxmlformats.org/officeDocument/2006/relationships/hyperlink" Target="file:///\\cot-dc01.cot-i.com\CapRockDocuments\Engineering\01_Designs\5646\5646r00%20ISO.png" TargetMode="External"/><Relationship Id="rId1297" Type="http://schemas.openxmlformats.org/officeDocument/2006/relationships/hyperlink" Target="file:///\\cot-dc01.cot-i.com\CapRockDocuments\Engineering\01_Designs\7182\2025.03.06%20-%20NDRr01%20-%20-%207.875%20514.5%20VCL-19kft.doc" TargetMode="External"/><Relationship Id="rId222" Type="http://schemas.openxmlformats.org/officeDocument/2006/relationships/hyperlink" Target="file:///\\cot-dc01.cot-i.com\CapRockDocuments\Engineering\02_Spec%20Sheets\WIP%202.0\7152.2090\2090.Top.C.png" TargetMode="External"/><Relationship Id="rId667" Type="http://schemas.openxmlformats.org/officeDocument/2006/relationships/hyperlink" Target="file:///\\COT-SQL01\SEData\cot-i\eg\se\rel\Fixed%20Cutter%20Rockbits%20SKF\Size%2009.875\Blade%205\SKF-02164r02.asm" TargetMode="External"/><Relationship Id="rId874" Type="http://schemas.openxmlformats.org/officeDocument/2006/relationships/hyperlink" Target="file:///\\cot-dc01.cot-i.com\CapRockDocuments\Engineering\01_Designs\2198\2198%20@%200.25%20IPR.dwg" TargetMode="External"/><Relationship Id="rId17" Type="http://schemas.openxmlformats.org/officeDocument/2006/relationships/hyperlink" Target="file:///\\cot-dc01.cot-i.com\CapRockDocuments\Engineering\01_Designs\1991\CDG-38311r1.dwg" TargetMode="External"/><Relationship Id="rId527" Type="http://schemas.openxmlformats.org/officeDocument/2006/relationships/hyperlink" Target="file:///\\cot-dc01.cot-i.com\CapRockDocuments\Engineering\02_Spec%20Sheets\WIP%202.0\3278.2236\2236.Top.C.png" TargetMode="External"/><Relationship Id="rId734" Type="http://schemas.openxmlformats.org/officeDocument/2006/relationships/hyperlink" Target="file:///\\cot-dc01.cot-i.com\CapRockDocuments\Engineering\01_Designs\2235\2235%20@%200.25%20IPR.dwg" TargetMode="External"/><Relationship Id="rId941" Type="http://schemas.openxmlformats.org/officeDocument/2006/relationships/hyperlink" Target="file:///\\cot-dc01.cot-i.com\CapRockDocuments\Engineering\01_Designs\2096\2096%20@%200.25%20IPR.xls" TargetMode="External"/><Relationship Id="rId1157" Type="http://schemas.openxmlformats.org/officeDocument/2006/relationships/hyperlink" Target="file:///\\cot-dc01.cot-i.com\CapRockDocuments\Engineering\01_Designs\9023\9023%20CS%20Placement%20V4.xls" TargetMode="External"/><Relationship Id="rId1364" Type="http://schemas.openxmlformats.org/officeDocument/2006/relationships/hyperlink" Target="file:///\\cot-dc01.cot-i.com\CapRockDocuments\Engineering\01_Designs\4149\4149r00%20CS%20Placement%20V6.xls" TargetMode="External"/><Relationship Id="rId70" Type="http://schemas.openxmlformats.org/officeDocument/2006/relationships/hyperlink" Target="file:///\\cot-dc01.cot-i.com\CapRockDocuments\Engineering\01_Designs\2164\CDG-38797r1.xlsm" TargetMode="External"/><Relationship Id="rId166" Type="http://schemas.openxmlformats.org/officeDocument/2006/relationships/hyperlink" Target="file:///\\cot-dc01.cot-i.com\CapRockDocuments\Engineering\01_Designs\2005\084%20PNR%20Lateral%20Bit%20Design%20Request%20rev%20C.docx" TargetMode="External"/><Relationship Id="rId373" Type="http://schemas.openxmlformats.org/officeDocument/2006/relationships/hyperlink" Target="file:///\\cot-dc01.cot-i.com\CapRockDocuments\Engineering\02_Spec%20Sheets\WIP%202.0\7156.2115\2115.ISO.C.png" TargetMode="External"/><Relationship Id="rId580" Type="http://schemas.openxmlformats.org/officeDocument/2006/relationships/hyperlink" Target="file:///\\cot-dc01.cot-i.com\CapRockDocuments\Engineering\02_Spec%20Sheets\WIP%202.0\4751.2231\2231.ISO.C.png" TargetMode="External"/><Relationship Id="rId801" Type="http://schemas.openxmlformats.org/officeDocument/2006/relationships/hyperlink" Target="file:///\\cot-dc01.cot-i.com\CapRockDocuments\Engineering\01_Designs\1941\1941%20at%200.25%20IPR.dwg" TargetMode="External"/><Relationship Id="rId1017" Type="http://schemas.openxmlformats.org/officeDocument/2006/relationships/hyperlink" Target="file:///\\cot-dc01.cot-i.com\CapRockDocuments\Engineering\01_Designs\2053\2053%20LO.dwg" TargetMode="External"/><Relationship Id="rId1224" Type="http://schemas.openxmlformats.org/officeDocument/2006/relationships/hyperlink" Target="file:///\\cot-dc01.cot-i.com\CapRockDocuments\Engineering\01_Designs\7273\7273r00%20Layout.dwg" TargetMode="External"/><Relationship Id="rId1" Type="http://schemas.openxmlformats.org/officeDocument/2006/relationships/hyperlink" Target="file:///\\cot-dc01.cot-i.com\CapRockDocuments\Engineering\01_Designs\2268\CDG-39115r1.dwg" TargetMode="External"/><Relationship Id="rId233" Type="http://schemas.openxmlformats.org/officeDocument/2006/relationships/hyperlink" Target="file:///\\cot-dc01.cot-i.com\CapRockDocuments\Engineering\02_Spec%20Sheets\WIP%202.0\5366.2121\2121.Top.C.png" TargetMode="External"/><Relationship Id="rId440" Type="http://schemas.openxmlformats.org/officeDocument/2006/relationships/hyperlink" Target="file:///\\cot-dc01.cot-i.com\CapRockDocuments\Engineering\02_Spec%20Sheets\Original%20Assy%20Spec%20Sheets\2173.pdf" TargetMode="External"/><Relationship Id="rId678" Type="http://schemas.openxmlformats.org/officeDocument/2006/relationships/hyperlink" Target="file:///\\COT-SQL01\SEData\cot-i\eg\se\rel\Fixed%20Cutter%20Rockbits%20SKF\Size%2006.750\Blade%205\SKF-02188r01.asm" TargetMode="External"/><Relationship Id="rId885" Type="http://schemas.openxmlformats.org/officeDocument/2006/relationships/hyperlink" Target="file:///\\cot-dc01.cot-i.com\CapRockDocuments\Engineering\01_Designs\2234\2234%20LO.dwg" TargetMode="External"/><Relationship Id="rId1070" Type="http://schemas.openxmlformats.org/officeDocument/2006/relationships/hyperlink" Target="file:///\\cot-dc01.cot-i.com\CapRockDocuments\Engineering\01_Designs\2381\2381%20at%200.250%20IPR.dwg" TargetMode="External"/><Relationship Id="rId28" Type="http://schemas.openxmlformats.org/officeDocument/2006/relationships/hyperlink" Target="file:///\\cot-dc01.cot-i.com\CapRockDocuments\Engineering\01_Designs\2164\CDG-38798r1.dwg" TargetMode="External"/><Relationship Id="rId300" Type="http://schemas.openxmlformats.org/officeDocument/2006/relationships/hyperlink" Target="file:///\\cot-dc01.cot-i.com\CapRockDocuments\Engineering\01_Designs\2070\2070A.dwg" TargetMode="External"/><Relationship Id="rId538" Type="http://schemas.openxmlformats.org/officeDocument/2006/relationships/hyperlink" Target="file:///\\cot-dc01.cot-i.com\CapRockDocuments\Engineering\02_Spec%20Sheets\WIP%202.0\4751.2231\2231.Top.C.png" TargetMode="External"/><Relationship Id="rId745" Type="http://schemas.openxmlformats.org/officeDocument/2006/relationships/hyperlink" Target="file:///\\cot-dc01.cot-i.com\CapRockDocuments\Engineering\01_Designs\2220\2220.dwg" TargetMode="External"/><Relationship Id="rId952" Type="http://schemas.openxmlformats.org/officeDocument/2006/relationships/hyperlink" Target="file:///\\cot-dc01.cot-i.com\CapRockDocuments\Engineering\01_Designs\2114\2114%20@%200.25%20IPR.dwg" TargetMode="External"/><Relationship Id="rId1168" Type="http://schemas.openxmlformats.org/officeDocument/2006/relationships/hyperlink" Target="file:///\\cot-dc01.cot-i.com\CapRockDocuments\Engineering\01_Designs\3449\3449r00%20Design.dwg" TargetMode="External"/><Relationship Id="rId1375" Type="http://schemas.openxmlformats.org/officeDocument/2006/relationships/hyperlink" Target="file:///\\cot-sql01\sedata\cot-i\eg\se\rel\Fixed%20Cutter%20Rockbits%20SKF\Size%2010.625\Blade%206\SKF-02746r00.asm" TargetMode="External"/><Relationship Id="rId81" Type="http://schemas.openxmlformats.org/officeDocument/2006/relationships/hyperlink" Target="file:///\\cot-dc01.cot-i.com\CapRockDocuments\Engineering\01_Designs\2158\2158A_Summary.docx" TargetMode="External"/><Relationship Id="rId177" Type="http://schemas.openxmlformats.org/officeDocument/2006/relationships/hyperlink" Target="file:///\\cot-dc01.cot-i.com\CapRockDocuments\Engineering\01_Designs\2172\9.875%20CR716%20Bit%20Desing%20Request%20-%20Callon%20-%20Delaware%20Basin.doc" TargetMode="External"/><Relationship Id="rId384" Type="http://schemas.openxmlformats.org/officeDocument/2006/relationships/hyperlink" Target="file:///\\cot-dc01.cot-i.com\CapRockDocuments\Engineering\02_Spec%20Sheets\WIP%202.0\3690.2141\2141.ISO.C.png" TargetMode="External"/><Relationship Id="rId591" Type="http://schemas.openxmlformats.org/officeDocument/2006/relationships/hyperlink" Target="file:///\\cot-dc01.cot-i.com\CapRockDocuments\Engineering\02_Spec%20Sheets\WIP%202.0\6392.2234\2234.ISO.C.png" TargetMode="External"/><Relationship Id="rId605" Type="http://schemas.openxmlformats.org/officeDocument/2006/relationships/hyperlink" Target="file:///\\cot-dc01.cot-i.com\CapRockDocuments\Engineering\02_Spec%20Sheets\WIP%202.0\9561.2240\2240.ISO.C.png" TargetMode="External"/><Relationship Id="rId812" Type="http://schemas.openxmlformats.org/officeDocument/2006/relationships/hyperlink" Target="file:///\\cot-dc01.cot-i.com\CapRockDocuments\Engineering\01_Designs\2180\2180.dwg" TargetMode="External"/><Relationship Id="rId1028" Type="http://schemas.openxmlformats.org/officeDocument/2006/relationships/hyperlink" Target="file:///\\cot-dc01.cot-i.com\CapRockDocuments\Engineering\01_Designs\2046\2046%20@%200.25%20IPR.xls" TargetMode="External"/><Relationship Id="rId1235" Type="http://schemas.openxmlformats.org/officeDocument/2006/relationships/hyperlink" Target="file:///\\cot-dc01.cot-i.com\CapRockDocuments\Engineering\01_Designs\3219\3219r00%20TOP.png" TargetMode="External"/><Relationship Id="rId244" Type="http://schemas.openxmlformats.org/officeDocument/2006/relationships/hyperlink" Target="file:///\\cot-dc01.cot-i.com\CapRockDocuments\Engineering\02_Spec%20Sheets\WIP%202.0\6270.2152\2152.Top.C.png" TargetMode="External"/><Relationship Id="rId689" Type="http://schemas.openxmlformats.org/officeDocument/2006/relationships/hyperlink" Target="file:///\\COT-SQL01\SEData\cot-i\eg\se\rel\Fixed%20Cutter%20Rockbits%20SKF\Size%2012.250\Blade%207\SKF-02208r01.asm" TargetMode="External"/><Relationship Id="rId896" Type="http://schemas.openxmlformats.org/officeDocument/2006/relationships/hyperlink" Target="file:///\\cot-dc01.cot-i.com\CapRockDocuments\Engineering\01_Designs\2251\2251%20@%200.25%20IPR.xls" TargetMode="External"/><Relationship Id="rId1081" Type="http://schemas.openxmlformats.org/officeDocument/2006/relationships/hyperlink" Target="file:///\\cot-dc01.cot-i.com\CapRockDocuments\Engineering\02_Spec%20Sheets\Original%20Assy%20Spec%20Sheets\6207.pdf" TargetMode="External"/><Relationship Id="rId1302" Type="http://schemas.openxmlformats.org/officeDocument/2006/relationships/hyperlink" Target="file:///\\cot-dc01.cot-i.com\CapRockDocuments\Engineering\01_Designs\8896\8896r00%20Top.png" TargetMode="External"/><Relationship Id="rId39" Type="http://schemas.openxmlformats.org/officeDocument/2006/relationships/hyperlink" Target="file:///\\cot-dc01.cot-i.com\CapRockDocuments\Engineering\01_Designs\2267\CDG-39114r1.xlsm" TargetMode="External"/><Relationship Id="rId451" Type="http://schemas.openxmlformats.org/officeDocument/2006/relationships/hyperlink" Target="file:///\\cot-dc01.cot-i.com\CapRockDocuments\Engineering\02_Spec%20Sheets\Original%20Assy%20Spec%20Sheets\2160.pdf" TargetMode="External"/><Relationship Id="rId549" Type="http://schemas.openxmlformats.org/officeDocument/2006/relationships/hyperlink" Target="file:///\\cot-dc01.cot-i.com\CapRockDocuments\Engineering\02_Spec%20Sheets\WIP%202.0\6392.2234\2234.Top.C.png" TargetMode="External"/><Relationship Id="rId756" Type="http://schemas.openxmlformats.org/officeDocument/2006/relationships/hyperlink" Target="file:///\\cot-dc01.cot-i.com\CapRockDocuments\Engineering\01_Designs\2210\2210%20@%200.25%20IPR.dwg" TargetMode="External"/><Relationship Id="rId1179" Type="http://schemas.openxmlformats.org/officeDocument/2006/relationships/hyperlink" Target="file:///\\cot-dc01.cot-i.com\CapRockDocuments\Engineering\01_Designs\5911\5911r00%20Min%20Engagement%20v7.01.xlsm" TargetMode="External"/><Relationship Id="rId1386" Type="http://schemas.openxmlformats.org/officeDocument/2006/relationships/table" Target="../tables/table1.xml"/><Relationship Id="rId104" Type="http://schemas.openxmlformats.org/officeDocument/2006/relationships/hyperlink" Target="file:///\\cot-dc01.cot-i.com\CapRockDocuments\Engineering\01_Designs\2028\2028A_Summary.docx" TargetMode="External"/><Relationship Id="rId188" Type="http://schemas.openxmlformats.org/officeDocument/2006/relationships/hyperlink" Target="file:///\\cot-dc01.cot-i.com\CapRockDocuments\Engineering\01_Designs\2206\NDR-%20Midland%20Basin%20-%2012.25%20DragonOhm.doc" TargetMode="External"/><Relationship Id="rId311" Type="http://schemas.openxmlformats.org/officeDocument/2006/relationships/hyperlink" Target="file:///\\cot-dc01.cot-i.com\CapRockDocuments\Engineering\01_Designs\2110\2110A.dwg" TargetMode="External"/><Relationship Id="rId395" Type="http://schemas.openxmlformats.org/officeDocument/2006/relationships/hyperlink" Target="file:///\\cot-dc01.cot-i.com\CapRockDocuments\Engineering\02_Spec%20Sheets\WIP%202.0\7584.2169\2169.ISO.C.png" TargetMode="External"/><Relationship Id="rId409" Type="http://schemas.openxmlformats.org/officeDocument/2006/relationships/hyperlink" Target="file:///\\cot-dc01.cot-i.com\CapRockDocuments\Engineering\02_Spec%20Sheets\WIP%202.0\8037L.2018L\2018L.ISO.C.png" TargetMode="External"/><Relationship Id="rId963" Type="http://schemas.openxmlformats.org/officeDocument/2006/relationships/hyperlink" Target="file:///\\cot-dc01.cot-i.com\CapRockDocuments\Engineering\01_Designs\2120\2120%20LO.dwg" TargetMode="External"/><Relationship Id="rId1039" Type="http://schemas.openxmlformats.org/officeDocument/2006/relationships/hyperlink" Target="file:///\\cot-dc01.cot-i.com\CapRockDocuments\Engineering\01_Designs\2033\2033%20@%200.25%20IPR.dwg" TargetMode="External"/><Relationship Id="rId1246" Type="http://schemas.openxmlformats.org/officeDocument/2006/relationships/hyperlink" Target="file:///\\cot-dc01.cot-i.com\CapRockDocuments\Engineering\01_Designs\4288\4288r00%20Design.dwg" TargetMode="External"/><Relationship Id="rId92" Type="http://schemas.openxmlformats.org/officeDocument/2006/relationships/hyperlink" Target="file:///\\cot-dc01.cot-i.com\CapRockDocuments\Engineering\01_Designs\2114\2114A_Summary.docx" TargetMode="External"/><Relationship Id="rId616" Type="http://schemas.openxmlformats.org/officeDocument/2006/relationships/hyperlink" Target="file:///\\COT-SQL01\SEData\cot-i\eg\se\rel\Fixed%20Cutter%20Rockbits%20SKF\Size%2010.625\Blade%206\SKF-02010r2.asm" TargetMode="External"/><Relationship Id="rId823" Type="http://schemas.openxmlformats.org/officeDocument/2006/relationships/hyperlink" Target="file:///\\cot-dc01.cot-i.com\CapRockDocuments\Engineering\01_Designs\2190\2190%20@%200.25%20IPR.xls" TargetMode="External"/><Relationship Id="rId255" Type="http://schemas.openxmlformats.org/officeDocument/2006/relationships/hyperlink" Target="file:///\\cot-dc01.cot-i.com\CapRockDocuments\Engineering\02_Spec%20Sheets\WIP%202.0\6408.2194\2194.Top.C.png" TargetMode="External"/><Relationship Id="rId462" Type="http://schemas.openxmlformats.org/officeDocument/2006/relationships/hyperlink" Target="file:///\\cot-dc01.cot-i.com\CapRockDocuments\Engineering\02_Spec%20Sheets\Original%20Assy%20Spec%20Sheets\2217.pdf" TargetMode="External"/><Relationship Id="rId1092" Type="http://schemas.openxmlformats.org/officeDocument/2006/relationships/hyperlink" Target="file:///\\cot-dc01.cot-i.com\CapRockDocuments\Engineering\02_Spec%20Sheets\WIP%202.0\4206\4206.Top.C.png" TargetMode="External"/><Relationship Id="rId1106" Type="http://schemas.openxmlformats.org/officeDocument/2006/relationships/hyperlink" Target="file:///\\cot-dc01.cot-i.com\CapRockDocuments\Engineering\01_Designs\4720\4720%20@%200.25%20IPR.dwg" TargetMode="External"/><Relationship Id="rId1313" Type="http://schemas.openxmlformats.org/officeDocument/2006/relationships/hyperlink" Target="file:///\\cot-dc01.cot-i.com\CapRockDocuments\Engineering\01_Designs\2362\2025.03.06%20-%20NDRr00%20%20-%202362%20-%209.625%20616-SRK%20-%20EnXL%20-%207.1kft.docx" TargetMode="External"/><Relationship Id="rId115" Type="http://schemas.openxmlformats.org/officeDocument/2006/relationships/hyperlink" Target="file:///\\cot-dc01.cot-i.com\CapRockDocuments\Engineering\01_Designs\2090\2090A_Summary.docx" TargetMode="External"/><Relationship Id="rId322" Type="http://schemas.openxmlformats.org/officeDocument/2006/relationships/hyperlink" Target="file:///\\cot-dc01.cot-i.com\CapRockDocuments\Engineering\01_Designs\2152\2152A.dwg" TargetMode="External"/><Relationship Id="rId767" Type="http://schemas.openxmlformats.org/officeDocument/2006/relationships/hyperlink" Target="file:///\\cot-dc01.cot-i.com\CapRockDocuments\Engineering\01_Designs\2196\2196%20@%200.25%20IPR.dwg" TargetMode="External"/><Relationship Id="rId974" Type="http://schemas.openxmlformats.org/officeDocument/2006/relationships/hyperlink" Target="file:///\\cot-dc01.cot-i.com\CapRockDocuments\Engineering\01_Designs\2126\2126%20@%200.25%20IPR.xls" TargetMode="External"/><Relationship Id="rId199" Type="http://schemas.openxmlformats.org/officeDocument/2006/relationships/hyperlink" Target="file:///\\cot-dc01.cot-i.com\CapRockDocuments\Engineering\02_Spec%20Sheets\WIP%202.0\5960.1991\1991.Top.C.png" TargetMode="External"/><Relationship Id="rId627" Type="http://schemas.openxmlformats.org/officeDocument/2006/relationships/hyperlink" Target="file:///\\COT-SQL01\SEData\cot-i\eg\se\rel\Fixed%20Cutter%20Rockbits%20SKF\Size%2016.000\Blade%206\SKF-02050r02.asm" TargetMode="External"/><Relationship Id="rId834" Type="http://schemas.openxmlformats.org/officeDocument/2006/relationships/hyperlink" Target="file:///\\cot-dc01.cot-i.com\CapRockDocuments\Engineering\01_Designs\2160\2160.dwg" TargetMode="External"/><Relationship Id="rId1257" Type="http://schemas.openxmlformats.org/officeDocument/2006/relationships/hyperlink" Target="file:///\\cot-dc01.cot-i.com\CapRockDocuments\Engineering\01_Designs\5132\5132%20@%200.250%20in_rev.dwg" TargetMode="External"/><Relationship Id="rId266" Type="http://schemas.openxmlformats.org/officeDocument/2006/relationships/hyperlink" Target="file:///\\cot-dc01.cot-i.com\CapRockDocuments\Engineering\02_Spec%20Sheets\WIP%202.0\8577L.2049L\2049L.Top.C.png" TargetMode="External"/><Relationship Id="rId473" Type="http://schemas.openxmlformats.org/officeDocument/2006/relationships/hyperlink" Target="file:///\\cot-dc01.cot-i.com\CapRockDocuments\Engineering\02_Spec%20Sheets\Original%20Assy%20Spec%20Sheets\2218.pdf" TargetMode="External"/><Relationship Id="rId680" Type="http://schemas.openxmlformats.org/officeDocument/2006/relationships/hyperlink" Target="file:///\\COT-SQL01\SEData\cot-i\eg\se\rel\Fixed%20Cutter%20Rockbits%20SKF\Size%2008.750\Blade%206\SKF-02192r01.asm" TargetMode="External"/><Relationship Id="rId901" Type="http://schemas.openxmlformats.org/officeDocument/2006/relationships/hyperlink" Target="file:///\\cot-dc01.cot-i.com\CapRockDocuments\Engineering\01_Designs\2224\2224%20@%200.25%20IPR.dwg" TargetMode="External"/><Relationship Id="rId1117" Type="http://schemas.openxmlformats.org/officeDocument/2006/relationships/hyperlink" Target="file:///\\cot-dc01.cot-i.com\CapRockDocuments\Engineering\01_Designs\5481\5481%20Design.xlsm" TargetMode="External"/><Relationship Id="rId1324" Type="http://schemas.openxmlformats.org/officeDocument/2006/relationships/hyperlink" Target="file:///\\COT-SQL01\SEData\cot-i\eg\se\rel\Fixed%20Cutter%20Rockbits%20SKF\Size%2007.875\Blade%206\2556r00%20XH23F%20at%200.250%20in_rev.par" TargetMode="External"/><Relationship Id="rId30" Type="http://schemas.openxmlformats.org/officeDocument/2006/relationships/hyperlink" Target="file:///\\cot-dc01.cot-i.com\CapRockDocuments\Engineering\01_Designs\2174\CDG-38826r1.dwg" TargetMode="External"/><Relationship Id="rId126" Type="http://schemas.openxmlformats.org/officeDocument/2006/relationships/hyperlink" Target="file:///\\cot-dc01.cot-i.com\CapRockDocuments\Engineering\01_Designs\2126\2126A_Summary.docx" TargetMode="External"/><Relationship Id="rId333" Type="http://schemas.openxmlformats.org/officeDocument/2006/relationships/hyperlink" Target="file:///\\cot-dc01.cot-i.com\CapRockDocuments\Engineering\01_Designs\2043\2043A%20at%200.1500%20inRev.dwg" TargetMode="External"/><Relationship Id="rId540" Type="http://schemas.openxmlformats.org/officeDocument/2006/relationships/hyperlink" Target="file:///\\cot-dc01.cot-i.com\CapRockDocuments\Engineering\02_Spec%20Sheets\WIP%202.0\4843.2224\2224.Top.C.png" TargetMode="External"/><Relationship Id="rId778" Type="http://schemas.openxmlformats.org/officeDocument/2006/relationships/hyperlink" Target="file:///\\cot-dc01.cot-i.com\CapRockDocuments\Engineering\01_Designs\2174\2174%20@%200.25%20IPR.xls" TargetMode="External"/><Relationship Id="rId985" Type="http://schemas.openxmlformats.org/officeDocument/2006/relationships/hyperlink" Target="file:///\\cot-dc01.cot-i.com\CapRockDocuments\Engineering\01_Designs\2142\2142%20@%200.25%20IPR.dwg" TargetMode="External"/><Relationship Id="rId1170" Type="http://schemas.openxmlformats.org/officeDocument/2006/relationships/hyperlink" Target="file:///\\cot-dc01.cot-i.com\CapRockDocuments\Engineering\01_Designs\2556\2556r00%20Min%20Engagement%20v7.01.xlsm" TargetMode="External"/><Relationship Id="rId638" Type="http://schemas.openxmlformats.org/officeDocument/2006/relationships/hyperlink" Target="file:///\\COT-SQL01\SEData\cot-i\eg\se\rel\Fixed%20Cutter%20Rockbits%20SKF\Size%2006.750\Blade%206\SKF-02091r01.asm" TargetMode="External"/><Relationship Id="rId845" Type="http://schemas.openxmlformats.org/officeDocument/2006/relationships/hyperlink" Target="file:///\\cot-dc01.cot-i.com\CapRockDocuments\Engineering\01_Designs\2227\2227.dwg" TargetMode="External"/><Relationship Id="rId1030" Type="http://schemas.openxmlformats.org/officeDocument/2006/relationships/hyperlink" Target="file:///\\cot-dc01.cot-i.com\CapRockDocuments\Engineering\01_Designs\2046\2046%20@%200.25%20IPR.dwg" TargetMode="External"/><Relationship Id="rId1268" Type="http://schemas.openxmlformats.org/officeDocument/2006/relationships/hyperlink" Target="file:///\\cot-dc01.cot-i.com\CapRockDocuments\Engineering\01_Designs\6653\6653r00%20ISO.png" TargetMode="External"/><Relationship Id="rId277" Type="http://schemas.openxmlformats.org/officeDocument/2006/relationships/hyperlink" Target="file:///\\cot-dc01.cot-i.com\CapRockDocuments\Engineering\01_Designs\2141\2141.dwg" TargetMode="External"/><Relationship Id="rId400" Type="http://schemas.openxmlformats.org/officeDocument/2006/relationships/hyperlink" Target="file:///\\cot-dc01.cot-i.com\CapRockDocuments\Engineering\02_Spec%20Sheets\WIP%202.0\2769.2205\2205.ISO.C.png" TargetMode="External"/><Relationship Id="rId484" Type="http://schemas.openxmlformats.org/officeDocument/2006/relationships/hyperlink" Target="file:///\\cot-dc01.cot-i.com\CapRockDocuments\Engineering\02_Spec%20Sheets\Original%20Assy%20Spec%20Sheets\2174.pdf" TargetMode="External"/><Relationship Id="rId705" Type="http://schemas.openxmlformats.org/officeDocument/2006/relationships/hyperlink" Target="file:///\\COT-SQL01\SEData\cot-i\eg\se\rel\Fixed%20Cutter%20Rockbits%20SKF\Size%2007.875\Blade%204\SKF-02240r01.asm" TargetMode="External"/><Relationship Id="rId1128" Type="http://schemas.openxmlformats.org/officeDocument/2006/relationships/hyperlink" Target="file:///\\cot-dc01.cot-i.com\CapRockDocuments\Engineering\01_Designs\9427\9427r1%20v6.10.xlsm" TargetMode="External"/><Relationship Id="rId1335" Type="http://schemas.openxmlformats.org/officeDocument/2006/relationships/hyperlink" Target="file:///\\cot-dc01.cot-i.com\CapRockDocuments\Engineering\01_Designs\9387\9387r00%20Min%20Engagement%20v8.01.xlsm" TargetMode="External"/><Relationship Id="rId137" Type="http://schemas.openxmlformats.org/officeDocument/2006/relationships/hyperlink" Target="file:///\\cot-dc01.cot-i.com\CapRockDocuments\Engineering\01_Designs\2190\2190A_Summary.docx" TargetMode="External"/><Relationship Id="rId344" Type="http://schemas.openxmlformats.org/officeDocument/2006/relationships/hyperlink" Target="file:///\\cot-dc01.cot-i.com\CapRockDocuments\Engineering\02_Spec%20Sheets\WIP%202.0\3123.2004\2004.ISO.C.png" TargetMode="External"/><Relationship Id="rId691" Type="http://schemas.openxmlformats.org/officeDocument/2006/relationships/hyperlink" Target="file:///\\COT-SQL01\SEData\cot-i\eg\se\rel\Fixed%20Cutter%20Rockbits%20SKF\Size%2012.250\Blade%207\SKF-02210r01.asm" TargetMode="External"/><Relationship Id="rId789" Type="http://schemas.openxmlformats.org/officeDocument/2006/relationships/hyperlink" Target="file:///\\cot-dc01.cot-i.com\CapRockDocuments\Engineering\01_Designs\2001\2001.dwg" TargetMode="External"/><Relationship Id="rId912" Type="http://schemas.openxmlformats.org/officeDocument/2006/relationships/hyperlink" Target="file:///\\cot-dc01.cot-i.com\CapRockDocuments\Engineering\01_Designs\2070\2070%20LO.dwg" TargetMode="External"/><Relationship Id="rId996" Type="http://schemas.openxmlformats.org/officeDocument/2006/relationships/hyperlink" Target="file:///\\cot-dc01.cot-i.com\CapRockDocuments\Engineering\01_Designs\2153\2153%20LO.dwg" TargetMode="External"/><Relationship Id="rId41" Type="http://schemas.openxmlformats.org/officeDocument/2006/relationships/hyperlink" Target="file:///\\cot-dc01.cot-i.com\CapRockDocuments\Engineering\01_Designs\2216\CDG-38973r1.xlsm" TargetMode="External"/><Relationship Id="rId551" Type="http://schemas.openxmlformats.org/officeDocument/2006/relationships/hyperlink" Target="file:///\\cot-dc01.cot-i.com\CapRockDocuments\Engineering\02_Spec%20Sheets\WIP%202.0\6453.2225\2225.Top.C.png" TargetMode="External"/><Relationship Id="rId649" Type="http://schemas.openxmlformats.org/officeDocument/2006/relationships/hyperlink" Target="file:///\\COT-SQL01\SEData\cot-i\eg\se\rel\Fixed%20Cutter%20Rockbits%20SKF\Size%2009.875\Blade%205\SKF-02121r01.asm" TargetMode="External"/><Relationship Id="rId856" Type="http://schemas.openxmlformats.org/officeDocument/2006/relationships/hyperlink" Target="file:///\\cot-dc01.cot-i.com\CapRockDocuments\Engineering\01_Designs\2241\2241%20@%200.25%20IPR.dwg" TargetMode="External"/><Relationship Id="rId1181" Type="http://schemas.openxmlformats.org/officeDocument/2006/relationships/hyperlink" Target="file:///\\cot-dc01.cot-i.com\CapRockDocuments\Engineering\01_Designs\5911\5911r00%20@%200.250%20in_rev.dwg" TargetMode="External"/><Relationship Id="rId1279" Type="http://schemas.openxmlformats.org/officeDocument/2006/relationships/hyperlink" Target="file:///\\cot-dc01.cot-i.com\CapRockDocuments\Engineering\01_Designs\9692\9692r00%20CS%20Placement%20V4.xls" TargetMode="External"/><Relationship Id="rId190" Type="http://schemas.openxmlformats.org/officeDocument/2006/relationships/hyperlink" Target="file:///\\cot-dc01.cot-i.com\CapRockDocuments\Engineering\01_Designs\2209\XTO%20Midland%20Delaware%20PDC%20Bit%20Feature%20Checklist%2001-03-19.docx" TargetMode="External"/><Relationship Id="rId204" Type="http://schemas.openxmlformats.org/officeDocument/2006/relationships/hyperlink" Target="file:///\\cot-dc01.cot-i.com\CapRockDocuments\Engineering\02_Spec%20Sheets\WIP%202.0\4543.2017\2017.Top.C.png" TargetMode="External"/><Relationship Id="rId288" Type="http://schemas.openxmlformats.org/officeDocument/2006/relationships/hyperlink" Target="file:///\\cot-dc01.cot-i.com\CapRockDocuments\Engineering\01_Designs\2054\2054A.dwg" TargetMode="External"/><Relationship Id="rId411" Type="http://schemas.openxmlformats.org/officeDocument/2006/relationships/hyperlink" Target="file:///\\cot-dc01.cot-i.com\CapRockDocuments\Engineering\01_Designs\2272\2272r2.dwg" TargetMode="External"/><Relationship Id="rId509" Type="http://schemas.openxmlformats.org/officeDocument/2006/relationships/hyperlink" Target="file:///\\cot-dc01.cot-i.com\CapRockDocuments\Engineering\02_Spec%20Sheets\Original%20Assy%20Spec%20Sheets\2251.pdf" TargetMode="External"/><Relationship Id="rId1041" Type="http://schemas.openxmlformats.org/officeDocument/2006/relationships/hyperlink" Target="file:///\\cot-dc01.cot-i.com\CapRockDocuments\Engineering\01_Designs\2028\2028%20LO.dwg" TargetMode="External"/><Relationship Id="rId1139" Type="http://schemas.openxmlformats.org/officeDocument/2006/relationships/hyperlink" Target="file:///\\cot-dc01.cot-i.com\CapRockDocuments\Engineering\01_Designs\4538\4538r0%20CS%20Placement.xls" TargetMode="External"/><Relationship Id="rId1346" Type="http://schemas.openxmlformats.org/officeDocument/2006/relationships/hyperlink" Target="file:///\\cot-sql01\sedata\cot-i\eg\se\rel\Fixed%20Cutter%20Rockbits%20SKF\Size%2007.875\Blade%205\6841r00%20at%200.250%20in_rev.par" TargetMode="External"/><Relationship Id="rId495" Type="http://schemas.openxmlformats.org/officeDocument/2006/relationships/hyperlink" Target="file:///\\cot-dc01.cot-i.com\CapRockDocuments\Engineering\02_Spec%20Sheets\Original%20Assy%20Spec%20Sheets\2164.pdf" TargetMode="External"/><Relationship Id="rId716" Type="http://schemas.openxmlformats.org/officeDocument/2006/relationships/hyperlink" Target="file:///\\COT-SQL01\SEData\cot-i\eg\se\rel\Fixed%20Cutter%20Rockbits%20SKF\Size%2007.875\Blade%206\SKF-02268r02.asm" TargetMode="External"/><Relationship Id="rId923" Type="http://schemas.openxmlformats.org/officeDocument/2006/relationships/hyperlink" Target="file:///\\cot-dc01.cot-i.com\CapRockDocuments\Engineering\01_Designs\2079\2079%20@%200.25%20IPR.xls" TargetMode="External"/><Relationship Id="rId52" Type="http://schemas.openxmlformats.org/officeDocument/2006/relationships/hyperlink" Target="file:///\\cot-dc01.cot-i.com\CapRockDocuments\Engineering\01_Designs\2054\CDG-38531r1.xls" TargetMode="External"/><Relationship Id="rId148" Type="http://schemas.openxmlformats.org/officeDocument/2006/relationships/hyperlink" Target="file:///\\cot-dc01.cot-i.com\CapRockDocuments\Engineering\01_Designs\2218\2218A_Summary.docx" TargetMode="External"/><Relationship Id="rId355" Type="http://schemas.openxmlformats.org/officeDocument/2006/relationships/hyperlink" Target="file:///\\cot-dc01.cot-i.com\CapRockDocuments\Engineering\02_Spec%20Sheets\WIP%202.0\9326.2046\2046.ISO.C.png" TargetMode="External"/><Relationship Id="rId562" Type="http://schemas.openxmlformats.org/officeDocument/2006/relationships/hyperlink" Target="file:///\\cot-dc01.cot-i.com\CapRockDocuments\Engineering\02_Spec%20Sheets\WIP%202.0\9213.2192\2192.Top.C.png" TargetMode="External"/><Relationship Id="rId1192" Type="http://schemas.openxmlformats.org/officeDocument/2006/relationships/hyperlink" Target="file:///\\COT-SQL01\SEData\cot-i\eg\se\rel\Fixed%20Cutter%20Rockbits%20SKF\Size%2014.750\Blade%206\SKF-05674r00.asm" TargetMode="External"/><Relationship Id="rId1206" Type="http://schemas.openxmlformats.org/officeDocument/2006/relationships/hyperlink" Target="file:///\\cot-dc01.cot-i.com\CapRockDocuments\Engineering\02_Spec%20Sheets\Original%20Assy%20Spec%20Sheets\6150r01%20Spec%20Sheet.pdf" TargetMode="External"/><Relationship Id="rId215" Type="http://schemas.openxmlformats.org/officeDocument/2006/relationships/hyperlink" Target="file:///\\cot-dc01.cot-i.com\CapRockDocuments\Engineering\02_Spec%20Sheets\WIP%202.0\6945.2053\2053.Top.C.png" TargetMode="External"/><Relationship Id="rId422" Type="http://schemas.openxmlformats.org/officeDocument/2006/relationships/hyperlink" Target="file:///\\cot-dc01.cot-i.com\CapRockDocuments\Engineering\02_Spec%20Sheets\Original%20Assy%20Spec%20Sheets\2077.pdf" TargetMode="External"/><Relationship Id="rId867" Type="http://schemas.openxmlformats.org/officeDocument/2006/relationships/hyperlink" Target="file:///\\cot-dc01.cot-i.com\CapRockDocuments\Engineering\01_Designs\2270\2270%20@%200.25%20IPR.dwg" TargetMode="External"/><Relationship Id="rId1052" Type="http://schemas.openxmlformats.org/officeDocument/2006/relationships/hyperlink" Target="file:///\\cot-dc01.cot-i.com\CapRockDocuments\Engineering\01_Designs\2018L\2018%20@%200.25%20IPR.xls" TargetMode="External"/><Relationship Id="rId299" Type="http://schemas.openxmlformats.org/officeDocument/2006/relationships/hyperlink" Target="file:///\\cot-dc01.cot-i.com\CapRockDocuments\Engineering\01_Designs\2051\2051A.dwg" TargetMode="External"/><Relationship Id="rId727" Type="http://schemas.openxmlformats.org/officeDocument/2006/relationships/hyperlink" Target="file:///\\cot-dc01.cot-i.com\CapRockDocuments\Engineering\01_Designs\2249\2249.dwg" TargetMode="External"/><Relationship Id="rId934" Type="http://schemas.openxmlformats.org/officeDocument/2006/relationships/hyperlink" Target="file:///\\cot-dc01.cot-i.com\CapRockDocuments\Engineering\01_Designs\2091\2091%20@%200.25%20IPR.dwg" TargetMode="External"/><Relationship Id="rId1357" Type="http://schemas.openxmlformats.org/officeDocument/2006/relationships/hyperlink" Target="file:///\\cot-sql01\sedata\cot-i\eg\se\rel\Fixed%20Cutter%20Rockbits%20SKF\Size%2006.750\Blade%206\4796r00%20@%200.250%20in_rev.par" TargetMode="External"/><Relationship Id="rId63" Type="http://schemas.openxmlformats.org/officeDocument/2006/relationships/hyperlink" Target="file:///\\cot-dc01.cot-i.com\CapRockDocuments\Engineering\01_Designs\2079\CDG-38604.xlsm" TargetMode="External"/><Relationship Id="rId159" Type="http://schemas.openxmlformats.org/officeDocument/2006/relationships/hyperlink" Target="file:///\\cot-dc01.cot-i.com\CapRockDocuments\Engineering\01_Designs\2169\14.75%20Design%20Request.doc" TargetMode="External"/><Relationship Id="rId366" Type="http://schemas.openxmlformats.org/officeDocument/2006/relationships/hyperlink" Target="file:///\\cot-dc01.cot-i.com\CapRockDocuments\Engineering\02_Spec%20Sheets\WIP%202.0\4979.2091\2091.ISO.C.png" TargetMode="External"/><Relationship Id="rId573" Type="http://schemas.openxmlformats.org/officeDocument/2006/relationships/hyperlink" Target="file:///\\cot-dc01.cot-i.com\CapRockDocuments\Engineering\02_Spec%20Sheets\WIP%202.0\3814.2249\2249.ISO.C.png" TargetMode="External"/><Relationship Id="rId780" Type="http://schemas.openxmlformats.org/officeDocument/2006/relationships/hyperlink" Target="file:///\\cot-dc01.cot-i.com\CapRockDocuments\Engineering\01_Designs\2231\2231%20@%200.25%20IPR.xls" TargetMode="External"/><Relationship Id="rId1217" Type="http://schemas.openxmlformats.org/officeDocument/2006/relationships/hyperlink" Target="file:///\\cot-dc01.cot-i.com\CapRockDocuments\Engineering\02_Spec%20Sheets\Original%20Assy%20Spec%20Sheets\3336r00.pdf" TargetMode="External"/><Relationship Id="rId226" Type="http://schemas.openxmlformats.org/officeDocument/2006/relationships/hyperlink" Target="file:///\\cot-dc01.cot-i.com\CapRockDocuments\Engineering\02_Spec%20Sheets\WIP%202.0\4260.2096\2096.Top.C.png" TargetMode="External"/><Relationship Id="rId433" Type="http://schemas.openxmlformats.org/officeDocument/2006/relationships/hyperlink" Target="file:///\\cot-dc01.cot-i.com\CapRockDocuments\Engineering\02_Spec%20Sheets\Original%20Assy%20Spec%20Sheets\2249.pdf" TargetMode="External"/><Relationship Id="rId878" Type="http://schemas.openxmlformats.org/officeDocument/2006/relationships/hyperlink" Target="file:///\\cot-dc01.cot-i.com\CapRockDocuments\Engineering\01_Designs\2140\2140%20@%200.25%20IPR.dwg" TargetMode="External"/><Relationship Id="rId1063" Type="http://schemas.openxmlformats.org/officeDocument/2006/relationships/hyperlink" Target="file:///\\cot-dc01.cot-i.com\CapRockDocuments\Engineering\01_Designs\2172\2172%20@%200.25%20IPR.dwg" TargetMode="External"/><Relationship Id="rId1270" Type="http://schemas.openxmlformats.org/officeDocument/2006/relationships/hyperlink" Target="file:///\\COT-SQL01\SEData\cot-i\eg\se\rel\Fixed%20Cutter%20Rockbits%20SKF\Size%2012.250\Blade%206\SKF-06653r00.asm" TargetMode="External"/><Relationship Id="rId640" Type="http://schemas.openxmlformats.org/officeDocument/2006/relationships/hyperlink" Target="file:///\\COT-SQL01\SEData\cot-i\eg\se\rel\Fixed%20Cutter%20Rockbits%20SKF\Size%2009.875\Blade%206\SKF-02095r01.asm" TargetMode="External"/><Relationship Id="rId738" Type="http://schemas.openxmlformats.org/officeDocument/2006/relationships/hyperlink" Target="file:///\\cot-dc01.cot-i.com\CapRockDocuments\Engineering\01_Designs\1991\1991%20@%200.25%20IPR.xls" TargetMode="External"/><Relationship Id="rId945" Type="http://schemas.openxmlformats.org/officeDocument/2006/relationships/hyperlink" Target="file:///\\cot-dc01.cot-i.com\CapRockDocuments\Engineering\01_Designs\2104\2104%20LO.dwg" TargetMode="External"/><Relationship Id="rId1368" Type="http://schemas.openxmlformats.org/officeDocument/2006/relationships/hyperlink" Target="file:///\\cot-sql01\sedata\cot-i\eg\se\rel\Fixed%20Cutter%20Rockbits%20SKF\Size%2011.000\Blade%206\SKF-04149r00.asm" TargetMode="External"/><Relationship Id="rId74" Type="http://schemas.openxmlformats.org/officeDocument/2006/relationships/hyperlink" Target="file:///\\cot-dc01.cot-i.com\CapRockDocuments\Engineering\01_Designs\2207\CDG-38952r1%20New.xlsm" TargetMode="External"/><Relationship Id="rId377" Type="http://schemas.openxmlformats.org/officeDocument/2006/relationships/hyperlink" Target="file:///\\cot-dc01.cot-i.com\CapRockDocuments\Engineering\02_Spec%20Sheets\WIP%202.0\5366.2121\2121.ISO.C.png" TargetMode="External"/><Relationship Id="rId500" Type="http://schemas.openxmlformats.org/officeDocument/2006/relationships/hyperlink" Target="file:///\\cot-dc01.cot-i.com\CapRockDocuments\Engineering\02_Spec%20Sheets\Original%20Assy%20Spec%20Sheets\2019.pdf" TargetMode="External"/><Relationship Id="rId584" Type="http://schemas.openxmlformats.org/officeDocument/2006/relationships/hyperlink" Target="file:///\\cot-dc01.cot-i.com\CapRockDocuments\Engineering\02_Spec%20Sheets\WIP%202.0\5244.2179\2179.ISO.C.png" TargetMode="External"/><Relationship Id="rId805" Type="http://schemas.openxmlformats.org/officeDocument/2006/relationships/hyperlink" Target="file:///\\cot-dc01.cot-i.com\CapRockDocuments\Engineering\01_Designs\2158\2158%20@%200.25%20IPR.xls" TargetMode="External"/><Relationship Id="rId1130" Type="http://schemas.openxmlformats.org/officeDocument/2006/relationships/hyperlink" Target="file:///\\cot-dc01.cot-i.com\CapRockDocuments\Engineering\01_Designs\9427\9427r1%20ISO.png" TargetMode="External"/><Relationship Id="rId1228" Type="http://schemas.openxmlformats.org/officeDocument/2006/relationships/hyperlink" Target="file:///\\cot-dc01.cot-i.com\CapRockDocuments\Engineering\01_Designs\7273\7273r00%20TOP.png" TargetMode="External"/><Relationship Id="rId5" Type="http://schemas.openxmlformats.org/officeDocument/2006/relationships/hyperlink" Target="file:///\\cot-dc01.cot-i.com\CapRockDocuments\Engineering\01_Designs\1961\CDG-38231r1.dwg" TargetMode="External"/><Relationship Id="rId237" Type="http://schemas.openxmlformats.org/officeDocument/2006/relationships/hyperlink" Target="file:///\\cot-dc01.cot-i.com\CapRockDocuments\Engineering\02_Spec%20Sheets\WIP%202.0\8001.2131\2131.Top.C.png" TargetMode="External"/><Relationship Id="rId791" Type="http://schemas.openxmlformats.org/officeDocument/2006/relationships/hyperlink" Target="file:///\\cot-dc01.cot-i.com\CapRockDocuments\Engineering\01_Designs\2193\2193%20@%200.25%20IPR.xls" TargetMode="External"/><Relationship Id="rId889" Type="http://schemas.openxmlformats.org/officeDocument/2006/relationships/hyperlink" Target="file:///\\cot-dc01.cot-i.com\CapRockDocuments\Engineering\01_Designs\2266\2266%20@%200.25%20IPR.xls" TargetMode="External"/><Relationship Id="rId1074" Type="http://schemas.openxmlformats.org/officeDocument/2006/relationships/hyperlink" Target="file:///\\cot-dc01.cot-i.com\CapRockDocuments\Engineering\01_Designs\8479\8479%20@%200.25%20IPR.xls" TargetMode="External"/><Relationship Id="rId444" Type="http://schemas.openxmlformats.org/officeDocument/2006/relationships/hyperlink" Target="file:///\\cot-dc01.cot-i.com\CapRockDocuments\Engineering\02_Spec%20Sheets\Original%20Assy%20Spec%20Sheets\2231.pdf" TargetMode="External"/><Relationship Id="rId651" Type="http://schemas.openxmlformats.org/officeDocument/2006/relationships/hyperlink" Target="file:///\\COT-SQL01\SEData\cot-i\eg\se\rel\Fixed%20Cutter%20Rockbits%20SKF\Size%2012.250\Blade%205\SKF-02124r02.asm" TargetMode="External"/><Relationship Id="rId749" Type="http://schemas.openxmlformats.org/officeDocument/2006/relationships/hyperlink" Target="file:///\\cot-dc01.cot-i.com\CapRockDocuments\Engineering\01_Designs\2218\2218%20@%200.25%20IPR.dwg" TargetMode="External"/><Relationship Id="rId1281" Type="http://schemas.openxmlformats.org/officeDocument/2006/relationships/hyperlink" Target="file:///\\cot-dc01.cot-i.com\CapRockDocuments\Engineering\01_Designs\9692\9692r00%20TOP.png" TargetMode="External"/><Relationship Id="rId1379" Type="http://schemas.openxmlformats.org/officeDocument/2006/relationships/hyperlink" Target="file:///\\cot-dc01.cot-i.com\CapRockDocuments\Engineering\01_Designs\9944\9944r00%20CS%20Placement%20V7.01.xls" TargetMode="External"/><Relationship Id="rId290" Type="http://schemas.openxmlformats.org/officeDocument/2006/relationships/hyperlink" Target="file:///\\cot-dc01.cot-i.com\CapRockDocuments\Engineering\01_Designs\2010\2010A.dwg" TargetMode="External"/><Relationship Id="rId304" Type="http://schemas.openxmlformats.org/officeDocument/2006/relationships/hyperlink" Target="file:///\\cot-dc01.cot-i.com\CapRockDocuments\Engineering\01_Designs\2081\2081A.dwg" TargetMode="External"/><Relationship Id="rId388" Type="http://schemas.openxmlformats.org/officeDocument/2006/relationships/hyperlink" Target="file:///\\cot-dc01.cot-i.com\CapRockDocuments\Engineering\02_Spec%20Sheets\WIP%202.0\6270.2152\2152.ISO.C.png" TargetMode="External"/><Relationship Id="rId511" Type="http://schemas.openxmlformats.org/officeDocument/2006/relationships/hyperlink" Target="file:///\\cot-dc01.cot-i.com\CapRockDocuments\Engineering\02_Spec%20Sheets\Original%20Assy%20Spec%20Sheets\2185.pdf" TargetMode="External"/><Relationship Id="rId609" Type="http://schemas.openxmlformats.org/officeDocument/2006/relationships/hyperlink" Target="file:///\\COT-SQL01\SEData\cot-i\eg\se\rel\Fixed%20Cutter%20Rockbits%20SKF\Size%2012.250\Blade%206\SKF-01961r05.asm" TargetMode="External"/><Relationship Id="rId956" Type="http://schemas.openxmlformats.org/officeDocument/2006/relationships/hyperlink" Target="file:///\\cot-dc01.cot-i.com\CapRockDocuments\Engineering\01_Designs\2117\2117%20@%200.25%20IPR.xls" TargetMode="External"/><Relationship Id="rId1141" Type="http://schemas.openxmlformats.org/officeDocument/2006/relationships/hyperlink" Target="file:///\\cot-dc01.cot-i.com\CapRockDocuments\Engineering\02_Spec%20Sheets\Original%20Assy%20Spec%20Sheets\4538r0.pdf" TargetMode="External"/><Relationship Id="rId1239" Type="http://schemas.openxmlformats.org/officeDocument/2006/relationships/hyperlink" Target="file:///\\cot-dc01.cot-i.com\CapRockDocuments\Engineering\01_Designs\3219\3219%20LO.dwg" TargetMode="External"/><Relationship Id="rId85" Type="http://schemas.openxmlformats.org/officeDocument/2006/relationships/hyperlink" Target="file:///\\cot-dc01.cot-i.com\CapRockDocuments\Engineering\01_Designs\2049L\2049A_Summary.doc" TargetMode="External"/><Relationship Id="rId150" Type="http://schemas.openxmlformats.org/officeDocument/2006/relationships/hyperlink" Target="file:///\\cot-dc01.cot-i.com\CapRockDocuments\Engineering\01_Designs\2225\2225A_Summary.docx" TargetMode="External"/><Relationship Id="rId595" Type="http://schemas.openxmlformats.org/officeDocument/2006/relationships/hyperlink" Target="file:///\\cot-dc01.cot-i.com\CapRockDocuments\Engineering\02_Spec%20Sheets\WIP%202.0\6784.1970\1970.ISO.C.png" TargetMode="External"/><Relationship Id="rId816" Type="http://schemas.openxmlformats.org/officeDocument/2006/relationships/hyperlink" Target="file:///\\cot-dc01.cot-i.com\CapRockDocuments\Engineering\01_Designs\2181\2181%20@%200.25%20IPR.dwg" TargetMode="External"/><Relationship Id="rId1001" Type="http://schemas.openxmlformats.org/officeDocument/2006/relationships/hyperlink" Target="file:///\\cot-dc01.cot-i.com\CapRockDocuments\Engineering\01_Designs\2157\2157%20@%200.25%20IPR.xls" TargetMode="External"/><Relationship Id="rId248" Type="http://schemas.openxmlformats.org/officeDocument/2006/relationships/hyperlink" Target="file:///\\cot-dc01.cot-i.com\CapRockDocuments\Engineering\02_Spec%20Sheets\WIP%202.0\2570.2158\2158.Top.C.png" TargetMode="External"/><Relationship Id="rId455" Type="http://schemas.openxmlformats.org/officeDocument/2006/relationships/hyperlink" Target="file:///\\cot-dc01.cot-i.com\CapRockDocuments\Engineering\02_Spec%20Sheets\Original%20Assy%20Spec%20Sheets\2114.pdf" TargetMode="External"/><Relationship Id="rId662" Type="http://schemas.openxmlformats.org/officeDocument/2006/relationships/hyperlink" Target="file:///\\COT-SQL01\SEData\cot-i\eg\se\rel\Fixed%20Cutter%20Rockbits%20SKF\Size%2012.250\Blade%207\SKF-02153r01.asm" TargetMode="External"/><Relationship Id="rId1085" Type="http://schemas.openxmlformats.org/officeDocument/2006/relationships/hyperlink" Target="file:///\\cot-dc01.cot-i.com\CapRockDocuments\Engineering\01_Designs\6207\6207r1%20Design.xlsm" TargetMode="External"/><Relationship Id="rId1292" Type="http://schemas.openxmlformats.org/officeDocument/2006/relationships/hyperlink" Target="file:///\\cot-dc01.cot-i.com\CapRockDocuments\Engineering\01_Designs\7182\7182r00%20Min%20Engagement%20v8.01.xlsm" TargetMode="External"/><Relationship Id="rId1306" Type="http://schemas.openxmlformats.org/officeDocument/2006/relationships/hyperlink" Target="file:///\\COT-SQL01\SEData\cot-i\eg\se\rel\Fixed%20Cutter%20Rockbits%20SKF\Size%2009.875\Blade%206\8896r00%20Hole%20at%200.250%20in_rev.par" TargetMode="External"/><Relationship Id="rId12" Type="http://schemas.openxmlformats.org/officeDocument/2006/relationships/hyperlink" Target="file:///\\cot-dc01.cot-i.com\CapRockDocuments\Engineering\01_Designs\2157\CDG-38779r1.dwg" TargetMode="External"/><Relationship Id="rId108" Type="http://schemas.openxmlformats.org/officeDocument/2006/relationships/hyperlink" Target="file:///\\cot-dc01.cot-i.com\CapRockDocuments\Engineering\01_Designs\2050\2050A_Summary.doc" TargetMode="External"/><Relationship Id="rId315" Type="http://schemas.openxmlformats.org/officeDocument/2006/relationships/hyperlink" Target="file:///\\cot-dc01.cot-i.com\CapRockDocuments\Engineering\01_Designs\2121\2121A.dwg" TargetMode="External"/><Relationship Id="rId522" Type="http://schemas.openxmlformats.org/officeDocument/2006/relationships/hyperlink" Target="file:///\\cot-dc01.cot-i.com\CapRockDocuments\Engineering\02_Spec%20Sheets\Original%20Assy%20Spec%20Sheets\2225.pdf" TargetMode="External"/><Relationship Id="rId967" Type="http://schemas.openxmlformats.org/officeDocument/2006/relationships/hyperlink" Target="file:///\\cot-dc01.cot-i.com\CapRockDocuments\Engineering\01_Designs\2121\2121%20@%200.25%20IPR.dwg" TargetMode="External"/><Relationship Id="rId1152" Type="http://schemas.openxmlformats.org/officeDocument/2006/relationships/hyperlink" Target="file:///\\cot-dc01.cot-i.com\CapRockDocuments\Engineering\01_Designs\9023\9023r00%20Min%20Engagement%20v7.01.xlsm" TargetMode="External"/><Relationship Id="rId96" Type="http://schemas.openxmlformats.org/officeDocument/2006/relationships/hyperlink" Target="file:///\\cot-dc01.cot-i.com\CapRockDocuments\Engineering\01_Designs\2160\2160A_Summary.docx" TargetMode="External"/><Relationship Id="rId161" Type="http://schemas.openxmlformats.org/officeDocument/2006/relationships/hyperlink" Target="file:///\\cot-dc01.cot-i.com\CapRockDocuments\Engineering\01_Designs\2018L\134%20PDC%20Bit%20Design%20Request%20rev%20C.docx" TargetMode="External"/><Relationship Id="rId399" Type="http://schemas.openxmlformats.org/officeDocument/2006/relationships/hyperlink" Target="file:///\\cot-dc01.cot-i.com\CapRockDocuments\Engineering\02_Spec%20Sheets\WIP%202.0\6408.2194\2194.ISO.C.png" TargetMode="External"/><Relationship Id="rId827" Type="http://schemas.openxmlformats.org/officeDocument/2006/relationships/hyperlink" Target="file:///\\cot-dc01.cot-i.com\CapRockDocuments\Engineering\01_Designs\1959\1959%20@%200.25%20IPR.xls" TargetMode="External"/><Relationship Id="rId1012" Type="http://schemas.openxmlformats.org/officeDocument/2006/relationships/hyperlink" Target="file:///\\cot-dc01.cot-i.com\CapRockDocuments\Engineering\01_Designs\2131\2131%20@%200.25%20IPR.dwg" TargetMode="External"/><Relationship Id="rId259" Type="http://schemas.openxmlformats.org/officeDocument/2006/relationships/hyperlink" Target="file:///\\cot-dc01.cot-i.com\CapRockDocuments\Engineering\02_Spec%20Sheets\WIP%202.0\9408.2251\2251.Top.C.png" TargetMode="External"/><Relationship Id="rId466" Type="http://schemas.openxmlformats.org/officeDocument/2006/relationships/hyperlink" Target="file:///\\cot-dc01.cot-i.com\CapRockDocuments\Engineering\02_Spec%20Sheets\Original%20Assy%20Spec%20Sheets\2234.pdf" TargetMode="External"/><Relationship Id="rId673" Type="http://schemas.openxmlformats.org/officeDocument/2006/relationships/hyperlink" Target="file:///\\COT-SQL01\SEData\cot-i\eg\se\rel\Fixed%20Cutter%20Rockbits%20SKF\Size%2012.250\Blade%207\SKF-02179r01.asm" TargetMode="External"/><Relationship Id="rId880" Type="http://schemas.openxmlformats.org/officeDocument/2006/relationships/hyperlink" Target="file:///\\cot-dc01.cot-i.com\CapRockDocuments\Engineering\01_Designs\1941\1941%20@%200.25%20IPR.xls" TargetMode="External"/><Relationship Id="rId1096" Type="http://schemas.openxmlformats.org/officeDocument/2006/relationships/hyperlink" Target="file:///\\cot-dc01.cot-i.com\CapRockDocuments\Engineering\01_Designs\4720\4720%20Design.dwg" TargetMode="External"/><Relationship Id="rId1317" Type="http://schemas.openxmlformats.org/officeDocument/2006/relationships/hyperlink" Target="file:///\\cot-dc01.cot-i.com\CapRockDocuments\Engineering\02_Spec%20Sheets\Original%20Assy%20Spec%20Sheets\6653r00%20Spec%20Sheet.pdf" TargetMode="External"/><Relationship Id="rId23" Type="http://schemas.openxmlformats.org/officeDocument/2006/relationships/hyperlink" Target="file:///\\cot-dc01.cot-i.com\CapRockDocuments\Engineering\01_Designs\2075\CDG-38591r1.dwg" TargetMode="External"/><Relationship Id="rId119" Type="http://schemas.openxmlformats.org/officeDocument/2006/relationships/hyperlink" Target="file:///\\cot-dc01.cot-i.com\CapRockDocuments\Engineering\01_Designs\2104\2104A_Summary.docx" TargetMode="External"/><Relationship Id="rId326" Type="http://schemas.openxmlformats.org/officeDocument/2006/relationships/hyperlink" Target="file:///\\cot-dc01.cot-i.com\CapRockDocuments\Engineering\01_Designs\2192\2192.dwg" TargetMode="External"/><Relationship Id="rId533" Type="http://schemas.openxmlformats.org/officeDocument/2006/relationships/hyperlink" Target="file:///\\cot-dc01.cot-i.com\CapRockDocuments\Engineering\02_Spec%20Sheets\WIP%202.0\4045.2226\2226.Top.C.png" TargetMode="External"/><Relationship Id="rId978" Type="http://schemas.openxmlformats.org/officeDocument/2006/relationships/hyperlink" Target="file:///\\cot-dc01.cot-i.com\CapRockDocuments\Engineering\01_Designs\2137\2137%20LO.dwg" TargetMode="External"/><Relationship Id="rId1163" Type="http://schemas.openxmlformats.org/officeDocument/2006/relationships/hyperlink" Target="file:///\\cot-dc01.cot-i.com\CapRockDocuments\Engineering\01_Designs\3449\3449r00%20@%200.25%20IPR.xlsm" TargetMode="External"/><Relationship Id="rId1370" Type="http://schemas.openxmlformats.org/officeDocument/2006/relationships/hyperlink" Target="file:///\\cot-dc01.cot-i.com\CapRockDocuments\Engineering\01_Designs\2746\2026.02.02%20---%20PPSr01%20---%202746%2010.625%20NX616-SR9(K)%20---%20Profitability%20Projections.xlsm" TargetMode="External"/><Relationship Id="rId740" Type="http://schemas.openxmlformats.org/officeDocument/2006/relationships/hyperlink" Target="file:///\\cot-dc01.cot-i.com\CapRockDocuments\Engineering\01_Designs\1991\1991%20@%200.25%20IPR.dwg" TargetMode="External"/><Relationship Id="rId838" Type="http://schemas.openxmlformats.org/officeDocument/2006/relationships/hyperlink" Target="file:///\\cot-dc01.cot-i.com\CapRockDocuments\Engineering\01_Designs\2205\2205%20@%200.25%20IPR.dwg" TargetMode="External"/><Relationship Id="rId1023" Type="http://schemas.openxmlformats.org/officeDocument/2006/relationships/hyperlink" Target="file:///\\cot-dc01.cot-i.com\CapRockDocuments\Engineering\01_Designs\2050\2050%20LO.dwg" TargetMode="External"/><Relationship Id="rId172" Type="http://schemas.openxmlformats.org/officeDocument/2006/relationships/hyperlink" Target="file:///\\cot-dc01.cot-i.com\CapRockDocuments\Engineering\01_Designs\2043\1001%20New%20Design%20Request%20and%20Priority%20Rev%20K%20060%20616-SR%202020%20Scale.docx" TargetMode="External"/><Relationship Id="rId477" Type="http://schemas.openxmlformats.org/officeDocument/2006/relationships/hyperlink" Target="file:///\\cot-dc01.cot-i.com\CapRockDocuments\Engineering\02_Spec%20Sheets\Original%20Assy%20Spec%20Sheets\2020.pdf" TargetMode="External"/><Relationship Id="rId600" Type="http://schemas.openxmlformats.org/officeDocument/2006/relationships/hyperlink" Target="file:///\\cot-dc01.cot-i.com\CapRockDocuments\Engineering\02_Spec%20Sheets\WIP%202.0\8249.2180\2180.ISO.C.png" TargetMode="External"/><Relationship Id="rId684" Type="http://schemas.openxmlformats.org/officeDocument/2006/relationships/hyperlink" Target="file:///\\COT-SQL01\SEData\cot-i\eg\se\rel\Fixed%20Cutter%20Rockbits%20SKF\Size%2008.750\Blade%205\SKF-02196r01.asm" TargetMode="External"/><Relationship Id="rId1230" Type="http://schemas.openxmlformats.org/officeDocument/2006/relationships/hyperlink" Target="file:///\\cot-dc01.cot-i.com\CapRockDocuments\Engineering\01_Designs\2381\2381r01%20Min%20Engagement%20v7.01.xlsm" TargetMode="External"/><Relationship Id="rId1328" Type="http://schemas.openxmlformats.org/officeDocument/2006/relationships/hyperlink" Target="file:///\\cot-dc01.cot-i.com\CapRockDocuments\Engineering\01_Designs\6135\6135r00%20ISO.png" TargetMode="External"/><Relationship Id="rId337" Type="http://schemas.openxmlformats.org/officeDocument/2006/relationships/hyperlink" Target="file:///\\cot-dc01.cot-i.com\CapRockDocuments\Engineering\01_Designs\2172\2172%20Cutlet%20-%20.150%20DOC.dwg" TargetMode="External"/><Relationship Id="rId891" Type="http://schemas.openxmlformats.org/officeDocument/2006/relationships/hyperlink" Target="file:///\\cot-dc01.cot-i.com\CapRockDocuments\Engineering\01_Designs\2272\2272%20@%200.25%20IPR.dwg" TargetMode="External"/><Relationship Id="rId905" Type="http://schemas.openxmlformats.org/officeDocument/2006/relationships/hyperlink" Target="file:///\\cot-dc01.cot-i.com\CapRockDocuments\Engineering\01_Designs\2192\2192%20@%200.25%20IPR.xls" TargetMode="External"/><Relationship Id="rId989" Type="http://schemas.openxmlformats.org/officeDocument/2006/relationships/hyperlink" Target="file:///\\cot-dc01.cot-i.com\CapRockDocuments\Engineering\01_Designs\2148\2148%20@%200.25%20IPR.xls" TargetMode="External"/><Relationship Id="rId34" Type="http://schemas.openxmlformats.org/officeDocument/2006/relationships/hyperlink" Target="file:///\\cot-dc01.cot-i.com\CapRockDocuments\Engineering\01_Designs\2224\CDG-39000r1.dwg" TargetMode="External"/><Relationship Id="rId544" Type="http://schemas.openxmlformats.org/officeDocument/2006/relationships/hyperlink" Target="file:///\\cot-dc01.cot-i.com\CapRockDocuments\Engineering\02_Spec%20Sheets\WIP%202.0\5320.2145\2145.Top.C.png" TargetMode="External"/><Relationship Id="rId751" Type="http://schemas.openxmlformats.org/officeDocument/2006/relationships/hyperlink" Target="file:///\\cot-dc01.cot-i.com\CapRockDocuments\Engineering\01_Designs\2217\2217.dwg" TargetMode="External"/><Relationship Id="rId849" Type="http://schemas.openxmlformats.org/officeDocument/2006/relationships/hyperlink" Target="file:///\\cot-dc01.cot-i.com\CapRockDocuments\Engineering\01_Designs\2236\2236.dwg" TargetMode="External"/><Relationship Id="rId1174" Type="http://schemas.openxmlformats.org/officeDocument/2006/relationships/hyperlink" Target="file:///\\cot-dc01.cot-i.com\CapRockDocuments\Engineering\01_Designs\2556\2556r00%20ISO.png" TargetMode="External"/><Relationship Id="rId1381" Type="http://schemas.openxmlformats.org/officeDocument/2006/relationships/hyperlink" Target="file:///\\cot-sql01\sedata\cot-i\eg\se\rel\Fixed%20Cutter%20Rockbits%20SKF\Size%2010.625\Blade%206\SKF-09944r00.asm" TargetMode="External"/><Relationship Id="rId183" Type="http://schemas.openxmlformats.org/officeDocument/2006/relationships/hyperlink" Target="file:///\\cot-dc01.cot-i.com\CapRockDocuments\Engineering\01_Designs\2190\NDR%20-%20Henley%20&amp;%20Associates%20-%206.125%20Lateral%20Anadarko%20Basin.doc" TargetMode="External"/><Relationship Id="rId390" Type="http://schemas.openxmlformats.org/officeDocument/2006/relationships/hyperlink" Target="file:///\\cot-dc01.cot-i.com\CapRockDocuments\Engineering\02_Spec%20Sheets\WIP%202.0\5183.2154\2154.ISO.C.png" TargetMode="External"/><Relationship Id="rId404" Type="http://schemas.openxmlformats.org/officeDocument/2006/relationships/hyperlink" Target="file:///\\cot-dc01.cot-i.com\CapRockDocuments\Engineering\02_Spec%20Sheets\WIP%202.0\3519.2265\2265.ISO.C.png" TargetMode="External"/><Relationship Id="rId611" Type="http://schemas.openxmlformats.org/officeDocument/2006/relationships/hyperlink" Target="file:///\\COT-SQL01\SEData\cot-i\eg\se\rel\Fixed%20Cutter%20Rockbits%20SKF\Size%2006.000\Blade%206\SKF-01970r01.asm" TargetMode="External"/><Relationship Id="rId1034" Type="http://schemas.openxmlformats.org/officeDocument/2006/relationships/hyperlink" Target="file:///\\cot-dc01.cot-i.com\CapRockDocuments\Engineering\01_Designs\2036\2036%20@%200.25%20IPR.xls" TargetMode="External"/><Relationship Id="rId1241" Type="http://schemas.openxmlformats.org/officeDocument/2006/relationships/hyperlink" Target="file:///\\cot-dc01.cot-i.com\CapRockDocuments\Engineering\01_Designs\4288\4288r00%20CS%20Placement%20V4.xls" TargetMode="External"/><Relationship Id="rId1339" Type="http://schemas.openxmlformats.org/officeDocument/2006/relationships/hyperlink" Target="file:///\\cot-sql01\sedata\cot-i\eg\se\rel\Fixed%20Cutter%20Rockbits%20SKF\Size%2007.875\Blade%206\9387r00%20at%200.250%20in_rev.par" TargetMode="External"/><Relationship Id="rId250" Type="http://schemas.openxmlformats.org/officeDocument/2006/relationships/hyperlink" Target="file:///\\cot-dc01.cot-i.com\CapRockDocuments\Engineering\02_Spec%20Sheets\WIP%202.0\8184.2164\2164.Top.C.png" TargetMode="External"/><Relationship Id="rId488" Type="http://schemas.openxmlformats.org/officeDocument/2006/relationships/hyperlink" Target="file:///\\cot-dc01.cot-i.com\CapRockDocuments\Engineering\02_Spec%20Sheets\Original%20Assy%20Spec%20Sheets\2267.pdf" TargetMode="External"/><Relationship Id="rId695" Type="http://schemas.openxmlformats.org/officeDocument/2006/relationships/hyperlink" Target="file:///\\COT-SQL01\SEData\cot-i\eg\se\rel\Fixed%20Cutter%20Rockbits%20SKF\Size%2008.750\Blade%207\SKF-02220r01.asm" TargetMode="External"/><Relationship Id="rId709" Type="http://schemas.openxmlformats.org/officeDocument/2006/relationships/hyperlink" Target="file:///\\COT-SQL01\SEData\cot-i\eg\se\rel\Fixed%20Cutter%20Rockbits%20SKF\Size%2012.250\Blade%205\SKF-02249r01.asm" TargetMode="External"/><Relationship Id="rId916" Type="http://schemas.openxmlformats.org/officeDocument/2006/relationships/hyperlink" Target="file:///\\cot-dc01.cot-i.com\CapRockDocuments\Engineering\01_Designs\2074\2074%20@%200.25%20IPR.dwg" TargetMode="External"/><Relationship Id="rId1101" Type="http://schemas.openxmlformats.org/officeDocument/2006/relationships/hyperlink" Target="file:///\\cot-dc01.cot-i.com\CapRockDocuments\Engineering\02_Spec%20Sheets\Original%20Assy%20Spec%20Sheets\4720.pdf" TargetMode="External"/><Relationship Id="rId45" Type="http://schemas.openxmlformats.org/officeDocument/2006/relationships/hyperlink" Target="file:///\\cot-dc01.cot-i.com\CapRockDocuments\Engineering\01_Designs\2017\CDG-38408r1.xls" TargetMode="External"/><Relationship Id="rId110" Type="http://schemas.openxmlformats.org/officeDocument/2006/relationships/hyperlink" Target="file:///\\cot-dc01.cot-i.com\CapRockDocuments\Engineering\01_Designs\2070\2070A_Summary.docx" TargetMode="External"/><Relationship Id="rId348" Type="http://schemas.openxmlformats.org/officeDocument/2006/relationships/hyperlink" Target="file:///\\cot-dc01.cot-i.com\CapRockDocuments\Engineering\02_Spec%20Sheets\WIP%202.0\8595.2019\2019.ISO.C.png" TargetMode="External"/><Relationship Id="rId555" Type="http://schemas.openxmlformats.org/officeDocument/2006/relationships/hyperlink" Target="file:///\\cot-dc01.cot-i.com\CapRockDocuments\Engineering\02_Spec%20Sheets\WIP%202.0\7407.2195\2195.Top.C.png" TargetMode="External"/><Relationship Id="rId762" Type="http://schemas.openxmlformats.org/officeDocument/2006/relationships/hyperlink" Target="file:///\\cot-dc01.cot-i.com\CapRockDocuments\Engineering\01_Designs\2206\2206%20@%200.25%20IPR.dwg" TargetMode="External"/><Relationship Id="rId1185" Type="http://schemas.openxmlformats.org/officeDocument/2006/relationships/hyperlink" Target="file:///\\cot-dc01.cot-i.com\CapRockDocuments\Engineering\01_Designs\7823\7823r00%20ISO.png" TargetMode="External"/><Relationship Id="rId194" Type="http://schemas.openxmlformats.org/officeDocument/2006/relationships/hyperlink" Target="file:///\\cot-dc01.cot-i.com\CapRockDocuments\Engineering\01_Designs\2227\NDR%20-%20Callon%20Petroleum%20-%206.75%20Matrix%20Lateral%20Bit.doc" TargetMode="External"/><Relationship Id="rId208" Type="http://schemas.openxmlformats.org/officeDocument/2006/relationships/hyperlink" Target="file:///\\cot-dc01.cot-i.com\CapRockDocuments\Engineering\02_Spec%20Sheets\WIP%202.0\7221.2028\2028.Top.C.png" TargetMode="External"/><Relationship Id="rId415" Type="http://schemas.openxmlformats.org/officeDocument/2006/relationships/hyperlink" Target="file:///\\cot-dc01.cot-i.com\CapRockDocuments\Engineering\02_Spec%20Sheets\Original%20Assy%20Spec%20Sheets\2054.pdf" TargetMode="External"/><Relationship Id="rId622" Type="http://schemas.openxmlformats.org/officeDocument/2006/relationships/hyperlink" Target="file:///\\COT-SQL01\SEData\cot-i\eg\se\rel\Fixed%20Cutter%20Rockbits%20SKF\Size%2008.500\Blade%205\SKF-02028r01.asm" TargetMode="External"/><Relationship Id="rId1045" Type="http://schemas.openxmlformats.org/officeDocument/2006/relationships/hyperlink" Target="file:///\\cot-dc01.cot-i.com\CapRockDocuments\Engineering\01_Designs\2027\2027%20@%200.25%20IPR.dwg" TargetMode="External"/><Relationship Id="rId1252" Type="http://schemas.openxmlformats.org/officeDocument/2006/relationships/hyperlink" Target="file:///\\COT-SQL01\SEData\cot-i\eg\se\rel\Fixed%20Cutter%20Rockbits%20SKF\Size%2008.500\Blade%206\SKF-05132r00.asm" TargetMode="External"/><Relationship Id="rId261" Type="http://schemas.openxmlformats.org/officeDocument/2006/relationships/hyperlink" Target="file:///\\cot-dc01.cot-i.com\CapRockDocuments\Engineering\02_Spec%20Sheets\WIP%202.0\6895.2266\2266.Top.C.png" TargetMode="External"/><Relationship Id="rId499" Type="http://schemas.openxmlformats.org/officeDocument/2006/relationships/hyperlink" Target="file:///\\cot-dc01.cot-i.com\CapRockDocuments\Engineering\02_Spec%20Sheets\Original%20Assy%20Spec%20Sheets\2049L.pdf" TargetMode="External"/><Relationship Id="rId927" Type="http://schemas.openxmlformats.org/officeDocument/2006/relationships/hyperlink" Target="file:///\\cot-dc01.cot-i.com\CapRockDocuments\Engineering\01_Designs\2081\2081%20LO.dwg" TargetMode="External"/><Relationship Id="rId1112" Type="http://schemas.openxmlformats.org/officeDocument/2006/relationships/hyperlink" Target="file:///\\cot-dc01.cot-i.com\CapRockDocuments\Engineering\01_Designs\3943\3943%20@%200.25%20IPR.xlsm" TargetMode="External"/><Relationship Id="rId56" Type="http://schemas.openxmlformats.org/officeDocument/2006/relationships/hyperlink" Target="file:///\\cot-dc01.cot-i.com\CapRockDocuments\Engineering\01_Designs\1991\CDG-38311r1.xls" TargetMode="External"/><Relationship Id="rId359" Type="http://schemas.openxmlformats.org/officeDocument/2006/relationships/hyperlink" Target="file:///\\cot-dc01.cot-i.com\CapRockDocuments\Engineering\02_Spec%20Sheets\WIP%202.0\2529.2054\2054.ISO.C.png" TargetMode="External"/><Relationship Id="rId566" Type="http://schemas.openxmlformats.org/officeDocument/2006/relationships/hyperlink" Target="file:///\\cot-dc01.cot-i.com\CapRockDocuments\Engineering\02_Spec%20Sheets\WIP%202.0\2429.2232\2232.ISO.C.png" TargetMode="External"/><Relationship Id="rId773" Type="http://schemas.openxmlformats.org/officeDocument/2006/relationships/hyperlink" Target="file:///\\cot-dc01.cot-i.com\CapRockDocuments\Engineering\01_Designs\2179\2179.dwg" TargetMode="External"/><Relationship Id="rId1196" Type="http://schemas.openxmlformats.org/officeDocument/2006/relationships/hyperlink" Target="file:///\\cot-dc01.cot-i.com\CapRockDocuments\Engineering\01_Designs\5674\5674r00%20Layout.dwg" TargetMode="External"/><Relationship Id="rId121" Type="http://schemas.openxmlformats.org/officeDocument/2006/relationships/hyperlink" Target="file:///\\cot-dc01.cot-i.com\CapRockDocuments\Engineering\01_Designs\2115\2115A_Summary.docx" TargetMode="External"/><Relationship Id="rId219" Type="http://schemas.openxmlformats.org/officeDocument/2006/relationships/hyperlink" Target="file:///\\cot-dc01.cot-i.com\CapRockDocuments\Engineering\02_Spec%20Sheets\WIP%202.0\9807.2075\2075.Top.C.png" TargetMode="External"/><Relationship Id="rId426" Type="http://schemas.openxmlformats.org/officeDocument/2006/relationships/hyperlink" Target="file:///\\cot-dc01.cot-i.com\CapRockDocuments\Engineering\02_Spec%20Sheets\Original%20Assy%20Spec%20Sheets\2265.pdf" TargetMode="External"/><Relationship Id="rId633" Type="http://schemas.openxmlformats.org/officeDocument/2006/relationships/hyperlink" Target="file:///\\COT-SQL01\SEData\cot-i\eg\se\rel\Fixed%20Cutter%20Rockbits%20SKF\Size%2008.500\Blade%206\SKF-02075r01.asm" TargetMode="External"/><Relationship Id="rId980" Type="http://schemas.openxmlformats.org/officeDocument/2006/relationships/hyperlink" Target="file:///\\cot-dc01.cot-i.com\CapRockDocuments\Engineering\01_Designs\2141\2141%20@%200.25%20IPR.xls" TargetMode="External"/><Relationship Id="rId1056" Type="http://schemas.openxmlformats.org/officeDocument/2006/relationships/hyperlink" Target="file:///\\cot-dc01.cot-i.com\CapRockDocuments\Engineering\01_Designs\2017\2017%20LO.dwg" TargetMode="External"/><Relationship Id="rId1263" Type="http://schemas.openxmlformats.org/officeDocument/2006/relationships/hyperlink" Target="file:///\\cot-dc01.cot-i.com\CapRockDocuments\Engineering\01_Designs\5749\5749r00%20@%200.250%20in_rev.dwg" TargetMode="External"/><Relationship Id="rId840" Type="http://schemas.openxmlformats.org/officeDocument/2006/relationships/hyperlink" Target="file:///\\cot-dc01.cot-i.com\CapRockDocuments\Engineering\01_Designs\2207\2207.dwg" TargetMode="External"/><Relationship Id="rId938" Type="http://schemas.openxmlformats.org/officeDocument/2006/relationships/hyperlink" Target="file:///\\cot-dc01.cot-i.com\CapRockDocuments\Engineering\01_Designs\2095\2095%20@%200.25%20IPR.xls" TargetMode="External"/><Relationship Id="rId67" Type="http://schemas.openxmlformats.org/officeDocument/2006/relationships/hyperlink" Target="file:///\\cot-dc01.cot-i.com\CapRockDocuments\Engineering\01_Designs\2137\CDG-38733r1.xlsm" TargetMode="External"/><Relationship Id="rId272" Type="http://schemas.openxmlformats.org/officeDocument/2006/relationships/hyperlink" Target="file:///\\cot-dc01.cot-i.com\CapRockDocuments\Engineering\01_Designs\2036\2036A.dwg" TargetMode="External"/><Relationship Id="rId577" Type="http://schemas.openxmlformats.org/officeDocument/2006/relationships/hyperlink" Target="file:///\\cot-dc01.cot-i.com\CapRockDocuments\Engineering\02_Spec%20Sheets\WIP%202.0\4291.2186\2186.ISO.C.png" TargetMode="External"/><Relationship Id="rId700" Type="http://schemas.openxmlformats.org/officeDocument/2006/relationships/hyperlink" Target="file:///\\COT-SQL01\SEData\cot-i\eg\se\rel\Fixed%20Cutter%20Rockbits%20SKF\Size%2008.500\Blade%206\SKF-02231r01.asm" TargetMode="External"/><Relationship Id="rId1123" Type="http://schemas.openxmlformats.org/officeDocument/2006/relationships/hyperlink" Target="file:///\\cot-dc01.cot-i.com\CapRockDocuments\Engineering\01_Designs\5481\5481.dwg" TargetMode="External"/><Relationship Id="rId1330" Type="http://schemas.openxmlformats.org/officeDocument/2006/relationships/hyperlink" Target="file:///\\cot-sql01\sedata\cot-i\eg\se\rel\Fixed%20Cutter%20Rockbits%20SKF\Size%2014.750\Blade%206\6135r00%20@%200.250%20in_rev.par" TargetMode="External"/><Relationship Id="rId132" Type="http://schemas.openxmlformats.org/officeDocument/2006/relationships/hyperlink" Target="file:///\\cot-dc01.cot-i.com\CapRockDocuments\Engineering\01_Designs\2179\2179_Summary.docx" TargetMode="External"/><Relationship Id="rId784" Type="http://schemas.openxmlformats.org/officeDocument/2006/relationships/hyperlink" Target="file:///\\cot-dc01.cot-i.com\CapRockDocuments\Engineering\01_Designs\2005\2005.dwg" TargetMode="External"/><Relationship Id="rId991" Type="http://schemas.openxmlformats.org/officeDocument/2006/relationships/hyperlink" Target="file:///\\cot-dc01.cot-i.com\CapRockDocuments\Engineering\01_Designs\2148\2148%20@%200.25%20IPR.dwg" TargetMode="External"/><Relationship Id="rId1067" Type="http://schemas.openxmlformats.org/officeDocument/2006/relationships/hyperlink" Target="file:///\\cot-dc01.cot-i.com\CapRockDocuments\Engineering\02_Spec%20Sheets\WIP%202.0\2381\2381.ISO.C.png" TargetMode="External"/><Relationship Id="rId437" Type="http://schemas.openxmlformats.org/officeDocument/2006/relationships/hyperlink" Target="file:///\\cot-dc01.cot-i.com\CapRockDocuments\Engineering\02_Spec%20Sheets\Original%20Assy%20Spec%20Sheets\2216.pdf" TargetMode="External"/><Relationship Id="rId644" Type="http://schemas.openxmlformats.org/officeDocument/2006/relationships/hyperlink" Target="file:///\\COT-SQL01\SEData\cot-i\eg\se\rel\Fixed%20Cutter%20Rockbits%20SKF\Size%2012.250\Blade%206\SKF-02114r01.asm" TargetMode="External"/><Relationship Id="rId851" Type="http://schemas.openxmlformats.org/officeDocument/2006/relationships/hyperlink" Target="file:///\\cot-dc01.cot-i.com\CapRockDocuments\Engineering\01_Designs\2240\2240%20@%200.25%20IPR.xls" TargetMode="External"/><Relationship Id="rId1274" Type="http://schemas.openxmlformats.org/officeDocument/2006/relationships/hyperlink" Target="file:///\\cot-dc01.cot-i.com\CapRockDocuments\Engineering\01_Designs\6653\6653r00%20LO.dwg" TargetMode="External"/><Relationship Id="rId283" Type="http://schemas.openxmlformats.org/officeDocument/2006/relationships/hyperlink" Target="file:///\\cot-dc01.cot-i.com\CapRockDocuments\Engineering\01_Designs\2153\2153.dwg" TargetMode="External"/><Relationship Id="rId490" Type="http://schemas.openxmlformats.org/officeDocument/2006/relationships/hyperlink" Target="file:///\\cot-dc01.cot-i.com\CapRockDocuments\Engineering\02_Spec%20Sheets\Original%20Assy%20Spec%20Sheets\2181.pdf" TargetMode="External"/><Relationship Id="rId504" Type="http://schemas.openxmlformats.org/officeDocument/2006/relationships/hyperlink" Target="file:///\\cot-dc01.cot-i.com\CapRockDocuments\Engineering\02_Spec%20Sheets\Original%20Assy%20Spec%20Sheets\2074.pdf" TargetMode="External"/><Relationship Id="rId711" Type="http://schemas.openxmlformats.org/officeDocument/2006/relationships/hyperlink" Target="file:///\\COT-SQL01\SEData\cot-i\eg\se\rel\Fixed%20Cutter%20Rockbits%20SKF\Size%2010.625\Blade%206\SKF-02252r01.asm" TargetMode="External"/><Relationship Id="rId949" Type="http://schemas.openxmlformats.org/officeDocument/2006/relationships/hyperlink" Target="file:///\\cot-dc01.cot-i.com\CapRockDocuments\Engineering\01_Designs\2110\2110%20@%200.25%20IPR.dwg" TargetMode="External"/><Relationship Id="rId1134" Type="http://schemas.openxmlformats.org/officeDocument/2006/relationships/hyperlink" Target="file:///\\cot-dc01.cot-i.com\CapRockDocuments\Engineering\01_Designs\4538\4538r0%20Top.png" TargetMode="External"/><Relationship Id="rId1341" Type="http://schemas.openxmlformats.org/officeDocument/2006/relationships/hyperlink" Target="file:///\\cot-sql01\sedata\cot-i\eg\se\rel\Fixed%20Cutter%20Rockbits%20SKF\Size%2007.875\Blade%205\SKF-06841r00%20Design.dft" TargetMode="External"/><Relationship Id="rId78" Type="http://schemas.openxmlformats.org/officeDocument/2006/relationships/hyperlink" Target="file:///\\cot-dc01.cot-i.com\CapRockDocuments\Engineering\01_Designs\2177\2177%20Design%20Features%20Plan.docx" TargetMode="External"/><Relationship Id="rId143" Type="http://schemas.openxmlformats.org/officeDocument/2006/relationships/hyperlink" Target="file:///\\cot-dc01.cot-i.com\CapRockDocuments\Engineering\01_Designs\2206\2206_Summary.docx" TargetMode="External"/><Relationship Id="rId350" Type="http://schemas.openxmlformats.org/officeDocument/2006/relationships/hyperlink" Target="file:///\\cot-dc01.cot-i.com\CapRockDocuments\Engineering\02_Spec%20Sheets\WIP%202.0\8691.2027\2027.ISO.C.png" TargetMode="External"/><Relationship Id="rId588" Type="http://schemas.openxmlformats.org/officeDocument/2006/relationships/hyperlink" Target="file:///\\cot-dc01.cot-i.com\CapRockDocuments\Engineering\02_Spec%20Sheets\WIP%202.0\6079.2207\2207.ISO.C.png" TargetMode="External"/><Relationship Id="rId795" Type="http://schemas.openxmlformats.org/officeDocument/2006/relationships/hyperlink" Target="file:///\\cot-dc01.cot-i.com\CapRockDocuments\Engineering\01_Designs\1967\1967.dwg" TargetMode="External"/><Relationship Id="rId809" Type="http://schemas.openxmlformats.org/officeDocument/2006/relationships/hyperlink" Target="file:///\\cot-dc01.cot-i.com\CapRockDocuments\Engineering\01_Designs\2173\2173.dwg" TargetMode="External"/><Relationship Id="rId1201" Type="http://schemas.openxmlformats.org/officeDocument/2006/relationships/hyperlink" Target="file:///\\cot-dc01.cot-i.com\CapRockDocuments\Engineering\01_Designs\6150\6150r01%20Min%20Engagement%20v7.01.xlsm" TargetMode="External"/><Relationship Id="rId9" Type="http://schemas.openxmlformats.org/officeDocument/2006/relationships/hyperlink" Target="file:///\\cot-dc01.cot-i.com\CapRockDocuments\Engineering\01_Designs\2143\CDG-38746r1.dwg" TargetMode="External"/><Relationship Id="rId210" Type="http://schemas.openxmlformats.org/officeDocument/2006/relationships/hyperlink" Target="file:///\\cot-dc01.cot-i.com\CapRockDocuments\Engineering\02_Spec%20Sheets\WIP%202.0\2495.2036\2036.Top.C.png" TargetMode="External"/><Relationship Id="rId448" Type="http://schemas.openxmlformats.org/officeDocument/2006/relationships/hyperlink" Target="file:///\\cot-dc01.cot-i.com\CapRockDocuments\Engineering\02_Spec%20Sheets\Original%20Assy%20Spec%20Sheets\2070.pdf" TargetMode="External"/><Relationship Id="rId655" Type="http://schemas.openxmlformats.org/officeDocument/2006/relationships/hyperlink" Target="file:///\\COT-SQL01\SEData\cot-i\eg\se\rel\Fixed%20Cutter%20Rockbits%20SKF\Size%2007.875\Blade%206\SKF-02140r03.asm" TargetMode="External"/><Relationship Id="rId862" Type="http://schemas.openxmlformats.org/officeDocument/2006/relationships/hyperlink" Target="file:///\\cot-dc01.cot-i.com\CapRockDocuments\Engineering\01_Designs\2252\2252%20@%200.25%20IPR.dwg" TargetMode="External"/><Relationship Id="rId1078" Type="http://schemas.openxmlformats.org/officeDocument/2006/relationships/hyperlink" Target="file:///\\COT-SQL01\SEData\cot-i\eg\se\rel\Fixed%20Cutter%20Rockbits%20SKF\Size%2007.875\Blade%206\SKF-06207r01.asm" TargetMode="External"/><Relationship Id="rId1285" Type="http://schemas.openxmlformats.org/officeDocument/2006/relationships/hyperlink" Target="file:///\\cot-dc01.cot-i.com\CapRockDocuments\Engineering\01_Designs\9692\9692%20@%200.250%20in_rev.dwg" TargetMode="External"/><Relationship Id="rId294" Type="http://schemas.openxmlformats.org/officeDocument/2006/relationships/hyperlink" Target="file:///\\cot-dc01.cot-i.com\CapRockDocuments\Engineering\01_Designs\2028\2028A.dwg" TargetMode="External"/><Relationship Id="rId308" Type="http://schemas.openxmlformats.org/officeDocument/2006/relationships/hyperlink" Target="file:///\\cot-dc01.cot-i.com\CapRockDocuments\Engineering\01_Designs\2095\2095A.dwg" TargetMode="External"/><Relationship Id="rId515" Type="http://schemas.openxmlformats.org/officeDocument/2006/relationships/hyperlink" Target="file:///\\cot-dc01.cot-i.com\CapRockDocuments\Engineering\02_Spec%20Sheets\Original%20Assy%20Spec%20Sheets\2010.pdf" TargetMode="External"/><Relationship Id="rId722" Type="http://schemas.openxmlformats.org/officeDocument/2006/relationships/hyperlink" Target="file:///\\cot-dc01.cot-i.com\CapRockDocuments\Engineering\01_Designs\2194\2194%20@%200.25%20IPR.xls" TargetMode="External"/><Relationship Id="rId1145" Type="http://schemas.openxmlformats.org/officeDocument/2006/relationships/hyperlink" Target="file:///\\cot-dc01.cot-i.com\CapRockDocuments\Engineering\01_Designs\6513\6513%20ISO.png" TargetMode="External"/><Relationship Id="rId1352" Type="http://schemas.openxmlformats.org/officeDocument/2006/relationships/hyperlink" Target="file:///\\cot-dc01.cot-i.com\CapRockDocuments\Engineering\01_Designs\4796\4796r00%20ISO.jpg" TargetMode="External"/><Relationship Id="rId89" Type="http://schemas.openxmlformats.org/officeDocument/2006/relationships/hyperlink" Target="file:///\\cot-dc01.cot-i.com\CapRockDocuments\Engineering\01_Designs\2148\2148_Summary.docx" TargetMode="External"/><Relationship Id="rId154" Type="http://schemas.openxmlformats.org/officeDocument/2006/relationships/hyperlink" Target="file:///\\cot-dc01.cot-i.com\CapRockDocuments\Engineering\01_Designs\2235\2235A_Summary.docx" TargetMode="External"/><Relationship Id="rId361" Type="http://schemas.openxmlformats.org/officeDocument/2006/relationships/hyperlink" Target="file:///\\cot-dc01.cot-i.com\CapRockDocuments\Engineering\02_Spec%20Sheets\WIP%202.0\8911.2027\2074.ISO.C.png" TargetMode="External"/><Relationship Id="rId599" Type="http://schemas.openxmlformats.org/officeDocument/2006/relationships/hyperlink" Target="file:///\\cot-dc01.cot-i.com\CapRockDocuments\Engineering\02_Spec%20Sheets\WIP%202.0\7798.2190\2190.ISO.C.png" TargetMode="External"/><Relationship Id="rId1005" Type="http://schemas.openxmlformats.org/officeDocument/2006/relationships/hyperlink" Target="file:///\\cot-dc01.cot-i.com\CapRockDocuments\Engineering\01_Designs\2164\2164%20LO.dwg" TargetMode="External"/><Relationship Id="rId1212" Type="http://schemas.openxmlformats.org/officeDocument/2006/relationships/hyperlink" Target="file:///\\cot-dc01.cot-i.com\CapRockDocuments\Engineering\01_Designs\5646\5646r00%20TOP.png" TargetMode="External"/><Relationship Id="rId459" Type="http://schemas.openxmlformats.org/officeDocument/2006/relationships/hyperlink" Target="file:///\\cot-dc01.cot-i.com\CapRockDocuments\Engineering\02_Spec%20Sheets\Original%20Assy%20Spec%20Sheets\2177.pdf" TargetMode="External"/><Relationship Id="rId666" Type="http://schemas.openxmlformats.org/officeDocument/2006/relationships/hyperlink" Target="file:///\\COT-SQL01\SEData\cot-i\eg\se\rel\Fixed%20Cutter%20Rockbits%20SKF\Size%2017.500\Blade%206\SKF-02160r05.asm" TargetMode="External"/><Relationship Id="rId873" Type="http://schemas.openxmlformats.org/officeDocument/2006/relationships/hyperlink" Target="file:///\\cot-dc01.cot-i.com\CapRockDocuments\Engineering\01_Designs\2267\2267%20@%200.25%20IPR.dwg" TargetMode="External"/><Relationship Id="rId1089" Type="http://schemas.openxmlformats.org/officeDocument/2006/relationships/hyperlink" Target="file:///\\cot-dc01.cot-i.com\CapRockDocuments\Engineering\01_Designs\2173\2173A_Summary.docx" TargetMode="External"/><Relationship Id="rId1296" Type="http://schemas.openxmlformats.org/officeDocument/2006/relationships/hyperlink" Target="file:///\\COT-SQL01\SEData\cot-i\eg\se\rel\Fixed%20Cutter%20Rockbits%20SKF\Size%2007.875\Blade%205\7182r00%20at%200.250%20in_rev.par" TargetMode="External"/><Relationship Id="rId16" Type="http://schemas.openxmlformats.org/officeDocument/2006/relationships/hyperlink" Target="file:///\\cot-dc01.cot-i.com\CapRockDocuments\Engineering\01_Designs\1970\CDG-38249r1.dwg" TargetMode="External"/><Relationship Id="rId221" Type="http://schemas.openxmlformats.org/officeDocument/2006/relationships/hyperlink" Target="file:///\\cot-dc01.cot-i.com\CapRockDocuments\Engineering\02_Spec%20Sheets\WIP%202.0\3813.2081\2081.Top.C.png" TargetMode="External"/><Relationship Id="rId319" Type="http://schemas.openxmlformats.org/officeDocument/2006/relationships/hyperlink" Target="file:///\\cot-dc01.cot-i.com\CapRockDocuments\Engineering\01_Designs\2137\DOC.dwg" TargetMode="External"/><Relationship Id="rId526" Type="http://schemas.openxmlformats.org/officeDocument/2006/relationships/hyperlink" Target="file:///\\cot-dc01.cot-i.com\CapRockDocuments\Engineering\02_Spec%20Sheets\WIP%202.0\3039.2252\2252.Top.C.png" TargetMode="External"/><Relationship Id="rId1156" Type="http://schemas.openxmlformats.org/officeDocument/2006/relationships/hyperlink" Target="file:///\\COT-SQL01\SEData\cot-i\eg\se\rel\Fixed%20Cutter%20Rockbits%20SKF\Size%2007.875\Blade%206\SKF-09023r99.asm" TargetMode="External"/><Relationship Id="rId1363" Type="http://schemas.openxmlformats.org/officeDocument/2006/relationships/hyperlink" Target="file:///\\cot-dc01.cot-i.com\CapRockDocuments\Engineering\01_Designs\4149\4149r00%20ISO.jpg" TargetMode="External"/><Relationship Id="rId733" Type="http://schemas.openxmlformats.org/officeDocument/2006/relationships/hyperlink" Target="file:///\\cot-dc01.cot-i.com\CapRockDocuments\Engineering\01_Designs\2235\2235.dwg" TargetMode="External"/><Relationship Id="rId940" Type="http://schemas.openxmlformats.org/officeDocument/2006/relationships/hyperlink" Target="file:///\\cot-dc01.cot-i.com\CapRockDocuments\Engineering\01_Designs\2095\2095%20@%200.25%20IPR.dwg" TargetMode="External"/><Relationship Id="rId1016" Type="http://schemas.openxmlformats.org/officeDocument/2006/relationships/hyperlink" Target="file:///\\cot-dc01.cot-i.com\CapRockDocuments\Engineering\01_Designs\2053\2053%20@%200.25%20IPR.xls" TargetMode="External"/><Relationship Id="rId165" Type="http://schemas.openxmlformats.org/officeDocument/2006/relationships/hyperlink" Target="file:///\\cot-dc01.cot-i.com\CapRockDocuments\Engineering\01_Designs\2054\8.5%20%20616-YR%20Curve%20XTO%20%201001%20New%20Design%20Request%20and%20Priority%20RevM.doc" TargetMode="External"/><Relationship Id="rId372" Type="http://schemas.openxmlformats.org/officeDocument/2006/relationships/hyperlink" Target="file:///\\cot-dc01.cot-i.com\CapRockDocuments\Engineering\02_Spec%20Sheets\WIP%202.0\5406.2114\2114.ISO.C.png" TargetMode="External"/><Relationship Id="rId677" Type="http://schemas.openxmlformats.org/officeDocument/2006/relationships/hyperlink" Target="file:///\\COT-SQL01\SEData\cot-i\eg\se\rel\Fixed%20Cutter%20Rockbits%20SKF\Size%2008.750\Blade%206\SKF-02186r01.asm" TargetMode="External"/><Relationship Id="rId800" Type="http://schemas.openxmlformats.org/officeDocument/2006/relationships/hyperlink" Target="file:///\\cot-dc01.cot-i.com\CapRockDocuments\Engineering\01_Designs\1941\1941.dwg" TargetMode="External"/><Relationship Id="rId1223" Type="http://schemas.openxmlformats.org/officeDocument/2006/relationships/hyperlink" Target="file:///\\cot-dc01.cot-i.com\CapRockDocuments\Engineering\01_Designs\7273\7273r00%20Min%20Engagement%20v7.01.xlsm" TargetMode="External"/><Relationship Id="rId232" Type="http://schemas.openxmlformats.org/officeDocument/2006/relationships/hyperlink" Target="file:///\\cot-dc01.cot-i.com\CapRockDocuments\Engineering\02_Spec%20Sheets\WIP%202.0\8204.2120\2120.Top.C.png" TargetMode="External"/><Relationship Id="rId884" Type="http://schemas.openxmlformats.org/officeDocument/2006/relationships/hyperlink" Target="file:///\\cot-dc01.cot-i.com\CapRockDocuments\Engineering\01_Designs\2234\2234%20@%200.25%20IPR.xls" TargetMode="External"/><Relationship Id="rId27" Type="http://schemas.openxmlformats.org/officeDocument/2006/relationships/hyperlink" Target="file:///\\cot-dc01.cot-i.com\CapRockDocuments\Engineering\01_Designs\2154\CDG-38772r1.dwg" TargetMode="External"/><Relationship Id="rId537" Type="http://schemas.openxmlformats.org/officeDocument/2006/relationships/hyperlink" Target="file:///\\cot-dc01.cot-i.com\CapRockDocuments\Engineering\02_Spec%20Sheets\WIP%202.0\4408.2173\2173.Top.C.png" TargetMode="External"/><Relationship Id="rId744" Type="http://schemas.openxmlformats.org/officeDocument/2006/relationships/hyperlink" Target="file:///\\cot-dc01.cot-i.com\CapRockDocuments\Engineering\01_Designs\2220\2220%20@%200.25%20IPR.xls" TargetMode="External"/><Relationship Id="rId951" Type="http://schemas.openxmlformats.org/officeDocument/2006/relationships/hyperlink" Target="file:///\\cot-dc01.cot-i.com\CapRockDocuments\Engineering\01_Designs\2114\2114%20LO.dwg" TargetMode="External"/><Relationship Id="rId1167" Type="http://schemas.openxmlformats.org/officeDocument/2006/relationships/hyperlink" Target="file:///\\cot-dc01.cot-i.com\CapRockDocuments\Engineering\01_Designs\3449\3449r00%20Design.xlsm" TargetMode="External"/><Relationship Id="rId1374" Type="http://schemas.openxmlformats.org/officeDocument/2006/relationships/hyperlink" Target="file:///\\cot-dc01.cot-i.com\CapRockDocuments\Engineering\01_Designs\2746\2746r00_ISO.jpg" TargetMode="External"/><Relationship Id="rId80" Type="http://schemas.openxmlformats.org/officeDocument/2006/relationships/hyperlink" Target="file:///\\cot-dc01.cot-i.com\CapRockDocuments\Engineering\01_Designs\2185\2185A_Summary.docx" TargetMode="External"/><Relationship Id="rId176" Type="http://schemas.openxmlformats.org/officeDocument/2006/relationships/hyperlink" Target="file:///\\cot-dc01.cot-i.com\CapRockDocuments\Engineering\01_Designs\2164\Rev%202%20(.875%20shorter)\New%20Design%20Request%20-%20Jagged%20Peak%20-%209.875%20%20Curve%20Bit.doc" TargetMode="External"/><Relationship Id="rId383" Type="http://schemas.openxmlformats.org/officeDocument/2006/relationships/hyperlink" Target="file:///\\cot-dc01.cot-i.com\CapRockDocuments\Engineering\02_Spec%20Sheets\WIP%202.0\4599.2140\2140.ISO.C.png" TargetMode="External"/><Relationship Id="rId590" Type="http://schemas.openxmlformats.org/officeDocument/2006/relationships/hyperlink" Target="file:///\\cot-dc01.cot-i.com\CapRockDocuments\Engineering\02_Spec%20Sheets\WIP%202.0\6330.2188\2188.ISO.C.png" TargetMode="External"/><Relationship Id="rId604" Type="http://schemas.openxmlformats.org/officeDocument/2006/relationships/hyperlink" Target="file:///\\cot-dc01.cot-i.com\CapRockDocuments\Engineering\02_Spec%20Sheets\WIP%202.0\9213.2192\2192.ISO.C.png" TargetMode="External"/><Relationship Id="rId811" Type="http://schemas.openxmlformats.org/officeDocument/2006/relationships/hyperlink" Target="file:///\\cot-dc01.cot-i.com\CapRockDocuments\Engineering\01_Designs\2180\2180%20@%200.25%20IPR.xls" TargetMode="External"/><Relationship Id="rId1027" Type="http://schemas.openxmlformats.org/officeDocument/2006/relationships/hyperlink" Target="file:///\\cot-dc01.cot-i.com\CapRockDocuments\Engineering\01_Designs\2049L\2049%20@%200.25%20IPR.dwg" TargetMode="External"/><Relationship Id="rId1234" Type="http://schemas.openxmlformats.org/officeDocument/2006/relationships/hyperlink" Target="file:///\\COT-SQL01\SEData\cot-i\eg\se\rel\Fixed%20Cutter%20Rockbits%20SKF\Size%2008.500\Blade%208\SKF-03219r00.asm" TargetMode="External"/><Relationship Id="rId243" Type="http://schemas.openxmlformats.org/officeDocument/2006/relationships/hyperlink" Target="file:///\\cot-dc01.cot-i.com\CapRockDocuments\Engineering\02_Spec%20Sheets\WIP%202.0\3674.2148\2148.Top.C.png" TargetMode="External"/><Relationship Id="rId450" Type="http://schemas.openxmlformats.org/officeDocument/2006/relationships/hyperlink" Target="file:///\\cot-dc01.cot-i.com\CapRockDocuments\Engineering\02_Spec%20Sheets\Original%20Assy%20Spec%20Sheets\2154.pdf" TargetMode="External"/><Relationship Id="rId688" Type="http://schemas.openxmlformats.org/officeDocument/2006/relationships/hyperlink" Target="file:///\\COT-SQL01\SEData\cot-i\eg\se\rel\Fixed%20Cutter%20Rockbits%20SKF\Size%2007.875\Blade%207\SKF-02207r02.asm" TargetMode="External"/><Relationship Id="rId895" Type="http://schemas.openxmlformats.org/officeDocument/2006/relationships/hyperlink" Target="file:///\\cot-dc01.cot-i.com\CapRockDocuments\Engineering\01_Designs\2265\2265%20@%200.25%20IPR.dwg" TargetMode="External"/><Relationship Id="rId909" Type="http://schemas.openxmlformats.org/officeDocument/2006/relationships/hyperlink" Target="file:///\\cot-dc01.cot-i.com\CapRockDocuments\Engineering\01_Designs\2010\2010%20LO.dwg" TargetMode="External"/><Relationship Id="rId1080" Type="http://schemas.openxmlformats.org/officeDocument/2006/relationships/hyperlink" Target="file:///\\cot-dc01.cot-i.com\CapRockDocuments\Engineering\02_Spec%20Sheets\WIP%202.0\6207\8479.ISO.C.png" TargetMode="External"/><Relationship Id="rId1301" Type="http://schemas.openxmlformats.org/officeDocument/2006/relationships/hyperlink" Target="file:///\\cot-dc01.cot-i.com\CapRockDocuments\Engineering\01_Designs\8896\8896r00%20ISO.png" TargetMode="External"/><Relationship Id="rId38" Type="http://schemas.openxmlformats.org/officeDocument/2006/relationships/hyperlink" Target="file:///\\cot-dc01.cot-i.com\CapRockDocuments\Engineering\01_Designs\2265\CDG-39111r1.xlsm" TargetMode="External"/><Relationship Id="rId103" Type="http://schemas.openxmlformats.org/officeDocument/2006/relationships/hyperlink" Target="file:///\\cot-dc01.cot-i.com\CapRockDocuments\Engineering\01_Designs\2027\2027A_Summary.doc" TargetMode="External"/><Relationship Id="rId310" Type="http://schemas.openxmlformats.org/officeDocument/2006/relationships/hyperlink" Target="file:///\\cot-dc01.cot-i.com\CapRockDocuments\Engineering\01_Designs\2104\2104A.dwg" TargetMode="External"/><Relationship Id="rId548" Type="http://schemas.openxmlformats.org/officeDocument/2006/relationships/hyperlink" Target="file:///\\cot-dc01.cot-i.com\CapRockDocuments\Engineering\02_Spec%20Sheets\WIP%202.0\6330.2188\2188.Top.C.png" TargetMode="External"/><Relationship Id="rId755" Type="http://schemas.openxmlformats.org/officeDocument/2006/relationships/hyperlink" Target="file:///\\cot-dc01.cot-i.com\CapRockDocuments\Engineering\01_Designs\2210\2210.dwg" TargetMode="External"/><Relationship Id="rId962" Type="http://schemas.openxmlformats.org/officeDocument/2006/relationships/hyperlink" Target="file:///\\cot-dc01.cot-i.com\CapRockDocuments\Engineering\01_Designs\2120\2120%20@%200.25%20IPR.xls" TargetMode="External"/><Relationship Id="rId1178" Type="http://schemas.openxmlformats.org/officeDocument/2006/relationships/hyperlink" Target="file:///\\cot-dc01.cot-i.com\CapRockDocuments\Engineering\01_Designs\5911\5911r00%20ISO.png" TargetMode="External"/><Relationship Id="rId1385" Type="http://schemas.openxmlformats.org/officeDocument/2006/relationships/hyperlink" Target="file:///\\cot-dc01.cot-i.com\CapRockDocuments\Engineering\02_Spec%20Sheets\Original%20Assy%20Spec%20Sheets\9944r00%20Spec%20Sheet.pdf" TargetMode="External"/><Relationship Id="rId91" Type="http://schemas.openxmlformats.org/officeDocument/2006/relationships/hyperlink" Target="file:///\\cot-dc01.cot-i.com\CapRockDocuments\Engineering\01_Designs\2017\2017%20Summary%20Performance%20Analysis.docx" TargetMode="External"/><Relationship Id="rId187" Type="http://schemas.openxmlformats.org/officeDocument/2006/relationships/hyperlink" Target="file:///\\cot-dc01.cot-i.com\CapRockDocuments\Engineering\01_Designs\2196\New%20Design%20Request%20-%208.75%20Dedicated%20Curve%20Bit.doc" TargetMode="External"/><Relationship Id="rId394" Type="http://schemas.openxmlformats.org/officeDocument/2006/relationships/hyperlink" Target="file:///\\cot-dc01.cot-i.com\CapRockDocuments\Engineering\02_Spec%20Sheets\WIP%202.0\8184.2164\2164.ISO.C.png" TargetMode="External"/><Relationship Id="rId408" Type="http://schemas.openxmlformats.org/officeDocument/2006/relationships/hyperlink" Target="file:///\\cot-dc01.cot-i.com\CapRockDocuments\Engineering\02_Spec%20Sheets\WIP%202.0\6794.2272\2272.ISO.C.png" TargetMode="External"/><Relationship Id="rId615" Type="http://schemas.openxmlformats.org/officeDocument/2006/relationships/hyperlink" Target="file:///\\COT-SQL01\SEData\cot-i\eg\se\rel\Fixed%20Cutter%20Rockbits%20SKF\Size%2008.500\Blade%206\SKF-02005r2.asm" TargetMode="External"/><Relationship Id="rId822" Type="http://schemas.openxmlformats.org/officeDocument/2006/relationships/hyperlink" Target="file:///\\cot-dc01.cot-i.com\CapRockDocuments\Engineering\01_Designs\2188\2188%20@%200.25%20IPR.dwg" TargetMode="External"/><Relationship Id="rId1038" Type="http://schemas.openxmlformats.org/officeDocument/2006/relationships/hyperlink" Target="file:///\\cot-dc01.cot-i.com\CapRockDocuments\Engineering\01_Designs\2033\2033%20LO.dwg" TargetMode="External"/><Relationship Id="rId1245" Type="http://schemas.openxmlformats.org/officeDocument/2006/relationships/hyperlink" Target="file:///\\cot-dc01.cot-i.com\CapRockDocuments\Engineering\01_Designs\4288\4288r00%20@%200.250%20in_rev.dwg" TargetMode="External"/><Relationship Id="rId254" Type="http://schemas.openxmlformats.org/officeDocument/2006/relationships/hyperlink" Target="file:///\\cot-dc01.cot-i.com\CapRockDocuments\Engineering\02_Spec%20Sheets\WIP%202.0\9587.2185\2185.Top.C.png" TargetMode="External"/><Relationship Id="rId699" Type="http://schemas.openxmlformats.org/officeDocument/2006/relationships/hyperlink" Target="file:///\\COT-SQL01\SEData\cot-i\eg\se\rel\Fixed%20Cutter%20Rockbits%20SKF\Size%2006.750\Blade%205\SKF-02227r01.asm" TargetMode="External"/><Relationship Id="rId1091" Type="http://schemas.openxmlformats.org/officeDocument/2006/relationships/hyperlink" Target="file:///\\cot-dc01.cot-i.com\CapRockDocuments\Engineering\01_Designs\4206\4206%20@%200.25%20IPR.xls" TargetMode="External"/><Relationship Id="rId1105" Type="http://schemas.openxmlformats.org/officeDocument/2006/relationships/hyperlink" Target="file:///\\cot-dc01.cot-i.com\CapRockDocuments\Engineering\01_Designs\4720\4720%20LO.dwg" TargetMode="External"/><Relationship Id="rId1312" Type="http://schemas.openxmlformats.org/officeDocument/2006/relationships/hyperlink" Target="file:///\\COT-SQL01\SEData\cot-i\eg\se\rel\Fixed%20Cutter%20Rockbits%20SKF\Size%2009.625\Blade%206\SKF-02362r00.asm" TargetMode="External"/><Relationship Id="rId49" Type="http://schemas.openxmlformats.org/officeDocument/2006/relationships/hyperlink" Target="file:///\\cot-dc01.cot-i.com\CapRockDocuments\Engineering\01_Designs\2157\CDG-38779%20Testr1.xlsm" TargetMode="External"/><Relationship Id="rId114" Type="http://schemas.openxmlformats.org/officeDocument/2006/relationships/hyperlink" Target="file:///\\cot-dc01.cot-i.com\CapRockDocuments\Engineering\01_Designs\2081\2081A_Summary.docx" TargetMode="External"/><Relationship Id="rId461" Type="http://schemas.openxmlformats.org/officeDocument/2006/relationships/hyperlink" Target="file:///\\cot-dc01.cot-i.com\CapRockDocuments\Engineering\02_Spec%20Sheets\Original%20Assy%20Spec%20Sheets\2012.pdf" TargetMode="External"/><Relationship Id="rId559" Type="http://schemas.openxmlformats.org/officeDocument/2006/relationships/hyperlink" Target="file:///\\cot-dc01.cot-i.com\CapRockDocuments\Engineering\02_Spec%20Sheets\WIP%202.0\8515.2235\2235.Top.C.png" TargetMode="External"/><Relationship Id="rId766" Type="http://schemas.openxmlformats.org/officeDocument/2006/relationships/hyperlink" Target="file:///\\cot-dc01.cot-i.com\CapRockDocuments\Engineering\01_Designs\2196\2196.dwg" TargetMode="External"/><Relationship Id="rId1189" Type="http://schemas.openxmlformats.org/officeDocument/2006/relationships/hyperlink" Target="file:///\\cot-dc01.cot-i.com\CapRockDocuments\Engineering\02_Spec%20Sheets\Original%20Assy%20Spec%20Sheets\7823r00.pdf" TargetMode="External"/><Relationship Id="rId198" Type="http://schemas.openxmlformats.org/officeDocument/2006/relationships/hyperlink" Target="file:///\\cot-dc01.cot-i.com\CapRockDocuments\Engineering\02_Spec%20Sheets\WIP%202.0\4718.1967\1967.Top.C.png" TargetMode="External"/><Relationship Id="rId321" Type="http://schemas.openxmlformats.org/officeDocument/2006/relationships/hyperlink" Target="file:///\\cot-dc01.cot-i.com\CapRockDocuments\Engineering\01_Designs\2145\2145A.dwg" TargetMode="External"/><Relationship Id="rId419" Type="http://schemas.openxmlformats.org/officeDocument/2006/relationships/hyperlink" Target="file:///\\cot-dc01.cot-i.com\CapRockDocuments\Engineering\02_Spec%20Sheets\Original%20Assy%20Spec%20Sheets\2093.pdf" TargetMode="External"/><Relationship Id="rId626" Type="http://schemas.openxmlformats.org/officeDocument/2006/relationships/hyperlink" Target="file:///\\COT-SQL01\SEData\cot-i\eg\se\rel\Fixed%20Cutter%20Rockbits%20SKF\Size%2006.125\Blade%203\SKF-02046r01.asm" TargetMode="External"/><Relationship Id="rId973" Type="http://schemas.openxmlformats.org/officeDocument/2006/relationships/hyperlink" Target="file:///\\cot-dc01.cot-i.com\CapRockDocuments\Engineering\01_Designs\2124\2124%20@%200.25%20IPR.dwg" TargetMode="External"/><Relationship Id="rId1049" Type="http://schemas.openxmlformats.org/officeDocument/2006/relationships/hyperlink" Target="file:///\\cot-dc01.cot-i.com\CapRockDocuments\Engineering\01_Designs\2019\2019%20@%200.25%20IPR.xls" TargetMode="External"/><Relationship Id="rId1256" Type="http://schemas.openxmlformats.org/officeDocument/2006/relationships/hyperlink" Target="file:///\\cot-dc01.cot-i.com\CapRockDocuments\Engineering\01_Designs\5132\5132%20Layout.dwg" TargetMode="External"/><Relationship Id="rId833" Type="http://schemas.openxmlformats.org/officeDocument/2006/relationships/hyperlink" Target="file:///\\cot-dc01.cot-i.com\CapRockDocuments\Engineering\01_Designs\2160\2160%20@%200.25%20IPR.xls" TargetMode="External"/><Relationship Id="rId1116" Type="http://schemas.openxmlformats.org/officeDocument/2006/relationships/hyperlink" Target="file:///\\cot-dc01.cot-i.com\CapRockDocuments\Engineering\01_Designs\5481\5481r1%20Design.dwg" TargetMode="External"/><Relationship Id="rId265" Type="http://schemas.openxmlformats.org/officeDocument/2006/relationships/hyperlink" Target="file:///\\cot-dc01.cot-i.com\CapRockDocuments\Engineering\02_Spec%20Sheets\WIP%202.0\8037L.2018L\2018L.Top.C.png" TargetMode="External"/><Relationship Id="rId472" Type="http://schemas.openxmlformats.org/officeDocument/2006/relationships/hyperlink" Target="file:///\\cot-dc01.cot-i.com\CapRockDocuments\Engineering\02_Spec%20Sheets\Original%20Assy%20Spec%20Sheets\2124.pdf" TargetMode="External"/><Relationship Id="rId900" Type="http://schemas.openxmlformats.org/officeDocument/2006/relationships/hyperlink" Target="file:///\\cot-dc01.cot-i.com\CapRockDocuments\Engineering\01_Designs\2224\2224%20LO.dwg" TargetMode="External"/><Relationship Id="rId1323" Type="http://schemas.openxmlformats.org/officeDocument/2006/relationships/hyperlink" Target="file:///\\cot-dc01.cot-i.com\CapRockDocuments\Engineering\02_Spec%20Sheets\WIP%202.0\5406.2114\2114.Top.C.png" TargetMode="External"/><Relationship Id="rId125" Type="http://schemas.openxmlformats.org/officeDocument/2006/relationships/hyperlink" Target="file:///\\cot-dc01.cot-i.com\CapRockDocuments\Engineering\01_Designs\2124\2124A_Summary.docx" TargetMode="External"/><Relationship Id="rId332" Type="http://schemas.openxmlformats.org/officeDocument/2006/relationships/hyperlink" Target="file:///\\cot-dc01.cot-i.com\CapRockDocuments\Engineering\01_Designs\2033\2033A%20at%200.1639%20inRev.dwg" TargetMode="External"/><Relationship Id="rId777" Type="http://schemas.openxmlformats.org/officeDocument/2006/relationships/hyperlink" Target="file:///\\cot-dc01.cot-i.com\CapRockDocuments\Engineering\01_Designs\2177\2177%20@%200.25%20IPR.dwg" TargetMode="External"/><Relationship Id="rId984" Type="http://schemas.openxmlformats.org/officeDocument/2006/relationships/hyperlink" Target="file:///\\cot-dc01.cot-i.com\CapRockDocuments\Engineering\01_Designs\2142\2142%20LO.dwg" TargetMode="External"/><Relationship Id="rId637" Type="http://schemas.openxmlformats.org/officeDocument/2006/relationships/hyperlink" Target="file:///\\COT-SQL01\SEData\cot-i\eg\se\rel\Fixed%20Cutter%20Rockbits%20SKF\Size%2009.875\Blade%206\SKF-02090r01.asm" TargetMode="External"/><Relationship Id="rId844" Type="http://schemas.openxmlformats.org/officeDocument/2006/relationships/hyperlink" Target="file:///\\cot-dc01.cot-i.com\CapRockDocuments\Engineering\01_Designs\2227\2227%20@%200.25%20IPR.xls" TargetMode="External"/><Relationship Id="rId1267" Type="http://schemas.openxmlformats.org/officeDocument/2006/relationships/hyperlink" Target="file:///\\cot-dc01.cot-i.com\CapRockDocuments\Engineering\01_Designs\5749\5749r00%20Top.png" TargetMode="External"/><Relationship Id="rId276" Type="http://schemas.openxmlformats.org/officeDocument/2006/relationships/hyperlink" Target="file:///\\cot-dc01.cot-i.com\CapRockDocuments\Engineering\01_Designs\2122\2122.dwg" TargetMode="External"/><Relationship Id="rId483" Type="http://schemas.openxmlformats.org/officeDocument/2006/relationships/hyperlink" Target="file:///\\cot-dc01.cot-i.com\CapRockDocuments\Engineering\02_Spec%20Sheets\Original%20Assy%20Spec%20Sheets\1941.pdf" TargetMode="External"/><Relationship Id="rId690" Type="http://schemas.openxmlformats.org/officeDocument/2006/relationships/hyperlink" Target="file:///\\COT-SQL01\SEData\cot-i\eg\se\rel\Fixed%20Cutter%20Rockbits%20SKF\Size%2012.250\Blade%207\SKF-02209r01.asm" TargetMode="External"/><Relationship Id="rId704" Type="http://schemas.openxmlformats.org/officeDocument/2006/relationships/hyperlink" Target="file:///\\COT-SQL01\SEData\cot-i\eg\se\rel\Fixed%20Cutter%20Rockbits%20SKF\Size%2009.875\Blade%206\SKF-02236r01.asm" TargetMode="External"/><Relationship Id="rId911" Type="http://schemas.openxmlformats.org/officeDocument/2006/relationships/hyperlink" Target="file:///\\cot-dc01.cot-i.com\CapRockDocuments\Engineering\01_Designs\2070\2070%20@%200.25%20IPR.xls" TargetMode="External"/><Relationship Id="rId1127" Type="http://schemas.openxmlformats.org/officeDocument/2006/relationships/hyperlink" Target="file:///\\cot-dc01.cot-i.com\CapRockDocuments\Engineering\01_Designs\9427\9427r1%20Design.dwg" TargetMode="External"/><Relationship Id="rId1334" Type="http://schemas.openxmlformats.org/officeDocument/2006/relationships/hyperlink" Target="file:///\\cot-dc01.cot-i.com\CapRockDocuments\Engineering\02_Spec%20Sheets\Original%20Assy%20Spec%20Sheets\9387r00%20Spec%20Sheet.pdf" TargetMode="External"/><Relationship Id="rId40" Type="http://schemas.openxmlformats.org/officeDocument/2006/relationships/hyperlink" Target="file:///\\cot-dc01.cot-i.com\CapRockDocuments\Engineering\01_Designs\2169\CDG-38816r1.xlsm" TargetMode="External"/><Relationship Id="rId136" Type="http://schemas.openxmlformats.org/officeDocument/2006/relationships/hyperlink" Target="file:///\\cot-dc01.cot-i.com\CapRockDocuments\Engineering\01_Designs\2188\2188A_Summary.docx" TargetMode="External"/><Relationship Id="rId343" Type="http://schemas.openxmlformats.org/officeDocument/2006/relationships/hyperlink" Target="file:///\\cot-dc01.cot-i.com\CapRockDocuments\Engineering\02_Spec%20Sheets\WIP%202.0\7622.2001\2001.ISO.C.png" TargetMode="External"/><Relationship Id="rId550" Type="http://schemas.openxmlformats.org/officeDocument/2006/relationships/hyperlink" Target="file:///\\cot-dc01.cot-i.com\CapRockDocuments\Engineering\02_Spec%20Sheets\WIP%202.0\6441.2196\2196.Top.C.png" TargetMode="External"/><Relationship Id="rId788" Type="http://schemas.openxmlformats.org/officeDocument/2006/relationships/hyperlink" Target="file:///\\cot-dc01.cot-i.com\CapRockDocuments\Engineering\01_Designs\2001\2001%20@%200.25%20IPR.xls" TargetMode="External"/><Relationship Id="rId995" Type="http://schemas.openxmlformats.org/officeDocument/2006/relationships/hyperlink" Target="file:///\\cot-dc01.cot-i.com\CapRockDocuments\Engineering\01_Designs\2153\2153%20@%200.25%20IPR.xls" TargetMode="External"/><Relationship Id="rId1180" Type="http://schemas.openxmlformats.org/officeDocument/2006/relationships/hyperlink" Target="file:///\\cot-dc01.cot-i.com\CapRockDocuments\Engineering\01_Designs\5911\5911r00%20Layout.dwg" TargetMode="External"/><Relationship Id="rId203" Type="http://schemas.openxmlformats.org/officeDocument/2006/relationships/hyperlink" Target="file:///\\cot-dc01.cot-i.com\CapRockDocuments\Engineering\02_Spec%20Sheets\WIP%202.0\5817.2012\2012.Top.C.png" TargetMode="External"/><Relationship Id="rId648" Type="http://schemas.openxmlformats.org/officeDocument/2006/relationships/hyperlink" Target="file:///\\COT-SQL01\SEData\cot-i\eg\se\rel\Fixed%20Cutter%20Rockbits%20SKF\Size%2008.750\Blade%205\SKF-02120r01.asm" TargetMode="External"/><Relationship Id="rId855" Type="http://schemas.openxmlformats.org/officeDocument/2006/relationships/hyperlink" Target="file:///\\cot-dc01.cot-i.com\CapRockDocuments\Engineering\01_Designs\2241\2241.dwg" TargetMode="External"/><Relationship Id="rId1040" Type="http://schemas.openxmlformats.org/officeDocument/2006/relationships/hyperlink" Target="file:///\\cot-dc01.cot-i.com\CapRockDocuments\Engineering\01_Designs\2028\2028%20@%200.25%20IPR.xls" TargetMode="External"/><Relationship Id="rId1278" Type="http://schemas.openxmlformats.org/officeDocument/2006/relationships/hyperlink" Target="file:///\\cot-dc01.cot-i.com\CapRockDocuments\Engineering\01_Designs\9692\9692%20Design.dwg" TargetMode="External"/><Relationship Id="rId287" Type="http://schemas.openxmlformats.org/officeDocument/2006/relationships/hyperlink" Target="file:///\\cot-dc01.cot-i.com\CapRockDocuments\Engineering\01_Designs\2053\2053A.dwg" TargetMode="External"/><Relationship Id="rId410" Type="http://schemas.openxmlformats.org/officeDocument/2006/relationships/hyperlink" Target="file:///\\cot-dc01.cot-i.com\CapRockDocuments\Engineering\02_Spec%20Sheets\WIP%202.0\8577L.2049L\2049L.ISO.C.png" TargetMode="External"/><Relationship Id="rId494" Type="http://schemas.openxmlformats.org/officeDocument/2006/relationships/hyperlink" Target="file:///\\cot-dc01.cot-i.com\CapRockDocuments\Engineering\02_Spec%20Sheets\Original%20Assy%20Spec%20Sheets\2018L.pdf" TargetMode="External"/><Relationship Id="rId508" Type="http://schemas.openxmlformats.org/officeDocument/2006/relationships/hyperlink" Target="file:///\\cot-dc01.cot-i.com\CapRockDocuments\Engineering\02_Spec%20Sheets\Original%20Assy%20Spec%20Sheets\2046.pdf" TargetMode="External"/><Relationship Id="rId715" Type="http://schemas.openxmlformats.org/officeDocument/2006/relationships/hyperlink" Target="file:///\\COT-SQL01\SEData\cot-i\eg\se\rel\Fixed%20Cutter%20Rockbits%20SKF\Size%2012.250\Blade%206\SKF-02267r01.asm" TargetMode="External"/><Relationship Id="rId922" Type="http://schemas.openxmlformats.org/officeDocument/2006/relationships/hyperlink" Target="file:///\\cot-dc01.cot-i.com\CapRockDocuments\Engineering\01_Designs\2077\2077%20@%200.25%20IPR.dwg" TargetMode="External"/><Relationship Id="rId1138" Type="http://schemas.openxmlformats.org/officeDocument/2006/relationships/hyperlink" Target="file:///\\cot-dc01.cot-i.com\CapRockDocuments\Engineering\01_Designs\4538\4538r0%20@%200.250%20in_rev.dwg" TargetMode="External"/><Relationship Id="rId1345" Type="http://schemas.openxmlformats.org/officeDocument/2006/relationships/hyperlink" Target="file:///\\cot-dc01.cot-i.com\CapRockDocuments\Engineering\01_Designs\6841\6841r00%20Min%20Engagement%20v8.01.xlsm" TargetMode="External"/><Relationship Id="rId147" Type="http://schemas.openxmlformats.org/officeDocument/2006/relationships/hyperlink" Target="file:///\\cot-dc01.cot-i.com\CapRockDocuments\Engineering\01_Designs\2217\2217A_Summary.docx" TargetMode="External"/><Relationship Id="rId354" Type="http://schemas.openxmlformats.org/officeDocument/2006/relationships/hyperlink" Target="file:///\\cot-dc01.cot-i.com\CapRockDocuments\Engineering\02_Spec%20Sheets\WIP%202.0\6545.2043\2043.ISO.C.png" TargetMode="External"/><Relationship Id="rId799" Type="http://schemas.openxmlformats.org/officeDocument/2006/relationships/hyperlink" Target="file:///\\cot-dc01.cot-i.com\CapRockDocuments\Engineering\01_Designs\1961\1961%20@%200.25%20IPR.dwg" TargetMode="External"/><Relationship Id="rId1191" Type="http://schemas.openxmlformats.org/officeDocument/2006/relationships/hyperlink" Target="file:///\\cot-dc01.cot-i.com\CapRockDocuments\Engineering\01_Designs\5674\5674r00%20CS%20Placement%20V4.xls" TargetMode="External"/><Relationship Id="rId1205" Type="http://schemas.openxmlformats.org/officeDocument/2006/relationships/hyperlink" Target="file:///\\cot-dc01.cot-i.com\CapRockDocuments\Engineering\01_Designs\6150\6150r01%20ISO.png" TargetMode="External"/><Relationship Id="rId51" Type="http://schemas.openxmlformats.org/officeDocument/2006/relationships/hyperlink" Target="file:///\\cot-dc01.cot-i.com\CapRockDocuments\Engineering\01_Designs\2251\CDG-39077.xlsm" TargetMode="External"/><Relationship Id="rId561" Type="http://schemas.openxmlformats.org/officeDocument/2006/relationships/hyperlink" Target="file:///\\cot-dc01.cot-i.com\CapRockDocuments\Engineering\02_Spec%20Sheets\WIP%202.0\9027.2193\2193.Top.C.png" TargetMode="External"/><Relationship Id="rId659" Type="http://schemas.openxmlformats.org/officeDocument/2006/relationships/hyperlink" Target="file:///\\COT-SQL01\SEData\cot-i\eg\se\rel\Fixed%20Cutter%20Rockbits%20SKF\Size%2010.625\Blade%207\SKF-02145r01.asm" TargetMode="External"/><Relationship Id="rId866" Type="http://schemas.openxmlformats.org/officeDocument/2006/relationships/hyperlink" Target="file:///\\cot-dc01.cot-i.com\CapRockDocuments\Engineering\01_Designs\2270\2270%20@%200.25%20IPR.xls" TargetMode="External"/><Relationship Id="rId1289" Type="http://schemas.openxmlformats.org/officeDocument/2006/relationships/hyperlink" Target="file:///\\cot-dc01.cot-i.com\CapRockDocuments\Engineering\01_Designs\7182\7182r00%20CS%20Placement%20V6.xls" TargetMode="External"/><Relationship Id="rId214" Type="http://schemas.openxmlformats.org/officeDocument/2006/relationships/hyperlink" Target="file:///\\cot-dc01.cot-i.com\CapRockDocuments\Engineering\02_Spec%20Sheets\WIP%202.0\5699.2051\2051.Top.C.png" TargetMode="External"/><Relationship Id="rId298" Type="http://schemas.openxmlformats.org/officeDocument/2006/relationships/hyperlink" Target="file:///\\cot-dc01.cot-i.com\CapRockDocuments\Engineering\01_Designs\2050\2050A.dwg" TargetMode="External"/><Relationship Id="rId421" Type="http://schemas.openxmlformats.org/officeDocument/2006/relationships/hyperlink" Target="file:///\\cot-dc01.cot-i.com\CapRockDocuments\Engineering\02_Spec%20Sheets\Original%20Assy%20Spec%20Sheets\2004.pdf" TargetMode="External"/><Relationship Id="rId519" Type="http://schemas.openxmlformats.org/officeDocument/2006/relationships/hyperlink" Target="file:///\\cot-dc01.cot-i.com\CapRockDocuments\Engineering\02_Spec%20Sheets\Original%20Assy%20Spec%20Sheets\2145.pdf" TargetMode="External"/><Relationship Id="rId1051" Type="http://schemas.openxmlformats.org/officeDocument/2006/relationships/hyperlink" Target="file:///\\cot-dc01.cot-i.com\CapRockDocuments\Engineering\01_Designs\2019\2019%20@%200.25%20IPR.dwg" TargetMode="External"/><Relationship Id="rId1149" Type="http://schemas.openxmlformats.org/officeDocument/2006/relationships/hyperlink" Target="file:///\\cot-dc01.cot-i.com\CapRockDocuments\Engineering\02_Spec%20Sheets\Original%20Assy%20Spec%20Sheets\6513r0.pdf" TargetMode="External"/><Relationship Id="rId1356" Type="http://schemas.openxmlformats.org/officeDocument/2006/relationships/hyperlink" Target="file:///\\cot-sql01\sedata\cot-i\eg\se\rel\Component%20Drawings%20CDG\Bit%20Heads\Size%2006.750\Blade%206\CDG-39221r0.asm" TargetMode="External"/><Relationship Id="rId158" Type="http://schemas.openxmlformats.org/officeDocument/2006/relationships/hyperlink" Target="file:///\\cot-dc01.cot-i.com\CapRockDocuments\Engineering\01_Designs\2252\2252_Summary.docx" TargetMode="External"/><Relationship Id="rId726" Type="http://schemas.openxmlformats.org/officeDocument/2006/relationships/hyperlink" Target="file:///\\cot-dc01.cot-i.com\CapRockDocuments\Engineering\01_Designs\2194\2194%20@%200.25%20IPR.dwg" TargetMode="External"/><Relationship Id="rId933" Type="http://schemas.openxmlformats.org/officeDocument/2006/relationships/hyperlink" Target="file:///\\cot-dc01.cot-i.com\CapRockDocuments\Engineering\01_Designs\2091\2091%20LO.dwg" TargetMode="External"/><Relationship Id="rId1009" Type="http://schemas.openxmlformats.org/officeDocument/2006/relationships/hyperlink" Target="file:///\\cot-dc01.cot-i.com\CapRockDocuments\Engineering\01_Designs\2145\2145%20@%200.25%20IPR.dwg" TargetMode="External"/><Relationship Id="rId62" Type="http://schemas.openxmlformats.org/officeDocument/2006/relationships/hyperlink" Target="file:///\\cot-dc01.cot-i.com\CapRockDocuments\Engineering\01_Designs\2075\CDG-38591.xlsm" TargetMode="External"/><Relationship Id="rId365" Type="http://schemas.openxmlformats.org/officeDocument/2006/relationships/hyperlink" Target="file:///\\cot-dc01.cot-i.com\CapRockDocuments\Engineering\02_Spec%20Sheets\WIP%202.0\7152.2090\2090.ISO.C.png" TargetMode="External"/><Relationship Id="rId572" Type="http://schemas.openxmlformats.org/officeDocument/2006/relationships/hyperlink" Target="file:///\\cot-dc01.cot-i.com\CapRockDocuments\Engineering\02_Spec%20Sheets\WIP%202.0\3799.2209\2209.ISO.C.png" TargetMode="External"/><Relationship Id="rId1216" Type="http://schemas.openxmlformats.org/officeDocument/2006/relationships/hyperlink" Target="file:///\\cot-dc01.cot-i.com\CapRockDocuments\Engineering\01_Designs\3336\3336r00%20ISO.png" TargetMode="External"/><Relationship Id="rId225" Type="http://schemas.openxmlformats.org/officeDocument/2006/relationships/hyperlink" Target="file:///\\cot-dc01.cot-i.com\CapRockDocuments\Engineering\01_Designs\2095\2095r02_TOP.png" TargetMode="External"/><Relationship Id="rId432" Type="http://schemas.openxmlformats.org/officeDocument/2006/relationships/hyperlink" Target="file:///\\cot-dc01.cot-i.com\CapRockDocuments\Engineering\02_Spec%20Sheets\Original%20Assy%20Spec%20Sheets\2081.pdf" TargetMode="External"/><Relationship Id="rId877" Type="http://schemas.openxmlformats.org/officeDocument/2006/relationships/hyperlink" Target="file:///\\cot-dc01.cot-i.com\CapRockDocuments\Engineering\01_Designs\2140\2140%20LO.dwg" TargetMode="External"/><Relationship Id="rId1062" Type="http://schemas.openxmlformats.org/officeDocument/2006/relationships/hyperlink" Target="file:///\\cot-dc01.cot-i.com\CapRockDocuments\Engineering\01_Designs\2172\2172%20LO.dwg" TargetMode="External"/><Relationship Id="rId737" Type="http://schemas.openxmlformats.org/officeDocument/2006/relationships/hyperlink" Target="file:///\\cot-dc01.cot-i.com\CapRockDocuments\Engineering\01_Designs\2232\2232%20@%200.25%20IPR.dwg" TargetMode="External"/><Relationship Id="rId944" Type="http://schemas.openxmlformats.org/officeDocument/2006/relationships/hyperlink" Target="file:///\\cot-dc01.cot-i.com\CapRockDocuments\Engineering\01_Designs\2104\2104%20@%200.25%20IPR.xls" TargetMode="External"/><Relationship Id="rId1367" Type="http://schemas.openxmlformats.org/officeDocument/2006/relationships/hyperlink" Target="file:///\\cot-dc01.cot-i.com\CapRockDocuments\Engineering\02_Spec%20Sheets\Original%20Assy%20Spec%20Sheets\4149r00.pdf" TargetMode="External"/><Relationship Id="rId73" Type="http://schemas.openxmlformats.org/officeDocument/2006/relationships/hyperlink" Target="file:///\\cot-dc01.cot-i.com\CapRockDocuments\Engineering\01_Designs\2192\CDG-38897r1.xlsm" TargetMode="External"/><Relationship Id="rId169" Type="http://schemas.openxmlformats.org/officeDocument/2006/relationships/hyperlink" Target="file:///\\cot-dc01.cot-i.com\CapRockDocuments\Engineering\01_Designs\2019\122%20519-SR%20PDC%20Bit%20Design%20Request%20rev%20C.docx" TargetMode="External"/><Relationship Id="rId376" Type="http://schemas.openxmlformats.org/officeDocument/2006/relationships/hyperlink" Target="file:///\\cot-dc01.cot-i.com\CapRockDocuments\Engineering\02_Spec%20Sheets\WIP%202.0\8204.2120\2120.ISO.C.png" TargetMode="External"/><Relationship Id="rId583" Type="http://schemas.openxmlformats.org/officeDocument/2006/relationships/hyperlink" Target="file:///\\cot-dc01.cot-i.com\CapRockDocuments\Engineering\02_Spec%20Sheets\WIP%202.0\5104.2206\2206.ISO.C.png" TargetMode="External"/><Relationship Id="rId790" Type="http://schemas.openxmlformats.org/officeDocument/2006/relationships/hyperlink" Target="file:///\\cot-dc01.cot-i.com\CapRockDocuments\Engineering\01_Designs\2001\2001%20@%200.25%20IPR.dwg" TargetMode="External"/><Relationship Id="rId804" Type="http://schemas.openxmlformats.org/officeDocument/2006/relationships/hyperlink" Target="file:///\\cot-dc01.cot-i.com\CapRockDocuments\Engineering\01_Designs\2012\2012%20@%200.25%20IPR.dwg" TargetMode="External"/><Relationship Id="rId1227" Type="http://schemas.openxmlformats.org/officeDocument/2006/relationships/hyperlink" Target="file:///\\cot-dc01.cot-i.com\CapRockDocuments\Engineering\01_Designs\7273\7273r00%20CS%20Placement%20V4.xls" TargetMode="External"/><Relationship Id="rId4" Type="http://schemas.openxmlformats.org/officeDocument/2006/relationships/hyperlink" Target="file:///\\cot-dc01.cot-i.com\CapRockDocuments\Engineering\01_Designs\2158\CDG-38783r1.dwg" TargetMode="External"/><Relationship Id="rId236" Type="http://schemas.openxmlformats.org/officeDocument/2006/relationships/hyperlink" Target="file:///\\cot-dc01.cot-i.com\CapRockDocuments\Engineering\02_Spec%20Sheets\WIP%202.0\6495.2126\2126.Top.C.png" TargetMode="External"/><Relationship Id="rId443" Type="http://schemas.openxmlformats.org/officeDocument/2006/relationships/hyperlink" Target="file:///\\cot-dc01.cot-i.com\CapRockDocuments\Engineering\02_Spec%20Sheets\Original%20Assy%20Spec%20Sheets\1967.pdf" TargetMode="External"/><Relationship Id="rId650" Type="http://schemas.openxmlformats.org/officeDocument/2006/relationships/hyperlink" Target="file:///\\COT-SQL01\SEData\cot-i\eg\se\rel\Fixed%20Cutter%20Rockbits%20SKF\Size%2012.250\Blade%207\SKF-02122r01.asm" TargetMode="External"/><Relationship Id="rId888" Type="http://schemas.openxmlformats.org/officeDocument/2006/relationships/hyperlink" Target="file:///\\cot-dc01.cot-i.com\CapRockDocuments\Engineering\01_Designs\2266\2266%20LO.dwg" TargetMode="External"/><Relationship Id="rId1073" Type="http://schemas.openxmlformats.org/officeDocument/2006/relationships/hyperlink" Target="file:///\\cot-dc01.cot-i.com\CapRockDocuments\Engineering\02_Spec%20Sheets\Original%20Assy%20Spec%20Sheets\8479.pdf" TargetMode="External"/><Relationship Id="rId1280" Type="http://schemas.openxmlformats.org/officeDocument/2006/relationships/hyperlink" Target="file:///\\COT-SQL01\SEData\cot-i\eg\se\rel\Fixed%20Cutter%20Rockbits%20SKF\Size%2007.875\Blade%206\SKF-09692r00.asm" TargetMode="External"/><Relationship Id="rId303" Type="http://schemas.openxmlformats.org/officeDocument/2006/relationships/hyperlink" Target="file:///\\cot-dc01.cot-i.com\CapRockDocuments\Engineering\01_Designs\2079\2079A.dwg" TargetMode="External"/><Relationship Id="rId748" Type="http://schemas.openxmlformats.org/officeDocument/2006/relationships/hyperlink" Target="file:///\\cot-dc01.cot-i.com\CapRockDocuments\Engineering\01_Designs\2218\2218.dwg" TargetMode="External"/><Relationship Id="rId955" Type="http://schemas.openxmlformats.org/officeDocument/2006/relationships/hyperlink" Target="file:///\\cot-dc01.cot-i.com\CapRockDocuments\Engineering\01_Designs\2115\2115%20@%200.25%20IPR.dwg" TargetMode="External"/><Relationship Id="rId1140" Type="http://schemas.openxmlformats.org/officeDocument/2006/relationships/hyperlink" Target="file:///\\COT-SQL01\SEData\cot-i\eg\se\rel\Fixed%20Cutter%20Rockbits%20SKF\Size%2012.250\Blade%206\SKF-04538r00.asm" TargetMode="External"/><Relationship Id="rId1378" Type="http://schemas.openxmlformats.org/officeDocument/2006/relationships/hyperlink" Target="file:///\\cot-dc01.cot-i.com\CapRockDocuments\Engineering\01_Designs\2746\2746r00%20CS%20Placement%20V6%20wClaude.xls" TargetMode="External"/><Relationship Id="rId84" Type="http://schemas.openxmlformats.org/officeDocument/2006/relationships/hyperlink" Target="file:///\\cot-dc01.cot-i.com\CapRockDocuments\Engineering\01_Designs\2018L\2018A_Summary.doc" TargetMode="External"/><Relationship Id="rId387" Type="http://schemas.openxmlformats.org/officeDocument/2006/relationships/hyperlink" Target="file:///\\cot-dc01.cot-i.com\CapRockDocuments\Engineering\02_Spec%20Sheets\WIP%202.0\3674.2148\2148.ISO.C.png" TargetMode="External"/><Relationship Id="rId510" Type="http://schemas.openxmlformats.org/officeDocument/2006/relationships/hyperlink" Target="file:///\\cot-dc01.cot-i.com\CapRockDocuments\Engineering\02_Spec%20Sheets\Original%20Assy%20Spec%20Sheets\2240.pdf" TargetMode="External"/><Relationship Id="rId594" Type="http://schemas.openxmlformats.org/officeDocument/2006/relationships/hyperlink" Target="file:///\\cot-dc01.cot-i.com\CapRockDocuments\Engineering\02_Spec%20Sheets\WIP%202.0\6739.2218\2218.ISO.C.png" TargetMode="External"/><Relationship Id="rId608" Type="http://schemas.openxmlformats.org/officeDocument/2006/relationships/hyperlink" Target="file:///\\COT-SQL01\SEData\cot-i\eg\se\rel\Fixed%20Cutter%20Rockbits%20SKF\Size%2011.000\Blade%206\SKF-01959r06.asm" TargetMode="External"/><Relationship Id="rId815" Type="http://schemas.openxmlformats.org/officeDocument/2006/relationships/hyperlink" Target="file:///\\cot-dc01.cot-i.com\CapRockDocuments\Engineering\01_Designs\2181\2181.dwg" TargetMode="External"/><Relationship Id="rId1238" Type="http://schemas.openxmlformats.org/officeDocument/2006/relationships/hyperlink" Target="file:///\\cot-dc01.cot-i.com\CapRockDocuments\Engineering\01_Designs\3219\3219r00%20Min%20Engagement%20v7.01.xlsm" TargetMode="External"/><Relationship Id="rId247" Type="http://schemas.openxmlformats.org/officeDocument/2006/relationships/hyperlink" Target="file:///\\cot-dc01.cot-i.com\CapRockDocuments\Engineering\02_Spec%20Sheets\WIP%202.0\8852.2157\2157.Top.C.png" TargetMode="External"/><Relationship Id="rId899" Type="http://schemas.openxmlformats.org/officeDocument/2006/relationships/hyperlink" Target="file:///\\cot-dc01.cot-i.com\CapRockDocuments\Engineering\01_Designs\2224\2224%20@%200.25%20IPR.xls" TargetMode="External"/><Relationship Id="rId1000" Type="http://schemas.openxmlformats.org/officeDocument/2006/relationships/hyperlink" Target="file:///\\cot-dc01.cot-i.com\CapRockDocuments\Engineering\01_Designs\2154\2154%20@%200.25%20IPR.dwg" TargetMode="External"/><Relationship Id="rId1084" Type="http://schemas.openxmlformats.org/officeDocument/2006/relationships/hyperlink" Target="file:///\\cot-dc01.cot-i.com\CapRockDocuments\Engineering\01_Designs\6207\6207%20@%200.25%20IPR.dwg" TargetMode="External"/><Relationship Id="rId1305" Type="http://schemas.openxmlformats.org/officeDocument/2006/relationships/hyperlink" Target="file:///\\cot-dc01.cot-i.com\CapRockDocuments\Engineering\01_Designs\8896\8896r00%20at%200.250%20in_rev.dwg" TargetMode="External"/><Relationship Id="rId107" Type="http://schemas.openxmlformats.org/officeDocument/2006/relationships/hyperlink" Target="file:///\\cot-dc01.cot-i.com\CapRockDocuments\Engineering\01_Designs\2046\2046A_Summary.docx" TargetMode="External"/><Relationship Id="rId454" Type="http://schemas.openxmlformats.org/officeDocument/2006/relationships/hyperlink" Target="file:///\\cot-dc01.cot-i.com\CapRockDocuments\Engineering\02_Spec%20Sheets\Original%20Assy%20Spec%20Sheets\2121.pdf" TargetMode="External"/><Relationship Id="rId661" Type="http://schemas.openxmlformats.org/officeDocument/2006/relationships/hyperlink" Target="file:///\\COT-SQL01\SEData\cot-i\eg\se\rel\Fixed%20Cutter%20Rockbits%20SKF\Size%2006.750\Blade%205\SKF-02152r01.asm" TargetMode="External"/><Relationship Id="rId759" Type="http://schemas.openxmlformats.org/officeDocument/2006/relationships/hyperlink" Target="file:///\\cot-dc01.cot-i.com\CapRockDocuments\Engineering\01_Designs\2208\2208%20@%200.25%20IPR.dwg" TargetMode="External"/><Relationship Id="rId966" Type="http://schemas.openxmlformats.org/officeDocument/2006/relationships/hyperlink" Target="file:///\\cot-dc01.cot-i.com\CapRockDocuments\Engineering\01_Designs\2121\2121%20LO.dwg" TargetMode="External"/><Relationship Id="rId1291" Type="http://schemas.openxmlformats.org/officeDocument/2006/relationships/hyperlink" Target="file:///\\cot-dc01.cot-i.com\CapRockDocuments\Engineering\02_Spec%20Sheets\Original%20Assy%20Spec%20Sheets\7182r00.pdf" TargetMode="External"/><Relationship Id="rId11" Type="http://schemas.openxmlformats.org/officeDocument/2006/relationships/hyperlink" Target="file:///\\cot-dc01.cot-i.com\CapRockDocuments\Engineering\01_Designs\2153\CDG-38772r1.dwg" TargetMode="External"/><Relationship Id="rId314" Type="http://schemas.openxmlformats.org/officeDocument/2006/relationships/hyperlink" Target="file:///\\cot-dc01.cot-i.com\CapRockDocuments\Engineering\01_Designs\2120\2120A.dwg" TargetMode="External"/><Relationship Id="rId398" Type="http://schemas.openxmlformats.org/officeDocument/2006/relationships/hyperlink" Target="file:///\\cot-dc01.cot-i.com\CapRockDocuments\Engineering\02_Spec%20Sheets\WIP%202.0\9587.2185\2185.ISO.C.png" TargetMode="External"/><Relationship Id="rId521" Type="http://schemas.openxmlformats.org/officeDocument/2006/relationships/hyperlink" Target="file:///\\cot-dc01.cot-i.com\CapRockDocuments\Engineering\02_Spec%20Sheets\Original%20Assy%20Spec%20Sheets\2188.pdf" TargetMode="External"/><Relationship Id="rId619" Type="http://schemas.openxmlformats.org/officeDocument/2006/relationships/hyperlink" Target="file:///\\COT-SQL01\SEData\cot-i\eg\se\rel\Fixed%20Cutter%20Rockbits%20SKF\Size%2012.250\Blade%205\SKF-02019r01.asm" TargetMode="External"/><Relationship Id="rId1151" Type="http://schemas.openxmlformats.org/officeDocument/2006/relationships/hyperlink" Target="file:///\\cot-dc01.cot-i.com\CapRockDocuments\Engineering\01_Designs\9023\9023r00%20Layout.dwg" TargetMode="External"/><Relationship Id="rId1249" Type="http://schemas.openxmlformats.org/officeDocument/2006/relationships/hyperlink" Target="file:///\\cot-dc01.cot-i.com\CapRockDocuments\Engineering\02_Spec%20Sheets\Original%20Assy%20Spec%20Sheets\4288r00.pdf" TargetMode="External"/><Relationship Id="rId95" Type="http://schemas.openxmlformats.org/officeDocument/2006/relationships/hyperlink" Target="file:///\\cot-dc01.cot-i.com\CapRockDocuments\Engineering\01_Designs\2157\2157_Summary.docx" TargetMode="External"/><Relationship Id="rId160" Type="http://schemas.openxmlformats.org/officeDocument/2006/relationships/hyperlink" Target="file:///\\cot-dc01.cot-i.com\CapRockDocuments\Engineering\01_Designs\2036\17.5%20616%20SR%20design%20request.docx" TargetMode="External"/><Relationship Id="rId826" Type="http://schemas.openxmlformats.org/officeDocument/2006/relationships/hyperlink" Target="file:///\\cot-dc01.cot-i.com\CapRockDocuments\Engineering\01_Designs\2270\2270.dwg" TargetMode="External"/><Relationship Id="rId1011" Type="http://schemas.openxmlformats.org/officeDocument/2006/relationships/hyperlink" Target="file:///\\cot-dc01.cot-i.com\CapRockDocuments\Engineering\01_Designs\2131\2131%20LO.dwg" TargetMode="External"/><Relationship Id="rId1109" Type="http://schemas.openxmlformats.org/officeDocument/2006/relationships/hyperlink" Target="file:///\\cot-dc01.cot-i.com\CapRockDocuments\Engineering\01_Designs\3943\3943%20Design%20Summary.docx" TargetMode="External"/><Relationship Id="rId258" Type="http://schemas.openxmlformats.org/officeDocument/2006/relationships/hyperlink" Target="file:///\\cot-dc01.cot-i.com\CapRockDocuments\Engineering\02_Spec%20Sheets\WIP%202.0\7118.2247\2247.Top.C.png" TargetMode="External"/><Relationship Id="rId465" Type="http://schemas.openxmlformats.org/officeDocument/2006/relationships/hyperlink" Target="file:///\\cot-dc01.cot-i.com\CapRockDocuments\Engineering\02_Spec%20Sheets\Original%20Assy%20Spec%20Sheets\2152.pdf" TargetMode="External"/><Relationship Id="rId672" Type="http://schemas.openxmlformats.org/officeDocument/2006/relationships/hyperlink" Target="file:///\\COT-SQL01\SEData\cot-i\eg\se\rel\Fixed%20Cutter%20Rockbits%20SKF\Size%2012.250\Blade%206\SKF-02177r01%20Ram%20Cutter.asm" TargetMode="External"/><Relationship Id="rId1095" Type="http://schemas.openxmlformats.org/officeDocument/2006/relationships/hyperlink" Target="file:///\\COT-SQL01\SEData\cot-i\eg\se\rel\Fixed%20Cutter%20Rockbits%20SKF\Size%2014.750\Blade%206\SKF-04206r01.asm" TargetMode="External"/><Relationship Id="rId1316" Type="http://schemas.openxmlformats.org/officeDocument/2006/relationships/hyperlink" Target="file:///\\cot-dc01.cot-i.com\CapRockDocuments\Engineering\02_Spec%20Sheets\Original%20Assy%20Spec%20Sheets\5749r00.pdf" TargetMode="External"/><Relationship Id="rId22" Type="http://schemas.openxmlformats.org/officeDocument/2006/relationships/hyperlink" Target="file:///\\cot-dc01.cot-i.com\CapRockDocuments\Engineering\01_Designs\2070\CDG-38577r1.dwg" TargetMode="External"/><Relationship Id="rId118" Type="http://schemas.openxmlformats.org/officeDocument/2006/relationships/hyperlink" Target="file:///\\cot-dc01.cot-i.com\CapRockDocuments\Engineering\01_Designs\2096\2096A_Summary.docx" TargetMode="External"/><Relationship Id="rId325" Type="http://schemas.openxmlformats.org/officeDocument/2006/relationships/hyperlink" Target="file:///\\cot-dc01.cot-i.com\CapRockDocuments\Engineering\01_Designs\2172\2172%20Cutlet.dwg" TargetMode="External"/><Relationship Id="rId532" Type="http://schemas.openxmlformats.org/officeDocument/2006/relationships/hyperlink" Target="file:///\\cot-dc01.cot-i.com\CapRockDocuments\Engineering\02_Spec%20Sheets\WIP%202.0\3867.2208\2208.Top.C.png" TargetMode="External"/><Relationship Id="rId977" Type="http://schemas.openxmlformats.org/officeDocument/2006/relationships/hyperlink" Target="file:///\\cot-dc01.cot-i.com\CapRockDocuments\Engineering\01_Designs\2137\2137%20@%200.25%20IPR.xls" TargetMode="External"/><Relationship Id="rId1162" Type="http://schemas.openxmlformats.org/officeDocument/2006/relationships/hyperlink" Target="file:///\\cot-dc01.cot-i.com\CapRockDocuments\Engineering\02_Spec%20Sheets\Original%20Assy%20Spec%20Sheets\3449r00.pdf" TargetMode="External"/><Relationship Id="rId171" Type="http://schemas.openxmlformats.org/officeDocument/2006/relationships/hyperlink" Target="file:///\\cot-dc01.cot-i.com\CapRockDocuments\Engineering\01_Designs\2033\Slawson%20061%20516%20Bit%20Request.docx" TargetMode="External"/><Relationship Id="rId837" Type="http://schemas.openxmlformats.org/officeDocument/2006/relationships/hyperlink" Target="file:///\\cot-dc01.cot-i.com\CapRockDocuments\Engineering\01_Designs\2205\2205.dwg" TargetMode="External"/><Relationship Id="rId1022" Type="http://schemas.openxmlformats.org/officeDocument/2006/relationships/hyperlink" Target="file:///\\cot-dc01.cot-i.com\CapRockDocuments\Engineering\01_Designs\2050\2050%20@%200.25%20IPR.xls" TargetMode="External"/><Relationship Id="rId269" Type="http://schemas.openxmlformats.org/officeDocument/2006/relationships/hyperlink" Target="file:///\\cot-dc01.cot-i.com\CapRockDocuments\Engineering\01_Designs\2265\2265.dwg" TargetMode="External"/><Relationship Id="rId476" Type="http://schemas.openxmlformats.org/officeDocument/2006/relationships/hyperlink" Target="file:///\\cot-dc01.cot-i.com\CapRockDocuments\Engineering\02_Spec%20Sheets\Original%20Assy%20Spec%20Sheets\2266.pdf" TargetMode="External"/><Relationship Id="rId683" Type="http://schemas.openxmlformats.org/officeDocument/2006/relationships/hyperlink" Target="file:///\\COT-SQL01\SEData\cot-i\eg\se\rel\Fixed%20Cutter%20Rockbits%20SKF\Size%2008.750\Blade%206\SKF-02195r01.asm" TargetMode="External"/><Relationship Id="rId890" Type="http://schemas.openxmlformats.org/officeDocument/2006/relationships/hyperlink" Target="file:///\\cot-dc01.cot-i.com\CapRockDocuments\Engineering\01_Designs\2266\2266%20@%200.25%20IPR.dwg" TargetMode="External"/><Relationship Id="rId904" Type="http://schemas.openxmlformats.org/officeDocument/2006/relationships/hyperlink" Target="file:///\\cot-dc01.cot-i.com\CapRockDocuments\Engineering\01_Designs\2209\2209%20@%200.25%20IPR.dwg" TargetMode="External"/><Relationship Id="rId1327" Type="http://schemas.openxmlformats.org/officeDocument/2006/relationships/hyperlink" Target="file:///\\cot-dc01.cot-i.com\CapRockDocuments\Engineering\01_Designs\6135\6135r00%20TOP.png" TargetMode="External"/><Relationship Id="rId33" Type="http://schemas.openxmlformats.org/officeDocument/2006/relationships/hyperlink" Target="file:///\\cot-dc01.cot-i.com\CapRockDocuments\Engineering\01_Designs\2209\CDG-38956r1.dwg" TargetMode="External"/><Relationship Id="rId129" Type="http://schemas.openxmlformats.org/officeDocument/2006/relationships/hyperlink" Target="file:///\\cot-dc01.cot-i.com\CapRockDocuments\Engineering\01_Designs\2154\2154A_Summary.docx" TargetMode="External"/><Relationship Id="rId336" Type="http://schemas.openxmlformats.org/officeDocument/2006/relationships/hyperlink" Target="file:///\\cot-dc01.cot-i.com\CapRockDocuments\Engineering\01_Designs\2145\2145A%20at%200.200%20in-rev.dwg" TargetMode="External"/><Relationship Id="rId543" Type="http://schemas.openxmlformats.org/officeDocument/2006/relationships/hyperlink" Target="file:///\\cot-dc01.cot-i.com\CapRockDocuments\Engineering\02_Spec%20Sheets\WIP%202.0\5305.2270\2270.Top.C.png" TargetMode="External"/><Relationship Id="rId988" Type="http://schemas.openxmlformats.org/officeDocument/2006/relationships/hyperlink" Target="file:///\\cot-dc01.cot-i.com\CapRockDocuments\Engineering\01_Designs\2143\2143%20@%200.25%20IPR.dwg" TargetMode="External"/><Relationship Id="rId1173" Type="http://schemas.openxmlformats.org/officeDocument/2006/relationships/hyperlink" Target="file:///\\cot-dc01.cot-i.com\CapRockDocuments\Engineering\01_Designs\2556\2556r00%20TOP.png" TargetMode="External"/><Relationship Id="rId1380" Type="http://schemas.openxmlformats.org/officeDocument/2006/relationships/hyperlink" Target="file:///\\cot-dc01.cot-i.com\CapRockDocuments\Engineering\01_Designs\9944\9944r00%20Min%20Engagement%20v8.01.xlsm" TargetMode="External"/><Relationship Id="rId182" Type="http://schemas.openxmlformats.org/officeDocument/2006/relationships/hyperlink" Target="file:///\\cot-dc01.cot-i.com\CapRockDocuments\Engineering\01_Designs\2188\NDR%20-%20Callon%20Petroleum%20-%206.75%20Lateral%20-%20Wolfcamp%20Lower%20A.doc" TargetMode="External"/><Relationship Id="rId403" Type="http://schemas.openxmlformats.org/officeDocument/2006/relationships/hyperlink" Target="file:///\\cot-dc01.cot-i.com\CapRockDocuments\Engineering\02_Spec%20Sheets\WIP%202.0\9408.2251\2251.ISO.C.png" TargetMode="External"/><Relationship Id="rId750" Type="http://schemas.openxmlformats.org/officeDocument/2006/relationships/hyperlink" Target="file:///\\cot-dc01.cot-i.com\CapRockDocuments\Engineering\01_Designs\2217\2217%20@%200.25%20IPR.xls" TargetMode="External"/><Relationship Id="rId848" Type="http://schemas.openxmlformats.org/officeDocument/2006/relationships/hyperlink" Target="file:///\\cot-dc01.cot-i.com\CapRockDocuments\Engineering\01_Designs\2236\2236%20@%200.25%20IPR.xls" TargetMode="External"/><Relationship Id="rId1033" Type="http://schemas.openxmlformats.org/officeDocument/2006/relationships/hyperlink" Target="file:///\\cot-dc01.cot-i.com\CapRockDocuments\Engineering\01_Designs\2043\2043%20@%200.25%20IPR.dwg" TargetMode="External"/><Relationship Id="rId487" Type="http://schemas.openxmlformats.org/officeDocument/2006/relationships/hyperlink" Target="file:///\\cot-dc01.cot-i.com\CapRockDocuments\Engineering\02_Spec%20Sheets\Original%20Assy%20Spec%20Sheets\2104.pdf" TargetMode="External"/><Relationship Id="rId610" Type="http://schemas.openxmlformats.org/officeDocument/2006/relationships/hyperlink" Target="file:///\\COT-SQL01\SEData\cot-i\eg\se\rel\Fixed%20Cutter%20Rockbits%20SKF\Size%2008.750\Blade%206\SKF-01967r05.asm" TargetMode="External"/><Relationship Id="rId694" Type="http://schemas.openxmlformats.org/officeDocument/2006/relationships/hyperlink" Target="file:///\\COT-SQL01\SEData\cot-i\eg\se\rel\Fixed%20Cutter%20Rockbits%20SKF\Size%2012.250\Blade%207\SKF-02218r01.asm" TargetMode="External"/><Relationship Id="rId708" Type="http://schemas.openxmlformats.org/officeDocument/2006/relationships/hyperlink" Target="file:///\\COT-SQL01\SEData\cot-i\eg\se\rel\Fixed%20Cutter%20Rockbits%20SKF\Size%2012.250\Blade%206\SKF-02247r01.asm" TargetMode="External"/><Relationship Id="rId915" Type="http://schemas.openxmlformats.org/officeDocument/2006/relationships/hyperlink" Target="file:///\\cot-dc01.cot-i.com\CapRockDocuments\Engineering\01_Designs\2074\2074%20LO.dwg" TargetMode="External"/><Relationship Id="rId1240" Type="http://schemas.openxmlformats.org/officeDocument/2006/relationships/hyperlink" Target="file:///\\cot-dc01.cot-i.com\CapRockDocuments\Engineering\01_Designs\3219\3219r00%20@%200.250%20in_rev.dwg" TargetMode="External"/><Relationship Id="rId1338" Type="http://schemas.openxmlformats.org/officeDocument/2006/relationships/hyperlink" Target="file:///\\cot-sql01\sedata\cot-i\eg\se\rel\Fixed%20Cutter%20Rockbits%20SKF\Size%2007.875\Blade%206\SKF-09387r00.asm" TargetMode="External"/><Relationship Id="rId347" Type="http://schemas.openxmlformats.org/officeDocument/2006/relationships/hyperlink" Target="file:///\\cot-dc01.cot-i.com\CapRockDocuments\Engineering\02_Spec%20Sheets\WIP%202.0\4543.2017\2017.ISO.C.png" TargetMode="External"/><Relationship Id="rId999" Type="http://schemas.openxmlformats.org/officeDocument/2006/relationships/hyperlink" Target="file:///\\cot-dc01.cot-i.com\CapRockDocuments\Engineering\01_Designs\2154\2154%20LO.dwg" TargetMode="External"/><Relationship Id="rId1100" Type="http://schemas.openxmlformats.org/officeDocument/2006/relationships/hyperlink" Target="file:///\\cot-dc01.cot-i.com\CapRockDocuments\Engineering\01_Designs\4720\4720r02%20ISO.png" TargetMode="External"/><Relationship Id="rId1184" Type="http://schemas.openxmlformats.org/officeDocument/2006/relationships/hyperlink" Target="file:///\\cot-dc01.cot-i.com\CapRockDocuments\Engineering\01_Designs\7823\7823r00%20Top.png" TargetMode="External"/><Relationship Id="rId44" Type="http://schemas.openxmlformats.org/officeDocument/2006/relationships/hyperlink" Target="file:///\\cot-dc01.cot-i.com\CapRockDocuments\Engineering\01_Designs\2148\CDG-38756r1.xlsm" TargetMode="External"/><Relationship Id="rId554" Type="http://schemas.openxmlformats.org/officeDocument/2006/relationships/hyperlink" Target="file:///\\cot-dc01.cot-i.com\CapRockDocuments\Engineering\02_Spec%20Sheets\WIP%202.0\7402.2174\2174.Top.C.png" TargetMode="External"/><Relationship Id="rId761" Type="http://schemas.openxmlformats.org/officeDocument/2006/relationships/hyperlink" Target="file:///\\cot-dc01.cot-i.com\CapRockDocuments\Engineering\01_Designs\2206\2206.dwg" TargetMode="External"/><Relationship Id="rId859" Type="http://schemas.openxmlformats.org/officeDocument/2006/relationships/hyperlink" Target="file:///\\cot-dc01.cot-i.com\CapRockDocuments\Engineering\01_Designs\2242\2242%20@%200.25%20IPR.dwg" TargetMode="External"/><Relationship Id="rId193" Type="http://schemas.openxmlformats.org/officeDocument/2006/relationships/hyperlink" Target="file:///\\cot-dc01.cot-i.com\CapRockDocuments\Engineering\01_Designs\2225\NDR%20-%20Quanah%20-%206.125%20416-SR%20Lateral%20Bit.doc" TargetMode="External"/><Relationship Id="rId207" Type="http://schemas.openxmlformats.org/officeDocument/2006/relationships/hyperlink" Target="file:///\\cot-dc01.cot-i.com\CapRockDocuments\Engineering\02_Spec%20Sheets\WIP%202.0\8691.2027\2027.Top.C.png" TargetMode="External"/><Relationship Id="rId414" Type="http://schemas.openxmlformats.org/officeDocument/2006/relationships/hyperlink" Target="file:///\\cot-dc01.cot-i.com\CapRockDocuments\Engineering\02_Spec%20Sheets\Original%20Assy%20Spec%20Sheets\2036.pdf" TargetMode="External"/><Relationship Id="rId498" Type="http://schemas.openxmlformats.org/officeDocument/2006/relationships/hyperlink" Target="file:///\\cot-dc01.cot-i.com\CapRockDocuments\Engineering\02_Spec%20Sheets\Original%20Assy%20Spec%20Sheets\2235.pdf" TargetMode="External"/><Relationship Id="rId621" Type="http://schemas.openxmlformats.org/officeDocument/2006/relationships/hyperlink" Target="file:///\\COT-SQL01\SEData\cot-i\eg\se\rel\Fixed%20Cutter%20Rockbits%20SKF\Size%2008.500\Blade%205\SKF-02027r01.asm" TargetMode="External"/><Relationship Id="rId1044" Type="http://schemas.openxmlformats.org/officeDocument/2006/relationships/hyperlink" Target="file:///\\cot-dc01.cot-i.com\CapRockDocuments\Engineering\01_Designs\2027\2027%20LO.dwg" TargetMode="External"/><Relationship Id="rId1251" Type="http://schemas.openxmlformats.org/officeDocument/2006/relationships/hyperlink" Target="file:///\\cot-dc01.cot-i.com\CapRockDocuments\Engineering\01_Designs\5132\5132r00%20CS%20Placement%20V4.xls" TargetMode="External"/><Relationship Id="rId1349" Type="http://schemas.openxmlformats.org/officeDocument/2006/relationships/hyperlink" Target="file:///\\cot-dc01.cot-i.com\CapRockDocuments\Engineering\01_Designs\6841\6841r00_ISO.png" TargetMode="External"/><Relationship Id="rId260" Type="http://schemas.openxmlformats.org/officeDocument/2006/relationships/hyperlink" Target="file:///\\cot-dc01.cot-i.com\CapRockDocuments\Engineering\02_Spec%20Sheets\WIP%202.0\3519.2265\2265.Top.C.png" TargetMode="External"/><Relationship Id="rId719" Type="http://schemas.openxmlformats.org/officeDocument/2006/relationships/hyperlink" Target="file:///\\COT-SQL01\SEData\cot-i\eg\se\rel\Fixed%20Cutter%20Rockbits%20SKF\Size%2013.500\blade%206\SKF-02018r02.asm" TargetMode="External"/><Relationship Id="rId926" Type="http://schemas.openxmlformats.org/officeDocument/2006/relationships/hyperlink" Target="file:///\\cot-dc01.cot-i.com\CapRockDocuments\Engineering\01_Designs\2081\2081%20@%200.25%20IPR.xls" TargetMode="External"/><Relationship Id="rId1111" Type="http://schemas.openxmlformats.org/officeDocument/2006/relationships/hyperlink" Target="file:///\\cot-dc01.cot-i.com\CapRockDocuments\Engineering\02_Spec%20Sheets\WIP%202.0\3943\3943.ISO.C.png" TargetMode="External"/><Relationship Id="rId55" Type="http://schemas.openxmlformats.org/officeDocument/2006/relationships/hyperlink" Target="file:///\\cot-dc01.cot-i.com\CapRockDocuments\Engineering\01_Designs\1970\CDG-38249r1.xls" TargetMode="External"/><Relationship Id="rId120" Type="http://schemas.openxmlformats.org/officeDocument/2006/relationships/hyperlink" Target="file:///\\cot-dc01.cot-i.com\CapRockDocuments\Engineering\01_Designs\2110\2110A_Summary.docx" TargetMode="External"/><Relationship Id="rId358" Type="http://schemas.openxmlformats.org/officeDocument/2006/relationships/hyperlink" Target="file:///\\cot-dc01.cot-i.com\CapRockDocuments\Engineering\02_Spec%20Sheets\WIP%202.0\6945.2053\2053.ISO.C.png" TargetMode="External"/><Relationship Id="rId565" Type="http://schemas.openxmlformats.org/officeDocument/2006/relationships/hyperlink" Target="file:///\\cot-dc01.cot-i.com\CapRockDocuments\Engineering\02_Spec%20Sheets\WIP%202.0\2429.2232\2232.Top.C.png" TargetMode="External"/><Relationship Id="rId772" Type="http://schemas.openxmlformats.org/officeDocument/2006/relationships/hyperlink" Target="file:///\\cot-dc01.cot-i.com\CapRockDocuments\Engineering\01_Designs\2179\2179%20@%200.25%20IPR.xls" TargetMode="External"/><Relationship Id="rId1195" Type="http://schemas.openxmlformats.org/officeDocument/2006/relationships/hyperlink" Target="file:///\\cot-dc01.cot-i.com\CapRockDocuments\Engineering\01_Designs\5674\5674r00%20Min%20Engagement%20v7.01.xlsm" TargetMode="External"/><Relationship Id="rId1209" Type="http://schemas.openxmlformats.org/officeDocument/2006/relationships/hyperlink" Target="file:///\\cot-dc01.cot-i.com\CapRockDocuments\Engineering\01_Designs\5646\5646r00%20Min%20Engagement%20v7.01.xlsm" TargetMode="External"/><Relationship Id="rId218" Type="http://schemas.openxmlformats.org/officeDocument/2006/relationships/hyperlink" Target="file:///\\cot-dc01.cot-i.com\CapRockDocuments\Engineering\02_Spec%20Sheets\WIP%202.0\8911.2027\2074.Top.C.png" TargetMode="External"/><Relationship Id="rId425" Type="http://schemas.openxmlformats.org/officeDocument/2006/relationships/hyperlink" Target="file:///\\cot-dc01.cot-i.com\CapRockDocuments\Engineering\02_Spec%20Sheets\Original%20Assy%20Spec%20Sheets\2143.pdf" TargetMode="External"/><Relationship Id="rId632" Type="http://schemas.openxmlformats.org/officeDocument/2006/relationships/hyperlink" Target="file:///\\COT-SQL01\SEData\cot-i\eg\se\rel\Fixed%20Cutter%20Rockbits%20SKF\Size%2008.500\Blade%205\SKF-02074r01.asm" TargetMode="External"/><Relationship Id="rId1055" Type="http://schemas.openxmlformats.org/officeDocument/2006/relationships/hyperlink" Target="file:///\\cot-dc01.cot-i.com\CapRockDocuments\Engineering\01_Designs\2017\2017%20@%200.25%20IPR.xls" TargetMode="External"/><Relationship Id="rId1262" Type="http://schemas.openxmlformats.org/officeDocument/2006/relationships/hyperlink" Target="file:///\\cot-dc01.cot-i.com\CapRockDocuments\Engineering\01_Designs\5749\5749r00%20Layout.dwg" TargetMode="External"/><Relationship Id="rId271" Type="http://schemas.openxmlformats.org/officeDocument/2006/relationships/hyperlink" Target="file:///\\cot-dc01.cot-i.com\CapRockDocuments\Engineering\01_Designs\2169\2169.dwg" TargetMode="External"/><Relationship Id="rId937" Type="http://schemas.openxmlformats.org/officeDocument/2006/relationships/hyperlink" Target="file:///\\cot-dc01.cot-i.com\CapRockDocuments\Engineering\01_Designs\2093\2093%20@%200.25%20IPR.dwg" TargetMode="External"/><Relationship Id="rId1122" Type="http://schemas.openxmlformats.org/officeDocument/2006/relationships/hyperlink" Target="file:///\\cot-dc01.cot-i.com\CapRockDocuments\Engineering\01_Designs\5481\5481%20@%200.25%20IPR.xlsm" TargetMode="External"/><Relationship Id="rId66" Type="http://schemas.openxmlformats.org/officeDocument/2006/relationships/hyperlink" Target="file:///\\cot-dc01.cot-i.com\CapRockDocuments\Engineering\01_Designs\2131\CDG-38720r1.xlsm" TargetMode="External"/><Relationship Id="rId131" Type="http://schemas.openxmlformats.org/officeDocument/2006/relationships/hyperlink" Target="file:///\\cot-dc01.cot-i.com\CapRockDocuments\Engineering\01_Designs\2173\2173A_Summary.docx" TargetMode="External"/><Relationship Id="rId369" Type="http://schemas.openxmlformats.org/officeDocument/2006/relationships/hyperlink" Target="file:///\\cot-dc01.cot-i.com\CapRockDocuments\Engineering\02_Spec%20Sheets\WIP%202.0\4260.2096\2096.ISO.C.png" TargetMode="External"/><Relationship Id="rId576" Type="http://schemas.openxmlformats.org/officeDocument/2006/relationships/hyperlink" Target="file:///\\cot-dc01.cot-i.com\CapRockDocuments\Engineering\02_Spec%20Sheets\WIP%202.0\4045.2226\2226.ISO.C.png" TargetMode="External"/><Relationship Id="rId783" Type="http://schemas.openxmlformats.org/officeDocument/2006/relationships/hyperlink" Target="file:///\\cot-dc01.cot-i.com\CapRockDocuments\Engineering\01_Designs\2005\2005%20@%200.25%20IPR.xls" TargetMode="External"/><Relationship Id="rId990" Type="http://schemas.openxmlformats.org/officeDocument/2006/relationships/hyperlink" Target="file:///\\cot-dc01.cot-i.com\CapRockDocuments\Engineering\01_Designs\2148\2148%20LO.dwg" TargetMode="External"/><Relationship Id="rId229" Type="http://schemas.openxmlformats.org/officeDocument/2006/relationships/hyperlink" Target="file:///\\cot-dc01.cot-i.com\CapRockDocuments\Engineering\02_Spec%20Sheets\WIP%202.0\7156.2115\2115.Top.C.png" TargetMode="External"/><Relationship Id="rId436" Type="http://schemas.openxmlformats.org/officeDocument/2006/relationships/hyperlink" Target="file:///\\cot-dc01.cot-i.com\CapRockDocuments\Engineering\02_Spec%20Sheets\Original%20Assy%20Spec%20Sheets\2241.pdf" TargetMode="External"/><Relationship Id="rId643" Type="http://schemas.openxmlformats.org/officeDocument/2006/relationships/hyperlink" Target="file:///\\COT-SQL01\SEData\cot-i\eg\se\rel\Fixed%20Cutter%20Rockbits%20SKF\Size%2009.875\Blade%205\SKF-02110r01.asm" TargetMode="External"/><Relationship Id="rId1066" Type="http://schemas.openxmlformats.org/officeDocument/2006/relationships/hyperlink" Target="file:///\\cot-dc01.cot-i.com\CapRockDocuments\Engineering\02_Spec%20Sheets\WIP%202.0\2381\2381.Top.C.png" TargetMode="External"/><Relationship Id="rId1273" Type="http://schemas.openxmlformats.org/officeDocument/2006/relationships/hyperlink" Target="file:///\\cot-dc01.cot-i.com\CapRockDocuments\Engineering\01_Designs\6653\6653r00%20CS%20Placement%20V4.xls" TargetMode="External"/><Relationship Id="rId850" Type="http://schemas.openxmlformats.org/officeDocument/2006/relationships/hyperlink" Target="file:///\\cot-dc01.cot-i.com\CapRockDocuments\Engineering\01_Designs\2236\2236%20@%200.25%20IPR.dwg" TargetMode="External"/><Relationship Id="rId948" Type="http://schemas.openxmlformats.org/officeDocument/2006/relationships/hyperlink" Target="file:///\\cot-dc01.cot-i.com\CapRockDocuments\Engineering\01_Designs\2110\2110%20LO.dwg" TargetMode="External"/><Relationship Id="rId1133" Type="http://schemas.openxmlformats.org/officeDocument/2006/relationships/hyperlink" Target="file:///\\cot-dc01.cot-i.com\CapRockDocuments\Engineering\01_Designs\4538\4538r0%20Design.dwg" TargetMode="External"/><Relationship Id="rId77" Type="http://schemas.openxmlformats.org/officeDocument/2006/relationships/hyperlink" Target="file:///\\cot-dc01.cot-i.com\CapRockDocuments\Engineering\01_Designs\2270\CDG-39120r1.xlsm" TargetMode="External"/><Relationship Id="rId282" Type="http://schemas.openxmlformats.org/officeDocument/2006/relationships/hyperlink" Target="file:///\\cot-dc01.cot-i.com\CapRockDocuments\Engineering\01_Designs\2142\2142.dwg" TargetMode="External"/><Relationship Id="rId503" Type="http://schemas.openxmlformats.org/officeDocument/2006/relationships/hyperlink" Target="file:///\\cot-dc01.cot-i.com\CapRockDocuments\Engineering\02_Spec%20Sheets\Original%20Assy%20Spec%20Sheets\1961.pdf" TargetMode="External"/><Relationship Id="rId587" Type="http://schemas.openxmlformats.org/officeDocument/2006/relationships/hyperlink" Target="file:///\\cot-dc01.cot-i.com\CapRockDocuments\Engineering\02_Spec%20Sheets\WIP%202.0\5959.2217\2217.ISO.C.png" TargetMode="External"/><Relationship Id="rId710" Type="http://schemas.openxmlformats.org/officeDocument/2006/relationships/hyperlink" Target="file:///\\COT-SQL01\SEData\cot-i\eg\se\rel\Fixed%20Cutter%20Rockbits%20SKF\Size%2012.250\Blade%206\SKF-02251r01.asm" TargetMode="External"/><Relationship Id="rId808" Type="http://schemas.openxmlformats.org/officeDocument/2006/relationships/hyperlink" Target="file:///\\cot-dc01.cot-i.com\CapRockDocuments\Engineering\01_Designs\2173\2173%20@%200.25%20IPR.xls" TargetMode="External"/><Relationship Id="rId1340" Type="http://schemas.openxmlformats.org/officeDocument/2006/relationships/hyperlink" Target="file:///\\cot-dc01.cot-i.com\CapRockDocuments\Engineering\01_Designs\9387\2025.11.06%20---%20NDRr01%20-9387-%207.875%20NX613%20SR+%20K%20BR.doc" TargetMode="External"/><Relationship Id="rId8" Type="http://schemas.openxmlformats.org/officeDocument/2006/relationships/hyperlink" Target="file:///\\cot-dc01.cot-i.com\CapRockDocuments\Engineering\01_Designs\2017\CDG-38408r1.dwg" TargetMode="External"/><Relationship Id="rId142" Type="http://schemas.openxmlformats.org/officeDocument/2006/relationships/hyperlink" Target="file:///\\cot-dc01.cot-i.com\CapRockDocuments\Engineering\01_Designs\2198\2198A_Summary.docx" TargetMode="External"/><Relationship Id="rId447" Type="http://schemas.openxmlformats.org/officeDocument/2006/relationships/hyperlink" Target="file:///\\cot-dc01.cot-i.com\CapRockDocuments\Engineering\02_Spec%20Sheets\Original%20Assy%20Spec%20Sheets\2206.pdf" TargetMode="External"/><Relationship Id="rId794" Type="http://schemas.openxmlformats.org/officeDocument/2006/relationships/hyperlink" Target="file:///\\cot-dc01.cot-i.com\CapRockDocuments\Engineering\01_Designs\1967\1967%20@%200.25%20IPR.xls" TargetMode="External"/><Relationship Id="rId1077" Type="http://schemas.openxmlformats.org/officeDocument/2006/relationships/hyperlink" Target="file:///\\COT-SQL01\SEData\cot-i\eg\se\rel\Fixed%20Cutter%20Rockbits%20SKF\Size%2007.875\Blade%206\SKF-08479r01.asm" TargetMode="External"/><Relationship Id="rId1200" Type="http://schemas.openxmlformats.org/officeDocument/2006/relationships/hyperlink" Target="file:///\\cot-dc01.cot-i.com\CapRockDocuments\Engineering\01_Designs\6150\6150r01%20CS%20Placement%20V4.xls" TargetMode="External"/><Relationship Id="rId654" Type="http://schemas.openxmlformats.org/officeDocument/2006/relationships/hyperlink" Target="file:///\\COT-SQL01\SEData\cot-i\eg\se\rel\Fixed%20Cutter%20Rockbits%20SKF\Size%2011.000\Blade%205\SKF-02137r02.asm" TargetMode="External"/><Relationship Id="rId861" Type="http://schemas.openxmlformats.org/officeDocument/2006/relationships/hyperlink" Target="file:///\\cot-dc01.cot-i.com\CapRockDocuments\Engineering\01_Designs\2252\2252.dwg" TargetMode="External"/><Relationship Id="rId959" Type="http://schemas.openxmlformats.org/officeDocument/2006/relationships/hyperlink" Target="file:///\\cot-dc01.cot-i.com\CapRockDocuments\Engineering\01_Designs\2119\2119%20@%200.25%20IPR.xls" TargetMode="External"/><Relationship Id="rId1284" Type="http://schemas.openxmlformats.org/officeDocument/2006/relationships/hyperlink" Target="file:///\\cot-dc01.cot-i.com\CapRockDocuments\Engineering\01_Designs\9692\9692%20Layout.dwg" TargetMode="External"/><Relationship Id="rId293" Type="http://schemas.openxmlformats.org/officeDocument/2006/relationships/hyperlink" Target="file:///\\cot-dc01.cot-i.com\CapRockDocuments\Engineering\01_Designs\2027\2027A.dwg" TargetMode="External"/><Relationship Id="rId307" Type="http://schemas.openxmlformats.org/officeDocument/2006/relationships/hyperlink" Target="file:///\\cot-dc01.cot-i.com\CapRockDocuments\Engineering\01_Designs\2093\2093A.dwg" TargetMode="External"/><Relationship Id="rId514" Type="http://schemas.openxmlformats.org/officeDocument/2006/relationships/hyperlink" Target="file:///\\cot-dc01.cot-i.com\CapRockDocuments\Engineering\02_Spec%20Sheets\Original%20Assy%20Spec%20Sheets\2117.pdf" TargetMode="External"/><Relationship Id="rId721" Type="http://schemas.openxmlformats.org/officeDocument/2006/relationships/hyperlink" Target="file:///\\cot-dc01.cot-i.com\CapRockDocuments\Engineering\01_Designs\2216\2216%20@%200.25%20IPR.xls" TargetMode="External"/><Relationship Id="rId1144" Type="http://schemas.openxmlformats.org/officeDocument/2006/relationships/hyperlink" Target="file:///\\cot-dc01.cot-i.com\CapRockDocuments\Engineering\01_Designs\6513\6513%20Top.png" TargetMode="External"/><Relationship Id="rId1351" Type="http://schemas.openxmlformats.org/officeDocument/2006/relationships/hyperlink" Target="file:///\\cot-dc01.cot-i.com\CapRockDocuments\Engineering\01_Designs\4796\4796r00%20Top.jpg" TargetMode="External"/><Relationship Id="rId88" Type="http://schemas.openxmlformats.org/officeDocument/2006/relationships/hyperlink" Target="file:///\\cot-dc01.cot-i.com\CapRockDocuments\Engineering\01_Designs\2141\2141A_Summary.docx" TargetMode="External"/><Relationship Id="rId153" Type="http://schemas.openxmlformats.org/officeDocument/2006/relationships/hyperlink" Target="file:///\\cot-dc01.cot-i.com\CapRockDocuments\Engineering\01_Designs\2232\2232_Summary.docx" TargetMode="External"/><Relationship Id="rId360" Type="http://schemas.openxmlformats.org/officeDocument/2006/relationships/hyperlink" Target="file:///\\cot-dc01.cot-i.com\CapRockDocuments\Engineering\02_Spec%20Sheets\WIP%202.0\5128.2070\2070.ISO.C.png" TargetMode="External"/><Relationship Id="rId598" Type="http://schemas.openxmlformats.org/officeDocument/2006/relationships/hyperlink" Target="file:///\\cot-dc01.cot-i.com\CapRockDocuments\Engineering\02_Spec%20Sheets\WIP%202.0\7611.2181\2181.ISO.C.png" TargetMode="External"/><Relationship Id="rId819" Type="http://schemas.openxmlformats.org/officeDocument/2006/relationships/hyperlink" Target="file:///\\cot-dc01.cot-i.com\CapRockDocuments\Engineering\01_Designs\2185\2185%20@%200.25%20IPR.dwg" TargetMode="External"/><Relationship Id="rId1004" Type="http://schemas.openxmlformats.org/officeDocument/2006/relationships/hyperlink" Target="file:///\\cot-dc01.cot-i.com\CapRockDocuments\Engineering\01_Designs\2164\2164%20@%200.25%20IPR.xls" TargetMode="External"/><Relationship Id="rId1211" Type="http://schemas.openxmlformats.org/officeDocument/2006/relationships/hyperlink" Target="file:///\\cot-dc01.cot-i.com\CapRockDocuments\Engineering\01_Designs\5646\5646r00%20@%200.250%20in_rev.dwg" TargetMode="External"/><Relationship Id="rId220" Type="http://schemas.openxmlformats.org/officeDocument/2006/relationships/hyperlink" Target="file:///\\cot-dc01.cot-i.com\CapRockDocuments\Engineering\02_Spec%20Sheets\WIP%202.0\3193.2077\2077.Top.C.png" TargetMode="External"/><Relationship Id="rId458" Type="http://schemas.openxmlformats.org/officeDocument/2006/relationships/hyperlink" Target="file:///\\cot-dc01.cot-i.com\CapRockDocuments\Engineering\02_Spec%20Sheets\Original%20Assy%20Spec%20Sheets\2051.pdf" TargetMode="External"/><Relationship Id="rId665" Type="http://schemas.openxmlformats.org/officeDocument/2006/relationships/hyperlink" Target="file:///\\COT-SQL01\SEData\cot-i\eg\se\rel\Fixed%20Cutter%20Rockbits%20SKF\Size%2011.000\Blade%206\SKF-02158r02.asm" TargetMode="External"/><Relationship Id="rId872" Type="http://schemas.openxmlformats.org/officeDocument/2006/relationships/hyperlink" Target="file:///\\cot-dc01.cot-i.com\CapRockDocuments\Engineering\01_Designs\2267\2267%20LO.dwg" TargetMode="External"/><Relationship Id="rId1088" Type="http://schemas.openxmlformats.org/officeDocument/2006/relationships/hyperlink" Target="file:///\\cot-dc01.cot-i.com\CapRockDocuments\Engineering\01_Designs\2209\CDG-38956r1.xlsm" TargetMode="External"/><Relationship Id="rId1295" Type="http://schemas.openxmlformats.org/officeDocument/2006/relationships/hyperlink" Target="file:///\\cot-dc01.cot-i.com\CapRockDocuments\Engineering\01_Designs\7182\7182r00%20@%200.250%20in_rev.dwg" TargetMode="External"/><Relationship Id="rId1309" Type="http://schemas.openxmlformats.org/officeDocument/2006/relationships/hyperlink" Target="file:///\\cot-dc01.cot-i.com\CapRockDocuments\Engineering\01_Designs\2362\2362r00%20Min%20Engagement%20v8.01.xlsm" TargetMode="External"/><Relationship Id="rId15" Type="http://schemas.openxmlformats.org/officeDocument/2006/relationships/hyperlink" Target="file:///\\cot-dc01.cot-i.com\CapRockDocuments\Engineering\01_Designs\1967\CDG-38241r1.dwg" TargetMode="External"/><Relationship Id="rId318" Type="http://schemas.openxmlformats.org/officeDocument/2006/relationships/hyperlink" Target="file:///\\cot-dc01.cot-i.com\CapRockDocuments\Engineering\01_Designs\2131\2131A.dwg" TargetMode="External"/><Relationship Id="rId525" Type="http://schemas.openxmlformats.org/officeDocument/2006/relationships/hyperlink" Target="file:///\\cot-dc01.cot-i.com\CapRockDocuments\Engineering\02_Spec%20Sheets\WIP%202.0\2781.2220\2220.Top.C.png" TargetMode="External"/><Relationship Id="rId732" Type="http://schemas.openxmlformats.org/officeDocument/2006/relationships/hyperlink" Target="file:///\\cot-dc01.cot-i.com\CapRockDocuments\Engineering\01_Designs\2235\2235%20@%200.25%20IPR.xls" TargetMode="External"/><Relationship Id="rId1155" Type="http://schemas.openxmlformats.org/officeDocument/2006/relationships/hyperlink" Target="file:///\\cot-dc01.cot-i.com\CapRockDocuments\Engineering\01_Designs\9023\9023r00%20TOP.png" TargetMode="External"/><Relationship Id="rId1362" Type="http://schemas.openxmlformats.org/officeDocument/2006/relationships/hyperlink" Target="file:///\\cot-dc01.cot-i.com\CapRockDocuments\Engineering\01_Designs\4149\4149r00%20TOP.jpg" TargetMode="External"/><Relationship Id="rId99" Type="http://schemas.openxmlformats.org/officeDocument/2006/relationships/hyperlink" Target="file:///\\cot-dc01.cot-i.com\CapRockDocuments\Engineering\01_Designs\2054\Summary.docx" TargetMode="External"/><Relationship Id="rId164" Type="http://schemas.openxmlformats.org/officeDocument/2006/relationships/hyperlink" Target="file:///\\cot-dc01.cot-i.com\CapRockDocuments\Engineering\01_Designs\2053\DR%2010014.docx" TargetMode="External"/><Relationship Id="rId371" Type="http://schemas.openxmlformats.org/officeDocument/2006/relationships/hyperlink" Target="file:///\\cot-dc01.cot-i.com\CapRockDocuments\Engineering\02_Spec%20Sheets\WIP%202.0\5434.2110\2110.ISO.C.png" TargetMode="External"/><Relationship Id="rId1015" Type="http://schemas.openxmlformats.org/officeDocument/2006/relationships/hyperlink" Target="file:///\\cot-dc01.cot-i.com\CapRockDocuments\Engineering\01_Designs\2054\2054%20@%200.25%20IPR.dwg" TargetMode="External"/><Relationship Id="rId1222" Type="http://schemas.openxmlformats.org/officeDocument/2006/relationships/hyperlink" Target="file:///\\cot-dc01.cot-i.com\CapRockDocuments\Engineering\01_Designs\3336\3336%20@%200.250%20in_rev.dwg" TargetMode="External"/><Relationship Id="rId469" Type="http://schemas.openxmlformats.org/officeDocument/2006/relationships/hyperlink" Target="file:///\\cot-dc01.cot-i.com\CapRockDocuments\Engineering\02_Spec%20Sheets\Original%20Assy%20Spec%20Sheets\2126.pdf" TargetMode="External"/><Relationship Id="rId676" Type="http://schemas.openxmlformats.org/officeDocument/2006/relationships/hyperlink" Target="file:///\\COT-SQL01\SEData\cot-i\eg\se\rel\Fixed%20Cutter%20Rockbits%20SKF\Size%2013.500\blade%206\SKF-02185r01.asm" TargetMode="External"/><Relationship Id="rId883" Type="http://schemas.openxmlformats.org/officeDocument/2006/relationships/hyperlink" Target="file:///\\cot-dc01.cot-i.com\CapRockDocuments\Engineering\01_Designs\2186\2186%20@%200.25%20IPR.dwg" TargetMode="External"/><Relationship Id="rId1099" Type="http://schemas.openxmlformats.org/officeDocument/2006/relationships/hyperlink" Target="file:///\\cot-dc01.cot-i.com\CapRockDocuments\Engineering\01_Designs\4720\4720r02%20Top.png" TargetMode="External"/><Relationship Id="rId26" Type="http://schemas.openxmlformats.org/officeDocument/2006/relationships/hyperlink" Target="file:///\\cot-dc01.cot-i.com\CapRockDocuments\Engineering\01_Designs\2137\CDG-38733r1.dwg" TargetMode="External"/><Relationship Id="rId231" Type="http://schemas.openxmlformats.org/officeDocument/2006/relationships/hyperlink" Target="file:///\\cot-dc01.cot-i.com\CapRockDocuments\Engineering\02_Spec%20Sheets\WIP%202.0\5621.2119\2119.Top.C.png" TargetMode="External"/><Relationship Id="rId329" Type="http://schemas.openxmlformats.org/officeDocument/2006/relationships/hyperlink" Target="file:///\\cot-dc01.cot-i.com\CapRockDocuments\Engineering\01_Designs\2234\2234.dwg" TargetMode="External"/><Relationship Id="rId536" Type="http://schemas.openxmlformats.org/officeDocument/2006/relationships/hyperlink" Target="file:///\\cot-dc01.cot-i.com\CapRockDocuments\Engineering\02_Spec%20Sheets\WIP%202.0\4339.2079\2079.Top.C.png" TargetMode="External"/><Relationship Id="rId1166" Type="http://schemas.openxmlformats.org/officeDocument/2006/relationships/hyperlink" Target="file:///\\COT-SQL01\SEData\cot-i\eg\se\rel\Fixed%20Cutter%20Rockbits%20SKF\Size%2007.875\Blade%206\SKF-03449r00.asm" TargetMode="External"/><Relationship Id="rId1373" Type="http://schemas.openxmlformats.org/officeDocument/2006/relationships/hyperlink" Target="file:///\\cot-dc01.cot-i.com\CapRockDocuments\Engineering\01_Designs\2746\2746r00_TOP.jpg" TargetMode="External"/><Relationship Id="rId175" Type="http://schemas.openxmlformats.org/officeDocument/2006/relationships/hyperlink" Target="file:///\\cot-dc01.cot-i.com\CapRockDocuments\Engineering\01_Designs\2120\Shell%208.75%20CR517SR+.docx" TargetMode="External"/><Relationship Id="rId743" Type="http://schemas.openxmlformats.org/officeDocument/2006/relationships/hyperlink" Target="file:///\\cot-dc01.cot-i.com\CapRockDocuments\Engineering\01_Designs\2226\2226%20@%200.25%20IPR.dwg" TargetMode="External"/><Relationship Id="rId950" Type="http://schemas.openxmlformats.org/officeDocument/2006/relationships/hyperlink" Target="file:///\\cot-dc01.cot-i.com\CapRockDocuments\Engineering\01_Designs\2114\2114%20@%200.25%20IPR.xls" TargetMode="External"/><Relationship Id="rId1026" Type="http://schemas.openxmlformats.org/officeDocument/2006/relationships/hyperlink" Target="file:///\\cot-dc01.cot-i.com\CapRockDocuments\Engineering\01_Designs\2049L\2049%20LO.dwg" TargetMode="External"/><Relationship Id="rId382" Type="http://schemas.openxmlformats.org/officeDocument/2006/relationships/hyperlink" Target="file:///\\cot-dc01.cot-i.com\CapRockDocuments\Engineering\02_Spec%20Sheets\WIP%202.0\3665.2137\2137.ISO.C.png" TargetMode="External"/><Relationship Id="rId603" Type="http://schemas.openxmlformats.org/officeDocument/2006/relationships/hyperlink" Target="file:///\\cot-dc01.cot-i.com\CapRockDocuments\Engineering\02_Spec%20Sheets\WIP%202.0\9027.2193\2193.ISO.C.png" TargetMode="External"/><Relationship Id="rId687" Type="http://schemas.openxmlformats.org/officeDocument/2006/relationships/hyperlink" Target="file:///\\COT-SQL01\SEData\cot-i\eg\se\rel\Fixed%20Cutter%20Rockbits%20SKF\Size%2012.250\Blade%206\SKF-02206r01.asm" TargetMode="External"/><Relationship Id="rId810" Type="http://schemas.openxmlformats.org/officeDocument/2006/relationships/hyperlink" Target="file:///\\cot-dc01.cot-i.com\CapRockDocuments\Engineering\01_Designs\2173\2173%20@%200.25%20IPR.dwg" TargetMode="External"/><Relationship Id="rId908" Type="http://schemas.openxmlformats.org/officeDocument/2006/relationships/hyperlink" Target="file:///\\cot-dc01.cot-i.com\CapRockDocuments\Engineering\01_Designs\2010\2010%20@%200.25%20IPR.xls" TargetMode="External"/><Relationship Id="rId1233" Type="http://schemas.openxmlformats.org/officeDocument/2006/relationships/hyperlink" Target="file:///\\cot-dc01.cot-i.com\CapRockDocuments\Engineering\01_Designs\3219\3219r00%20CS%20Placement%20V4.xls" TargetMode="External"/><Relationship Id="rId242" Type="http://schemas.openxmlformats.org/officeDocument/2006/relationships/hyperlink" Target="file:///\\cot-dc01.cot-i.com\CapRockDocuments\Engineering\02_Spec%20Sheets\WIP%202.0\3376.2143\2143.Top.C.png" TargetMode="External"/><Relationship Id="rId894" Type="http://schemas.openxmlformats.org/officeDocument/2006/relationships/hyperlink" Target="file:///\\cot-dc01.cot-i.com\CapRockDocuments\Engineering\01_Designs\2265\2265%20LO.dwg" TargetMode="External"/><Relationship Id="rId1177" Type="http://schemas.openxmlformats.org/officeDocument/2006/relationships/hyperlink" Target="file:///\\cot-dc01.cot-i.com\CapRockDocuments\Engineering\01_Designs\5911\5911r00%20TOP.png" TargetMode="External"/><Relationship Id="rId1300" Type="http://schemas.openxmlformats.org/officeDocument/2006/relationships/hyperlink" Target="file:///\\cot-dc01.cot-i.com\CapRockDocuments\Engineering\02_Spec%20Sheets\Original%20Assy%20Spec%20Sheets\8896r00.pdf" TargetMode="External"/><Relationship Id="rId37" Type="http://schemas.openxmlformats.org/officeDocument/2006/relationships/hyperlink" Target="file:///\\cot-dc01.cot-i.com\CapRockDocuments\Engineering\01_Designs\2268\CDG-39115r1.xlsm" TargetMode="External"/><Relationship Id="rId102" Type="http://schemas.openxmlformats.org/officeDocument/2006/relationships/hyperlink" Target="file:///\\cot-dc01.cot-i.com\CapRockDocuments\Engineering\01_Designs\2019\Summary.doc" TargetMode="External"/><Relationship Id="rId547" Type="http://schemas.openxmlformats.org/officeDocument/2006/relationships/hyperlink" Target="file:///\\cot-dc01.cot-i.com\CapRockDocuments\Engineering\02_Spec%20Sheets\WIP%202.0\6202.2227\2227.Top.C.png" TargetMode="External"/><Relationship Id="rId754" Type="http://schemas.openxmlformats.org/officeDocument/2006/relationships/hyperlink" Target="file:///\\cot-dc01.cot-i.com\CapRockDocuments\Engineering\01_Designs\2210\2210%20@%200.25%20IPR.xls" TargetMode="External"/><Relationship Id="rId961" Type="http://schemas.openxmlformats.org/officeDocument/2006/relationships/hyperlink" Target="file:///\\cot-dc01.cot-i.com\CapRockDocuments\Engineering\01_Designs\2119\2119%20@%200.25%20IPR.dwg" TargetMode="External"/><Relationship Id="rId1384" Type="http://schemas.openxmlformats.org/officeDocument/2006/relationships/hyperlink" Target="file:///\\cot-dc01.cot-i.com\CapRockDocuments\Engineering\01_Designs\9944\9944r00_ISO.jpg" TargetMode="External"/><Relationship Id="rId90" Type="http://schemas.openxmlformats.org/officeDocument/2006/relationships/hyperlink" Target="file:///\\cot-dc01.cot-i.com\CapRockDocuments\Engineering\01_Designs\2004\Summary.doc" TargetMode="External"/><Relationship Id="rId186" Type="http://schemas.openxmlformats.org/officeDocument/2006/relationships/hyperlink" Target="file:///\\cot-dc01.cot-i.com\CapRockDocuments\Engineering\01_Designs\2195\New%20Design%20Request%20-%208.75%20Curve%20&amp;%20Lateral%20Bit.doc" TargetMode="External"/><Relationship Id="rId393" Type="http://schemas.openxmlformats.org/officeDocument/2006/relationships/hyperlink" Target="file:///\\cot-dc01.cot-i.com\CapRockDocuments\Engineering\02_Spec%20Sheets\WIP%202.0\5215.2160\2160.ISO.C.png" TargetMode="External"/><Relationship Id="rId407" Type="http://schemas.openxmlformats.org/officeDocument/2006/relationships/hyperlink" Target="file:///\\cot-dc01.cot-i.com\CapRockDocuments\Engineering\02_Spec%20Sheets\WIP%202.0\8398.2268\2268.ISO.C.png" TargetMode="External"/><Relationship Id="rId614" Type="http://schemas.openxmlformats.org/officeDocument/2006/relationships/hyperlink" Target="file:///\\COT-SQL01\SEData\cot-i\eg\se\rel\Fixed%20Cutter%20Rockbits%20SKF\Size%2008.750\Blade%206\SKF-02004r01.asm" TargetMode="External"/><Relationship Id="rId821" Type="http://schemas.openxmlformats.org/officeDocument/2006/relationships/hyperlink" Target="file:///\\cot-dc01.cot-i.com\CapRockDocuments\Engineering\01_Designs\2188\2188.dwg" TargetMode="External"/><Relationship Id="rId1037" Type="http://schemas.openxmlformats.org/officeDocument/2006/relationships/hyperlink" Target="file:///\\cot-dc01.cot-i.com\CapRockDocuments\Engineering\01_Designs\2033\2033%20@%200.25%20IPR.xls" TargetMode="External"/><Relationship Id="rId1244" Type="http://schemas.openxmlformats.org/officeDocument/2006/relationships/hyperlink" Target="file:///\\cot-dc01.cot-i.com\CapRockDocuments\Engineering\01_Designs\4288\4288r00%20Layout.dwg" TargetMode="External"/><Relationship Id="rId253" Type="http://schemas.openxmlformats.org/officeDocument/2006/relationships/hyperlink" Target="file:///\\cot-dc01.cot-i.com\CapRockDocuments\Engineering\02_Spec%20Sheets\WIP%202.0\5718.2177\2177.Top.C.png" TargetMode="External"/><Relationship Id="rId460" Type="http://schemas.openxmlformats.org/officeDocument/2006/relationships/hyperlink" Target="file:///\\cot-dc01.cot-i.com\CapRockDocuments\Engineering\02_Spec%20Sheets\Original%20Assy%20Spec%20Sheets\2095.pdf" TargetMode="External"/><Relationship Id="rId698" Type="http://schemas.openxmlformats.org/officeDocument/2006/relationships/hyperlink" Target="file:///\\COT-SQL01\SEData\cot-i\eg\se\rel\Fixed%20Cutter%20Rockbits%20SKF\Size%2008.750\Blade%206\SKF-02226r01.asm" TargetMode="External"/><Relationship Id="rId919" Type="http://schemas.openxmlformats.org/officeDocument/2006/relationships/hyperlink" Target="file:///\\cot-dc01.cot-i.com\CapRockDocuments\Engineering\01_Designs\2075\2075%20@%200.25%20IPR.dwg" TargetMode="External"/><Relationship Id="rId1090" Type="http://schemas.openxmlformats.org/officeDocument/2006/relationships/hyperlink" Target="file:///\\cot-dc01.cot-i.com\CapRockDocuments\Engineering\01_Designs\4206\4206r1%20Design.xlsm" TargetMode="External"/><Relationship Id="rId1104" Type="http://schemas.openxmlformats.org/officeDocument/2006/relationships/hyperlink" Target="file:///\\cot-dc01.cot-i.com\CapRockDocuments\Engineering\01_Designs\4206\4206%20@%200.250%20in_rev.dwg" TargetMode="External"/><Relationship Id="rId1311" Type="http://schemas.openxmlformats.org/officeDocument/2006/relationships/hyperlink" Target="file:///\\cot-dc01.cot-i.com\CapRockDocuments\Engineering\01_Designs\2362\2362r00%20@%200.250%20in_rev.dwg" TargetMode="External"/><Relationship Id="rId48" Type="http://schemas.openxmlformats.org/officeDocument/2006/relationships/hyperlink" Target="file:///\\cot-dc01.cot-i.com\CapRockDocuments\Engineering\01_Designs\2153\CDG-38772r1.xlsm" TargetMode="External"/><Relationship Id="rId113" Type="http://schemas.openxmlformats.org/officeDocument/2006/relationships/hyperlink" Target="file:///\\cot-dc01.cot-i.com\CapRockDocuments\Engineering\01_Designs\2079\2079A_Summary.docx" TargetMode="External"/><Relationship Id="rId320" Type="http://schemas.openxmlformats.org/officeDocument/2006/relationships/hyperlink" Target="file:///\\cot-dc01.cot-i.com\CapRockDocuments\Engineering\01_Designs\2140\2140.dwg" TargetMode="External"/><Relationship Id="rId558" Type="http://schemas.openxmlformats.org/officeDocument/2006/relationships/hyperlink" Target="file:///\\cot-dc01.cot-i.com\CapRockDocuments\Engineering\02_Spec%20Sheets\WIP%202.0\8249.2180\2180.Top.C.png" TargetMode="External"/><Relationship Id="rId765" Type="http://schemas.openxmlformats.org/officeDocument/2006/relationships/hyperlink" Target="file:///\\cot-dc01.cot-i.com\CapRockDocuments\Engineering\01_Designs\2196\2196%20@%200.25%20IPR.xls" TargetMode="External"/><Relationship Id="rId972" Type="http://schemas.openxmlformats.org/officeDocument/2006/relationships/hyperlink" Target="file:///\\cot-dc01.cot-i.com\CapRockDocuments\Engineering\01_Designs\2124\2124%20LO.dwg" TargetMode="External"/><Relationship Id="rId1188" Type="http://schemas.openxmlformats.org/officeDocument/2006/relationships/hyperlink" Target="file:///\\cot-dc01.cot-i.com\CapRockDocuments\Engineering\01_Designs\7823\7823r00%20@%200.250%20in_rev.dwg" TargetMode="External"/><Relationship Id="rId197" Type="http://schemas.openxmlformats.org/officeDocument/2006/relationships/hyperlink" Target="file:///\\cot-dc01.cot-i.com\CapRockDocuments\Engineering\02_Spec%20Sheets\WIP%202.0\8904.1961\1961.Top.C.png" TargetMode="External"/><Relationship Id="rId418" Type="http://schemas.openxmlformats.org/officeDocument/2006/relationships/hyperlink" Target="file:///\\cot-dc01.cot-i.com\CapRockDocuments\Engineering\02_Spec%20Sheets\Original%20Assy%20Spec%20Sheets\2220.pdf" TargetMode="External"/><Relationship Id="rId625" Type="http://schemas.openxmlformats.org/officeDocument/2006/relationships/hyperlink" Target="file:///\\COT-SQL01\SEData\cot-i\eg\se\rel\Fixed%20Cutter%20Rockbits%20SKF\Size%2006.000\Blade%206\SKF-02043r02.asm" TargetMode="External"/><Relationship Id="rId832" Type="http://schemas.openxmlformats.org/officeDocument/2006/relationships/hyperlink" Target="file:///\\cot-dc01.cot-i.com\CapRockDocuments\Engineering\01_Designs\1970\1970%20@%200.25%20IPR.dwg" TargetMode="External"/><Relationship Id="rId1048" Type="http://schemas.openxmlformats.org/officeDocument/2006/relationships/hyperlink" Target="file:///\\cot-dc01.cot-i.com\CapRockDocuments\Engineering\01_Designs\2020\2020%20@%200.25%20IPR.dwg" TargetMode="External"/><Relationship Id="rId1255" Type="http://schemas.openxmlformats.org/officeDocument/2006/relationships/hyperlink" Target="file:///\\cot-dc01.cot-i.com\CapRockDocuments\Engineering\01_Designs\5132\5132r00%20Min%20Engagement%20v8.01.xlsm" TargetMode="External"/><Relationship Id="rId264" Type="http://schemas.openxmlformats.org/officeDocument/2006/relationships/hyperlink" Target="file:///\\cot-dc01.cot-i.com\CapRockDocuments\Engineering\02_Spec%20Sheets\WIP%202.0\6794.2272\2272.Top.C.png" TargetMode="External"/><Relationship Id="rId471" Type="http://schemas.openxmlformats.org/officeDocument/2006/relationships/hyperlink" Target="file:///\\cot-dc01.cot-i.com\CapRockDocuments\Engineering\02_Spec%20Sheets\Original%20Assy%20Spec%20Sheets\2172.pdf" TargetMode="External"/><Relationship Id="rId1115" Type="http://schemas.openxmlformats.org/officeDocument/2006/relationships/hyperlink" Target="file:///\\cot-dc01.cot-i.com\CapRockDocuments\Engineering\01_Designs\3943\3943%20@%200.25%20in_rev.dwg" TargetMode="External"/><Relationship Id="rId1322" Type="http://schemas.openxmlformats.org/officeDocument/2006/relationships/hyperlink" Target="file:///\\cot-dc01.cot-i.com\CapRockDocuments\Engineering\02_Spec%20Sheets\Original%20Assy%20Spec%20Sheets\3943.pdf" TargetMode="External"/><Relationship Id="rId59" Type="http://schemas.openxmlformats.org/officeDocument/2006/relationships/hyperlink" Target="file:///\\cot-dc01.cot-i.com\CapRockDocuments\Engineering\01_Designs\2012\CDG-38392r1.xls" TargetMode="External"/><Relationship Id="rId124" Type="http://schemas.openxmlformats.org/officeDocument/2006/relationships/hyperlink" Target="file:///\\cot-dc01.cot-i.com\CapRockDocuments\Engineering\01_Designs\2121\2121A_Summary.docx" TargetMode="External"/><Relationship Id="rId569" Type="http://schemas.openxmlformats.org/officeDocument/2006/relationships/hyperlink" Target="file:///\\cot-dc01.cot-i.com\CapRockDocuments\Engineering\02_Spec%20Sheets\WIP%202.0\3278.2236\2236.ISO.C.png" TargetMode="External"/><Relationship Id="rId776" Type="http://schemas.openxmlformats.org/officeDocument/2006/relationships/hyperlink" Target="file:///\\cot-dc01.cot-i.com\CapRockDocuments\Engineering\01_Designs\2177\2177.dwg" TargetMode="External"/><Relationship Id="rId983" Type="http://schemas.openxmlformats.org/officeDocument/2006/relationships/hyperlink" Target="file:///\\cot-dc01.cot-i.com\CapRockDocuments\Engineering\01_Designs\2142\2142%20@%200.25%20IPR.xls" TargetMode="External"/><Relationship Id="rId1199" Type="http://schemas.openxmlformats.org/officeDocument/2006/relationships/hyperlink" Target="file:///\\COT-SQL01\SEData\cot-i\eg\se\rel\Fixed%20Cutter%20Rockbits%20SKF\Size%2017.500\Blade%206\SKF-06150r01.asm" TargetMode="External"/><Relationship Id="rId331" Type="http://schemas.openxmlformats.org/officeDocument/2006/relationships/hyperlink" Target="file:///\\cot-dc01.cot-i.com\CapRockDocuments\Engineering\01_Designs\2266\2266%20@%200.400%20inRev.dwg" TargetMode="External"/><Relationship Id="rId429" Type="http://schemas.openxmlformats.org/officeDocument/2006/relationships/hyperlink" Target="file:///\\cot-dc01.cot-i.com\CapRockDocuments\Engineering\02_Spec%20Sheets\Original%20Assy%20Spec%20Sheets\2148.pdf" TargetMode="External"/><Relationship Id="rId636" Type="http://schemas.openxmlformats.org/officeDocument/2006/relationships/hyperlink" Target="file:///\\COT-SQL01\SEData\cot-i\eg\se\rel\Fixed%20Cutter%20Rockbits%20SKF\Size%2008.750\Blade%205\SKF-02081r02.asm" TargetMode="External"/><Relationship Id="rId1059" Type="http://schemas.openxmlformats.org/officeDocument/2006/relationships/hyperlink" Target="file:///\\cot-dc01.cot-i.com\CapRockDocuments\Engineering\01_Designs\2169\2169.dwg" TargetMode="External"/><Relationship Id="rId1266" Type="http://schemas.openxmlformats.org/officeDocument/2006/relationships/hyperlink" Target="file:///\\cot-dc01.cot-i.com\CapRockDocuments\Engineering\01_Designs\5749\5749r00%20ISO.png" TargetMode="External"/><Relationship Id="rId843" Type="http://schemas.openxmlformats.org/officeDocument/2006/relationships/hyperlink" Target="file:///\\cot-dc01.cot-i.com\CapRockDocuments\Engineering\01_Designs\2225\2225.dwg" TargetMode="External"/><Relationship Id="rId1126" Type="http://schemas.openxmlformats.org/officeDocument/2006/relationships/hyperlink" Target="file:///\\cot-dc01.cot-i.com\CapRockDocuments\Engineering\01_Designs\9427\9427r1%20@%200.250%20in_rev.dwg" TargetMode="External"/><Relationship Id="rId275" Type="http://schemas.openxmlformats.org/officeDocument/2006/relationships/hyperlink" Target="file:///\\cot-dc01.cot-i.com\CapRockDocuments\Engineering\01_Designs\2119\2119A.dwg" TargetMode="External"/><Relationship Id="rId482" Type="http://schemas.openxmlformats.org/officeDocument/2006/relationships/hyperlink" Target="file:///\\cot-dc01.cot-i.com\CapRockDocuments\Engineering\02_Spec%20Sheets\Original%20Assy%20Spec%20Sheets\2028.pdf" TargetMode="External"/><Relationship Id="rId703" Type="http://schemas.openxmlformats.org/officeDocument/2006/relationships/hyperlink" Target="file:///\\COT-SQL01\SEData\cot-i\eg\se\rel\Fixed%20Cutter%20Rockbits%20SKF\Size%2012.250\Blade%207\SKF-02235r01.asm" TargetMode="External"/><Relationship Id="rId910" Type="http://schemas.openxmlformats.org/officeDocument/2006/relationships/hyperlink" Target="file:///\\cot-dc01.cot-i.com\CapRockDocuments\Engineering\01_Designs\2010\2010%20@%200.25%20IPR.dwg" TargetMode="External"/><Relationship Id="rId1333" Type="http://schemas.openxmlformats.org/officeDocument/2006/relationships/hyperlink" Target="file:///\\cot-dc01.cot-i.com\CapRockDocuments\Engineering\01_Designs\9387\9387r00%20ISO.png" TargetMode="External"/><Relationship Id="rId135" Type="http://schemas.openxmlformats.org/officeDocument/2006/relationships/hyperlink" Target="file:///\\cot-dc01.cot-i.com\CapRockDocuments\Engineering\01_Designs\2186\2186A_Summary.docx" TargetMode="External"/><Relationship Id="rId342" Type="http://schemas.openxmlformats.org/officeDocument/2006/relationships/hyperlink" Target="file:///\\cot-dc01.cot-i.com\CapRockDocuments\Engineering\02_Spec%20Sheets\WIP%202.0\5960.1991\1991.ISO.C.png" TargetMode="External"/><Relationship Id="rId787" Type="http://schemas.openxmlformats.org/officeDocument/2006/relationships/hyperlink" Target="file:///\\cot-dc01.cot-i.com\CapRockDocuments\Engineering\01_Designs\2004\2004.dwg" TargetMode="External"/><Relationship Id="rId994" Type="http://schemas.openxmlformats.org/officeDocument/2006/relationships/hyperlink" Target="file:///\\cot-dc01.cot-i.com\CapRockDocuments\Engineering\01_Designs\2152\2152%20@%200.25%20IPR.dwg" TargetMode="External"/><Relationship Id="rId202" Type="http://schemas.openxmlformats.org/officeDocument/2006/relationships/hyperlink" Target="file:///\\cot-dc01.cot-i.com\CapRockDocuments\Engineering\02_Spec%20Sheets\WIP%202.0\3285.2005\2005.Top.C.png" TargetMode="External"/><Relationship Id="rId647" Type="http://schemas.openxmlformats.org/officeDocument/2006/relationships/hyperlink" Target="file:///\\COT-SQL01\SEData\cot-i\eg\se\rel\Fixed%20Cutter%20Rockbits%20SKF\Size%2012.250\Blade%206\SKF-02119r01.asm" TargetMode="External"/><Relationship Id="rId854" Type="http://schemas.openxmlformats.org/officeDocument/2006/relationships/hyperlink" Target="file:///\\cot-dc01.cot-i.com\CapRockDocuments\Engineering\01_Designs\2241\2241%20@%200.25%20IPR.xls" TargetMode="External"/><Relationship Id="rId1277" Type="http://schemas.openxmlformats.org/officeDocument/2006/relationships/hyperlink" Target="file:///\\cot-dc01.cot-i.com\CapRockDocuments\Engineering\01_Designs\9692\2024.10.20%20-%20PPSr01%20-%209692%20-%207.875%20613%20VCL%20-%2019kft.xlsm" TargetMode="External"/><Relationship Id="rId286" Type="http://schemas.openxmlformats.org/officeDocument/2006/relationships/hyperlink" Target="file:///\\cot-dc01.cot-i.com\CapRockDocuments\Engineering\01_Designs\2251\2251.dwg" TargetMode="External"/><Relationship Id="rId493" Type="http://schemas.openxmlformats.org/officeDocument/2006/relationships/hyperlink" Target="file:///\\cot-dc01.cot-i.com\CapRockDocuments\Engineering\02_Spec%20Sheets\Original%20Assy%20Spec%20Sheets\2131.pdf" TargetMode="External"/><Relationship Id="rId507" Type="http://schemas.openxmlformats.org/officeDocument/2006/relationships/hyperlink" Target="file:///\\cot-dc01.cot-i.com\CapRockDocuments\Engineering\02_Spec%20Sheets\Original%20Assy%20Spec%20Sheets\2153.pdf" TargetMode="External"/><Relationship Id="rId714" Type="http://schemas.openxmlformats.org/officeDocument/2006/relationships/hyperlink" Target="file:///\\COT-SQL01\SEData\cot-i\eg\se\rel\Fixed%20Cutter%20Rockbits%20SKF\Size%2012.250\Blade%206\SKF-02266r01.asm" TargetMode="External"/><Relationship Id="rId921" Type="http://schemas.openxmlformats.org/officeDocument/2006/relationships/hyperlink" Target="file:///\\cot-dc01.cot-i.com\CapRockDocuments\Engineering\01_Designs\2077\2077%20LO.dwg" TargetMode="External"/><Relationship Id="rId1137" Type="http://schemas.openxmlformats.org/officeDocument/2006/relationships/hyperlink" Target="file:///\\cot-dc01.cot-i.com\CapRockDocuments\Engineering\01_Designs\4538\4538r0%20Layout.dwg" TargetMode="External"/><Relationship Id="rId1344" Type="http://schemas.openxmlformats.org/officeDocument/2006/relationships/hyperlink" Target="file:///\\cot-sql01\sedata\cot-i\eg\se\rel\Fixed%20Cutter%20Rockbits%20SKF\Size%2007.875\Blade%205\SKF-06841r00.asm" TargetMode="External"/><Relationship Id="rId50" Type="http://schemas.openxmlformats.org/officeDocument/2006/relationships/hyperlink" Target="file:///\\cot-dc01.cot-i.com\CapRockDocuments\Engineering\01_Designs\2266\CDG-39113r1.xlsm" TargetMode="External"/><Relationship Id="rId146" Type="http://schemas.openxmlformats.org/officeDocument/2006/relationships/hyperlink" Target="file:///\\cot-dc01.cot-i.com\CapRockDocuments\Engineering\01_Designs\2210\2210A_Summary.docx" TargetMode="External"/><Relationship Id="rId353" Type="http://schemas.openxmlformats.org/officeDocument/2006/relationships/hyperlink" Target="file:///\\cot-dc01.cot-i.com\CapRockDocuments\Engineering\02_Spec%20Sheets\WIP%202.0\2495.2036\2036.ISO.C.png" TargetMode="External"/><Relationship Id="rId560" Type="http://schemas.openxmlformats.org/officeDocument/2006/relationships/hyperlink" Target="file:///\\cot-dc01.cot-i.com\CapRockDocuments\Engineering\02_Spec%20Sheets\WIP%202.0\8570.2256\2256.Top.C.png" TargetMode="External"/><Relationship Id="rId798" Type="http://schemas.openxmlformats.org/officeDocument/2006/relationships/hyperlink" Target="file:///\\cot-dc01.cot-i.com\CapRockDocuments\Engineering\01_Designs\1961\1961.dwg" TargetMode="External"/><Relationship Id="rId1190" Type="http://schemas.openxmlformats.org/officeDocument/2006/relationships/hyperlink" Target="file:///\\cot-dc01.cot-i.com\CapRockDocuments\Engineering\01_Designs\5674\5674r00%20Design.dwg" TargetMode="External"/><Relationship Id="rId1204" Type="http://schemas.openxmlformats.org/officeDocument/2006/relationships/hyperlink" Target="file:///\\cot-dc01.cot-i.com\CapRockDocuments\Engineering\01_Designs\6150\6150r01%20Top.png" TargetMode="External"/><Relationship Id="rId213" Type="http://schemas.openxmlformats.org/officeDocument/2006/relationships/hyperlink" Target="file:///\\cot-dc01.cot-i.com\CapRockDocuments\Engineering\02_Spec%20Sheets\WIP%202.0\5136.2050\2050.Top.C.png" TargetMode="External"/><Relationship Id="rId420" Type="http://schemas.openxmlformats.org/officeDocument/2006/relationships/hyperlink" Target="file:///\\cot-dc01.cot-i.com\CapRockDocuments\Engineering\02_Spec%20Sheets\Original%20Assy%20Spec%20Sheets\2252.pdf" TargetMode="External"/><Relationship Id="rId658" Type="http://schemas.openxmlformats.org/officeDocument/2006/relationships/hyperlink" Target="file:///\\COT-SQL01\SEData\cot-i\eg\se\rel\Fixed%20Cutter%20Rockbits%20SKF\Size%2008.500\Blade%206\SKF-02143r01.asm" TargetMode="External"/><Relationship Id="rId865" Type="http://schemas.openxmlformats.org/officeDocument/2006/relationships/hyperlink" Target="file:///\\cot-dc01.cot-i.com\CapRockDocuments\Engineering\01_Designs\2256\2256%20@%200.25%20IPR.dwg" TargetMode="External"/><Relationship Id="rId1050" Type="http://schemas.openxmlformats.org/officeDocument/2006/relationships/hyperlink" Target="file:///\\cot-dc01.cot-i.com\CapRockDocuments\Engineering\01_Designs\2019\2019%20LO.dwg" TargetMode="External"/><Relationship Id="rId1288" Type="http://schemas.openxmlformats.org/officeDocument/2006/relationships/hyperlink" Target="file:///\\cot-dc01.cot-i.com\CapRockDocuments\Engineering\01_Designs\7182\7182r00%20ISO.png" TargetMode="External"/><Relationship Id="rId297" Type="http://schemas.openxmlformats.org/officeDocument/2006/relationships/hyperlink" Target="file:///\\cot-dc01.cot-i.com\CapRockDocuments\Engineering\01_Designs\2046\2046A.dwg" TargetMode="External"/><Relationship Id="rId518" Type="http://schemas.openxmlformats.org/officeDocument/2006/relationships/hyperlink" Target="file:///\\cot-dc01.cot-i.com\CapRockDocuments\Engineering\02_Spec%20Sheets\Original%20Assy%20Spec%20Sheets\2242.pdf" TargetMode="External"/><Relationship Id="rId725" Type="http://schemas.openxmlformats.org/officeDocument/2006/relationships/hyperlink" Target="file:///\\cot-dc01.cot-i.com\CapRockDocuments\Engineering\01_Designs\2194\2194.dwg" TargetMode="External"/><Relationship Id="rId932" Type="http://schemas.openxmlformats.org/officeDocument/2006/relationships/hyperlink" Target="file:///\\cot-dc01.cot-i.com\CapRockDocuments\Engineering\01_Designs\2091\2091%20@%200.25%20IPR.xls" TargetMode="External"/><Relationship Id="rId1148" Type="http://schemas.openxmlformats.org/officeDocument/2006/relationships/hyperlink" Target="file:///\\cot-dc01.cot-i.com\CapRockDocuments\Engineering\01_Designs\6513\6513r0%20@%200.250%20in_rev.dwg" TargetMode="External"/><Relationship Id="rId1355" Type="http://schemas.openxmlformats.org/officeDocument/2006/relationships/hyperlink" Target="file:///\\cot-dc01.cot-i.com\CapRockDocuments\Engineering\01_Designs\4796\4796r00%20CS%20Placement%20V5.xls" TargetMode="External"/><Relationship Id="rId157" Type="http://schemas.openxmlformats.org/officeDocument/2006/relationships/hyperlink" Target="file:///\\cot-dc01.cot-i.com\CapRockDocuments\Engineering\01_Designs\2241\2241_Summary.docx" TargetMode="External"/><Relationship Id="rId364" Type="http://schemas.openxmlformats.org/officeDocument/2006/relationships/hyperlink" Target="file:///\\cot-dc01.cot-i.com\CapRockDocuments\Engineering\02_Spec%20Sheets\WIP%202.0\3813.2081\2081.ISO.C.png" TargetMode="External"/><Relationship Id="rId1008" Type="http://schemas.openxmlformats.org/officeDocument/2006/relationships/hyperlink" Target="file:///\\cot-dc01.cot-i.com\CapRockDocuments\Engineering\01_Designs\2145\2145%20LO.dwg" TargetMode="External"/><Relationship Id="rId1215" Type="http://schemas.openxmlformats.org/officeDocument/2006/relationships/hyperlink" Target="file:///\\cot-dc01.cot-i.com\CapRockDocuments\Engineering\01_Designs\3336\3336r00%20TOP.png" TargetMode="External"/><Relationship Id="rId61" Type="http://schemas.openxmlformats.org/officeDocument/2006/relationships/hyperlink" Target="file:///\\cot-dc01.cot-i.com\CapRockDocuments\Engineering\01_Designs\2070\CDG-38577.xlsm" TargetMode="External"/><Relationship Id="rId571" Type="http://schemas.openxmlformats.org/officeDocument/2006/relationships/hyperlink" Target="file:///\\cot-dc01.cot-i.com\CapRockDocuments\Engineering\02_Spec%20Sheets\WIP%202.0\3663.2210\2210.ISO.C.png" TargetMode="External"/><Relationship Id="rId669" Type="http://schemas.openxmlformats.org/officeDocument/2006/relationships/hyperlink" Target="file:///\\COT-SQL01\SEData\cot-i\eg\se\rel\Fixed%20Cutter%20Rockbits%20SKF\Size%2009.875\Blade%207\SKF-02172r01.asm" TargetMode="External"/><Relationship Id="rId876" Type="http://schemas.openxmlformats.org/officeDocument/2006/relationships/hyperlink" Target="file:///\\cot-dc01.cot-i.com\CapRockDocuments\Engineering\01_Designs\2004\2004%20@%200.25%20IPR.dwg" TargetMode="External"/><Relationship Id="rId1299" Type="http://schemas.openxmlformats.org/officeDocument/2006/relationships/hyperlink" Target="file:///\\cot-dc01.cot-i.com\CapRockDocuments\Engineering\01_Designs\8896\8896r00%20Min%20Engagement%20v8.01.xlsm" TargetMode="External"/><Relationship Id="rId19" Type="http://schemas.openxmlformats.org/officeDocument/2006/relationships/hyperlink" Target="file:///\\cot-dc01.cot-i.com\CapRockDocuments\Engineering\01_Designs\2010\CDG-38381r1.dwg" TargetMode="External"/><Relationship Id="rId224" Type="http://schemas.openxmlformats.org/officeDocument/2006/relationships/hyperlink" Target="file:///\\cot-dc01.cot-i.com\CapRockDocuments\Engineering\02_Spec%20Sheets\WIP%202.0\3026.2093\2093.Top.C.png" TargetMode="External"/><Relationship Id="rId431" Type="http://schemas.openxmlformats.org/officeDocument/2006/relationships/hyperlink" Target="file:///\\cot-dc01.cot-i.com\CapRockDocuments\Engineering\02_Spec%20Sheets\Original%20Assy%20Spec%20Sheets\2209.pdf" TargetMode="External"/><Relationship Id="rId529" Type="http://schemas.openxmlformats.org/officeDocument/2006/relationships/hyperlink" Target="file:///\\cot-dc01.cot-i.com\CapRockDocuments\Engineering\02_Spec%20Sheets\WIP%202.0\3663.2210\2210.Top.C.png" TargetMode="External"/><Relationship Id="rId736" Type="http://schemas.openxmlformats.org/officeDocument/2006/relationships/hyperlink" Target="file:///\\cot-dc01.cot-i.com\CapRockDocuments\Engineering\01_Designs\2232\2232.dwg" TargetMode="External"/><Relationship Id="rId1061" Type="http://schemas.openxmlformats.org/officeDocument/2006/relationships/hyperlink" Target="file:///\\cot-dc01.cot-i.com\CapRockDocuments\Engineering\01_Designs\2172\2172%20@%200.25%20IPR.xls" TargetMode="External"/><Relationship Id="rId1159" Type="http://schemas.openxmlformats.org/officeDocument/2006/relationships/hyperlink" Target="file:///\\COT-SQL01\SEData\cot-i\eg\se\rel\Fixed%20Cutter%20Rockbits%20SKF\Size%2017.500\Blade%205\SKF-06513r00.asm" TargetMode="External"/><Relationship Id="rId1366" Type="http://schemas.openxmlformats.org/officeDocument/2006/relationships/hyperlink" Target="file:///\\cot-sql01\sedata\cot-i\eg\se\rel\Fixed%20Cutter%20Rockbits%20SKF\Size%2011.000\Blade%206\4149r00%20at%200.250%20in_rev.par" TargetMode="External"/><Relationship Id="rId168" Type="http://schemas.openxmlformats.org/officeDocument/2006/relationships/hyperlink" Target="file:///\\cot-dc01.cot-i.com\CapRockDocuments\Engineering\01_Designs\2012\097%20619-YR%20PDC%20Bit%20Design%20Request%20rev%20C.docx" TargetMode="External"/><Relationship Id="rId943" Type="http://schemas.openxmlformats.org/officeDocument/2006/relationships/hyperlink" Target="file:///\\cot-dc01.cot-i.com\CapRockDocuments\Engineering\01_Designs\2096\2096%20@%200.25%20IPR.dwg" TargetMode="External"/><Relationship Id="rId1019" Type="http://schemas.openxmlformats.org/officeDocument/2006/relationships/hyperlink" Target="file:///\\cot-dc01.cot-i.com\CapRockDocuments\Engineering\01_Designs\2051\2051%20@%200.25%20IPR.xls" TargetMode="External"/><Relationship Id="rId72" Type="http://schemas.openxmlformats.org/officeDocument/2006/relationships/hyperlink" Target="file:///\\cot-dc01.cot-i.com\CapRockDocuments\Engineering\01_Designs\2174\CDG-38826r1.xlsm" TargetMode="External"/><Relationship Id="rId375" Type="http://schemas.openxmlformats.org/officeDocument/2006/relationships/hyperlink" Target="file:///\\cot-dc01.cot-i.com\CapRockDocuments\Engineering\02_Spec%20Sheets\WIP%202.0\5621.2119\2119.ISO.C.png" TargetMode="External"/><Relationship Id="rId582" Type="http://schemas.openxmlformats.org/officeDocument/2006/relationships/hyperlink" Target="file:///\\cot-dc01.cot-i.com\CapRockDocuments\Engineering\02_Spec%20Sheets\WIP%202.0\4843.2224\2224.ISO.C.png" TargetMode="External"/><Relationship Id="rId803" Type="http://schemas.openxmlformats.org/officeDocument/2006/relationships/hyperlink" Target="file:///\\cot-dc01.cot-i.com\CapRockDocuments\Engineering\01_Designs\2012\2012.dwg" TargetMode="External"/><Relationship Id="rId1226" Type="http://schemas.openxmlformats.org/officeDocument/2006/relationships/hyperlink" Target="file:///\\COT-SQL01\SEData\cot-i\eg\se\rel\Fixed%20Cutter%20Rockbits%20SKF\Size%2014.750\Blade%206\SKF-07273r00.asm" TargetMode="External"/><Relationship Id="rId3" Type="http://schemas.openxmlformats.org/officeDocument/2006/relationships/hyperlink" Target="file:///\\cot-dc01.cot-i.com\CapRockDocuments\Engineering\01_Designs\2169\CDG-38816r1.dwg" TargetMode="External"/><Relationship Id="rId235" Type="http://schemas.openxmlformats.org/officeDocument/2006/relationships/hyperlink" Target="file:///\\cot-dc01.cot-i.com\CapRockDocuments\Engineering\02_Spec%20Sheets\WIP%202.0\6713.2124\2124.Top.C.png" TargetMode="External"/><Relationship Id="rId442" Type="http://schemas.openxmlformats.org/officeDocument/2006/relationships/hyperlink" Target="file:///\\cot-dc01.cot-i.com\CapRockDocuments\Engineering\02_Spec%20Sheets\Original%20Assy%20Spec%20Sheets\2140.pdf" TargetMode="External"/><Relationship Id="rId887" Type="http://schemas.openxmlformats.org/officeDocument/2006/relationships/hyperlink" Target="file:///\\cot-dc01.cot-i.com\CapRockDocuments\Engineering\01_Designs\2249\2249%20@%200.25%20IPR.xls" TargetMode="External"/><Relationship Id="rId1072" Type="http://schemas.openxmlformats.org/officeDocument/2006/relationships/hyperlink" Target="file:///\\cot-dc01.cot-i.com\CapRockDocuments\Engineering\02_Spec%20Sheets\WIP%202.0\8479\8479.ISO.C.png" TargetMode="External"/><Relationship Id="rId302" Type="http://schemas.openxmlformats.org/officeDocument/2006/relationships/hyperlink" Target="file:///\\cot-dc01.cot-i.com\CapRockDocuments\Engineering\01_Designs\2075\2075A.dwg" TargetMode="External"/><Relationship Id="rId747" Type="http://schemas.openxmlformats.org/officeDocument/2006/relationships/hyperlink" Target="file:///\\cot-dc01.cot-i.com\CapRockDocuments\Engineering\01_Designs\2218\2218%20@%200.25%20IPR.xls" TargetMode="External"/><Relationship Id="rId954" Type="http://schemas.openxmlformats.org/officeDocument/2006/relationships/hyperlink" Target="file:///\\cot-dc01.cot-i.com\CapRockDocuments\Engineering\01_Designs\2115\2115%20LO.dwg" TargetMode="External"/><Relationship Id="rId1377" Type="http://schemas.openxmlformats.org/officeDocument/2006/relationships/hyperlink" Target="file:///\\cot-sql01\sedata\cot-i\eg\se\rel\Fixed%20Cutter%20Rockbits%20SKF\Size%2010.625\Blade%206\2746r00%20at%200.250%20in_rev.par" TargetMode="External"/><Relationship Id="rId83" Type="http://schemas.openxmlformats.org/officeDocument/2006/relationships/hyperlink" Target="file:///\\cot-dc01.cot-i.com\CapRockDocuments\Engineering\01_Designs\2001\2001%20122%20Summary.doc" TargetMode="External"/><Relationship Id="rId179" Type="http://schemas.openxmlformats.org/officeDocument/2006/relationships/hyperlink" Target="file:///\\cot-dc01.cot-i.com\CapRockDocuments\Engineering\01_Designs\2179\DR%20-%2012.250%20716%20Midland%20Basin%20Intermediate.doc" TargetMode="External"/><Relationship Id="rId386" Type="http://schemas.openxmlformats.org/officeDocument/2006/relationships/hyperlink" Target="file:///\\cot-dc01.cot-i.com\CapRockDocuments\Engineering\02_Spec%20Sheets\WIP%202.0\3376.2143\2143.ISO.C.png" TargetMode="External"/><Relationship Id="rId593" Type="http://schemas.openxmlformats.org/officeDocument/2006/relationships/hyperlink" Target="file:///\\cot-dc01.cot-i.com\CapRockDocuments\Engineering\02_Spec%20Sheets\WIP%202.0\6453.2225\2225.ISO.C.png" TargetMode="External"/><Relationship Id="rId607" Type="http://schemas.openxmlformats.org/officeDocument/2006/relationships/hyperlink" Target="file:///\\COT-SQL01\SEData\cot-i\eg\se\rel\Fixed%20Cutter%20Rockbits%20SKF\Size%2007.625\Blade%206\SKF-01941r02.asm" TargetMode="External"/><Relationship Id="rId814" Type="http://schemas.openxmlformats.org/officeDocument/2006/relationships/hyperlink" Target="file:///\\cot-dc01.cot-i.com\CapRockDocuments\Engineering\01_Designs\2181\2181%20@%200.25%20IPR.xls" TargetMode="External"/><Relationship Id="rId1237" Type="http://schemas.openxmlformats.org/officeDocument/2006/relationships/hyperlink" Target="file:///\\cot-dc01.cot-i.com\CapRockDocuments\Engineering\02_Spec%20Sheets\Original%20Assy%20Spec%20Sheets\3219r00.pdf" TargetMode="External"/><Relationship Id="rId246" Type="http://schemas.openxmlformats.org/officeDocument/2006/relationships/hyperlink" Target="file:///\\cot-dc01.cot-i.com\CapRockDocuments\Engineering\02_Spec%20Sheets\WIP%202.0\5183.2154\2154.Top.C.png" TargetMode="External"/><Relationship Id="rId453" Type="http://schemas.openxmlformats.org/officeDocument/2006/relationships/hyperlink" Target="file:///\\cot-dc01.cot-i.com\CapRockDocuments\Engineering\02_Spec%20Sheets\Original%20Assy%20Spec%20Sheets\2270.pdf" TargetMode="External"/><Relationship Id="rId660" Type="http://schemas.openxmlformats.org/officeDocument/2006/relationships/hyperlink" Target="file:///\\COT-SQL01\SEData\cot-i\eg\se\rel\Fixed%20Cutter%20Rockbits%20SKF\Size%2012.250\Blade%206\SKF-02148r01.asm" TargetMode="External"/><Relationship Id="rId898" Type="http://schemas.openxmlformats.org/officeDocument/2006/relationships/hyperlink" Target="file:///\\cot-dc01.cot-i.com\CapRockDocuments\Engineering\01_Designs\2251\2251%20@%200.25%20IPR.dwg" TargetMode="External"/><Relationship Id="rId1083" Type="http://schemas.openxmlformats.org/officeDocument/2006/relationships/hyperlink" Target="file:///\\cot-dc01.cot-i.com\CapRockDocuments\Engineering\01_Designs\6207\6207%20LO.dwg" TargetMode="External"/><Relationship Id="rId1290" Type="http://schemas.openxmlformats.org/officeDocument/2006/relationships/hyperlink" Target="file:///\\COT-SQL01\SEData\cot-i\eg\se\rel\Fixed%20Cutter%20Rockbits%20SKF\Size%2007.875\Blade%205\SKF-07182r00.asm" TargetMode="External"/><Relationship Id="rId1304" Type="http://schemas.openxmlformats.org/officeDocument/2006/relationships/hyperlink" Target="file:///\\cot-dc01.cot-i.com\CapRockDocuments\Engineering\01_Designs\8896\8896r00%20CS%20Placement%20V5.xls" TargetMode="External"/><Relationship Id="rId106" Type="http://schemas.openxmlformats.org/officeDocument/2006/relationships/hyperlink" Target="file:///\\cot-dc01.cot-i.com\CapRockDocuments\Engineering\01_Designs\2043\2043A_Summary.doc" TargetMode="External"/><Relationship Id="rId313" Type="http://schemas.openxmlformats.org/officeDocument/2006/relationships/hyperlink" Target="file:///\\cot-dc01.cot-i.com\CapRockDocuments\Engineering\01_Designs\2117\2117A.dwg" TargetMode="External"/><Relationship Id="rId758" Type="http://schemas.openxmlformats.org/officeDocument/2006/relationships/hyperlink" Target="file:///\\cot-dc01.cot-i.com\CapRockDocuments\Engineering\01_Designs\2208\2208.dwg" TargetMode="External"/><Relationship Id="rId965" Type="http://schemas.openxmlformats.org/officeDocument/2006/relationships/hyperlink" Target="file:///\\cot-dc01.cot-i.com\CapRockDocuments\Engineering\01_Designs\2121\2121%20@%200.25%20IPR.xls" TargetMode="External"/><Relationship Id="rId1150" Type="http://schemas.openxmlformats.org/officeDocument/2006/relationships/hyperlink" Target="file:///\\cot-dc01.cot-i.com\CapRockDocuments\Engineering\01_Designs\9023\9023r00%20@%200.250%20in_rev.dwg" TargetMode="External"/><Relationship Id="rId10" Type="http://schemas.openxmlformats.org/officeDocument/2006/relationships/hyperlink" Target="file:///\\cot-dc01.cot-i.com\CapRockDocuments\Engineering\01_Designs\2142\CDG-38741r1.dwg" TargetMode="External"/><Relationship Id="rId94" Type="http://schemas.openxmlformats.org/officeDocument/2006/relationships/hyperlink" Target="file:///\\cot-dc01.cot-i.com\CapRockDocuments\Engineering\01_Designs\2153\2153A_Summary.docx" TargetMode="External"/><Relationship Id="rId397" Type="http://schemas.openxmlformats.org/officeDocument/2006/relationships/hyperlink" Target="file:///\\cot-dc01.cot-i.com\CapRockDocuments\Engineering\02_Spec%20Sheets\WIP%202.0\5718.2177\2177.ISO.C.png" TargetMode="External"/><Relationship Id="rId520" Type="http://schemas.openxmlformats.org/officeDocument/2006/relationships/hyperlink" Target="file:///\\cot-dc01.cot-i.com\CapRockDocuments\Engineering\02_Spec%20Sheets\Original%20Assy%20Spec%20Sheets\2227.pdf" TargetMode="External"/><Relationship Id="rId618" Type="http://schemas.openxmlformats.org/officeDocument/2006/relationships/hyperlink" Target="file:///\\COT-SQL01\SEData\cot-i\eg\se\rel\Fixed%20Cutter%20Rockbits%20SKF\Size%2008.750\Blade%206\SKF-02017r02.asm" TargetMode="External"/><Relationship Id="rId825" Type="http://schemas.openxmlformats.org/officeDocument/2006/relationships/hyperlink" Target="file:///\\cot-dc01.cot-i.com\CapRockDocuments\Engineering\01_Designs\2190\2190%20@%200.25%20IPR.dwg" TargetMode="External"/><Relationship Id="rId1248" Type="http://schemas.openxmlformats.org/officeDocument/2006/relationships/hyperlink" Target="file:///\\cot-dc01.cot-i.com\CapRockDocuments\Engineering\01_Designs\4288\4288r00%20ISO.png" TargetMode="External"/><Relationship Id="rId257" Type="http://schemas.openxmlformats.org/officeDocument/2006/relationships/hyperlink" Target="file:///\\cot-dc01.cot-i.com\CapRockDocuments\Engineering\02_Spec%20Sheets\WIP%202.0\4211.2216\2216.Top.C.png" TargetMode="External"/><Relationship Id="rId464" Type="http://schemas.openxmlformats.org/officeDocument/2006/relationships/hyperlink" Target="file:///\\cot-dc01.cot-i.com\CapRockDocuments\Engineering\02_Spec%20Sheets\Original%20Assy%20Spec%20Sheets\2207.pdf" TargetMode="External"/><Relationship Id="rId1010" Type="http://schemas.openxmlformats.org/officeDocument/2006/relationships/hyperlink" Target="file:///\\cot-dc01.cot-i.com\CapRockDocuments\Engineering\01_Designs\2131\2131%20@%200.25%20IPR.xls" TargetMode="External"/><Relationship Id="rId1094" Type="http://schemas.openxmlformats.org/officeDocument/2006/relationships/hyperlink" Target="file:///\\cot-dc01.cot-i.com\CapRockDocuments\Engineering\02_Spec%20Sheets\Original%20Assy%20Spec%20Sheets\4206.pdf" TargetMode="External"/><Relationship Id="rId1108" Type="http://schemas.openxmlformats.org/officeDocument/2006/relationships/hyperlink" Target="file:///\\COT-SQL01\SEData\cot-i\eg\se\rel\Fixed%20Cutter%20Rockbits%20SKF\Size%2007.875\Blade%206\SKF-03943r01.asm" TargetMode="External"/><Relationship Id="rId1315" Type="http://schemas.openxmlformats.org/officeDocument/2006/relationships/hyperlink" Target="file:///\\cot-dc01.cot-i.com\CapRockDocuments\Engineering\01_Designs\2362\2362r00%20ISO.png" TargetMode="External"/><Relationship Id="rId117" Type="http://schemas.openxmlformats.org/officeDocument/2006/relationships/hyperlink" Target="file:///\\cot-dc01.cot-i.com\CapRockDocuments\Engineering\01_Designs\2095\2095A_Summary.docx" TargetMode="External"/><Relationship Id="rId671" Type="http://schemas.openxmlformats.org/officeDocument/2006/relationships/hyperlink" Target="file:///\\COT-SQL01\SEData\cot-i\eg\se\rel\Fixed%20Cutter%20Rockbits%20SKF\Size%2008.750\Blade%205\SKF-02174r01.asm" TargetMode="External"/><Relationship Id="rId769" Type="http://schemas.openxmlformats.org/officeDocument/2006/relationships/hyperlink" Target="file:///\\cot-dc01.cot-i.com\CapRockDocuments\Engineering\01_Designs\2195\2195.dwg" TargetMode="External"/><Relationship Id="rId976" Type="http://schemas.openxmlformats.org/officeDocument/2006/relationships/hyperlink" Target="file:///\\cot-dc01.cot-i.com\CapRockDocuments\Engineering\01_Designs\2126\2126%20@%200.25%20IPR.dwg" TargetMode="External"/><Relationship Id="rId324" Type="http://schemas.openxmlformats.org/officeDocument/2006/relationships/hyperlink" Target="file:///\\cot-dc01.cot-i.com\CapRockDocuments\Engineering\01_Designs\2164\Rev%202%20(.875%20shorter)\2164.dwg" TargetMode="External"/><Relationship Id="rId531" Type="http://schemas.openxmlformats.org/officeDocument/2006/relationships/hyperlink" Target="file:///\\cot-dc01.cot-i.com\CapRockDocuments\Engineering\02_Spec%20Sheets\WIP%202.0\3814.2249\2249.Top.C.png" TargetMode="External"/><Relationship Id="rId629" Type="http://schemas.openxmlformats.org/officeDocument/2006/relationships/hyperlink" Target="file:///\\COT-SQL01\SEData\cot-i\eg\se\rel\Fixed%20Cutter%20Rockbits%20SKF\Size%2008.500\Blade%206\SKF-02053r01.asm" TargetMode="External"/><Relationship Id="rId1161" Type="http://schemas.openxmlformats.org/officeDocument/2006/relationships/hyperlink" Target="file:///\\cot-dc01.cot-i.com\CapRockDocuments\Engineering\01_Designs\3449\3449r00%20ISO.png" TargetMode="External"/><Relationship Id="rId1259" Type="http://schemas.openxmlformats.org/officeDocument/2006/relationships/hyperlink" Target="file:///\\cot-dc01.cot-i.com\CapRockDocuments\Engineering\01_Designs\5749\5749r00%20Design.dwg" TargetMode="External"/><Relationship Id="rId836" Type="http://schemas.openxmlformats.org/officeDocument/2006/relationships/hyperlink" Target="file:///\\cot-dc01.cot-i.com\CapRockDocuments\Engineering\01_Designs\2205\2205%20@%200.25%20IPR.xls" TargetMode="External"/><Relationship Id="rId1021" Type="http://schemas.openxmlformats.org/officeDocument/2006/relationships/hyperlink" Target="file:///\\cot-dc01.cot-i.com\CapRockDocuments\Engineering\01_Designs\2051\2051%20@%200.25%20IPR.dwg" TargetMode="External"/><Relationship Id="rId1119" Type="http://schemas.openxmlformats.org/officeDocument/2006/relationships/hyperlink" Target="file:///\\cot-dc01.cot-i.com\CapRockDocuments\Engineering\02_Spec%20Sheets\WIP%202.0\5481\5481.Top.C.png" TargetMode="External"/><Relationship Id="rId903" Type="http://schemas.openxmlformats.org/officeDocument/2006/relationships/hyperlink" Target="file:///\\cot-dc01.cot-i.com\CapRockDocuments\Engineering\01_Designs\2209\2209%20LO.dwg" TargetMode="External"/><Relationship Id="rId1326" Type="http://schemas.openxmlformats.org/officeDocument/2006/relationships/hyperlink" Target="file:///\\cot-dc01.cot-i.com\CapRockDocuments\Engineering\01_Designs\6135\2025.09.06%206135%2014.75%20616-SR(K)%20---%20PPSr01%20---%20Profitability%20Projections.xlsm" TargetMode="External"/><Relationship Id="rId32" Type="http://schemas.openxmlformats.org/officeDocument/2006/relationships/hyperlink" Target="file:///\\cot-dc01.cot-i.com\CapRockDocuments\Engineering\01_Designs\2207\CDG-38952r1.dwg" TargetMode="External"/><Relationship Id="rId181" Type="http://schemas.openxmlformats.org/officeDocument/2006/relationships/hyperlink" Target="file:///\\cot-dc01.cot-i.com\CapRockDocuments\Engineering\01_Designs\2186\NDR%20-%20Mack%20Energy%20-%208.75%20Curve-Lateral%20Chaves%20County%20NM.doc" TargetMode="External"/><Relationship Id="rId279" Type="http://schemas.openxmlformats.org/officeDocument/2006/relationships/hyperlink" Target="file:///\\cot-dc01.cot-i.com\CapRockDocuments\Engineering\01_Designs\2017\2017A.dwg" TargetMode="External"/><Relationship Id="rId486" Type="http://schemas.openxmlformats.org/officeDocument/2006/relationships/hyperlink" Target="file:///\\cot-dc01.cot-i.com\CapRockDocuments\Engineering\02_Spec%20Sheets\Original%20Assy%20Spec%20Sheets\2122.pdf" TargetMode="External"/><Relationship Id="rId693" Type="http://schemas.openxmlformats.org/officeDocument/2006/relationships/hyperlink" Target="file:///\\COT-SQL01\SEData\cot-i\eg\se\rel\Fixed%20Cutter%20Rockbits%20SKF\Size%2012.250\Blade%207\SKF-02217r01.asm" TargetMode="External"/><Relationship Id="rId139" Type="http://schemas.openxmlformats.org/officeDocument/2006/relationships/hyperlink" Target="file:///\\cot-dc01.cot-i.com\CapRockDocuments\Engineering\01_Designs\2193\2193A_Summary.docx" TargetMode="External"/><Relationship Id="rId346" Type="http://schemas.openxmlformats.org/officeDocument/2006/relationships/hyperlink" Target="file:///\\cot-dc01.cot-i.com\CapRockDocuments\Engineering\02_Spec%20Sheets\WIP%202.0\5817.2012\2012.ISO.C.png" TargetMode="External"/><Relationship Id="rId553" Type="http://schemas.openxmlformats.org/officeDocument/2006/relationships/hyperlink" Target="file:///\\cot-dc01.cot-i.com\CapRockDocuments\Engineering\02_Spec%20Sheets\WIP%202.0\6784.1970\1970.Top.C.png" TargetMode="External"/><Relationship Id="rId760" Type="http://schemas.openxmlformats.org/officeDocument/2006/relationships/hyperlink" Target="file:///\\cot-dc01.cot-i.com\CapRockDocuments\Engineering\01_Designs\2206\2206%20@%200.25%20IPR.xls" TargetMode="External"/><Relationship Id="rId998" Type="http://schemas.openxmlformats.org/officeDocument/2006/relationships/hyperlink" Target="file:///\\cot-dc01.cot-i.com\CapRockDocuments\Engineering\01_Designs\2154\2154%20@%200.25%20IPR.xls" TargetMode="External"/><Relationship Id="rId1183" Type="http://schemas.openxmlformats.org/officeDocument/2006/relationships/hyperlink" Target="file:///\\COT-SQL01\SEData\cot-i\eg\se\rel\Fixed%20Cutter%20Rockbits%20SKF\Size%2017.500\Blade%206\SKF-07823r00.asm" TargetMode="External"/><Relationship Id="rId206" Type="http://schemas.openxmlformats.org/officeDocument/2006/relationships/hyperlink" Target="file:///\\cot-dc01.cot-i.com\CapRockDocuments\Engineering\02_Spec%20Sheets\WIP%202.0\6902.2020\2020.Top.C.png" TargetMode="External"/><Relationship Id="rId413" Type="http://schemas.openxmlformats.org/officeDocument/2006/relationships/hyperlink" Target="file:///\\cot-dc01.cot-i.com\CapRockDocuments\Engineering\02_Spec%20Sheets\Original%20Assy%20Spec%20Sheets\2232.pdf" TargetMode="External"/><Relationship Id="rId858" Type="http://schemas.openxmlformats.org/officeDocument/2006/relationships/hyperlink" Target="file:///\\cot-dc01.cot-i.com\CapRockDocuments\Engineering\01_Designs\2242\2242.dwg" TargetMode="External"/><Relationship Id="rId1043" Type="http://schemas.openxmlformats.org/officeDocument/2006/relationships/hyperlink" Target="file:///\\cot-dc01.cot-i.com\CapRockDocuments\Engineering\01_Designs\2027\2027%20@%200.25%20IPR.xls" TargetMode="External"/><Relationship Id="rId620" Type="http://schemas.openxmlformats.org/officeDocument/2006/relationships/hyperlink" Target="file:///\\COT-SQL01\SEData\cot-i\eg\se\rel\Fixed%20Cutter%20Rockbits%20SKF\Size%2006.125\Blade%206\SKF-02020r03.asm" TargetMode="External"/><Relationship Id="rId718" Type="http://schemas.openxmlformats.org/officeDocument/2006/relationships/hyperlink" Target="file:///\\COT-SQL01\SEData\cot-i\eg\se\rel\Fixed%20Cutter%20Rockbits%20SKF\Size%2007.875\Blade%206\SKF-02272r02.asm" TargetMode="External"/><Relationship Id="rId925" Type="http://schemas.openxmlformats.org/officeDocument/2006/relationships/hyperlink" Target="file:///\\cot-dc01.cot-i.com\CapRockDocuments\Engineering\01_Designs\2079\2079%20@%200.25%20IPR.dwg" TargetMode="External"/><Relationship Id="rId1250" Type="http://schemas.openxmlformats.org/officeDocument/2006/relationships/hyperlink" Target="file:///\\cot-dc01.cot-i.com\CapRockDocuments\Engineering\01_Designs\5132\5132%20Design.dwg" TargetMode="External"/><Relationship Id="rId1348" Type="http://schemas.openxmlformats.org/officeDocument/2006/relationships/hyperlink" Target="file:///\\cot-dc01.cot-i.com\CapRockDocuments\Engineering\01_Designs\6841\6841r00_Top.png" TargetMode="External"/><Relationship Id="rId1110" Type="http://schemas.openxmlformats.org/officeDocument/2006/relationships/hyperlink" Target="file:///\\cot-dc01.cot-i.com\CapRockDocuments\Engineering\02_Spec%20Sheets\WIP%202.0\3943\3943.Top.C.png" TargetMode="External"/><Relationship Id="rId1208" Type="http://schemas.openxmlformats.org/officeDocument/2006/relationships/hyperlink" Target="file:///\\COT-SQL01\SEData\cot-i\eg\se\rel\Fixed%20Cutter%20Rockbits%20SKF\Size%2008.500\Blade%206\SKF-05646r00.asm" TargetMode="External"/><Relationship Id="rId54" Type="http://schemas.openxmlformats.org/officeDocument/2006/relationships/hyperlink" Target="file:///\\cot-dc01.cot-i.com\CapRockDocuments\Engineering\01_Designs\1967\CDG-38241r1.xls" TargetMode="External"/><Relationship Id="rId270" Type="http://schemas.openxmlformats.org/officeDocument/2006/relationships/hyperlink" Target="file:///\\cot-dc01.cot-i.com\CapRockDocuments\Engineering\01_Designs\2267\2267.dwg" TargetMode="External"/><Relationship Id="rId130" Type="http://schemas.openxmlformats.org/officeDocument/2006/relationships/hyperlink" Target="file:///\\cot-dc01.cot-i.com\CapRockDocuments\Engineering\01_Designs\2164\Rev%202%20(.875%20shorter)\2164B_Summary.docx" TargetMode="External"/><Relationship Id="rId368" Type="http://schemas.openxmlformats.org/officeDocument/2006/relationships/hyperlink" Target="file:///\\cot-dc01.cot-i.com\CapRockDocuments\Engineering\01_Designs\2095\2095r02_ISO.png" TargetMode="External"/><Relationship Id="rId575" Type="http://schemas.openxmlformats.org/officeDocument/2006/relationships/hyperlink" Target="file:///\\cot-dc01.cot-i.com\CapRockDocuments\Engineering\02_Spec%20Sheets\WIP%202.0\4045.2226\2226.ISO.C.png" TargetMode="External"/><Relationship Id="rId782" Type="http://schemas.openxmlformats.org/officeDocument/2006/relationships/hyperlink" Target="file:///\\cot-dc01.cot-i.com\CapRockDocuments\Engineering\01_Designs\2231\2231%20@%200.25%20IPR.dwg" TargetMode="External"/><Relationship Id="rId228" Type="http://schemas.openxmlformats.org/officeDocument/2006/relationships/hyperlink" Target="file:///\\cot-dc01.cot-i.com\CapRockDocuments\Engineering\02_Spec%20Sheets\WIP%202.0\5434.2110\2110.Top.C.png" TargetMode="External"/><Relationship Id="rId435" Type="http://schemas.openxmlformats.org/officeDocument/2006/relationships/hyperlink" Target="file:///\\cot-dc01.cot-i.com\CapRockDocuments\Engineering\02_Spec%20Sheets\Original%20Assy%20Spec%20Sheets\2226.pdf" TargetMode="External"/><Relationship Id="rId642" Type="http://schemas.openxmlformats.org/officeDocument/2006/relationships/hyperlink" Target="file:///\\COT-SQL01\SEData\cot-i\eg\se\rel\Fixed%20Cutter%20Rockbits%20SKF\Size%2009.875\Blade%206\SKF-02104r01.asm" TargetMode="External"/><Relationship Id="rId1065" Type="http://schemas.openxmlformats.org/officeDocument/2006/relationships/hyperlink" Target="file:///\\COT-SQL01\SEData\cot-i\eg\se\rel\Fixed%20Cutter%20Rockbits%20SKF\Size%2017.500\Blade%206\SKF-02381r00.asm" TargetMode="External"/><Relationship Id="rId1272" Type="http://schemas.openxmlformats.org/officeDocument/2006/relationships/hyperlink" Target="file:///\\cot-dc01.cot-i.com\CapRockDocuments\Engineering\01_Designs\6653\6653r00%20Min%20Engagement%20v8.01.xlsm" TargetMode="External"/><Relationship Id="rId502" Type="http://schemas.openxmlformats.org/officeDocument/2006/relationships/hyperlink" Target="file:///\\cot-dc01.cot-i.com\CapRockDocuments\Engineering\02_Spec%20Sheets\Original%20Assy%20Spec%20Sheets\2157.pdf" TargetMode="External"/><Relationship Id="rId947" Type="http://schemas.openxmlformats.org/officeDocument/2006/relationships/hyperlink" Target="file:///\\cot-dc01.cot-i.com\CapRockDocuments\Engineering\01_Designs\2110\2110%20@%200.25%20IPR.xls" TargetMode="External"/><Relationship Id="rId1132" Type="http://schemas.openxmlformats.org/officeDocument/2006/relationships/hyperlink" Target="file:///\\COT-SQL01\SEData\cot-i\eg\se\rel\Fixed%20Cutter%20Rockbits%20SKF\Size%2017.500\Blade%206\SKF-09427r01.asm" TargetMode="External"/><Relationship Id="rId76" Type="http://schemas.openxmlformats.org/officeDocument/2006/relationships/hyperlink" Target="file:///\\cot-dc01.cot-i.com\CapRockDocuments\Engineering\01_Designs\2242\CDG-39050r1%20Levi.xlsm" TargetMode="External"/><Relationship Id="rId807" Type="http://schemas.openxmlformats.org/officeDocument/2006/relationships/hyperlink" Target="file:///\\cot-dc01.cot-i.com\CapRockDocuments\Engineering\01_Designs\2158\2158%20@%200.25%20IPR.dwg" TargetMode="External"/><Relationship Id="rId292" Type="http://schemas.openxmlformats.org/officeDocument/2006/relationships/hyperlink" Target="file:///\\cot-dc01.cot-i.com\CapRockDocuments\Engineering\01_Designs\2020\2020A.dwg" TargetMode="External"/><Relationship Id="rId597" Type="http://schemas.openxmlformats.org/officeDocument/2006/relationships/hyperlink" Target="file:///\\cot-dc01.cot-i.com\CapRockDocuments\Engineering\02_Spec%20Sheets\WIP%202.0\7407.2195\2195.ISO.C.png" TargetMode="External"/><Relationship Id="rId152" Type="http://schemas.openxmlformats.org/officeDocument/2006/relationships/hyperlink" Target="file:///\\cot-dc01.cot-i.com\CapRockDocuments\Engineering\01_Designs\2231\2231A_Summary.docx" TargetMode="External"/><Relationship Id="rId457" Type="http://schemas.openxmlformats.org/officeDocument/2006/relationships/hyperlink" Target="file:///\\cot-dc01.cot-i.com\CapRockDocuments\Engineering\02_Spec%20Sheets\Original%20Assy%20Spec%20Sheets\2119.pdf" TargetMode="External"/><Relationship Id="rId1087" Type="http://schemas.openxmlformats.org/officeDocument/2006/relationships/hyperlink" Target="file:///\\cot-dc01.cot-i.com\CapRockDocuments\Engineering\01_Designs\2234\CDG-39026r1%20Levi.xlsm" TargetMode="External"/><Relationship Id="rId1294" Type="http://schemas.openxmlformats.org/officeDocument/2006/relationships/hyperlink" Target="file:///\\cot-dc01.cot-i.com\CapRockDocuments\Engineering\01_Designs\7182\7182r00%20Layout.dwg" TargetMode="External"/><Relationship Id="rId664" Type="http://schemas.openxmlformats.org/officeDocument/2006/relationships/hyperlink" Target="file:///\\COT-SQL01\SEData\cot-i\eg\se\rel\Fixed%20Cutter%20Rockbits%20SKF\Size%2012.250\Blade%206\SKF-02157r01.asm" TargetMode="External"/><Relationship Id="rId871" Type="http://schemas.openxmlformats.org/officeDocument/2006/relationships/hyperlink" Target="file:///\\cot-dc01.cot-i.com\CapRockDocuments\Engineering\01_Designs\2267\2267%20@%200.25%20IPR.xls" TargetMode="External"/><Relationship Id="rId969" Type="http://schemas.openxmlformats.org/officeDocument/2006/relationships/hyperlink" Target="file:///\\cot-dc01.cot-i.com\CapRockDocuments\Engineering\01_Designs\2122\2122%20LO.dwg" TargetMode="External"/><Relationship Id="rId317" Type="http://schemas.openxmlformats.org/officeDocument/2006/relationships/hyperlink" Target="file:///\\cot-dc01.cot-i.com\CapRockDocuments\Engineering\01_Designs\2126\2126A.dwg" TargetMode="External"/><Relationship Id="rId524" Type="http://schemas.openxmlformats.org/officeDocument/2006/relationships/hyperlink" Target="file:///\\cot-dc01.cot-i.com\CapRockDocuments\Engineering\02_Spec%20Sheets\Original%20Assy%20Spec%20Sheets\2256.pdf" TargetMode="External"/><Relationship Id="rId731" Type="http://schemas.openxmlformats.org/officeDocument/2006/relationships/hyperlink" Target="file:///\\cot-dc01.cot-i.com\CapRockDocuments\Engineering\01_Designs\2247\2247%20@%200.25%20IPR.dwg" TargetMode="External"/><Relationship Id="rId1154" Type="http://schemas.openxmlformats.org/officeDocument/2006/relationships/hyperlink" Target="file:///\\cot-dc01.cot-i.com\CapRockDocuments\Engineering\01_Designs\9023\9023r00%20ISO.png" TargetMode="External"/><Relationship Id="rId1361" Type="http://schemas.openxmlformats.org/officeDocument/2006/relationships/hyperlink" Target="file:///\\cot-dc01.cot-i.com\CapRockDocuments\Engineering\01_Designs\4149\2026.01.07%20---%20NDRr01%20---%204149%2011.000%20NX616-SR9(K)%20---%20New%20Design%20Request.doc" TargetMode="External"/><Relationship Id="rId98" Type="http://schemas.openxmlformats.org/officeDocument/2006/relationships/hyperlink" Target="file:///\\cot-dc01.cot-i.com\CapRockDocuments\Engineering\01_Designs\2053\2053A_Summary.docx" TargetMode="External"/><Relationship Id="rId829" Type="http://schemas.openxmlformats.org/officeDocument/2006/relationships/hyperlink" Target="file:///\\cot-dc01.cot-i.com\CapRockDocuments\Engineering\01_Designs\1959\1959%20@%200.25%20IPR.dwg" TargetMode="External"/><Relationship Id="rId1014" Type="http://schemas.openxmlformats.org/officeDocument/2006/relationships/hyperlink" Target="file:///\\cot-dc01.cot-i.com\CapRockDocuments\Engineering\01_Designs\2054\2054%20LO.dwg" TargetMode="External"/><Relationship Id="rId1221" Type="http://schemas.openxmlformats.org/officeDocument/2006/relationships/hyperlink" Target="file:///\\cot-dc01.cot-i.com\CapRockDocuments\Engineering\01_Designs\3336\3336%20Layout.dwg" TargetMode="External"/><Relationship Id="rId1319" Type="http://schemas.openxmlformats.org/officeDocument/2006/relationships/hyperlink" Target="file:///\\COT-SQL01\SEData\cot-i\eg\se\rel\Fixed%20Cutter%20Rockbits%20SKF\Size%2009.625\Blade%206\2362r00%20at%200.250%20in_rev.par" TargetMode="External"/><Relationship Id="rId25" Type="http://schemas.openxmlformats.org/officeDocument/2006/relationships/hyperlink" Target="file:///\\cot-dc01.cot-i.com\CapRockDocuments\Engineering\01_Designs\2081\CDG-38611r1.dwg" TargetMode="External"/><Relationship Id="rId174" Type="http://schemas.openxmlformats.org/officeDocument/2006/relationships/hyperlink" Target="file:///\\cot-dc01.cot-i.com\CapRockDocuments\Engineering\01_Designs\2081\1001%20New%20Design%20Request%20and%20Priority%20Rev%20M%20-%20Black%20Creek%20Drilling.doc" TargetMode="External"/><Relationship Id="rId381" Type="http://schemas.openxmlformats.org/officeDocument/2006/relationships/hyperlink" Target="file:///\\cot-dc01.cot-i.com\CapRockDocuments\Engineering\02_Spec%20Sheets\WIP%202.0\8001.2131\2131.ISO.C.png" TargetMode="External"/><Relationship Id="rId241" Type="http://schemas.openxmlformats.org/officeDocument/2006/relationships/hyperlink" Target="file:///\\cot-dc01.cot-i.com\CapRockDocuments\Engineering\02_Spec%20Sheets\WIP%202.0\7681.2142\2142.Top.C.png" TargetMode="External"/><Relationship Id="rId479" Type="http://schemas.openxmlformats.org/officeDocument/2006/relationships/hyperlink" Target="file:///\\cot-dc01.cot-i.com\CapRockDocuments\Engineering\02_Spec%20Sheets\Original%20Assy%20Spec%20Sheets\2247.pdf" TargetMode="External"/><Relationship Id="rId686" Type="http://schemas.openxmlformats.org/officeDocument/2006/relationships/hyperlink" Target="file:///\\COT-SQL01\SEData\cot-i\eg\se\rel\Fixed%20Cutter%20Rockbits%20SKF\Size%2017.500\Blade%206\SKF-02205r01.asm" TargetMode="External"/><Relationship Id="rId893" Type="http://schemas.openxmlformats.org/officeDocument/2006/relationships/hyperlink" Target="file:///\\cot-dc01.cot-i.com\CapRockDocuments\Engineering\01_Designs\2265\2265%20@%200.25%20IPR.xls" TargetMode="External"/><Relationship Id="rId339" Type="http://schemas.openxmlformats.org/officeDocument/2006/relationships/hyperlink" Target="file:///\\cot-dc01.cot-i.com\CapRockDocuments\Engineering\02_Spec%20Sheets\WIP%202.0\2326.1959\1959.ISO.C.png" TargetMode="External"/><Relationship Id="rId546" Type="http://schemas.openxmlformats.org/officeDocument/2006/relationships/hyperlink" Target="file:///\\cot-dc01.cot-i.com\CapRockDocuments\Engineering\02_Spec%20Sheets\WIP%202.0\6079.2207\2207.Top.C.png" TargetMode="External"/><Relationship Id="rId753" Type="http://schemas.openxmlformats.org/officeDocument/2006/relationships/hyperlink" Target="file:///\\cot-dc01.cot-i.com\CapRockDocuments\Engineering\01_Designs\2216\2216.dwg" TargetMode="External"/><Relationship Id="rId1176" Type="http://schemas.openxmlformats.org/officeDocument/2006/relationships/hyperlink" Target="file:///\\COT-SQL01\SEData\cot-i\eg\se\rel\Fixed%20Cutter%20Rockbits%20SKF\Size%2009.875\Blade%206\SKF-05911r00.asm" TargetMode="External"/><Relationship Id="rId1383" Type="http://schemas.openxmlformats.org/officeDocument/2006/relationships/hyperlink" Target="file:///\\cot-dc01.cot-i.com\CapRockDocuments\Engineering\01_Designs\9944\9944r00_TOP.jpg" TargetMode="External"/><Relationship Id="rId101" Type="http://schemas.openxmlformats.org/officeDocument/2006/relationships/hyperlink" Target="file:///\\cot-dc01.cot-i.com\CapRockDocuments\Engineering\01_Designs\1991\_design%20summary.docx" TargetMode="External"/><Relationship Id="rId406" Type="http://schemas.openxmlformats.org/officeDocument/2006/relationships/hyperlink" Target="file:///\\cot-dc01.cot-i.com\CapRockDocuments\Engineering\02_Spec%20Sheets\WIP%202.0\7459.2267\2267.ISO.C.png" TargetMode="External"/><Relationship Id="rId960" Type="http://schemas.openxmlformats.org/officeDocument/2006/relationships/hyperlink" Target="file:///\\cot-dc01.cot-i.com\CapRockDocuments\Engineering\01_Designs\2119\2119%20LO.dwg" TargetMode="External"/><Relationship Id="rId1036" Type="http://schemas.openxmlformats.org/officeDocument/2006/relationships/hyperlink" Target="file:///\\cot-dc01.cot-i.com\CapRockDocuments\Engineering\01_Designs\2036\2036%20@%200.25%20IPR.dwg" TargetMode="External"/><Relationship Id="rId1243" Type="http://schemas.openxmlformats.org/officeDocument/2006/relationships/hyperlink" Target="file:///\\cot-dc01.cot-i.com\CapRockDocuments\Engineering\01_Designs\4288\4288r00%20Min%20Engagement%20v7.01.xlsm" TargetMode="External"/><Relationship Id="rId613" Type="http://schemas.openxmlformats.org/officeDocument/2006/relationships/hyperlink" Target="file:///\\COT-SQL01\SEData\cot-i\eg\se\rel\Fixed%20Cutter%20Rockbits%20SKF\Size%2012.250\Blade%206\SKF-02001r01.asm" TargetMode="External"/><Relationship Id="rId820" Type="http://schemas.openxmlformats.org/officeDocument/2006/relationships/hyperlink" Target="file:///\\cot-dc01.cot-i.com\CapRockDocuments\Engineering\01_Designs\2188\2188%20@%200.25%20IPR.xls" TargetMode="External"/><Relationship Id="rId918" Type="http://schemas.openxmlformats.org/officeDocument/2006/relationships/hyperlink" Target="file:///\\cot-dc01.cot-i.com\CapRockDocuments\Engineering\01_Designs\2075\2075%20LO.dwg" TargetMode="External"/><Relationship Id="rId1103" Type="http://schemas.openxmlformats.org/officeDocument/2006/relationships/hyperlink" Target="file:///\\cot-dc01.cot-i.com\CapRockDocuments\Engineering\01_Designs\4206\4206.dwg" TargetMode="External"/><Relationship Id="rId1310" Type="http://schemas.openxmlformats.org/officeDocument/2006/relationships/hyperlink" Target="file:///\\cot-dc01.cot-i.com\CapRockDocuments\Engineering\01_Designs\2362\2362r00%20LO.dwg" TargetMode="External"/><Relationship Id="rId47" Type="http://schemas.openxmlformats.org/officeDocument/2006/relationships/hyperlink" Target="file:///\\cot-dc01.cot-i.com\CapRockDocuments\Engineering\01_Designs\2142\CDG-38741r1.xlsm" TargetMode="External"/><Relationship Id="rId196" Type="http://schemas.openxmlformats.org/officeDocument/2006/relationships/hyperlink" Target="file:///\\cot-dc01.cot-i.com\CapRockDocuments\Engineering\02_Spec%20Sheets\WIP%202.0\2326.1959\1959.Top.C.png" TargetMode="External"/><Relationship Id="rId263" Type="http://schemas.openxmlformats.org/officeDocument/2006/relationships/hyperlink" Target="file:///\\cot-dc01.cot-i.com\CapRockDocuments\Engineering\02_Spec%20Sheets\WIP%202.0\8398.2268\2268.Top.C.png" TargetMode="External"/><Relationship Id="rId470" Type="http://schemas.openxmlformats.org/officeDocument/2006/relationships/hyperlink" Target="file:///\\cot-dc01.cot-i.com\CapRockDocuments\Engineering\02_Spec%20Sheets\Original%20Assy%20Spec%20Sheets\2043.pdf" TargetMode="External"/><Relationship Id="rId123" Type="http://schemas.openxmlformats.org/officeDocument/2006/relationships/hyperlink" Target="file:///\\cot-dc01.cot-i.com\CapRockDocuments\Engineering\01_Designs\2120\2120A_Summary.docx" TargetMode="External"/><Relationship Id="rId330" Type="http://schemas.openxmlformats.org/officeDocument/2006/relationships/hyperlink" Target="file:///\\cot-dc01.cot-i.com\CapRockDocuments\Engineering\01_Designs\2017\2017A%20at%200.359%20inRev.dwg" TargetMode="External"/><Relationship Id="rId568" Type="http://schemas.openxmlformats.org/officeDocument/2006/relationships/hyperlink" Target="file:///\\cot-dc01.cot-i.com\CapRockDocuments\Engineering\02_Spec%20Sheets\WIP%202.0\3039.2252\2252.ISO.C.png" TargetMode="External"/><Relationship Id="rId775" Type="http://schemas.openxmlformats.org/officeDocument/2006/relationships/hyperlink" Target="file:///\\cot-dc01.cot-i.com\CapRockDocuments\Engineering\01_Designs\2177\2177%20@%200.25%20IPR.xls" TargetMode="External"/><Relationship Id="rId982" Type="http://schemas.openxmlformats.org/officeDocument/2006/relationships/hyperlink" Target="file:///\\cot-dc01.cot-i.com\CapRockDocuments\Engineering\01_Designs\2141\2141%20@%200.25%20IPR.dwg" TargetMode="External"/><Relationship Id="rId1198" Type="http://schemas.openxmlformats.org/officeDocument/2006/relationships/hyperlink" Target="file:///\\cot-dc01.cot-i.com\CapRockDocuments\Engineering\02_Spec%20Sheets\Original%20Assy%20Spec%20Sheets\5674r00.pdf" TargetMode="External"/><Relationship Id="rId428" Type="http://schemas.openxmlformats.org/officeDocument/2006/relationships/hyperlink" Target="file:///\\cot-dc01.cot-i.com\CapRockDocuments\Engineering\02_Spec%20Sheets\Original%20Assy%20Spec%20Sheets\2137.pdf" TargetMode="External"/><Relationship Id="rId635" Type="http://schemas.openxmlformats.org/officeDocument/2006/relationships/hyperlink" Target="file:///\\COT-SQL01\SEData\cot-i\eg\se\rel\Fixed%20Cutter%20Rockbits%20SKF\Size%2006.125\Blade%204\SKF-02079r01.asm" TargetMode="External"/><Relationship Id="rId842" Type="http://schemas.openxmlformats.org/officeDocument/2006/relationships/hyperlink" Target="file:///\\cot-dc01.cot-i.com\CapRockDocuments\Engineering\01_Designs\2225\2225%20@%200.25%20IPR.xls" TargetMode="External"/><Relationship Id="rId1058" Type="http://schemas.openxmlformats.org/officeDocument/2006/relationships/hyperlink" Target="file:///\\cot-dc01.cot-i.com\CapRockDocuments\Engineering\01_Designs\2169\2169%20@%200.25%20IPR.xls" TargetMode="External"/><Relationship Id="rId1265" Type="http://schemas.openxmlformats.org/officeDocument/2006/relationships/hyperlink" Target="file:///\\cot-dc01.cot-i.com\CapRockDocuments\Engineering\01_Designs\5749\NDR%20-%202024.08.19%20-%205749%20-%209.875%20616-SRK%20-%20OXY%20-%2010300ft.docx" TargetMode="External"/><Relationship Id="rId702" Type="http://schemas.openxmlformats.org/officeDocument/2006/relationships/hyperlink" Target="file:///\\COT-SQL01\SEData\cot-i\eg\se\rel\Fixed%20Cutter%20Rockbits%20SKF\Size%2009.875\Blade%206\SKF-02234r01.asm" TargetMode="External"/><Relationship Id="rId1125" Type="http://schemas.openxmlformats.org/officeDocument/2006/relationships/hyperlink" Target="file:///\\cot-dc01.cot-i.com\CapRockDocuments\Engineering\01_Designs\9427\9427r1%20Layout.dwg" TargetMode="External"/><Relationship Id="rId1332" Type="http://schemas.openxmlformats.org/officeDocument/2006/relationships/hyperlink" Target="file:///\\cot-dc01.cot-i.com\CapRockDocuments\Engineering\01_Designs\9387\9387r00%20TOP.png" TargetMode="External"/><Relationship Id="rId69" Type="http://schemas.openxmlformats.org/officeDocument/2006/relationships/hyperlink" Target="file:///\\cot-dc01.cot-i.com\CapRockDocuments\Engineering\01_Designs\2154\CDG-38772r1.xlsm" TargetMode="External"/><Relationship Id="rId285" Type="http://schemas.openxmlformats.org/officeDocument/2006/relationships/hyperlink" Target="file:///\\cot-dc01.cot-i.com\CapRockDocuments\Engineering\01_Designs\2266\2266.dwg" TargetMode="External"/><Relationship Id="rId492" Type="http://schemas.openxmlformats.org/officeDocument/2006/relationships/hyperlink" Target="file:///\\cot-dc01.cot-i.com\CapRockDocuments\Engineering\02_Spec%20Sheets\Original%20Assy%20Spec%20Sheets\2142.pdf" TargetMode="External"/><Relationship Id="rId797" Type="http://schemas.openxmlformats.org/officeDocument/2006/relationships/hyperlink" Target="file:///\\cot-dc01.cot-i.com\CapRockDocuments\Engineering\01_Designs\1961\1961%20@%200.25%20IPR.xls" TargetMode="External"/><Relationship Id="rId145" Type="http://schemas.openxmlformats.org/officeDocument/2006/relationships/hyperlink" Target="file:///\\cot-dc01.cot-i.com\CapRockDocuments\Engineering\01_Designs\2208\2208A_Summary.docx" TargetMode="External"/><Relationship Id="rId352" Type="http://schemas.openxmlformats.org/officeDocument/2006/relationships/hyperlink" Target="file:///\\cot-dc01.cot-i.com\CapRockDocuments\Engineering\02_Spec%20Sheets\WIP%202.0\4318.2033\2033.ISO.C.png" TargetMode="External"/><Relationship Id="rId1287" Type="http://schemas.openxmlformats.org/officeDocument/2006/relationships/hyperlink" Target="file:///\\cot-dc01.cot-i.com\CapRockDocuments\Engineering\01_Designs\7182\7182r00%20TOP.png" TargetMode="External"/><Relationship Id="rId212" Type="http://schemas.openxmlformats.org/officeDocument/2006/relationships/hyperlink" Target="file:///\\cot-dc01.cot-i.com\CapRockDocuments\Engineering\02_Spec%20Sheets\WIP%202.0\9326.2046\2046.Top.C.png" TargetMode="External"/><Relationship Id="rId657" Type="http://schemas.openxmlformats.org/officeDocument/2006/relationships/hyperlink" Target="file:///\\COT-SQL01\SEData\cot-i\eg\se\rel\Fixed%20Cutter%20Rockbits%20SKF\Size%2008.750\Blade%206\SKF-02142r01.asm" TargetMode="External"/><Relationship Id="rId864" Type="http://schemas.openxmlformats.org/officeDocument/2006/relationships/hyperlink" Target="file:///\\cot-dc01.cot-i.com\CapRockDocuments\Engineering\01_Designs\2256\2256.dwg" TargetMode="External"/><Relationship Id="rId517" Type="http://schemas.openxmlformats.org/officeDocument/2006/relationships/hyperlink" Target="file:///\\cot-dc01.cot-i.com\CapRockDocuments\Engineering\02_Spec%20Sheets\Original%20Assy%20Spec%20Sheets\2079.pdf" TargetMode="External"/><Relationship Id="rId724" Type="http://schemas.openxmlformats.org/officeDocument/2006/relationships/hyperlink" Target="file:///\\cot-dc01.cot-i.com\CapRockDocuments\Engineering\01_Designs\2216\2216%20@%200.25%20IPR.dwg" TargetMode="External"/><Relationship Id="rId931" Type="http://schemas.openxmlformats.org/officeDocument/2006/relationships/hyperlink" Target="file:///\\cot-dc01.cot-i.com\CapRockDocuments\Engineering\01_Designs\2090\2090%20@%200.25%20IPR.dwg" TargetMode="External"/><Relationship Id="rId1147" Type="http://schemas.openxmlformats.org/officeDocument/2006/relationships/hyperlink" Target="file:///\\cot-dc01.cot-i.com\CapRockDocuments\Engineering\01_Designs\6513\6513r0.dwg" TargetMode="External"/><Relationship Id="rId1354" Type="http://schemas.openxmlformats.org/officeDocument/2006/relationships/hyperlink" Target="file:///\\cot-dc01.cot-i.com\CapRockDocuments\Engineering\01_Designs\4796\2025.07.01%20---%20NDRr01%20-%206.75%20NX613%20LATERAL%20BIT.doc" TargetMode="External"/><Relationship Id="rId60" Type="http://schemas.openxmlformats.org/officeDocument/2006/relationships/hyperlink" Target="file:///\\cot-dc01.cot-i.com\CapRockDocuments\Engineering\01_Designs\2020\CDG-38413r1.xls" TargetMode="External"/><Relationship Id="rId1007" Type="http://schemas.openxmlformats.org/officeDocument/2006/relationships/hyperlink" Target="file:///\\cot-dc01.cot-i.com\CapRockDocuments\Engineering\01_Designs\2145\2145%20@%200.25%20IPR.xls" TargetMode="External"/><Relationship Id="rId1214" Type="http://schemas.openxmlformats.org/officeDocument/2006/relationships/hyperlink" Target="file:///\\cot-dc01.cot-i.com\CapRockDocuments\Engineering\02_Spec%20Sheets\Original%20Assy%20Spec%20Sheets\5646r00.pdf" TargetMode="External"/><Relationship Id="rId18" Type="http://schemas.openxmlformats.org/officeDocument/2006/relationships/hyperlink" Target="file:///\\cot-dc01.cot-i.com\CapRockDocuments\Engineering\01_Designs\2005\CDG-38368r1.dwg" TargetMode="External"/><Relationship Id="rId167" Type="http://schemas.openxmlformats.org/officeDocument/2006/relationships/hyperlink" Target="file:///\\cot-dc01.cot-i.com\CapRockDocuments\Engineering\01_Designs\2010\105%20616-YR%20PDC%20Bit%20Design%20Request%20rev%20C.docx" TargetMode="External"/><Relationship Id="rId374" Type="http://schemas.openxmlformats.org/officeDocument/2006/relationships/hyperlink" Target="file:///\\cot-dc01.cot-i.com\CapRockDocuments\Engineering\02_Spec%20Sheets\WIP%202.0\9826.2117\2117.ISO.C.png" TargetMode="External"/><Relationship Id="rId581" Type="http://schemas.openxmlformats.org/officeDocument/2006/relationships/hyperlink" Target="file:///\\cot-dc01.cot-i.com\CapRockDocuments\Engineering\02_Spec%20Sheets\WIP%202.0\4751.2231\2231.ISO.C.png" TargetMode="External"/><Relationship Id="rId234" Type="http://schemas.openxmlformats.org/officeDocument/2006/relationships/hyperlink" Target="file:///\\cot-dc01.cot-i.com\CapRockDocuments\Engineering\02_Spec%20Sheets\WIP%202.0\7410.2122\2122.Top.C.png" TargetMode="External"/><Relationship Id="rId679" Type="http://schemas.openxmlformats.org/officeDocument/2006/relationships/hyperlink" Target="file:///\\COT-SQL01\SEData\cot-i\eg\se\rel\Fixed%20Cutter%20Rockbits%20SKF\Size%2006.125\Blade%205\SKF-02190r01.asm" TargetMode="External"/><Relationship Id="rId886" Type="http://schemas.openxmlformats.org/officeDocument/2006/relationships/hyperlink" Target="file:///\\cot-dc01.cot-i.com\CapRockDocuments\Engineering\01_Designs\2234\2234%20@%200.25%20IPR.dwg" TargetMode="External"/><Relationship Id="rId2" Type="http://schemas.openxmlformats.org/officeDocument/2006/relationships/hyperlink" Target="file:///\\cot-dc01.cot-i.com\CapRockDocuments\Engineering\01_Designs\2272\CDG-39122r2.xlsm" TargetMode="External"/><Relationship Id="rId441" Type="http://schemas.openxmlformats.org/officeDocument/2006/relationships/hyperlink" Target="file:///\\cot-dc01.cot-i.com\CapRockDocuments\Engineering\02_Spec%20Sheets\Original%20Assy%20Spec%20Sheets\2017.pdf" TargetMode="External"/><Relationship Id="rId539" Type="http://schemas.openxmlformats.org/officeDocument/2006/relationships/hyperlink" Target="file:///\\cot-dc01.cot-i.com\CapRockDocuments\Engineering\02_Spec%20Sheets\WIP%202.0\4756.2242\2242.Top.C.png" TargetMode="External"/><Relationship Id="rId746" Type="http://schemas.openxmlformats.org/officeDocument/2006/relationships/hyperlink" Target="file:///\\cot-dc01.cot-i.com\CapRockDocuments\Engineering\01_Designs\2220\2220%20@%200.25%20IPR.dwg" TargetMode="External"/><Relationship Id="rId1071" Type="http://schemas.openxmlformats.org/officeDocument/2006/relationships/hyperlink" Target="file:///\\cot-dc01.cot-i.com\CapRockDocuments\Engineering\02_Spec%20Sheets\WIP%202.0\8479\8479.Top.C.png" TargetMode="External"/><Relationship Id="rId1169" Type="http://schemas.openxmlformats.org/officeDocument/2006/relationships/hyperlink" Target="file:///\\COT-SQL01\SEData\cot-i\eg\se\rel\Fixed%20Cutter%20Rockbits%20SKF\Size%2007.875\Blade%206\SKF-02556r00.asm" TargetMode="External"/><Relationship Id="rId1376" Type="http://schemas.openxmlformats.org/officeDocument/2006/relationships/hyperlink" Target="file:///\\cot-dc01.cot-i.com\CapRockDocuments\Engineering\01_Designs\2746\2746r00%20Min%20Engagement%20v8.01.xlsm" TargetMode="External"/><Relationship Id="rId301" Type="http://schemas.openxmlformats.org/officeDocument/2006/relationships/hyperlink" Target="file:///\\cot-dc01.cot-i.com\CapRockDocuments\Engineering\01_Designs\2074\2074A.dwg" TargetMode="External"/><Relationship Id="rId953" Type="http://schemas.openxmlformats.org/officeDocument/2006/relationships/hyperlink" Target="file:///\\cot-dc01.cot-i.com\CapRockDocuments\Engineering\01_Designs\2115\2115%20@%200.25%20IPR.xls" TargetMode="External"/><Relationship Id="rId1029" Type="http://schemas.openxmlformats.org/officeDocument/2006/relationships/hyperlink" Target="file:///\\cot-dc01.cot-i.com\CapRockDocuments\Engineering\01_Designs\2046\2046%20LO.dwg" TargetMode="External"/><Relationship Id="rId1236" Type="http://schemas.openxmlformats.org/officeDocument/2006/relationships/hyperlink" Target="file:///\\cot-dc01.cot-i.com\CapRockDocuments\Engineering\01_Designs\3219\3219r00%20ISO.png" TargetMode="External"/><Relationship Id="rId82" Type="http://schemas.openxmlformats.org/officeDocument/2006/relationships/hyperlink" Target="file:///\\cot-dc01.cot-i.com\CapRockDocuments\Engineering\01_Designs\2036\2036A_Summary.docx" TargetMode="External"/><Relationship Id="rId606" Type="http://schemas.openxmlformats.org/officeDocument/2006/relationships/hyperlink" Target="file:///\\cot-dc01.cot-i.com\CapRockDocuments\Engineering\02_Spec%20Sheets\WIP%202.0\9801.2198\2198.ISO.C.png" TargetMode="External"/><Relationship Id="rId813" Type="http://schemas.openxmlformats.org/officeDocument/2006/relationships/hyperlink" Target="file:///\\cot-dc01.cot-i.com\CapRockDocuments\Engineering\01_Designs\2180\2180%20@%200.25%20IPR.dwg" TargetMode="External"/><Relationship Id="rId1303" Type="http://schemas.openxmlformats.org/officeDocument/2006/relationships/hyperlink" Target="file:///\\COT-SQL01\SEData\cot-i\eg\se\rel\Fixed%20Cutter%20Rockbits%20SKF\Size%2009.875\Blade%206\SKF-08896r00.asm" TargetMode="External"/><Relationship Id="rId189" Type="http://schemas.openxmlformats.org/officeDocument/2006/relationships/hyperlink" Target="file:///\\cot-dc01.cot-i.com\CapRockDocuments\Engineering\01_Designs\2208\NDR-%20Delaware%20Basin%20-%2012.25%20Durable%20716.doc" TargetMode="External"/><Relationship Id="rId396" Type="http://schemas.openxmlformats.org/officeDocument/2006/relationships/hyperlink" Target="file:///\\cot-dc01.cot-i.com\CapRockDocuments\Engineering\02_Spec%20Sheets\WIP%202.0\6597.2172\2172.ISO.C.png" TargetMode="External"/><Relationship Id="rId256" Type="http://schemas.openxmlformats.org/officeDocument/2006/relationships/hyperlink" Target="file:///\\cot-dc01.cot-i.com\CapRockDocuments\Engineering\02_Spec%20Sheets\WIP%202.0\2769.2205\2205.Top.C.png" TargetMode="External"/><Relationship Id="rId463" Type="http://schemas.openxmlformats.org/officeDocument/2006/relationships/hyperlink" Target="file:///\\cot-dc01.cot-i.com\CapRockDocuments\Engineering\02_Spec%20Sheets\Original%20Assy%20Spec%20Sheets\1991.pdf" TargetMode="External"/><Relationship Id="rId670" Type="http://schemas.openxmlformats.org/officeDocument/2006/relationships/hyperlink" Target="file:///\\COT-SQL01\SEData\cot-i\eg\se\rel\Fixed%20Cutter%20Rockbits%20SKF\Size%2007.875\Blade%206\SKF-02173r01.asm" TargetMode="External"/><Relationship Id="rId1093" Type="http://schemas.openxmlformats.org/officeDocument/2006/relationships/hyperlink" Target="file:///\\cot-dc01.cot-i.com\CapRockDocuments\Engineering\02_Spec%20Sheets\WIP%202.0\4206\4206.ISO.C.png" TargetMode="External"/><Relationship Id="rId116" Type="http://schemas.openxmlformats.org/officeDocument/2006/relationships/hyperlink" Target="file:///\\cot-dc01.cot-i.com\CapRockDocuments\Engineering\01_Designs\2093\2093A_Summary.docx" TargetMode="External"/><Relationship Id="rId323" Type="http://schemas.openxmlformats.org/officeDocument/2006/relationships/hyperlink" Target="file:///\\cot-dc01.cot-i.com\CapRockDocuments\Engineering\01_Designs\2154\2154A.dwg" TargetMode="External"/><Relationship Id="rId530" Type="http://schemas.openxmlformats.org/officeDocument/2006/relationships/hyperlink" Target="file:///\\cot-dc01.cot-i.com\CapRockDocuments\Engineering\02_Spec%20Sheets\WIP%202.0\3799.2209\2209.Top.C.png" TargetMode="External"/><Relationship Id="rId768" Type="http://schemas.openxmlformats.org/officeDocument/2006/relationships/hyperlink" Target="file:///\\cot-dc01.cot-i.com\CapRockDocuments\Engineering\01_Designs\2195\2195%20@%200.25%20IPR.xls" TargetMode="External"/><Relationship Id="rId975" Type="http://schemas.openxmlformats.org/officeDocument/2006/relationships/hyperlink" Target="file:///\\cot-dc01.cot-i.com\CapRockDocuments\Engineering\01_Designs\2126\2126%20LO.dwg" TargetMode="External"/><Relationship Id="rId1160" Type="http://schemas.openxmlformats.org/officeDocument/2006/relationships/hyperlink" Target="file:///\\cot-dc01.cot-i.com\CapRockDocuments\Engineering\01_Designs\3449\3449r00%20TOP.png" TargetMode="External"/><Relationship Id="rId628" Type="http://schemas.openxmlformats.org/officeDocument/2006/relationships/hyperlink" Target="file:///\\COT-SQL01\SEData\cot-i\eg\se\rel\Fixed%20Cutter%20Rockbits%20SKF\Size%2014.750\Blade%206\SKF-02051r01.asm" TargetMode="External"/><Relationship Id="rId835" Type="http://schemas.openxmlformats.org/officeDocument/2006/relationships/hyperlink" Target="file:///\\cot-dc01.cot-i.com\CapRockDocuments\Engineering\01_Designs\2160\2160%20@%200.25%20IPR.dwg" TargetMode="External"/><Relationship Id="rId1258" Type="http://schemas.openxmlformats.org/officeDocument/2006/relationships/hyperlink" Target="file:///\\cot-dc01.cot-i.com\CapRockDocuments\Engineering\02_Spec%20Sheets\Original%20Assy%20Spec%20Sheets\5132r00.pdf" TargetMode="External"/><Relationship Id="rId1020" Type="http://schemas.openxmlformats.org/officeDocument/2006/relationships/hyperlink" Target="file:///\\cot-dc01.cot-i.com\CapRockDocuments\Engineering\01_Designs\2051\2051%20LO.dwg" TargetMode="External"/><Relationship Id="rId1118" Type="http://schemas.openxmlformats.org/officeDocument/2006/relationships/hyperlink" Target="file:///\\COT-SQL01\SEData\cot-i\eg\se\rel\Fixed%20Cutter%20Rockbits%20SKF\Size%2007.875\Blade%206\SKF-05481r00.asm" TargetMode="External"/><Relationship Id="rId1325" Type="http://schemas.openxmlformats.org/officeDocument/2006/relationships/hyperlink" Target="file:///\\cot-dc01.cot-i.com\CapRockDocuments\Engineering\01_Designs\6135\2025.09.06---%20NDRr01%20-%206135%2014.75%20616-SR(K).docx" TargetMode="External"/><Relationship Id="rId902" Type="http://schemas.openxmlformats.org/officeDocument/2006/relationships/hyperlink" Target="file:///\\cot-dc01.cot-i.com\CapRockDocuments\Engineering\01_Designs\2209\2209%20@%200.25%20IPR.xls" TargetMode="External"/><Relationship Id="rId31" Type="http://schemas.openxmlformats.org/officeDocument/2006/relationships/hyperlink" Target="file:///\\cot-dc01.cot-i.com\CapRockDocuments\Engineering\01_Designs\2192\CDG-38897r1.dwg" TargetMode="External"/><Relationship Id="rId180" Type="http://schemas.openxmlformats.org/officeDocument/2006/relationships/hyperlink" Target="file:///\\cot-dc01.cot-i.com\CapRockDocuments\Engineering\01_Designs\2181\New%20Design%20Request%20-%20XTO%20-%207.875%20Lateral.doc" TargetMode="External"/><Relationship Id="rId278" Type="http://schemas.openxmlformats.org/officeDocument/2006/relationships/hyperlink" Target="file:///\\cot-dc01.cot-i.com\CapRockDocuments\Engineering\01_Designs\2148\2148.dwg" TargetMode="External"/><Relationship Id="rId485" Type="http://schemas.openxmlformats.org/officeDocument/2006/relationships/hyperlink" Target="file:///\\cot-dc01.cot-i.com\CapRockDocuments\Engineering\02_Spec%20Sheets\Original%20Assy%20Spec%20Sheets\2195.pdf" TargetMode="External"/><Relationship Id="rId692" Type="http://schemas.openxmlformats.org/officeDocument/2006/relationships/hyperlink" Target="file:///\\COT-SQL01\SEData\cot-i\eg\se\rel\Fixed%20Cutter%20Rockbits%20SKF\Size%2017.500\Blade%206\SKF-02216r02.asm" TargetMode="External"/><Relationship Id="rId138" Type="http://schemas.openxmlformats.org/officeDocument/2006/relationships/hyperlink" Target="file:///\\cot-dc01.cot-i.com\CapRockDocuments\Engineering\01_Designs\2192\2192A_Summary.docx" TargetMode="External"/><Relationship Id="rId345" Type="http://schemas.openxmlformats.org/officeDocument/2006/relationships/hyperlink" Target="file:///\\cot-dc01.cot-i.com\CapRockDocuments\Engineering\02_Spec%20Sheets\WIP%202.0\3285.2005\2005.ISO.C.png" TargetMode="External"/><Relationship Id="rId552" Type="http://schemas.openxmlformats.org/officeDocument/2006/relationships/hyperlink" Target="file:///\\cot-dc01.cot-i.com\CapRockDocuments\Engineering\02_Spec%20Sheets\WIP%202.0\6739.2218\2218.Top.C.png" TargetMode="External"/><Relationship Id="rId997" Type="http://schemas.openxmlformats.org/officeDocument/2006/relationships/hyperlink" Target="file:///\\cot-dc01.cot-i.com\CapRockDocuments\Engineering\01_Designs\2153\2153%20@%200.25%20IPR.dwg" TargetMode="External"/><Relationship Id="rId1182" Type="http://schemas.openxmlformats.org/officeDocument/2006/relationships/hyperlink" Target="file:///\\cot-dc01.cot-i.com\CapRockDocuments\Engineering\01_Designs\7823\7823r00%20Design.dwg" TargetMode="External"/><Relationship Id="rId205" Type="http://schemas.openxmlformats.org/officeDocument/2006/relationships/hyperlink" Target="file:///\\cot-dc01.cot-i.com\CapRockDocuments\Engineering\02_Spec%20Sheets\WIP%202.0\8595.2019\2019.Top.C.png" TargetMode="External"/><Relationship Id="rId412" Type="http://schemas.openxmlformats.org/officeDocument/2006/relationships/hyperlink" Target="file:///\\cot-dc01.cot-i.com\CapRockDocuments\Engineering\02_Spec%20Sheets\Original%20Assy%20Spec%20Sheets\1959.pdf" TargetMode="External"/><Relationship Id="rId857" Type="http://schemas.openxmlformats.org/officeDocument/2006/relationships/hyperlink" Target="file:///\\cot-dc01.cot-i.com\CapRockDocuments\Engineering\01_Designs\2242\2242%20@%200.25%20IPR.xls" TargetMode="External"/><Relationship Id="rId1042" Type="http://schemas.openxmlformats.org/officeDocument/2006/relationships/hyperlink" Target="file:///\\cot-dc01.cot-i.com\CapRockDocuments\Engineering\01_Designs\2028\2028%20@%200.25%20IPR.dwg" TargetMode="External"/><Relationship Id="rId717" Type="http://schemas.openxmlformats.org/officeDocument/2006/relationships/hyperlink" Target="file:///\\COT-SQL01\SEData\cot-i\eg\se\rel\Fixed%20Cutter%20Rockbits%20SKF\Size%2006.750\Blade%206\SKF-02270r01.asm" TargetMode="External"/><Relationship Id="rId924" Type="http://schemas.openxmlformats.org/officeDocument/2006/relationships/hyperlink" Target="file:///\\cot-dc01.cot-i.com\CapRockDocuments\Engineering\01_Designs\2079\2079%20LO.dwg" TargetMode="External"/><Relationship Id="rId1347" Type="http://schemas.openxmlformats.org/officeDocument/2006/relationships/hyperlink" Target="file:///\\cot-dc01.cot-i.com\CapRockDocuments\Engineering\01_Designs\6841\&#216;%207.875%20516M-XR7(K)(BR)%20---%20Assy%203060%20---%20PPSr01.xlsm" TargetMode="External"/><Relationship Id="rId53" Type="http://schemas.openxmlformats.org/officeDocument/2006/relationships/hyperlink" Target="file:///\\cot-dc01.cot-i.com\CapRockDocuments\Engineering\01_Designs\2077\CDG-38594.xlsm" TargetMode="External"/><Relationship Id="rId1207" Type="http://schemas.openxmlformats.org/officeDocument/2006/relationships/hyperlink" Target="file:///\\cot-dc01.cot-i.com\CapRockDocuments\Engineering\01_Designs\5646\5646r00%20CS%20Placement%20V4.xls" TargetMode="External"/><Relationship Id="rId367" Type="http://schemas.openxmlformats.org/officeDocument/2006/relationships/hyperlink" Target="file:///\\cot-dc01.cot-i.com\CapRockDocuments\Engineering\02_Spec%20Sheets\WIP%202.0\3026.2093\2093.ISO.C.png" TargetMode="External"/><Relationship Id="rId574" Type="http://schemas.openxmlformats.org/officeDocument/2006/relationships/hyperlink" Target="file:///\\cot-dc01.cot-i.com\CapRockDocuments\Engineering\02_Spec%20Sheets\WIP%202.0\3867.2208\2208.ISO.C.png" TargetMode="External"/><Relationship Id="rId227" Type="http://schemas.openxmlformats.org/officeDocument/2006/relationships/hyperlink" Target="file:///\\cot-dc01.cot-i.com\CapRockDocuments\Engineering\02_Spec%20Sheets\WIP%202.0\7426.2104\2104.Top.C.png" TargetMode="External"/><Relationship Id="rId781" Type="http://schemas.openxmlformats.org/officeDocument/2006/relationships/hyperlink" Target="file:///\\cot-dc01.cot-i.com\CapRockDocuments\Engineering\01_Designs\2231\2231.dwg" TargetMode="External"/><Relationship Id="rId879" Type="http://schemas.openxmlformats.org/officeDocument/2006/relationships/hyperlink" Target="file:///\\cot-dc01.cot-i.com\CapRockDocuments\Engineering\01_Designs\2140\2140%20@%200.25%20IPR.xls" TargetMode="External"/><Relationship Id="rId434" Type="http://schemas.openxmlformats.org/officeDocument/2006/relationships/hyperlink" Target="file:///\\cot-dc01.cot-i.com\CapRockDocuments\Engineering\02_Spec%20Sheets\Original%20Assy%20Spec%20Sheets\2208.pdf" TargetMode="External"/><Relationship Id="rId641" Type="http://schemas.openxmlformats.org/officeDocument/2006/relationships/hyperlink" Target="file:///\\COT-SQL01\SEData\cot-i\eg\se\rel\Fixed%20Cutter%20Rockbits%20SKF\Size%2006.750\Blade%205\SKF-02096r01.asm" TargetMode="External"/><Relationship Id="rId739" Type="http://schemas.openxmlformats.org/officeDocument/2006/relationships/hyperlink" Target="file:///\\cot-dc01.cot-i.com\CapRockDocuments\Engineering\01_Designs\1991\1991.dwg" TargetMode="External"/><Relationship Id="rId1064" Type="http://schemas.openxmlformats.org/officeDocument/2006/relationships/hyperlink" Target="file:///\\cot-dc01.cot-i.com\CapRockDocuments\Engineering\01_Designs\2381\CDG-39128r1.xlsm" TargetMode="External"/><Relationship Id="rId1271" Type="http://schemas.openxmlformats.org/officeDocument/2006/relationships/hyperlink" Target="file:///\\cot-dc01.cot-i.com\CapRockDocuments\Engineering\01_Designs\6653\NDRr01-2024.09.17%20-%206653%20-%2012.25%20CR616-SR+9(K)(BR).docx" TargetMode="External"/><Relationship Id="rId1369" Type="http://schemas.openxmlformats.org/officeDocument/2006/relationships/hyperlink" Target="file:///\\cot-dc01.cot-i.com\CapRockDocuments\Engineering\01_Designs\2746\2026.02.02%20---%20NDRr01%20---%202746%2010.625%20NX616-SR9(K)%20---%20New%20Design%20Request.doc" TargetMode="External"/><Relationship Id="rId501" Type="http://schemas.openxmlformats.org/officeDocument/2006/relationships/hyperlink" Target="file:///\\cot-dc01.cot-i.com\CapRockDocuments\Engineering\02_Spec%20Sheets\Original%20Assy%20Spec%20Sheets\2027.pdf" TargetMode="External"/><Relationship Id="rId946" Type="http://schemas.openxmlformats.org/officeDocument/2006/relationships/hyperlink" Target="file:///\\cot-dc01.cot-i.com\CapRockDocuments\Engineering\01_Designs\2104\2104%20@%200.25%20IPR.dwg" TargetMode="External"/><Relationship Id="rId1131" Type="http://schemas.openxmlformats.org/officeDocument/2006/relationships/hyperlink" Target="file:///\\cot-dc01.cot-i.com\CapRockDocuments\Engineering\02_Spec%20Sheets\Original%20Assy%20Spec%20Sheets\9427.pdf" TargetMode="External"/><Relationship Id="rId1229" Type="http://schemas.openxmlformats.org/officeDocument/2006/relationships/hyperlink" Target="file:///\\cot-dc01.cot-i.com\CapRockDocuments\Engineering\01_Designs\7273\7273r00%20ISO.png" TargetMode="External"/><Relationship Id="rId75" Type="http://schemas.openxmlformats.org/officeDocument/2006/relationships/hyperlink" Target="file:///\\cot-dc01.cot-i.com\CapRockDocuments\Engineering\01_Designs\2224\CDG-39000r1.xlsm" TargetMode="External"/><Relationship Id="rId806" Type="http://schemas.openxmlformats.org/officeDocument/2006/relationships/hyperlink" Target="file:///\\cot-dc01.cot-i.com\CapRockDocuments\Engineering\01_Designs\2158\2158.dwg" TargetMode="External"/><Relationship Id="rId291" Type="http://schemas.openxmlformats.org/officeDocument/2006/relationships/hyperlink" Target="file:///\\cot-dc01.cot-i.com\CapRockDocuments\Engineering\01_Designs\2019\2019A.dwg" TargetMode="External"/><Relationship Id="rId151" Type="http://schemas.openxmlformats.org/officeDocument/2006/relationships/hyperlink" Target="file:///\\cot-dc01.cot-i.com\CapRockDocuments\Engineering\01_Designs\2227\2227A_Summary.docx" TargetMode="External"/><Relationship Id="rId389" Type="http://schemas.openxmlformats.org/officeDocument/2006/relationships/hyperlink" Target="file:///\\cot-dc01.cot-i.com\CapRockDocuments\Engineering\02_Spec%20Sheets\WIP%202.0\9227.2153\2153.ISO.C.png" TargetMode="External"/><Relationship Id="rId596" Type="http://schemas.openxmlformats.org/officeDocument/2006/relationships/hyperlink" Target="file:///\\cot-dc01.cot-i.com\CapRockDocuments\Engineering\02_Spec%20Sheets\WIP%202.0\7402.2174\2174.ISO.C.png" TargetMode="External"/><Relationship Id="rId249" Type="http://schemas.openxmlformats.org/officeDocument/2006/relationships/hyperlink" Target="file:///\\cot-dc01.cot-i.com\CapRockDocuments\Engineering\02_Spec%20Sheets\WIP%202.0\5215.2160\2160.Top.C.png" TargetMode="External"/><Relationship Id="rId456" Type="http://schemas.openxmlformats.org/officeDocument/2006/relationships/hyperlink" Target="file:///\\cot-dc01.cot-i.com\CapRockDocuments\Engineering\02_Spec%20Sheets\Original%20Assy%20Spec%20Sheets\2110.pdf" TargetMode="External"/><Relationship Id="rId663" Type="http://schemas.openxmlformats.org/officeDocument/2006/relationships/hyperlink" Target="file:///\\COT-SQL01\SEData\cot-i\eg\se\rel\Fixed%20Cutter%20Rockbits%20SKF\Size%2007.875\Blade%205\SKF-02154r01.asm" TargetMode="External"/><Relationship Id="rId870" Type="http://schemas.openxmlformats.org/officeDocument/2006/relationships/hyperlink" Target="file:///\\cot-dc01.cot-i.com\CapRockDocuments\Engineering\01_Designs\2268\2268%20@%200.25%20IPR.dwg" TargetMode="External"/><Relationship Id="rId1086" Type="http://schemas.openxmlformats.org/officeDocument/2006/relationships/hyperlink" Target="file:///\\cot-dc01.cot-i.com\CapRockDocuments\Engineering\01_Designs\8479\Design.dwg" TargetMode="External"/><Relationship Id="rId1293" Type="http://schemas.openxmlformats.org/officeDocument/2006/relationships/hyperlink" Target="file:///\\cot-dc01.cot-i.com\CapRockDocuments\Engineering\01_Designs\7182\7182%20Design.dwg" TargetMode="External"/><Relationship Id="rId109" Type="http://schemas.openxmlformats.org/officeDocument/2006/relationships/hyperlink" Target="file:///\\cot-dc01.cot-i.com\CapRockDocuments\Engineering\01_Designs\2051\2051A_Summary.doc" TargetMode="External"/><Relationship Id="rId316" Type="http://schemas.openxmlformats.org/officeDocument/2006/relationships/hyperlink" Target="file:///\\cot-dc01.cot-i.com\CapRockDocuments\Engineering\01_Designs\2124\2124.dwg" TargetMode="External"/><Relationship Id="rId523" Type="http://schemas.openxmlformats.org/officeDocument/2006/relationships/hyperlink" Target="file:///\\cot-dc01.cot-i.com\CapRockDocuments\Engineering\02_Spec%20Sheets\Original%20Assy%20Spec%20Sheets\2190.pdf" TargetMode="External"/><Relationship Id="rId968" Type="http://schemas.openxmlformats.org/officeDocument/2006/relationships/hyperlink" Target="file:///\\cot-dc01.cot-i.com\CapRockDocuments\Engineering\01_Designs\2122\2122%20@%200.25%20IPR.xls" TargetMode="External"/><Relationship Id="rId1153" Type="http://schemas.openxmlformats.org/officeDocument/2006/relationships/hyperlink" Target="file:///\\cot-dc01.cot-i.com\CapRockDocuments\Engineering\02_Spec%20Sheets\Original%20Assy%20Spec%20Sheets\9023r00.pdf" TargetMode="External"/><Relationship Id="rId97" Type="http://schemas.openxmlformats.org/officeDocument/2006/relationships/hyperlink" Target="file:///\\cot-dc01.cot-i.com\CapRockDocuments\Engineering\01_Designs\2247\2247_Summary.docx" TargetMode="External"/><Relationship Id="rId730" Type="http://schemas.openxmlformats.org/officeDocument/2006/relationships/hyperlink" Target="file:///\\cot-dc01.cot-i.com\CapRockDocuments\Engineering\01_Designs\2247\2247.dwg" TargetMode="External"/><Relationship Id="rId828" Type="http://schemas.openxmlformats.org/officeDocument/2006/relationships/hyperlink" Target="file:///\\cot-dc01.cot-i.com\CapRockDocuments\Engineering\01_Designs\1959\1959.dwg" TargetMode="External"/><Relationship Id="rId1013" Type="http://schemas.openxmlformats.org/officeDocument/2006/relationships/hyperlink" Target="file:///\\cot-dc01.cot-i.com\CapRockDocuments\Engineering\01_Designs\2054\2054%20@%200.25%20IPR.xls" TargetMode="External"/><Relationship Id="rId1360" Type="http://schemas.openxmlformats.org/officeDocument/2006/relationships/hyperlink" Target="file:///\\cot-dc01.cot-i.com\CapRockDocuments\Engineering\01_Designs\4149\2026.01.07%20---%20PPSr01%20---%204149%2011.000%20NX616-SR9(K)%20---%20Profitability%20Projections.xlsm" TargetMode="External"/><Relationship Id="rId1220" Type="http://schemas.openxmlformats.org/officeDocument/2006/relationships/hyperlink" Target="file:///\\COT-SQL01\SEData\cot-i\eg\se\rel\Fixed%20Cutter%20Rockbits%20SKF\Size%2008.500\Blade%206\SKF-03336r00.asm" TargetMode="External"/><Relationship Id="rId1318" Type="http://schemas.openxmlformats.org/officeDocument/2006/relationships/hyperlink" Target="file:///\\cot-dc01.cot-i.com\CapRockDocuments\Engineering\02_Spec%20Sheets\Original%20Assy%20Spec%20Sheets\2362r00%20SS.pdf" TargetMode="External"/><Relationship Id="rId24" Type="http://schemas.openxmlformats.org/officeDocument/2006/relationships/hyperlink" Target="file:///\\cot-dc01.cot-i.com\CapRockDocuments\Engineering\01_Designs\2079\CDG-38604r1.dwg" TargetMode="External"/><Relationship Id="rId173" Type="http://schemas.openxmlformats.org/officeDocument/2006/relationships/hyperlink" Target="file:///\\cot-dc01.cot-i.com\CapRockDocuments\Engineering\01_Designs\2046\Chaparral%20Energy%20061%20313YR%20Design%20Request.docx" TargetMode="External"/><Relationship Id="rId380" Type="http://schemas.openxmlformats.org/officeDocument/2006/relationships/hyperlink" Target="file:///\\cot-dc01.cot-i.com\CapRockDocuments\Engineering\02_Spec%20Sheets\WIP%202.0\6495.2126\2126.ISO.C.png" TargetMode="External"/><Relationship Id="rId240" Type="http://schemas.openxmlformats.org/officeDocument/2006/relationships/hyperlink" Target="file:///\\cot-dc01.cot-i.com\CapRockDocuments\Engineering\02_Spec%20Sheets\WIP%202.0\3690.2141\2141.Top.C.png" TargetMode="External"/><Relationship Id="rId478" Type="http://schemas.openxmlformats.org/officeDocument/2006/relationships/hyperlink" Target="file:///\\cot-dc01.cot-i.com\CapRockDocuments\Engineering\02_Spec%20Sheets\Original%20Assy%20Spec%20Sheets\2053.pdf" TargetMode="External"/><Relationship Id="rId685" Type="http://schemas.openxmlformats.org/officeDocument/2006/relationships/hyperlink" Target="file:///\\COT-SQL01\SEData\cot-i\eg\se\rel\Fixed%20Cutter%20Rockbits%20SKF\Size%2008.750\Blade%206\SKF-02198r01.asm" TargetMode="External"/><Relationship Id="rId892" Type="http://schemas.openxmlformats.org/officeDocument/2006/relationships/hyperlink" Target="file:///\\cot-dc01.cot-i.com\CapRockDocuments\Engineering\01_Designs\2272\2272%20@%200.25%20IPR.xls" TargetMode="External"/><Relationship Id="rId100" Type="http://schemas.openxmlformats.org/officeDocument/2006/relationships/hyperlink" Target="file:///\\cot-dc01.cot-i.com\CapRockDocuments\Engineering\01_Designs\2077\2077A_Summary.docx" TargetMode="External"/><Relationship Id="rId338" Type="http://schemas.openxmlformats.org/officeDocument/2006/relationships/hyperlink" Target="file:///\\cot-dc01.cot-i.com\CapRockDocuments\Engineering\02_Spec%20Sheets\WIP%202.0\7348.1941\1941.ISO.C.png" TargetMode="External"/><Relationship Id="rId545" Type="http://schemas.openxmlformats.org/officeDocument/2006/relationships/hyperlink" Target="file:///\\cot-dc01.cot-i.com\CapRockDocuments\Engineering\02_Spec%20Sheets\WIP%202.0\5959.2217\2217.Top.C.png" TargetMode="External"/><Relationship Id="rId752" Type="http://schemas.openxmlformats.org/officeDocument/2006/relationships/hyperlink" Target="file:///\\cot-dc01.cot-i.com\CapRockDocuments\Engineering\01_Designs\2217\2217%20@%200.25%20IPR.dwg" TargetMode="External"/><Relationship Id="rId1175" Type="http://schemas.openxmlformats.org/officeDocument/2006/relationships/hyperlink" Target="file:///\\cot-dc01.cot-i.com\CapRockDocuments\Engineering\02_Spec%20Sheets\Original%20Assy%20Spec%20Sheets\2556r0c2%20Spec%20Sheet.pdf" TargetMode="External"/><Relationship Id="rId1382" Type="http://schemas.openxmlformats.org/officeDocument/2006/relationships/hyperlink" Target="file:///\\cot-sql01\sedata\cot-i\eg\se\rel\Fixed%20Cutter%20Rockbits%20SKF\Size%2010.625\Blade%206\9944r00%20at%200.250%20in_rev.par" TargetMode="External"/><Relationship Id="rId405" Type="http://schemas.openxmlformats.org/officeDocument/2006/relationships/hyperlink" Target="file:///\\cot-dc01.cot-i.com\CapRockDocuments\Engineering\02_Spec%20Sheets\WIP%202.0\6895.2266\2266.ISO.C.png" TargetMode="External"/><Relationship Id="rId612" Type="http://schemas.openxmlformats.org/officeDocument/2006/relationships/hyperlink" Target="file:///\\COT-SQL01\SEData\cot-i\eg\se\rel\Fixed%20Cutter%20Rockbits%20SKF\Size%2008.500\Blade%204\SKF-01991r02.asm" TargetMode="External"/><Relationship Id="rId1035" Type="http://schemas.openxmlformats.org/officeDocument/2006/relationships/hyperlink" Target="file:///\\cot-dc01.cot-i.com\CapRockDocuments\Engineering\01_Designs\2036\2036%20LO.dwg" TargetMode="External"/><Relationship Id="rId1242" Type="http://schemas.openxmlformats.org/officeDocument/2006/relationships/hyperlink" Target="file:///\\COT-SQL01\SEData\cot-i\eg\se\rel\Fixed%20Cutter%20Rockbits%20SKF\Size%2017.500\Blade%206\SKF-04288r00.asm" TargetMode="External"/><Relationship Id="rId917" Type="http://schemas.openxmlformats.org/officeDocument/2006/relationships/hyperlink" Target="file:///\\cot-dc01.cot-i.com\CapRockDocuments\Engineering\01_Designs\2075\2075%20@%200.25%20IPR.xls" TargetMode="External"/><Relationship Id="rId1102" Type="http://schemas.openxmlformats.org/officeDocument/2006/relationships/hyperlink" Target="file:///\\COT-SQL01\SEData\cot-i\eg\se\rel\Fixed%20Cutter%20Rockbits%20SKF\Size%2007.875\Blade%204\SKF-04720r01.asm" TargetMode="External"/><Relationship Id="rId46" Type="http://schemas.openxmlformats.org/officeDocument/2006/relationships/hyperlink" Target="file:///\\cot-dc01.cot-i.com\CapRockDocuments\Engineering\01_Designs\2143\CDG-38746r1.xls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B2F10-104A-4A89-9584-DC0B6E25FA9B}">
  <dimension ref="B1:BW156"/>
  <sheetViews>
    <sheetView tabSelected="1" workbookViewId="0"/>
  </sheetViews>
  <sheetFormatPr defaultRowHeight="15" x14ac:dyDescent="0.25"/>
  <cols>
    <col min="1" max="1" width="2.7109375" customWidth="1"/>
    <col min="2" max="2" width="5" bestFit="1" customWidth="1"/>
    <col min="3" max="3" width="6" bestFit="1" customWidth="1"/>
    <col min="4" max="18" width="4.7109375" customWidth="1"/>
    <col min="19" max="19" width="8.42578125" bestFit="1" customWidth="1"/>
    <col min="20" max="23" width="3.7109375" customWidth="1"/>
    <col min="24" max="24" width="8.28515625" bestFit="1" customWidth="1"/>
    <col min="25" max="25" width="19.7109375" bestFit="1" customWidth="1"/>
    <col min="26" max="33" width="8.28515625" bestFit="1" customWidth="1"/>
    <col min="34" max="34" width="11.28515625" bestFit="1" customWidth="1"/>
    <col min="35" max="35" width="8.28515625" bestFit="1" customWidth="1"/>
    <col min="36" max="36" width="45.140625" bestFit="1" customWidth="1"/>
    <col min="37" max="37" width="61.42578125" bestFit="1" customWidth="1"/>
    <col min="38" max="38" width="8.28515625" bestFit="1" customWidth="1"/>
    <col min="39" max="40" width="12.140625" bestFit="1" customWidth="1"/>
    <col min="41" max="43" width="8.28515625" bestFit="1" customWidth="1"/>
    <col min="44" max="44" width="11.5703125" bestFit="1" customWidth="1"/>
    <col min="45" max="45" width="10" bestFit="1" customWidth="1"/>
    <col min="46" max="50" width="8.28515625" bestFit="1" customWidth="1"/>
    <col min="51" max="51" width="12.7109375" bestFit="1" customWidth="1"/>
    <col min="52" max="59" width="8.28515625" bestFit="1" customWidth="1"/>
    <col min="60" max="60" width="8.85546875" bestFit="1" customWidth="1"/>
    <col min="61" max="61" width="8.28515625" bestFit="1" customWidth="1"/>
    <col min="62" max="62" width="255.7109375" bestFit="1" customWidth="1"/>
    <col min="63" max="63" width="251.42578125" bestFit="1" customWidth="1"/>
    <col min="64" max="65" width="8.28515625" bestFit="1" customWidth="1"/>
    <col min="66" max="66" width="8.5703125" bestFit="1" customWidth="1"/>
    <col min="67" max="75" width="8.28515625" bestFit="1" customWidth="1"/>
  </cols>
  <sheetData>
    <row r="1" spans="2:75" x14ac:dyDescent="0.25">
      <c r="B1" s="1"/>
      <c r="C1" s="2"/>
      <c r="D1" s="3" t="s">
        <v>0</v>
      </c>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5"/>
    </row>
    <row r="2" spans="2:75" x14ac:dyDescent="0.25">
      <c r="B2" s="1"/>
      <c r="C2" s="2"/>
      <c r="D2" s="6" t="s">
        <v>1</v>
      </c>
      <c r="E2" s="7"/>
      <c r="F2" s="7"/>
      <c r="G2" s="7"/>
      <c r="H2" s="7"/>
      <c r="I2" s="7"/>
      <c r="J2" s="7"/>
      <c r="K2" s="7"/>
      <c r="L2" s="7"/>
      <c r="M2" s="7"/>
      <c r="N2" s="7"/>
      <c r="O2" s="7"/>
      <c r="P2" s="7"/>
      <c r="Q2" s="7"/>
      <c r="R2" s="8"/>
      <c r="S2" s="9"/>
      <c r="T2" s="10"/>
      <c r="U2" s="11"/>
      <c r="V2" s="11"/>
      <c r="W2" s="12"/>
      <c r="X2" s="13" t="s">
        <v>2</v>
      </c>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5"/>
    </row>
    <row r="3" spans="2:75" x14ac:dyDescent="0.25">
      <c r="B3" s="1"/>
      <c r="C3" s="2"/>
      <c r="D3" s="16" t="s">
        <v>3</v>
      </c>
      <c r="E3" s="17" t="s">
        <v>4</v>
      </c>
      <c r="F3" s="18" t="s">
        <v>5</v>
      </c>
      <c r="G3" s="18" t="s">
        <v>6</v>
      </c>
      <c r="H3" s="18" t="s">
        <v>7</v>
      </c>
      <c r="I3" s="19" t="s">
        <v>8</v>
      </c>
      <c r="J3" s="19"/>
      <c r="K3" s="18" t="s">
        <v>9</v>
      </c>
      <c r="L3" s="18" t="s">
        <v>5</v>
      </c>
      <c r="M3" s="20" t="s">
        <v>10</v>
      </c>
      <c r="N3" s="21"/>
      <c r="O3" s="21"/>
      <c r="P3" s="22"/>
      <c r="Q3" s="18" t="s">
        <v>5</v>
      </c>
      <c r="R3" s="23" t="s">
        <v>11</v>
      </c>
      <c r="S3" s="24"/>
      <c r="T3" s="25"/>
      <c r="U3" s="26"/>
      <c r="V3" s="26"/>
      <c r="W3" s="27"/>
      <c r="X3" s="28" t="s">
        <v>12</v>
      </c>
      <c r="Y3" s="29"/>
      <c r="Z3" s="29"/>
      <c r="AA3" s="29"/>
      <c r="AB3" s="29"/>
      <c r="AC3" s="29"/>
      <c r="AD3" s="29"/>
      <c r="AE3" s="29"/>
      <c r="AF3" s="29"/>
      <c r="AG3" s="29"/>
      <c r="AH3" s="29"/>
      <c r="AI3" s="30"/>
      <c r="AJ3" s="31"/>
      <c r="AK3" s="31"/>
      <c r="AL3" s="31"/>
      <c r="AM3" s="32" t="s">
        <v>13</v>
      </c>
      <c r="AN3" s="33" t="s">
        <v>14</v>
      </c>
      <c r="AO3" s="33"/>
      <c r="AP3" s="33"/>
      <c r="AQ3" s="31"/>
      <c r="AR3" s="33"/>
      <c r="AS3" s="33"/>
      <c r="AT3" s="33"/>
      <c r="AU3" s="33"/>
      <c r="AV3" s="33"/>
      <c r="AW3" s="35" t="s">
        <v>15</v>
      </c>
      <c r="AX3" s="29"/>
      <c r="AY3" s="29"/>
      <c r="AZ3" s="29"/>
      <c r="BA3" s="29"/>
      <c r="BB3" s="29"/>
      <c r="BC3" s="29"/>
      <c r="BD3" s="29"/>
      <c r="BE3" s="29"/>
      <c r="BF3" s="29"/>
      <c r="BG3" s="29"/>
      <c r="BH3" s="29"/>
      <c r="BI3" s="29"/>
      <c r="BJ3" s="30"/>
      <c r="BK3" s="36"/>
      <c r="BL3" s="36"/>
      <c r="BM3" s="35" t="s">
        <v>16</v>
      </c>
      <c r="BN3" s="29"/>
      <c r="BO3" s="30"/>
      <c r="BP3" s="35" t="s">
        <v>17</v>
      </c>
      <c r="BQ3" s="29"/>
      <c r="BR3" s="29"/>
      <c r="BS3" s="30"/>
      <c r="BT3" s="35" t="s">
        <v>18</v>
      </c>
      <c r="BU3" s="29"/>
      <c r="BV3" s="29"/>
      <c r="BW3" s="34"/>
    </row>
    <row r="4" spans="2:75" ht="295.5" thickBot="1" x14ac:dyDescent="0.3">
      <c r="B4" s="37" t="s">
        <v>19</v>
      </c>
      <c r="C4" s="38" t="s">
        <v>20</v>
      </c>
      <c r="D4" s="145" t="s">
        <v>21</v>
      </c>
      <c r="E4" s="39" t="s">
        <v>22</v>
      </c>
      <c r="F4" s="39" t="s">
        <v>23</v>
      </c>
      <c r="G4" s="39" t="s">
        <v>24</v>
      </c>
      <c r="H4" s="39" t="s">
        <v>25</v>
      </c>
      <c r="I4" s="39" t="s">
        <v>26</v>
      </c>
      <c r="J4" s="39" t="s">
        <v>27</v>
      </c>
      <c r="K4" s="39" t="s">
        <v>28</v>
      </c>
      <c r="L4" s="39" t="s">
        <v>29</v>
      </c>
      <c r="M4" s="39" t="s">
        <v>30</v>
      </c>
      <c r="N4" s="39" t="s">
        <v>31</v>
      </c>
      <c r="O4" s="39" t="s">
        <v>32</v>
      </c>
      <c r="P4" s="39" t="s">
        <v>33</v>
      </c>
      <c r="Q4" s="39" t="s">
        <v>34</v>
      </c>
      <c r="R4" s="40" t="s">
        <v>35</v>
      </c>
      <c r="S4" s="41" t="s">
        <v>36</v>
      </c>
      <c r="T4" s="42" t="s">
        <v>37</v>
      </c>
      <c r="U4" s="42" t="s">
        <v>38</v>
      </c>
      <c r="V4" s="42" t="s">
        <v>39</v>
      </c>
      <c r="W4" s="43" t="s">
        <v>40</v>
      </c>
      <c r="X4" s="44" t="s">
        <v>41</v>
      </c>
      <c r="Y4" s="39" t="s">
        <v>42</v>
      </c>
      <c r="Z4" s="39" t="s">
        <v>43</v>
      </c>
      <c r="AA4" s="39" t="s">
        <v>44</v>
      </c>
      <c r="AB4" s="39" t="s">
        <v>45</v>
      </c>
      <c r="AC4" s="39" t="s">
        <v>46</v>
      </c>
      <c r="AD4" s="39" t="s">
        <v>47</v>
      </c>
      <c r="AE4" s="39" t="s">
        <v>48</v>
      </c>
      <c r="AF4" s="39" t="s">
        <v>49</v>
      </c>
      <c r="AG4" s="39" t="s">
        <v>50</v>
      </c>
      <c r="AH4" s="39" t="s">
        <v>51</v>
      </c>
      <c r="AI4" s="39" t="s">
        <v>52</v>
      </c>
      <c r="AJ4" s="39" t="s">
        <v>53</v>
      </c>
      <c r="AK4" s="39" t="s">
        <v>54</v>
      </c>
      <c r="AL4" s="45" t="s">
        <v>55</v>
      </c>
      <c r="AM4" s="39" t="s">
        <v>56</v>
      </c>
      <c r="AN4" s="39" t="s">
        <v>57</v>
      </c>
      <c r="AO4" s="45" t="s">
        <v>58</v>
      </c>
      <c r="AP4" s="46" t="s">
        <v>59</v>
      </c>
      <c r="AQ4" s="48" t="s">
        <v>60</v>
      </c>
      <c r="AR4" s="49" t="s">
        <v>61</v>
      </c>
      <c r="AS4" s="39" t="s">
        <v>62</v>
      </c>
      <c r="AT4" s="49" t="s">
        <v>63</v>
      </c>
      <c r="AU4" s="50" t="s">
        <v>64</v>
      </c>
      <c r="AV4" s="50" t="s">
        <v>65</v>
      </c>
      <c r="AW4" s="39" t="s">
        <v>66</v>
      </c>
      <c r="AX4" s="39" t="s">
        <v>67</v>
      </c>
      <c r="AY4" s="45" t="s">
        <v>68</v>
      </c>
      <c r="AZ4" s="45" t="s">
        <v>69</v>
      </c>
      <c r="BA4" s="39" t="s">
        <v>70</v>
      </c>
      <c r="BB4" s="39" t="s">
        <v>71</v>
      </c>
      <c r="BC4" s="39" t="s">
        <v>72</v>
      </c>
      <c r="BD4" s="39" t="s">
        <v>73</v>
      </c>
      <c r="BE4" s="39" t="s">
        <v>74</v>
      </c>
      <c r="BF4" s="39" t="s">
        <v>75</v>
      </c>
      <c r="BG4" s="39" t="s">
        <v>76</v>
      </c>
      <c r="BH4" s="39" t="s">
        <v>77</v>
      </c>
      <c r="BI4" s="39" t="s">
        <v>78</v>
      </c>
      <c r="BJ4" s="39" t="s">
        <v>79</v>
      </c>
      <c r="BK4" s="39" t="s">
        <v>80</v>
      </c>
      <c r="BL4" s="45" t="s">
        <v>81</v>
      </c>
      <c r="BM4" s="39" t="s">
        <v>82</v>
      </c>
      <c r="BN4" s="51" t="s">
        <v>83</v>
      </c>
      <c r="BO4" s="52" t="s">
        <v>84</v>
      </c>
      <c r="BP4" s="39" t="s">
        <v>85</v>
      </c>
      <c r="BQ4" s="39" t="s">
        <v>86</v>
      </c>
      <c r="BR4" s="39" t="s">
        <v>87</v>
      </c>
      <c r="BS4" s="39" t="s">
        <v>88</v>
      </c>
      <c r="BT4" s="39" t="s">
        <v>89</v>
      </c>
      <c r="BU4" s="39" t="s">
        <v>90</v>
      </c>
      <c r="BV4" s="39" t="s">
        <v>91</v>
      </c>
      <c r="BW4" s="47" t="s">
        <v>92</v>
      </c>
    </row>
    <row r="5" spans="2:75" ht="15.75" thickTop="1" x14ac:dyDescent="0.25">
      <c r="B5" s="1">
        <v>1941</v>
      </c>
      <c r="C5" s="2"/>
      <c r="D5" s="146" t="s">
        <v>93</v>
      </c>
      <c r="E5" s="53" t="s">
        <v>93</v>
      </c>
      <c r="F5" s="53" t="s">
        <v>93</v>
      </c>
      <c r="G5" s="54" t="s">
        <v>94</v>
      </c>
      <c r="H5" s="53" t="s">
        <v>93</v>
      </c>
      <c r="I5" s="54" t="s">
        <v>95</v>
      </c>
      <c r="J5" s="54" t="s">
        <v>96</v>
      </c>
      <c r="K5" s="54" t="s">
        <v>97</v>
      </c>
      <c r="L5" s="54" t="s">
        <v>98</v>
      </c>
      <c r="M5" s="53" t="s">
        <v>93</v>
      </c>
      <c r="N5" s="55" t="s">
        <v>99</v>
      </c>
      <c r="O5" s="54" t="s">
        <v>100</v>
      </c>
      <c r="P5" s="53" t="s">
        <v>93</v>
      </c>
      <c r="Q5" s="53" t="s">
        <v>93</v>
      </c>
      <c r="R5" s="23">
        <f>COUNTIFS([1]Fleet!$E:$E,Table1[[#This Row],[Old Assy '#]])+COUNTIFS([1]OnDeck!$E:$E,Table1[[#This Row],[Old Assy '#]])</f>
        <v>1</v>
      </c>
      <c r="S5" s="24">
        <v>40310</v>
      </c>
      <c r="T5" s="26"/>
      <c r="U5" s="26" t="s">
        <v>101</v>
      </c>
      <c r="V5" s="26"/>
      <c r="W5" s="56" t="str">
        <f>IF(AND(Table1[[#This Row],[Phase Out]]="Y",Table1[[#This Row],[Zero Inventory]]="Y"),"Y","")</f>
        <v/>
      </c>
      <c r="X5" s="57">
        <v>7.625</v>
      </c>
      <c r="Y5" s="58" t="s">
        <v>102</v>
      </c>
      <c r="Z5" s="59" t="str">
        <f>IF(LEFT(Table1[[#This Row],[Model]],2)="NX","NX",IF(LEFT(Table1[[#This Row],[Model]],2)="CR","CR",""))</f>
        <v>CR</v>
      </c>
      <c r="AA5" s="59" t="str">
        <f>LEFT(SUBSTITUTE(SUBSTITUTE(Table1[[#This Row],[Model]],"NX",""),"CR",""),1)</f>
        <v>6</v>
      </c>
      <c r="AB5" s="59" t="str">
        <f>MID(SUBSTITUTE(SUBSTITUTE(Table1[[#This Row],[Model]],"NX",""),"CR",""),2,2)</f>
        <v>13</v>
      </c>
      <c r="AC5" s="60" t="str">
        <f>IF(ISNUMBER(FIND("M",Table1[[#This Row],[Model]])),"M","")</f>
        <v/>
      </c>
      <c r="AD5" s="60" t="str">
        <f>CONCATENATE(MID(Table1[[#This Row],[Model]],FIND("-",Table1[[#This Row],[Model]])+1,2),IF(RIGHT(MID(Table1[[#This Row],[Model]],FIND("-",Table1[[#This Row],[Model]])+1,3),1)="+","+",""))</f>
        <v>SR</v>
      </c>
      <c r="AE5"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5" s="60" t="str">
        <f>IF(ISNUMBER(SEARCH("(K)",Table1[[#This Row],[Model]])),"(K)","")</f>
        <v>(K)</v>
      </c>
      <c r="AG5" s="60" t="str">
        <f>IF(ISNUMBER(SEARCH("(BR)",Table1[[#This Row],[Model]])),"(BR)","")</f>
        <v/>
      </c>
      <c r="AH5" s="32" t="s">
        <v>103</v>
      </c>
      <c r="AI5" s="61" t="s">
        <v>104</v>
      </c>
      <c r="AJ5" s="62" t="s">
        <v>105</v>
      </c>
      <c r="AK5" s="61"/>
      <c r="AL5" s="61" t="s">
        <v>106</v>
      </c>
      <c r="AM5" s="63" t="s">
        <v>107</v>
      </c>
      <c r="AN5" s="64" t="s">
        <v>108</v>
      </c>
      <c r="AO5" s="65"/>
      <c r="AP5" s="66"/>
      <c r="AQ5" s="67">
        <f>VALUE(SUBSTITUTE(INDEX('[2]M1 App'!$A$2:$R$349,MATCH(VALUE(LEFT(Table1[[#This Row],[Old Assy '#]],4)),'[2]M1 App'!$B$2:$B$349,0),MATCH(Table1[[#Headers],[App Six Three]],'[2]M1 App'!$A$1:$R$1,0))," ",""))</f>
        <v>0</v>
      </c>
      <c r="AR5" s="68" t="s">
        <v>109</v>
      </c>
      <c r="AS5" s="61" t="s">
        <v>110</v>
      </c>
      <c r="AT5" s="61">
        <v>7.4375</v>
      </c>
      <c r="AU5" s="69">
        <f>IF(ISNUMBER(Table1[[#This Row],[Above gauge Ø]]),((Table1[[#This Row],[Size]]-Table1[[#This Row],[Above gauge Ø]])/2)-0.05,"")</f>
        <v>4.3749999999999997E-2</v>
      </c>
      <c r="AV5" s="70">
        <v>0.33</v>
      </c>
      <c r="AW5" s="61" t="s">
        <v>111</v>
      </c>
      <c r="AX5" s="61">
        <v>7.625</v>
      </c>
      <c r="AY5" s="61" t="s">
        <v>112</v>
      </c>
      <c r="AZ5" s="61">
        <v>15</v>
      </c>
      <c r="BA5" s="61"/>
      <c r="BB5" s="71"/>
      <c r="BC5" s="71"/>
      <c r="BD5" s="71">
        <v>0</v>
      </c>
      <c r="BE5" s="71">
        <v>0</v>
      </c>
      <c r="BF5" s="61" t="s">
        <v>113</v>
      </c>
      <c r="BG5" s="61">
        <v>15</v>
      </c>
      <c r="BH5" s="61" t="s">
        <v>114</v>
      </c>
      <c r="BI5" s="61">
        <v>30</v>
      </c>
      <c r="BJ5" s="2" t="e">
        <f>CONCATENATE("► M1 Notes: ",#REF!," •-----► CL-SKF Notes: ",#REF!," •-----► DS Notes: ",#REF!)</f>
        <v>#REF!</v>
      </c>
      <c r="BK5" s="2"/>
      <c r="BL5" s="61">
        <v>2</v>
      </c>
      <c r="BM5" s="61" t="s">
        <v>115</v>
      </c>
      <c r="BN5" s="72">
        <v>18.213000000000001</v>
      </c>
      <c r="BO5" s="73">
        <v>9.7799999999999994</v>
      </c>
      <c r="BP5" s="61" t="s">
        <v>116</v>
      </c>
      <c r="BQ5" s="61" t="s">
        <v>101</v>
      </c>
      <c r="BR5" s="61" t="s">
        <v>116</v>
      </c>
      <c r="BS5" s="61">
        <v>60</v>
      </c>
      <c r="BT5" s="61" t="s">
        <v>117</v>
      </c>
      <c r="BU5" s="61">
        <v>6</v>
      </c>
      <c r="BV5" s="61" t="s">
        <v>117</v>
      </c>
      <c r="BW5" s="74">
        <v>1.49</v>
      </c>
    </row>
    <row r="6" spans="2:75" x14ac:dyDescent="0.25">
      <c r="B6" s="1">
        <v>1959</v>
      </c>
      <c r="C6" s="2"/>
      <c r="D6" s="146" t="s">
        <v>93</v>
      </c>
      <c r="E6" s="75" t="s">
        <v>93</v>
      </c>
      <c r="F6" s="75" t="s">
        <v>93</v>
      </c>
      <c r="G6" s="55" t="s">
        <v>118</v>
      </c>
      <c r="H6" s="75" t="s">
        <v>93</v>
      </c>
      <c r="I6" s="55" t="s">
        <v>119</v>
      </c>
      <c r="J6" s="55" t="s">
        <v>120</v>
      </c>
      <c r="K6" s="55" t="s">
        <v>121</v>
      </c>
      <c r="L6" s="55" t="s">
        <v>122</v>
      </c>
      <c r="M6" s="75" t="s">
        <v>93</v>
      </c>
      <c r="N6" s="55" t="s">
        <v>123</v>
      </c>
      <c r="O6" s="55" t="s">
        <v>124</v>
      </c>
      <c r="P6" s="75" t="s">
        <v>93</v>
      </c>
      <c r="Q6" s="53" t="s">
        <v>93</v>
      </c>
      <c r="R6" s="76">
        <f>COUNTIFS([1]Fleet!$E:$E,Table1[[#This Row],[Old Assy '#]])+COUNTIFS([1]OnDeck!$E:$E,Table1[[#This Row],[Old Assy '#]])</f>
        <v>2</v>
      </c>
      <c r="S6" s="77">
        <v>40716</v>
      </c>
      <c r="T6" s="78"/>
      <c r="U6" s="78"/>
      <c r="V6" s="78"/>
      <c r="W6" s="56" t="str">
        <f>IF(AND(Table1[[#This Row],[Phase Out]]="Y",Table1[[#This Row],[Zero Inventory]]="Y"),"Y","")</f>
        <v/>
      </c>
      <c r="X6" s="79">
        <v>11</v>
      </c>
      <c r="Y6" s="63" t="s">
        <v>125</v>
      </c>
      <c r="Z6" s="59" t="str">
        <f>IF(LEFT(Table1[[#This Row],[Model]],2)="NX","NX",IF(LEFT(Table1[[#This Row],[Model]],2)="CR","CR",""))</f>
        <v>CR</v>
      </c>
      <c r="AA6" s="59" t="str">
        <f>LEFT(SUBSTITUTE(SUBSTITUTE(Table1[[#This Row],[Model]],"NX",""),"CR",""),1)</f>
        <v>6</v>
      </c>
      <c r="AB6" s="59" t="str">
        <f>MID(SUBSTITUTE(SUBSTITUTE(Table1[[#This Row],[Model]],"NX",""),"CR",""),2,2)</f>
        <v>16</v>
      </c>
      <c r="AC6" s="64" t="str">
        <f>IF(ISNUMBER(FIND("M",Table1[[#This Row],[Model]])),"M","")</f>
        <v/>
      </c>
      <c r="AD6" s="64" t="str">
        <f>CONCATENATE(MID(Table1[[#This Row],[Model]],FIND("-",Table1[[#This Row],[Model]])+1,2),IF(RIGHT(MID(Table1[[#This Row],[Model]],FIND("-",Table1[[#This Row],[Model]])+1,3),1)="+","+",""))</f>
        <v>SR</v>
      </c>
      <c r="AE6"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6" s="64" t="str">
        <f>IF(ISNUMBER(SEARCH("(K)",Table1[[#This Row],[Model]])),"(K)","")</f>
        <v/>
      </c>
      <c r="AG6" s="64" t="str">
        <f>IF(ISNUMBER(SEARCH("(BR)",Table1[[#This Row],[Model]])),"(BR)","")</f>
        <v/>
      </c>
      <c r="AH6" s="32" t="s">
        <v>103</v>
      </c>
      <c r="AI6" s="32" t="s">
        <v>126</v>
      </c>
      <c r="AJ6" s="32"/>
      <c r="AK6" s="32"/>
      <c r="AL6" s="32" t="s">
        <v>106</v>
      </c>
      <c r="AM6" s="63" t="s">
        <v>107</v>
      </c>
      <c r="AN6" s="64" t="s">
        <v>127</v>
      </c>
      <c r="AO6" s="65"/>
      <c r="AP6" s="66"/>
      <c r="AQ6" s="80">
        <v>0.1</v>
      </c>
      <c r="AR6" s="68" t="s">
        <v>109</v>
      </c>
      <c r="AS6" s="32" t="s">
        <v>128</v>
      </c>
      <c r="AT6" s="32">
        <v>10.75</v>
      </c>
      <c r="AU6" s="69">
        <f>IF(ISNUMBER(Table1[[#This Row],[Above gauge Ø]]),((Table1[[#This Row],[Size]]-Table1[[#This Row],[Above gauge Ø]])/2)-0.05,"")</f>
        <v>7.4999999999999997E-2</v>
      </c>
      <c r="AV6" s="70">
        <v>0.33</v>
      </c>
      <c r="AW6" s="81" t="s">
        <v>111</v>
      </c>
      <c r="AX6" s="32">
        <v>10.4352</v>
      </c>
      <c r="AY6" s="32" t="s">
        <v>129</v>
      </c>
      <c r="AZ6" s="32">
        <v>15</v>
      </c>
      <c r="BA6" s="32">
        <v>100</v>
      </c>
      <c r="BB6" s="82"/>
      <c r="BC6" s="82"/>
      <c r="BD6" s="82"/>
      <c r="BE6" s="82"/>
      <c r="BF6" s="32" t="s">
        <v>130</v>
      </c>
      <c r="BG6" s="32">
        <v>15</v>
      </c>
      <c r="BH6" s="32" t="s">
        <v>114</v>
      </c>
      <c r="BI6" s="32">
        <v>30.2</v>
      </c>
      <c r="BJ6" s="17" t="e">
        <f>CONCATENATE("► M1 Notes: ",#REF!," •-----► CL-SKF Notes: ",#REF!," •-----► DS Notes: ",#REF!)</f>
        <v>#REF!</v>
      </c>
      <c r="BK6" s="17"/>
      <c r="BL6" s="32">
        <v>3</v>
      </c>
      <c r="BM6" s="32" t="s">
        <v>115</v>
      </c>
      <c r="BN6" s="83">
        <v>28</v>
      </c>
      <c r="BO6" s="31">
        <v>27.65</v>
      </c>
      <c r="BP6" s="32" t="s">
        <v>101</v>
      </c>
      <c r="BQ6" s="32" t="s">
        <v>101</v>
      </c>
      <c r="BR6" s="32" t="s">
        <v>116</v>
      </c>
      <c r="BS6" s="32">
        <v>60</v>
      </c>
      <c r="BT6" s="32" t="s">
        <v>117</v>
      </c>
      <c r="BU6" s="32">
        <v>9</v>
      </c>
      <c r="BV6" s="32" t="s">
        <v>117</v>
      </c>
      <c r="BW6" s="84">
        <v>3.34</v>
      </c>
    </row>
    <row r="7" spans="2:75" x14ac:dyDescent="0.25">
      <c r="B7" s="1">
        <v>1961</v>
      </c>
      <c r="C7" s="2"/>
      <c r="D7" s="146" t="s">
        <v>93</v>
      </c>
      <c r="E7" s="85" t="s">
        <v>131</v>
      </c>
      <c r="F7" s="86" t="s">
        <v>93</v>
      </c>
      <c r="G7" s="85" t="s">
        <v>132</v>
      </c>
      <c r="H7" s="86" t="s">
        <v>93</v>
      </c>
      <c r="I7" s="85" t="s">
        <v>133</v>
      </c>
      <c r="J7" s="85" t="s">
        <v>134</v>
      </c>
      <c r="K7" s="85" t="s">
        <v>135</v>
      </c>
      <c r="L7" s="85" t="s">
        <v>136</v>
      </c>
      <c r="M7" s="86" t="s">
        <v>93</v>
      </c>
      <c r="N7" s="55" t="s">
        <v>137</v>
      </c>
      <c r="O7" s="85" t="s">
        <v>138</v>
      </c>
      <c r="P7" s="86" t="s">
        <v>93</v>
      </c>
      <c r="Q7" s="53" t="s">
        <v>93</v>
      </c>
      <c r="R7" s="87">
        <f>COUNTIFS([1]Fleet!$E:$E,Table1[[#This Row],[Old Assy '#]])+COUNTIFS([1]OnDeck!$E:$E,Table1[[#This Row],[Old Assy '#]])</f>
        <v>3</v>
      </c>
      <c r="S7" s="88">
        <v>40738</v>
      </c>
      <c r="T7" s="89"/>
      <c r="U7" s="89"/>
      <c r="V7" s="89"/>
      <c r="W7" s="56" t="str">
        <f>IF(AND(Table1[[#This Row],[Phase Out]]="Y",Table1[[#This Row],[Zero Inventory]]="Y"),"Y","")</f>
        <v/>
      </c>
      <c r="X7" s="90">
        <v>12.25</v>
      </c>
      <c r="Y7" s="91" t="s">
        <v>125</v>
      </c>
      <c r="Z7" s="59" t="str">
        <f>IF(LEFT(Table1[[#This Row],[Model]],2)="NX","NX",IF(LEFT(Table1[[#This Row],[Model]],2)="CR","CR",""))</f>
        <v>CR</v>
      </c>
      <c r="AA7" s="59" t="str">
        <f>LEFT(SUBSTITUTE(SUBSTITUTE(Table1[[#This Row],[Model]],"NX",""),"CR",""),1)</f>
        <v>6</v>
      </c>
      <c r="AB7" s="59" t="str">
        <f>MID(SUBSTITUTE(SUBSTITUTE(Table1[[#This Row],[Model]],"NX",""),"CR",""),2,2)</f>
        <v>16</v>
      </c>
      <c r="AC7" s="59" t="str">
        <f>IF(ISNUMBER(FIND("M",Table1[[#This Row],[Model]])),"M","")</f>
        <v/>
      </c>
      <c r="AD7" s="59" t="str">
        <f>CONCATENATE(MID(Table1[[#This Row],[Model]],FIND("-",Table1[[#This Row],[Model]])+1,2),IF(RIGHT(MID(Table1[[#This Row],[Model]],FIND("-",Table1[[#This Row],[Model]])+1,3),1)="+","+",""))</f>
        <v>SR</v>
      </c>
      <c r="AE7"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7" s="59" t="str">
        <f>IF(ISNUMBER(SEARCH("(K)",Table1[[#This Row],[Model]])),"(K)","")</f>
        <v/>
      </c>
      <c r="AG7" s="59" t="str">
        <f>IF(ISNUMBER(SEARCH("(BR)",Table1[[#This Row],[Model]])),"(BR)","")</f>
        <v/>
      </c>
      <c r="AH7" s="32" t="s">
        <v>103</v>
      </c>
      <c r="AI7" s="32" t="s">
        <v>126</v>
      </c>
      <c r="AJ7" s="32"/>
      <c r="AK7" s="32"/>
      <c r="AL7" s="32" t="s">
        <v>106</v>
      </c>
      <c r="AM7" s="63" t="s">
        <v>107</v>
      </c>
      <c r="AN7" s="59" t="s">
        <v>139</v>
      </c>
      <c r="AO7" s="92"/>
      <c r="AP7" s="93"/>
      <c r="AQ7" s="94">
        <v>0.1</v>
      </c>
      <c r="AR7" s="68" t="s">
        <v>109</v>
      </c>
      <c r="AS7" s="95" t="s">
        <v>128</v>
      </c>
      <c r="AT7" s="96">
        <v>11.875</v>
      </c>
      <c r="AU7" s="69">
        <f>IF(ISNUMBER(Table1[[#This Row],[Above gauge Ø]]),((Table1[[#This Row],[Size]]-Table1[[#This Row],[Above gauge Ø]])/2)-0.05,"")</f>
        <v>0.13750000000000001</v>
      </c>
      <c r="AV7" s="70">
        <v>0.33</v>
      </c>
      <c r="AW7" s="95" t="s">
        <v>111</v>
      </c>
      <c r="AX7" s="95">
        <v>12.1875</v>
      </c>
      <c r="AY7" s="95" t="s">
        <v>140</v>
      </c>
      <c r="AZ7" s="95">
        <v>15</v>
      </c>
      <c r="BA7" s="95">
        <v>100</v>
      </c>
      <c r="BB7" s="97"/>
      <c r="BC7" s="97"/>
      <c r="BD7" s="97"/>
      <c r="BE7" s="97"/>
      <c r="BF7" s="95" t="s">
        <v>141</v>
      </c>
      <c r="BG7" s="95">
        <v>15</v>
      </c>
      <c r="BH7" s="95" t="s">
        <v>142</v>
      </c>
      <c r="BI7" s="95">
        <v>30.1</v>
      </c>
      <c r="BJ7" s="98" t="e">
        <f>CONCATENATE("► M1 Notes: ",#REF!," •-----► CL-SKF Notes: ",#REF!," •-----► DS Notes: ",#REF!)</f>
        <v>#REF!</v>
      </c>
      <c r="BK7" s="98"/>
      <c r="BL7" s="95">
        <v>3</v>
      </c>
      <c r="BM7" s="95" t="s">
        <v>115</v>
      </c>
      <c r="BN7" s="99">
        <v>32.5</v>
      </c>
      <c r="BO7" s="100">
        <v>35.880000000000003</v>
      </c>
      <c r="BP7" s="95" t="s">
        <v>101</v>
      </c>
      <c r="BQ7" s="95" t="s">
        <v>101</v>
      </c>
      <c r="BR7" s="95" t="s">
        <v>116</v>
      </c>
      <c r="BS7" s="95">
        <v>60</v>
      </c>
      <c r="BT7" s="95" t="s">
        <v>117</v>
      </c>
      <c r="BU7" s="95">
        <v>9</v>
      </c>
      <c r="BV7" s="95" t="s">
        <v>117</v>
      </c>
      <c r="BW7" s="101">
        <v>3.34</v>
      </c>
    </row>
    <row r="8" spans="2:75" x14ac:dyDescent="0.25">
      <c r="B8" s="1">
        <v>1967</v>
      </c>
      <c r="C8" s="2"/>
      <c r="D8" s="146" t="s">
        <v>93</v>
      </c>
      <c r="E8" s="55" t="s">
        <v>143</v>
      </c>
      <c r="F8" s="55" t="s">
        <v>144</v>
      </c>
      <c r="G8" s="55" t="s">
        <v>145</v>
      </c>
      <c r="H8" s="75" t="s">
        <v>93</v>
      </c>
      <c r="I8" s="55" t="s">
        <v>146</v>
      </c>
      <c r="J8" s="55" t="s">
        <v>147</v>
      </c>
      <c r="K8" s="55" t="s">
        <v>148</v>
      </c>
      <c r="L8" s="55" t="s">
        <v>149</v>
      </c>
      <c r="M8" s="75" t="s">
        <v>93</v>
      </c>
      <c r="N8" s="55" t="s">
        <v>150</v>
      </c>
      <c r="O8" s="55" t="s">
        <v>151</v>
      </c>
      <c r="P8" s="53" t="s">
        <v>93</v>
      </c>
      <c r="Q8" s="53" t="s">
        <v>93</v>
      </c>
      <c r="R8" s="76">
        <f>COUNTIFS([1]Fleet!$E:$E,Table1[[#This Row],[Old Assy '#]])+COUNTIFS([1]OnDeck!$E:$E,Table1[[#This Row],[Old Assy '#]])</f>
        <v>1</v>
      </c>
      <c r="S8" s="77">
        <v>40764</v>
      </c>
      <c r="T8" s="78"/>
      <c r="U8" s="78" t="s">
        <v>101</v>
      </c>
      <c r="V8" s="78"/>
      <c r="W8" s="56" t="str">
        <f>IF(AND(Table1[[#This Row],[Phase Out]]="Y",Table1[[#This Row],[Zero Inventory]]="Y"),"Y","")</f>
        <v/>
      </c>
      <c r="X8" s="79">
        <v>8.75</v>
      </c>
      <c r="Y8" s="63" t="s">
        <v>152</v>
      </c>
      <c r="Z8" s="59" t="str">
        <f>IF(LEFT(Table1[[#This Row],[Model]],2)="NX","NX",IF(LEFT(Table1[[#This Row],[Model]],2)="CR","CR",""))</f>
        <v>CR</v>
      </c>
      <c r="AA8" s="59" t="str">
        <f>LEFT(SUBSTITUTE(SUBSTITUTE(Table1[[#This Row],[Model]],"NX",""),"CR",""),1)</f>
        <v>6</v>
      </c>
      <c r="AB8" s="59" t="str">
        <f>MID(SUBSTITUTE(SUBSTITUTE(Table1[[#This Row],[Model]],"NX",""),"CR",""),2,2)</f>
        <v>16</v>
      </c>
      <c r="AC8" s="64" t="str">
        <f>IF(ISNUMBER(FIND("M",Table1[[#This Row],[Model]])),"M","")</f>
        <v/>
      </c>
      <c r="AD8" s="64" t="str">
        <f>CONCATENATE(MID(Table1[[#This Row],[Model]],FIND("-",Table1[[#This Row],[Model]])+1,2),IF(RIGHT(MID(Table1[[#This Row],[Model]],FIND("-",Table1[[#This Row],[Model]])+1,3),1)="+","+",""))</f>
        <v>SR</v>
      </c>
      <c r="AE8"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8" s="64" t="str">
        <f>IF(ISNUMBER(SEARCH("(K)",Table1[[#This Row],[Model]])),"(K)","")</f>
        <v/>
      </c>
      <c r="AG8" s="64" t="str">
        <f>IF(ISNUMBER(SEARCH("(BR)",Table1[[#This Row],[Model]])),"(BR)","")</f>
        <v>(BR)</v>
      </c>
      <c r="AH8" s="32" t="s">
        <v>103</v>
      </c>
      <c r="AI8" s="32" t="s">
        <v>104</v>
      </c>
      <c r="AJ8" s="32"/>
      <c r="AK8" s="32"/>
      <c r="AL8" s="32" t="s">
        <v>106</v>
      </c>
      <c r="AM8" s="63" t="s">
        <v>107</v>
      </c>
      <c r="AN8" s="64" t="s">
        <v>108</v>
      </c>
      <c r="AO8" s="65"/>
      <c r="AP8" s="66"/>
      <c r="AQ8" s="67">
        <f>VALUE(SUBSTITUTE(INDEX('[2]M1 App'!$A$2:$R$349,MATCH(VALUE(LEFT(Table1[[#This Row],[Old Assy '#]],4)),'[2]M1 App'!$B$2:$B$349,0),MATCH(Table1[[#Headers],[App Six Three]],'[2]M1 App'!$A$1:$R$1,0))," ",""))</f>
        <v>0</v>
      </c>
      <c r="AR8" s="68" t="s">
        <v>109</v>
      </c>
      <c r="AS8" s="32" t="s">
        <v>128</v>
      </c>
      <c r="AT8" s="102">
        <v>8.5625</v>
      </c>
      <c r="AU8" s="69">
        <f>IF(ISNUMBER(Table1[[#This Row],[Above gauge Ø]]),((Table1[[#This Row],[Size]]-Table1[[#This Row],[Above gauge Ø]])/2)-0.05,"")</f>
        <v>4.3749999999999997E-2</v>
      </c>
      <c r="AV8" s="70">
        <v>0.33</v>
      </c>
      <c r="AW8" s="32" t="s">
        <v>111</v>
      </c>
      <c r="AX8" s="32">
        <v>8.75</v>
      </c>
      <c r="AY8" s="32" t="s">
        <v>112</v>
      </c>
      <c r="AZ8" s="32">
        <v>12.5</v>
      </c>
      <c r="BA8" s="32"/>
      <c r="BB8" s="82"/>
      <c r="BC8" s="82"/>
      <c r="BD8" s="82"/>
      <c r="BE8" s="82"/>
      <c r="BF8" s="32">
        <v>15</v>
      </c>
      <c r="BG8" s="32">
        <v>17.5</v>
      </c>
      <c r="BH8" s="32">
        <v>20</v>
      </c>
      <c r="BI8" s="32">
        <v>30</v>
      </c>
      <c r="BJ8" s="98" t="e">
        <f>CONCATENATE("► M1 Notes: ",#REF!," •-----► CL-SKF Notes: ",#REF!," •-----► DS Notes: ",#REF!)</f>
        <v>#REF!</v>
      </c>
      <c r="BK8" s="17"/>
      <c r="BL8" s="32">
        <v>2</v>
      </c>
      <c r="BM8" s="32" t="s">
        <v>115</v>
      </c>
      <c r="BN8" s="83">
        <v>19.79</v>
      </c>
      <c r="BO8" s="31">
        <v>14.67</v>
      </c>
      <c r="BP8" s="32" t="s">
        <v>116</v>
      </c>
      <c r="BQ8" s="32" t="s">
        <v>101</v>
      </c>
      <c r="BR8" s="32" t="s">
        <v>116</v>
      </c>
      <c r="BS8" s="32">
        <v>60</v>
      </c>
      <c r="BT8" s="32" t="s">
        <v>117</v>
      </c>
      <c r="BU8" s="32">
        <v>6</v>
      </c>
      <c r="BV8" s="32" t="s">
        <v>117</v>
      </c>
      <c r="BW8" s="103">
        <v>1.49</v>
      </c>
    </row>
    <row r="9" spans="2:75" x14ac:dyDescent="0.25">
      <c r="B9" s="1">
        <v>1970</v>
      </c>
      <c r="C9" s="2"/>
      <c r="D9" s="146" t="s">
        <v>93</v>
      </c>
      <c r="E9" s="55" t="s">
        <v>153</v>
      </c>
      <c r="F9" s="55" t="s">
        <v>154</v>
      </c>
      <c r="G9" s="55" t="s">
        <v>155</v>
      </c>
      <c r="H9" s="75" t="s">
        <v>93</v>
      </c>
      <c r="I9" s="55" t="s">
        <v>156</v>
      </c>
      <c r="J9" s="55" t="s">
        <v>157</v>
      </c>
      <c r="K9" s="55" t="s">
        <v>158</v>
      </c>
      <c r="L9" s="55" t="s">
        <v>159</v>
      </c>
      <c r="M9" s="75" t="s">
        <v>93</v>
      </c>
      <c r="N9" s="55" t="s">
        <v>160</v>
      </c>
      <c r="O9" s="55" t="s">
        <v>161</v>
      </c>
      <c r="P9" s="53" t="s">
        <v>93</v>
      </c>
      <c r="Q9" s="53" t="s">
        <v>93</v>
      </c>
      <c r="R9" s="76">
        <f>COUNTIFS([1]Fleet!$E:$E,Table1[[#This Row],[Old Assy '#]])+COUNTIFS([1]OnDeck!$E:$E,Table1[[#This Row],[Old Assy '#]])</f>
        <v>1</v>
      </c>
      <c r="S9" s="77">
        <v>40793</v>
      </c>
      <c r="T9" s="78"/>
      <c r="U9" s="78"/>
      <c r="V9" s="78"/>
      <c r="W9" s="56" t="str">
        <f>IF(AND(Table1[[#This Row],[Phase Out]]="Y",Table1[[#This Row],[Zero Inventory]]="Y"),"Y","")</f>
        <v/>
      </c>
      <c r="X9" s="79">
        <v>6</v>
      </c>
      <c r="Y9" s="63" t="s">
        <v>162</v>
      </c>
      <c r="Z9" s="59" t="str">
        <f>IF(LEFT(Table1[[#This Row],[Model]],2)="NX","NX",IF(LEFT(Table1[[#This Row],[Model]],2)="CR","CR",""))</f>
        <v>CR</v>
      </c>
      <c r="AA9" s="59" t="str">
        <f>LEFT(SUBSTITUTE(SUBSTITUTE(Table1[[#This Row],[Model]],"NX",""),"CR",""),1)</f>
        <v>6</v>
      </c>
      <c r="AB9" s="59" t="str">
        <f>MID(SUBSTITUTE(SUBSTITUTE(Table1[[#This Row],[Model]],"NX",""),"CR",""),2,2)</f>
        <v>13</v>
      </c>
      <c r="AC9" s="64" t="str">
        <f>IF(ISNUMBER(FIND("M",Table1[[#This Row],[Model]])),"M","")</f>
        <v/>
      </c>
      <c r="AD9" s="64" t="str">
        <f>CONCATENATE(MID(Table1[[#This Row],[Model]],FIND("-",Table1[[#This Row],[Model]])+1,2),IF(RIGHT(MID(Table1[[#This Row],[Model]],FIND("-",Table1[[#This Row],[Model]])+1,3),1)="+","+",""))</f>
        <v>SR</v>
      </c>
      <c r="AE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9" s="64" t="str">
        <f>IF(ISNUMBER(SEARCH("(K)",Table1[[#This Row],[Model]])),"(K)","")</f>
        <v/>
      </c>
      <c r="AG9" s="64" t="str">
        <f>IF(ISNUMBER(SEARCH("(BR)",Table1[[#This Row],[Model]])),"(BR)","")</f>
        <v/>
      </c>
      <c r="AH9" s="32" t="s">
        <v>103</v>
      </c>
      <c r="AI9" s="32" t="s">
        <v>163</v>
      </c>
      <c r="AJ9" s="32"/>
      <c r="AK9" s="32"/>
      <c r="AL9" s="32" t="s">
        <v>106</v>
      </c>
      <c r="AM9" s="63" t="s">
        <v>107</v>
      </c>
      <c r="AN9" s="64" t="s">
        <v>108</v>
      </c>
      <c r="AO9" s="65"/>
      <c r="AP9" s="66"/>
      <c r="AQ9" s="67">
        <f>VALUE(SUBSTITUTE(INDEX('[2]M1 App'!$A$2:$R$349,MATCH(VALUE(LEFT(Table1[[#This Row],[Old Assy '#]],4)),'[2]M1 App'!$B$2:$B$349,0),MATCH(Table1[[#Headers],[App Six Three]],'[2]M1 App'!$A$1:$R$1,0))," ",""))</f>
        <v>0</v>
      </c>
      <c r="AR9" s="68" t="s">
        <v>109</v>
      </c>
      <c r="AS9" s="32" t="s">
        <v>128</v>
      </c>
      <c r="AT9" s="32">
        <v>5.75</v>
      </c>
      <c r="AU9" s="69">
        <f>IF(ISNUMBER(Table1[[#This Row],[Above gauge Ø]]),((Table1[[#This Row],[Size]]-Table1[[#This Row],[Above gauge Ø]])/2)-0.05,"")</f>
        <v>7.4999999999999997E-2</v>
      </c>
      <c r="AV9" s="70">
        <v>0.33</v>
      </c>
      <c r="AW9" s="32" t="s">
        <v>111</v>
      </c>
      <c r="AX9" s="32">
        <v>6</v>
      </c>
      <c r="AY9" s="32" t="s">
        <v>164</v>
      </c>
      <c r="AZ9" s="32">
        <v>10</v>
      </c>
      <c r="BA9" s="32"/>
      <c r="BB9" s="82"/>
      <c r="BC9" s="82"/>
      <c r="BD9" s="82"/>
      <c r="BE9" s="82"/>
      <c r="BF9" s="32">
        <v>20</v>
      </c>
      <c r="BG9" s="32">
        <v>20</v>
      </c>
      <c r="BH9" s="32" t="s">
        <v>165</v>
      </c>
      <c r="BI9" s="32">
        <v>30</v>
      </c>
      <c r="BJ9" s="98" t="e">
        <f>CONCATENATE("► M1 Notes: ",#REF!," •-----► CL-SKF Notes: ",#REF!," •-----► DS Notes: ",#REF!)</f>
        <v>#REF!</v>
      </c>
      <c r="BK9" s="17"/>
      <c r="BL9" s="32">
        <v>1.5</v>
      </c>
      <c r="BM9" s="32" t="s">
        <v>115</v>
      </c>
      <c r="BN9" s="83">
        <v>8.8339999999999996</v>
      </c>
      <c r="BO9" s="31">
        <v>5.82</v>
      </c>
      <c r="BP9" s="32" t="s">
        <v>116</v>
      </c>
      <c r="BQ9" s="32" t="s">
        <v>101</v>
      </c>
      <c r="BR9" s="32" t="s">
        <v>116</v>
      </c>
      <c r="BS9" s="32">
        <v>55</v>
      </c>
      <c r="BT9" s="32" t="s">
        <v>117</v>
      </c>
      <c r="BU9" s="32">
        <v>6</v>
      </c>
      <c r="BV9" s="32" t="s">
        <v>117</v>
      </c>
      <c r="BW9" s="103">
        <v>1.49</v>
      </c>
    </row>
    <row r="10" spans="2:75" x14ac:dyDescent="0.25">
      <c r="B10" s="1">
        <v>1991</v>
      </c>
      <c r="C10" s="2"/>
      <c r="D10" s="146" t="s">
        <v>93</v>
      </c>
      <c r="E10" s="55" t="s">
        <v>168</v>
      </c>
      <c r="F10" s="55" t="s">
        <v>169</v>
      </c>
      <c r="G10" s="55" t="s">
        <v>170</v>
      </c>
      <c r="H10" s="55" t="s">
        <v>171</v>
      </c>
      <c r="I10" s="55" t="s">
        <v>172</v>
      </c>
      <c r="J10" s="55" t="s">
        <v>173</v>
      </c>
      <c r="K10" s="55" t="s">
        <v>174</v>
      </c>
      <c r="L10" s="55" t="s">
        <v>175</v>
      </c>
      <c r="M10" s="75" t="s">
        <v>93</v>
      </c>
      <c r="N10" s="55" t="s">
        <v>176</v>
      </c>
      <c r="O10" s="55" t="s">
        <v>177</v>
      </c>
      <c r="P10" s="53" t="s">
        <v>93</v>
      </c>
      <c r="Q10" s="53" t="s">
        <v>93</v>
      </c>
      <c r="R10" s="76">
        <f>COUNTIFS([1]Fleet!$E:$E,Table1[[#This Row],[Old Assy '#]])+COUNTIFS([1]OnDeck!$E:$E,Table1[[#This Row],[Old Assy '#]])</f>
        <v>1</v>
      </c>
      <c r="S10" s="77">
        <v>41130</v>
      </c>
      <c r="T10" s="78"/>
      <c r="U10" s="78" t="s">
        <v>101</v>
      </c>
      <c r="V10" s="78"/>
      <c r="W10" s="56" t="str">
        <f>IF(AND(Table1[[#This Row],[Phase Out]]="Y",Table1[[#This Row],[Zero Inventory]]="Y"),"Y","")</f>
        <v/>
      </c>
      <c r="X10" s="79">
        <v>8.5</v>
      </c>
      <c r="Y10" s="63" t="s">
        <v>178</v>
      </c>
      <c r="Z10" s="59" t="str">
        <f>IF(LEFT(Table1[[#This Row],[Model]],2)="NX","NX",IF(LEFT(Table1[[#This Row],[Model]],2)="CR","CR",""))</f>
        <v>CR</v>
      </c>
      <c r="AA10" s="59" t="str">
        <f>LEFT(SUBSTITUTE(SUBSTITUTE(Table1[[#This Row],[Model]],"NX",""),"CR",""),1)</f>
        <v>4</v>
      </c>
      <c r="AB10" s="59" t="str">
        <f>MID(SUBSTITUTE(SUBSTITUTE(Table1[[#This Row],[Model]],"NX",""),"CR",""),2,2)</f>
        <v>19</v>
      </c>
      <c r="AC10" s="64" t="str">
        <f>IF(ISNUMBER(FIND("M",Table1[[#This Row],[Model]])),"M","")</f>
        <v/>
      </c>
      <c r="AD10" s="64" t="str">
        <f>CONCATENATE(MID(Table1[[#This Row],[Model]],FIND("-",Table1[[#This Row],[Model]])+1,2),IF(RIGHT(MID(Table1[[#This Row],[Model]],FIND("-",Table1[[#This Row],[Model]])+1,3),1)="+","+",""))</f>
        <v>SR</v>
      </c>
      <c r="AE10"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0" s="64" t="str">
        <f>IF(ISNUMBER(SEARCH("(K)",Table1[[#This Row],[Model]])),"(K)","")</f>
        <v/>
      </c>
      <c r="AG10" s="64" t="str">
        <f>IF(ISNUMBER(SEARCH("(BR)",Table1[[#This Row],[Model]])),"(BR)","")</f>
        <v/>
      </c>
      <c r="AH10" s="32" t="s">
        <v>103</v>
      </c>
      <c r="AI10" s="32" t="s">
        <v>104</v>
      </c>
      <c r="AJ10" s="32"/>
      <c r="AK10" s="32"/>
      <c r="AL10" s="32" t="s">
        <v>106</v>
      </c>
      <c r="AM10" s="63" t="s">
        <v>107</v>
      </c>
      <c r="AN10" s="64" t="s">
        <v>108</v>
      </c>
      <c r="AO10" s="65"/>
      <c r="AP10" s="66"/>
      <c r="AQ10" s="67">
        <f>VALUE(SUBSTITUTE(INDEX('[2]M1 App'!$A$2:$R$349,MATCH(VALUE(LEFT(Table1[[#This Row],[Old Assy '#]],4)),'[2]M1 App'!$B$2:$B$349,0),MATCH(Table1[[#Headers],[App Six Three]],'[2]M1 App'!$A$1:$R$1,0))," ",""))</f>
        <v>0</v>
      </c>
      <c r="AR10" s="68" t="s">
        <v>179</v>
      </c>
      <c r="AS10" s="32">
        <v>1234</v>
      </c>
      <c r="AT10" s="102">
        <v>8.3125</v>
      </c>
      <c r="AU10" s="69">
        <f>IF(ISNUMBER(Table1[[#This Row],[Above gauge Ø]]),((Table1[[#This Row],[Size]]-Table1[[#This Row],[Above gauge Ø]])/2)-0.05,"")</f>
        <v>4.3749999999999997E-2</v>
      </c>
      <c r="AV10" s="70">
        <v>0.33</v>
      </c>
      <c r="AW10" s="32" t="s">
        <v>180</v>
      </c>
      <c r="AX10" s="32">
        <f>4.18*2</f>
        <v>8.36</v>
      </c>
      <c r="AY10" s="32" t="s">
        <v>181</v>
      </c>
      <c r="AZ10" s="32">
        <v>15</v>
      </c>
      <c r="BA10" s="32"/>
      <c r="BB10" s="82"/>
      <c r="BC10" s="82"/>
      <c r="BD10" s="82"/>
      <c r="BE10" s="82"/>
      <c r="BF10" s="32">
        <v>12</v>
      </c>
      <c r="BG10" s="32">
        <v>15</v>
      </c>
      <c r="BH10" s="32">
        <v>15</v>
      </c>
      <c r="BI10" s="32">
        <v>25</v>
      </c>
      <c r="BJ10" s="108" t="e">
        <f>CONCATENATE("► M1 Notes: ",#REF!," •-----► CL-SKF Notes: ",#REF!," •-----► DS Notes: ",#REF!)</f>
        <v>#REF!</v>
      </c>
      <c r="BK10" s="2"/>
      <c r="BL10" s="32">
        <v>2.5</v>
      </c>
      <c r="BM10" s="32" t="s">
        <v>115</v>
      </c>
      <c r="BN10" s="83">
        <v>14.48</v>
      </c>
      <c r="BO10" s="31">
        <v>22.04</v>
      </c>
      <c r="BP10" s="32" t="s">
        <v>101</v>
      </c>
      <c r="BQ10" s="32" t="s">
        <v>101</v>
      </c>
      <c r="BR10" s="32" t="s">
        <v>116</v>
      </c>
      <c r="BS10" s="32">
        <v>60</v>
      </c>
      <c r="BT10" s="32" t="s">
        <v>117</v>
      </c>
      <c r="BU10" s="32">
        <v>6</v>
      </c>
      <c r="BV10" s="32" t="s">
        <v>117</v>
      </c>
      <c r="BW10" s="103">
        <v>1.49</v>
      </c>
    </row>
    <row r="11" spans="2:75" x14ac:dyDescent="0.25">
      <c r="B11" s="1">
        <v>2001</v>
      </c>
      <c r="C11" s="2"/>
      <c r="D11" s="146" t="s">
        <v>93</v>
      </c>
      <c r="E11" s="75" t="s">
        <v>93</v>
      </c>
      <c r="F11" s="75" t="s">
        <v>93</v>
      </c>
      <c r="G11" s="55" t="s">
        <v>185</v>
      </c>
      <c r="H11" s="55" t="s">
        <v>186</v>
      </c>
      <c r="I11" s="55" t="s">
        <v>187</v>
      </c>
      <c r="J11" s="55" t="s">
        <v>188</v>
      </c>
      <c r="K11" s="55" t="s">
        <v>189</v>
      </c>
      <c r="L11" s="55" t="s">
        <v>190</v>
      </c>
      <c r="M11" s="75" t="s">
        <v>93</v>
      </c>
      <c r="N11" s="55" t="s">
        <v>191</v>
      </c>
      <c r="O11" s="55" t="s">
        <v>192</v>
      </c>
      <c r="P11" s="75" t="s">
        <v>93</v>
      </c>
      <c r="Q11" s="53" t="s">
        <v>93</v>
      </c>
      <c r="R11" s="76">
        <f>COUNTIFS([1]Fleet!$E:$E,Table1[[#This Row],[Old Assy '#]])+COUNTIFS([1]OnDeck!$E:$E,Table1[[#This Row],[Old Assy '#]])</f>
        <v>1</v>
      </c>
      <c r="S11" s="77">
        <v>41198</v>
      </c>
      <c r="T11" s="78"/>
      <c r="U11" s="78" t="s">
        <v>101</v>
      </c>
      <c r="V11" s="78"/>
      <c r="W11" s="56" t="str">
        <f>IF(AND(Table1[[#This Row],[Phase Out]]="Y",Table1[[#This Row],[Zero Inventory]]="Y"),"Y","")</f>
        <v/>
      </c>
      <c r="X11" s="79">
        <v>12.25</v>
      </c>
      <c r="Y11" s="63" t="s">
        <v>125</v>
      </c>
      <c r="Z11" s="59" t="str">
        <f>IF(LEFT(Table1[[#This Row],[Model]],2)="NX","NX",IF(LEFT(Table1[[#This Row],[Model]],2)="CR","CR",""))</f>
        <v>CR</v>
      </c>
      <c r="AA11" s="59" t="str">
        <f>LEFT(SUBSTITUTE(SUBSTITUTE(Table1[[#This Row],[Model]],"NX",""),"CR",""),1)</f>
        <v>6</v>
      </c>
      <c r="AB11" s="59" t="str">
        <f>MID(SUBSTITUTE(SUBSTITUTE(Table1[[#This Row],[Model]],"NX",""),"CR",""),2,2)</f>
        <v>16</v>
      </c>
      <c r="AC11" s="64" t="str">
        <f>IF(ISNUMBER(FIND("M",Table1[[#This Row],[Model]])),"M","")</f>
        <v/>
      </c>
      <c r="AD11" s="64" t="str">
        <f>CONCATENATE(MID(Table1[[#This Row],[Model]],FIND("-",Table1[[#This Row],[Model]])+1,2),IF(RIGHT(MID(Table1[[#This Row],[Model]],FIND("-",Table1[[#This Row],[Model]])+1,3),1)="+","+",""))</f>
        <v>SR</v>
      </c>
      <c r="AE1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1" s="64" t="str">
        <f>IF(ISNUMBER(SEARCH("(K)",Table1[[#This Row],[Model]])),"(K)","")</f>
        <v/>
      </c>
      <c r="AG11" s="64" t="str">
        <f>IF(ISNUMBER(SEARCH("(BR)",Table1[[#This Row],[Model]])),"(BR)","")</f>
        <v/>
      </c>
      <c r="AH11" s="32" t="s">
        <v>103</v>
      </c>
      <c r="AI11" s="32" t="s">
        <v>126</v>
      </c>
      <c r="AJ11" s="32"/>
      <c r="AK11" s="32"/>
      <c r="AL11" s="32" t="s">
        <v>106</v>
      </c>
      <c r="AM11" s="63" t="s">
        <v>107</v>
      </c>
      <c r="AN11" s="64" t="s">
        <v>127</v>
      </c>
      <c r="AO11" s="65"/>
      <c r="AP11" s="66"/>
      <c r="AQ11" s="80">
        <v>0.02</v>
      </c>
      <c r="AR11" s="68" t="s">
        <v>109</v>
      </c>
      <c r="AS11" s="32" t="s">
        <v>128</v>
      </c>
      <c r="AT11" s="102">
        <v>11.875</v>
      </c>
      <c r="AU11" s="69">
        <f>IF(ISNUMBER(Table1[[#This Row],[Above gauge Ø]]),((Table1[[#This Row],[Size]]-Table1[[#This Row],[Above gauge Ø]])/2)-0.05,"")</f>
        <v>0.13750000000000001</v>
      </c>
      <c r="AV11" s="70">
        <v>0.33</v>
      </c>
      <c r="AW11" s="32" t="s">
        <v>111</v>
      </c>
      <c r="AX11" s="32">
        <v>12.25</v>
      </c>
      <c r="AY11" s="32" t="s">
        <v>140</v>
      </c>
      <c r="AZ11" s="32">
        <v>15</v>
      </c>
      <c r="BA11" s="32">
        <v>20</v>
      </c>
      <c r="BB11" s="82"/>
      <c r="BC11" s="82"/>
      <c r="BD11" s="82"/>
      <c r="BE11" s="82"/>
      <c r="BF11" s="32" t="s">
        <v>141</v>
      </c>
      <c r="BG11" s="32">
        <v>15</v>
      </c>
      <c r="BH11" s="32" t="s">
        <v>193</v>
      </c>
      <c r="BI11" s="32">
        <v>30.1</v>
      </c>
      <c r="BJ11" s="17" t="e">
        <f>CONCATENATE("► M1 Notes: ",#REF!," •-----► CL-SKF Notes: ",#REF!," •-----► DS Notes: ",#REF!)</f>
        <v>#REF!</v>
      </c>
      <c r="BK11" s="109"/>
      <c r="BL11" s="32">
        <v>3</v>
      </c>
      <c r="BM11" s="32" t="s">
        <v>115</v>
      </c>
      <c r="BN11" s="83">
        <v>38.186</v>
      </c>
      <c r="BO11" s="31">
        <v>35.53</v>
      </c>
      <c r="BP11" s="32" t="s">
        <v>116</v>
      </c>
      <c r="BQ11" s="32" t="s">
        <v>101</v>
      </c>
      <c r="BR11" s="32" t="s">
        <v>116</v>
      </c>
      <c r="BS11" s="32">
        <v>60</v>
      </c>
      <c r="BT11" s="32" t="s">
        <v>117</v>
      </c>
      <c r="BU11" s="32">
        <v>9</v>
      </c>
      <c r="BV11" s="32" t="s">
        <v>117</v>
      </c>
      <c r="BW11" s="103">
        <v>2.2400000000000002</v>
      </c>
    </row>
    <row r="12" spans="2:75" x14ac:dyDescent="0.25">
      <c r="B12" s="1">
        <v>2004</v>
      </c>
      <c r="C12" s="2"/>
      <c r="D12" s="147" t="s">
        <v>194</v>
      </c>
      <c r="E12" s="75" t="s">
        <v>93</v>
      </c>
      <c r="F12" s="75" t="s">
        <v>93</v>
      </c>
      <c r="G12" s="55" t="s">
        <v>195</v>
      </c>
      <c r="H12" s="55" t="s">
        <v>196</v>
      </c>
      <c r="I12" s="55" t="s">
        <v>197</v>
      </c>
      <c r="J12" s="55" t="s">
        <v>198</v>
      </c>
      <c r="K12" s="55" t="s">
        <v>199</v>
      </c>
      <c r="L12" s="55" t="s">
        <v>200</v>
      </c>
      <c r="M12" s="75" t="s">
        <v>93</v>
      </c>
      <c r="N12" s="55" t="s">
        <v>201</v>
      </c>
      <c r="O12" s="55" t="s">
        <v>202</v>
      </c>
      <c r="P12" s="53" t="s">
        <v>93</v>
      </c>
      <c r="Q12" s="53" t="s">
        <v>93</v>
      </c>
      <c r="R12" s="76">
        <f>COUNTIFS([1]Fleet!$E:$E,Table1[[#This Row],[Old Assy '#]])+COUNTIFS([1]OnDeck!$E:$E,Table1[[#This Row],[Old Assy '#]])</f>
        <v>2</v>
      </c>
      <c r="S12" s="77">
        <v>41239</v>
      </c>
      <c r="T12" s="78"/>
      <c r="U12" s="78" t="s">
        <v>101</v>
      </c>
      <c r="V12" s="78"/>
      <c r="W12" s="56" t="str">
        <f>IF(AND(Table1[[#This Row],[Phase Out]]="Y",Table1[[#This Row],[Zero Inventory]]="Y"),"Y","")</f>
        <v/>
      </c>
      <c r="X12" s="79">
        <v>8.75</v>
      </c>
      <c r="Y12" s="63" t="s">
        <v>203</v>
      </c>
      <c r="Z12" s="59" t="str">
        <f>IF(LEFT(Table1[[#This Row],[Model]],2)="NX","NX",IF(LEFT(Table1[[#This Row],[Model]],2)="CR","CR",""))</f>
        <v>CR</v>
      </c>
      <c r="AA12" s="59" t="str">
        <f>LEFT(SUBSTITUTE(SUBSTITUTE(Table1[[#This Row],[Model]],"NX",""),"CR",""),1)</f>
        <v>6</v>
      </c>
      <c r="AB12" s="59" t="str">
        <f>MID(SUBSTITUTE(SUBSTITUTE(Table1[[#This Row],[Model]],"NX",""),"CR",""),2,2)</f>
        <v>16</v>
      </c>
      <c r="AC12" s="64" t="str">
        <f>IF(ISNUMBER(FIND("M",Table1[[#This Row],[Model]])),"M","")</f>
        <v/>
      </c>
      <c r="AD12" s="64" t="str">
        <f>CONCATENATE(MID(Table1[[#This Row],[Model]],FIND("-",Table1[[#This Row],[Model]])+1,2),IF(RIGHT(MID(Table1[[#This Row],[Model]],FIND("-",Table1[[#This Row],[Model]])+1,3),1)="+","+",""))</f>
        <v>YR</v>
      </c>
      <c r="AE12"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2" s="64" t="str">
        <f>IF(ISNUMBER(SEARCH("(K)",Table1[[#This Row],[Model]])),"(K)","")</f>
        <v/>
      </c>
      <c r="AG12" s="64" t="str">
        <f>IF(ISNUMBER(SEARCH("(BR)",Table1[[#This Row],[Model]])),"(BR)","")</f>
        <v/>
      </c>
      <c r="AH12" s="32" t="s">
        <v>103</v>
      </c>
      <c r="AI12" s="32" t="s">
        <v>104</v>
      </c>
      <c r="AJ12" s="32"/>
      <c r="AK12" s="32"/>
      <c r="AL12" s="32" t="s">
        <v>106</v>
      </c>
      <c r="AM12" s="63" t="s">
        <v>107</v>
      </c>
      <c r="AN12" s="64" t="s">
        <v>108</v>
      </c>
      <c r="AO12" s="65"/>
      <c r="AP12" s="66"/>
      <c r="AQ12" s="67">
        <f>VALUE(SUBSTITUTE(INDEX('[2]M1 App'!$A$2:$R$349,MATCH(VALUE(LEFT(Table1[[#This Row],[Old Assy '#]],4)),'[2]M1 App'!$B$2:$B$349,0),MATCH(Table1[[#Headers],[App Six Three]],'[2]M1 App'!$A$1:$R$1,0))," ",""))</f>
        <v>0</v>
      </c>
      <c r="AR12" s="68" t="s">
        <v>109</v>
      </c>
      <c r="AS12" s="32" t="s">
        <v>128</v>
      </c>
      <c r="AT12" s="102">
        <v>8.5625</v>
      </c>
      <c r="AU12" s="69">
        <f>IF(ISNUMBER(Table1[[#This Row],[Above gauge Ø]]),((Table1[[#This Row],[Size]]-Table1[[#This Row],[Above gauge Ø]])/2)-0.05,"")</f>
        <v>4.3749999999999997E-2</v>
      </c>
      <c r="AV12" s="70">
        <v>0.33</v>
      </c>
      <c r="AW12" s="32" t="s">
        <v>111</v>
      </c>
      <c r="AX12" s="32">
        <v>8.75</v>
      </c>
      <c r="AY12" s="32" t="s">
        <v>112</v>
      </c>
      <c r="AZ12" s="32">
        <v>12.5</v>
      </c>
      <c r="BA12" s="32"/>
      <c r="BB12" s="82">
        <v>110</v>
      </c>
      <c r="BC12" s="82">
        <v>110</v>
      </c>
      <c r="BD12" s="82"/>
      <c r="BE12" s="82"/>
      <c r="BF12" s="32">
        <v>20</v>
      </c>
      <c r="BG12" s="32">
        <v>15</v>
      </c>
      <c r="BH12" s="32" t="s">
        <v>204</v>
      </c>
      <c r="BI12" s="32">
        <v>30</v>
      </c>
      <c r="BJ12" s="109" t="e">
        <f>CONCATENATE("► M1 Notes: ",#REF!," •-----► CL-SKF Notes: ",#REF!," •-----► DS Notes: ",#REF!)</f>
        <v>#REF!</v>
      </c>
      <c r="BK12" s="108" t="s">
        <v>205</v>
      </c>
      <c r="BL12" s="32">
        <v>2</v>
      </c>
      <c r="BM12" s="32" t="s">
        <v>115</v>
      </c>
      <c r="BN12" s="83">
        <v>19.79</v>
      </c>
      <c r="BO12" s="31">
        <v>14.67</v>
      </c>
      <c r="BP12" s="32" t="s">
        <v>116</v>
      </c>
      <c r="BQ12" s="32" t="s">
        <v>101</v>
      </c>
      <c r="BR12" s="32" t="s">
        <v>116</v>
      </c>
      <c r="BS12" s="32">
        <v>60</v>
      </c>
      <c r="BT12" s="32" t="s">
        <v>117</v>
      </c>
      <c r="BU12" s="32">
        <v>6</v>
      </c>
      <c r="BV12" s="32" t="s">
        <v>117</v>
      </c>
      <c r="BW12" s="103">
        <v>1.49</v>
      </c>
    </row>
    <row r="13" spans="2:75" x14ac:dyDescent="0.25">
      <c r="B13" s="1">
        <v>2005</v>
      </c>
      <c r="C13" s="2"/>
      <c r="D13" s="147" t="s">
        <v>206</v>
      </c>
      <c r="E13" s="55" t="s">
        <v>207</v>
      </c>
      <c r="F13" s="55" t="s">
        <v>208</v>
      </c>
      <c r="G13" s="55" t="s">
        <v>209</v>
      </c>
      <c r="H13" s="75" t="s">
        <v>93</v>
      </c>
      <c r="I13" s="55" t="s">
        <v>210</v>
      </c>
      <c r="J13" s="55" t="s">
        <v>211</v>
      </c>
      <c r="K13" s="55" t="s">
        <v>212</v>
      </c>
      <c r="L13" s="55" t="s">
        <v>213</v>
      </c>
      <c r="M13" s="75" t="s">
        <v>93</v>
      </c>
      <c r="N13" s="55" t="s">
        <v>214</v>
      </c>
      <c r="O13" s="55" t="s">
        <v>215</v>
      </c>
      <c r="P13" s="75" t="s">
        <v>93</v>
      </c>
      <c r="Q13" s="53" t="s">
        <v>93</v>
      </c>
      <c r="R13" s="76">
        <f>COUNTIFS([1]Fleet!$E:$E,Table1[[#This Row],[Old Assy '#]])+COUNTIFS([1]OnDeck!$E:$E,Table1[[#This Row],[Old Assy '#]])</f>
        <v>1</v>
      </c>
      <c r="S13" s="77">
        <v>41249</v>
      </c>
      <c r="T13" s="78"/>
      <c r="U13" s="78"/>
      <c r="V13" s="78"/>
      <c r="W13" s="56" t="str">
        <f>IF(AND(Table1[[#This Row],[Phase Out]]="Y",Table1[[#This Row],[Zero Inventory]]="Y"),"Y","")</f>
        <v/>
      </c>
      <c r="X13" s="79">
        <v>8.5</v>
      </c>
      <c r="Y13" s="63" t="s">
        <v>216</v>
      </c>
      <c r="Z13" s="59" t="str">
        <f>IF(LEFT(Table1[[#This Row],[Model]],2)="NX","NX",IF(LEFT(Table1[[#This Row],[Model]],2)="CR","CR",""))</f>
        <v>CR</v>
      </c>
      <c r="AA13" s="59" t="str">
        <f>LEFT(SUBSTITUTE(SUBSTITUTE(Table1[[#This Row],[Model]],"NX",""),"CR",""),1)</f>
        <v>6</v>
      </c>
      <c r="AB13" s="59" t="str">
        <f>MID(SUBSTITUTE(SUBSTITUTE(Table1[[#This Row],[Model]],"NX",""),"CR",""),2,2)</f>
        <v>19</v>
      </c>
      <c r="AC13" s="64" t="str">
        <f>IF(ISNUMBER(FIND("M",Table1[[#This Row],[Model]])),"M","")</f>
        <v/>
      </c>
      <c r="AD13" s="64" t="str">
        <f>CONCATENATE(MID(Table1[[#This Row],[Model]],FIND("-",Table1[[#This Row],[Model]])+1,2),IF(RIGHT(MID(Table1[[#This Row],[Model]],FIND("-",Table1[[#This Row],[Model]])+1,3),1)="+","+",""))</f>
        <v>SR</v>
      </c>
      <c r="AE1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3" s="64" t="str">
        <f>IF(ISNUMBER(SEARCH("(K)",Table1[[#This Row],[Model]])),"(K)","")</f>
        <v/>
      </c>
      <c r="AG13" s="64" t="str">
        <f>IF(ISNUMBER(SEARCH("(BR)",Table1[[#This Row],[Model]])),"(BR)","")</f>
        <v/>
      </c>
      <c r="AH13" s="32" t="s">
        <v>103</v>
      </c>
      <c r="AI13" s="32" t="s">
        <v>104</v>
      </c>
      <c r="AJ13" s="32"/>
      <c r="AK13" s="32"/>
      <c r="AL13" s="32" t="s">
        <v>106</v>
      </c>
      <c r="AM13" s="63" t="s">
        <v>107</v>
      </c>
      <c r="AN13" s="64" t="s">
        <v>108</v>
      </c>
      <c r="AO13" s="65"/>
      <c r="AP13" s="66"/>
      <c r="AQ13" s="67">
        <f>VALUE(SUBSTITUTE(INDEX('[2]M1 App'!$A$2:$R$349,MATCH(VALUE(LEFT(Table1[[#This Row],[Old Assy '#]],4)),'[2]M1 App'!$B$2:$B$349,0),MATCH(Table1[[#Headers],[App Six Three]],'[2]M1 App'!$A$1:$R$1,0))," ",""))</f>
        <v>0</v>
      </c>
      <c r="AR13" s="68" t="s">
        <v>109</v>
      </c>
      <c r="AS13" s="32" t="s">
        <v>128</v>
      </c>
      <c r="AT13" s="102">
        <v>8.3125</v>
      </c>
      <c r="AU13" s="69">
        <f>IF(ISNUMBER(Table1[[#This Row],[Above gauge Ø]]),((Table1[[#This Row],[Size]]-Table1[[#This Row],[Above gauge Ø]])/2)-0.05,"")</f>
        <v>4.3749999999999997E-2</v>
      </c>
      <c r="AV13" s="70">
        <v>0.33</v>
      </c>
      <c r="AW13" s="32" t="s">
        <v>180</v>
      </c>
      <c r="AX13" s="32">
        <v>8.5</v>
      </c>
      <c r="AY13" s="32" t="s">
        <v>217</v>
      </c>
      <c r="AZ13" s="32">
        <v>20</v>
      </c>
      <c r="BA13" s="32"/>
      <c r="BB13" s="82"/>
      <c r="BC13" s="82"/>
      <c r="BD13" s="82"/>
      <c r="BE13" s="82"/>
      <c r="BF13" s="32">
        <v>15</v>
      </c>
      <c r="BG13" s="32">
        <v>15</v>
      </c>
      <c r="BH13" s="32" t="s">
        <v>183</v>
      </c>
      <c r="BI13" s="32">
        <v>30</v>
      </c>
      <c r="BJ13" s="17" t="e">
        <f>CONCATENATE("► M1 Notes: ",#REF!," •-----► CL-SKF Notes: ",#REF!," •-----► DS Notes: ",#REF!)</f>
        <v>#REF!</v>
      </c>
      <c r="BK13" s="17" t="s">
        <v>218</v>
      </c>
      <c r="BL13" s="32">
        <v>2.5</v>
      </c>
      <c r="BM13" s="32" t="s">
        <v>115</v>
      </c>
      <c r="BN13" s="83">
        <v>32.5</v>
      </c>
      <c r="BO13" s="31">
        <v>13.94</v>
      </c>
      <c r="BP13" s="32" t="s">
        <v>116</v>
      </c>
      <c r="BQ13" s="32" t="s">
        <v>101</v>
      </c>
      <c r="BR13" s="32" t="s">
        <v>116</v>
      </c>
      <c r="BS13" s="32">
        <v>60</v>
      </c>
      <c r="BT13" s="32" t="s">
        <v>117</v>
      </c>
      <c r="BU13" s="32">
        <v>6</v>
      </c>
      <c r="BV13" s="32" t="s">
        <v>117</v>
      </c>
      <c r="BW13" s="103">
        <v>2.23</v>
      </c>
    </row>
    <row r="14" spans="2:75" x14ac:dyDescent="0.25">
      <c r="B14" s="1">
        <v>2010</v>
      </c>
      <c r="C14" s="2"/>
      <c r="D14" s="147" t="s">
        <v>220</v>
      </c>
      <c r="E14" s="55" t="s">
        <v>221</v>
      </c>
      <c r="F14" s="55" t="s">
        <v>222</v>
      </c>
      <c r="G14" s="55" t="s">
        <v>223</v>
      </c>
      <c r="H14" s="75" t="s">
        <v>93</v>
      </c>
      <c r="I14" s="55" t="s">
        <v>224</v>
      </c>
      <c r="J14" s="55" t="s">
        <v>225</v>
      </c>
      <c r="K14" s="55" t="s">
        <v>226</v>
      </c>
      <c r="L14" s="55" t="s">
        <v>227</v>
      </c>
      <c r="M14" s="55" t="s">
        <v>228</v>
      </c>
      <c r="N14" s="55" t="s">
        <v>229</v>
      </c>
      <c r="O14" s="55" t="s">
        <v>230</v>
      </c>
      <c r="P14" s="53" t="s">
        <v>93</v>
      </c>
      <c r="Q14" s="53" t="s">
        <v>93</v>
      </c>
      <c r="R14" s="76">
        <f>COUNTIFS([1]Fleet!$E:$E,Table1[[#This Row],[Old Assy '#]])+COUNTIFS([1]OnDeck!$E:$E,Table1[[#This Row],[Old Assy '#]])</f>
        <v>1</v>
      </c>
      <c r="S14" s="77">
        <v>41304</v>
      </c>
      <c r="T14" s="78"/>
      <c r="U14" s="78" t="s">
        <v>101</v>
      </c>
      <c r="V14" s="78"/>
      <c r="W14" s="56" t="str">
        <f>IF(AND(Table1[[#This Row],[Phase Out]]="Y",Table1[[#This Row],[Zero Inventory]]="Y"),"Y","")</f>
        <v/>
      </c>
      <c r="X14" s="79">
        <v>10.625</v>
      </c>
      <c r="Y14" s="63" t="s">
        <v>231</v>
      </c>
      <c r="Z14" s="59" t="str">
        <f>IF(LEFT(Table1[[#This Row],[Model]],2)="NX","NX",IF(LEFT(Table1[[#This Row],[Model]],2)="CR","CR",""))</f>
        <v>CR</v>
      </c>
      <c r="AA14" s="59" t="str">
        <f>LEFT(SUBSTITUTE(SUBSTITUTE(Table1[[#This Row],[Model]],"NX",""),"CR",""),1)</f>
        <v>6</v>
      </c>
      <c r="AB14" s="59" t="str">
        <f>MID(SUBSTITUTE(SUBSTITUTE(Table1[[#This Row],[Model]],"NX",""),"CR",""),2,2)</f>
        <v>16</v>
      </c>
      <c r="AC14" s="64" t="str">
        <f>IF(ISNUMBER(FIND("M",Table1[[#This Row],[Model]])),"M","")</f>
        <v/>
      </c>
      <c r="AD14" s="64" t="str">
        <f>CONCATENATE(MID(Table1[[#This Row],[Model]],FIND("-",Table1[[#This Row],[Model]])+1,2),IF(RIGHT(MID(Table1[[#This Row],[Model]],FIND("-",Table1[[#This Row],[Model]])+1,3),1)="+","+",""))</f>
        <v>YR</v>
      </c>
      <c r="AE1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4" s="64" t="str">
        <f>IF(ISNUMBER(SEARCH("(K)",Table1[[#This Row],[Model]])),"(K)","")</f>
        <v/>
      </c>
      <c r="AG14" s="64" t="str">
        <f>IF(ISNUMBER(SEARCH("(BR)",Table1[[#This Row],[Model]])),"(BR)","")</f>
        <v/>
      </c>
      <c r="AH14" s="32" t="s">
        <v>103</v>
      </c>
      <c r="AI14" s="32" t="s">
        <v>126</v>
      </c>
      <c r="AJ14" s="32"/>
      <c r="AK14" s="32"/>
      <c r="AL14" s="32" t="s">
        <v>106</v>
      </c>
      <c r="AM14" s="63" t="s">
        <v>107</v>
      </c>
      <c r="AN14" s="64" t="s">
        <v>127</v>
      </c>
      <c r="AO14" s="65"/>
      <c r="AP14" s="66"/>
      <c r="AQ14" s="67">
        <f>VALUE(SUBSTITUTE(INDEX('[2]M1 App'!$A$2:$R$349,MATCH(VALUE(LEFT(Table1[[#This Row],[Old Assy '#]],4)),'[2]M1 App'!$B$2:$B$349,0),MATCH(Table1[[#Headers],[App Six Three]],'[2]M1 App'!$A$1:$R$1,0))," ",""))</f>
        <v>0</v>
      </c>
      <c r="AR14" s="68" t="s">
        <v>109</v>
      </c>
      <c r="AS14" s="32" t="s">
        <v>128</v>
      </c>
      <c r="AT14" s="32">
        <f>5.125*2</f>
        <v>10.25</v>
      </c>
      <c r="AU14" s="69">
        <f>IF(ISNUMBER(Table1[[#This Row],[Above gauge Ø]]),((Table1[[#This Row],[Size]]-Table1[[#This Row],[Above gauge Ø]])/2)-0.05,"")</f>
        <v>0.13750000000000001</v>
      </c>
      <c r="AV14" s="70">
        <v>0.33</v>
      </c>
      <c r="AW14" s="32" t="s">
        <v>180</v>
      </c>
      <c r="AX14" s="32">
        <v>10.625</v>
      </c>
      <c r="AY14" s="32" t="s">
        <v>232</v>
      </c>
      <c r="AZ14" s="32">
        <v>15</v>
      </c>
      <c r="BA14" s="32"/>
      <c r="BB14" s="82">
        <v>110</v>
      </c>
      <c r="BC14" s="82">
        <v>120</v>
      </c>
      <c r="BD14" s="82"/>
      <c r="BE14" s="82"/>
      <c r="BF14" s="32">
        <v>15</v>
      </c>
      <c r="BG14" s="32">
        <v>15</v>
      </c>
      <c r="BH14" s="32" t="s">
        <v>167</v>
      </c>
      <c r="BI14" s="32">
        <v>30</v>
      </c>
      <c r="BJ14" s="17" t="e">
        <f>CONCATENATE("► M1 Notes: ",#REF!," •-----► CL-SKF Notes: ",#REF!," •-----► DS Notes: ",#REF!)</f>
        <v>#REF!</v>
      </c>
      <c r="BK14" s="2"/>
      <c r="BL14" s="32">
        <v>3</v>
      </c>
      <c r="BM14" s="32" t="s">
        <v>115</v>
      </c>
      <c r="BN14" s="83">
        <v>31.46</v>
      </c>
      <c r="BO14" s="31">
        <v>23.19</v>
      </c>
      <c r="BP14" s="32" t="s">
        <v>116</v>
      </c>
      <c r="BQ14" s="32" t="s">
        <v>101</v>
      </c>
      <c r="BR14" s="32" t="s">
        <v>116</v>
      </c>
      <c r="BS14" s="32">
        <v>60</v>
      </c>
      <c r="BT14" s="32" t="s">
        <v>117</v>
      </c>
      <c r="BU14" s="32">
        <v>9</v>
      </c>
      <c r="BV14" s="32" t="s">
        <v>117</v>
      </c>
      <c r="BW14" s="103">
        <v>2.2400000000000002</v>
      </c>
    </row>
    <row r="15" spans="2:75" x14ac:dyDescent="0.25">
      <c r="B15" s="1">
        <v>2012</v>
      </c>
      <c r="C15" s="2"/>
      <c r="D15" s="147" t="s">
        <v>233</v>
      </c>
      <c r="E15" s="55" t="s">
        <v>234</v>
      </c>
      <c r="F15" s="55" t="s">
        <v>235</v>
      </c>
      <c r="G15" s="55" t="s">
        <v>236</v>
      </c>
      <c r="H15" s="75" t="s">
        <v>93</v>
      </c>
      <c r="I15" s="55" t="s">
        <v>237</v>
      </c>
      <c r="J15" s="55" t="s">
        <v>238</v>
      </c>
      <c r="K15" s="55" t="s">
        <v>239</v>
      </c>
      <c r="L15" s="55" t="s">
        <v>240</v>
      </c>
      <c r="M15" s="75" t="s">
        <v>93</v>
      </c>
      <c r="N15" s="55" t="s">
        <v>241</v>
      </c>
      <c r="O15" s="55" t="s">
        <v>242</v>
      </c>
      <c r="P15" s="75" t="s">
        <v>93</v>
      </c>
      <c r="Q15" s="53" t="s">
        <v>93</v>
      </c>
      <c r="R15" s="76">
        <f>COUNTIFS([1]Fleet!$E:$E,Table1[[#This Row],[Old Assy '#]])+COUNTIFS([1]OnDeck!$E:$E,Table1[[#This Row],[Old Assy '#]])</f>
        <v>1</v>
      </c>
      <c r="S15" s="77">
        <v>41340</v>
      </c>
      <c r="T15" s="78"/>
      <c r="U15" s="78" t="s">
        <v>101</v>
      </c>
      <c r="V15" s="78"/>
      <c r="W15" s="56" t="str">
        <f>IF(AND(Table1[[#This Row],[Phase Out]]="Y",Table1[[#This Row],[Zero Inventory]]="Y"),"Y","")</f>
        <v/>
      </c>
      <c r="X15" s="79">
        <v>9.875</v>
      </c>
      <c r="Y15" s="63" t="s">
        <v>216</v>
      </c>
      <c r="Z15" s="59" t="str">
        <f>IF(LEFT(Table1[[#This Row],[Model]],2)="NX","NX",IF(LEFT(Table1[[#This Row],[Model]],2)="CR","CR",""))</f>
        <v>CR</v>
      </c>
      <c r="AA15" s="59" t="str">
        <f>LEFT(SUBSTITUTE(SUBSTITUTE(Table1[[#This Row],[Model]],"NX",""),"CR",""),1)</f>
        <v>6</v>
      </c>
      <c r="AB15" s="59" t="str">
        <f>MID(SUBSTITUTE(SUBSTITUTE(Table1[[#This Row],[Model]],"NX",""),"CR",""),2,2)</f>
        <v>19</v>
      </c>
      <c r="AC15" s="64" t="str">
        <f>IF(ISNUMBER(FIND("M",Table1[[#This Row],[Model]])),"M","")</f>
        <v/>
      </c>
      <c r="AD15" s="64" t="str">
        <f>CONCATENATE(MID(Table1[[#This Row],[Model]],FIND("-",Table1[[#This Row],[Model]])+1,2),IF(RIGHT(MID(Table1[[#This Row],[Model]],FIND("-",Table1[[#This Row],[Model]])+1,3),1)="+","+",""))</f>
        <v>SR</v>
      </c>
      <c r="AE15"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5" s="64" t="str">
        <f>IF(ISNUMBER(SEARCH("(K)",Table1[[#This Row],[Model]])),"(K)","")</f>
        <v/>
      </c>
      <c r="AG15" s="64" t="str">
        <f>IF(ISNUMBER(SEARCH("(BR)",Table1[[#This Row],[Model]])),"(BR)","")</f>
        <v/>
      </c>
      <c r="AH15" s="32" t="s">
        <v>103</v>
      </c>
      <c r="AI15" s="32" t="s">
        <v>126</v>
      </c>
      <c r="AJ15" s="32"/>
      <c r="AK15" s="32"/>
      <c r="AL15" s="32" t="s">
        <v>106</v>
      </c>
      <c r="AM15" s="63" t="s">
        <v>107</v>
      </c>
      <c r="AN15" s="64" t="s">
        <v>127</v>
      </c>
      <c r="AO15" s="65"/>
      <c r="AP15" s="66"/>
      <c r="AQ15" s="80">
        <v>0.02</v>
      </c>
      <c r="AR15" s="68" t="s">
        <v>109</v>
      </c>
      <c r="AS15" s="32" t="s">
        <v>128</v>
      </c>
      <c r="AT15" s="32">
        <v>9.6875</v>
      </c>
      <c r="AU15" s="69">
        <f>IF(ISNUMBER(Table1[[#This Row],[Above gauge Ø]]),((Table1[[#This Row],[Size]]-Table1[[#This Row],[Above gauge Ø]])/2)-0.05,"")</f>
        <v>4.3749999999999997E-2</v>
      </c>
      <c r="AV15" s="70">
        <v>0.33</v>
      </c>
      <c r="AW15" s="32" t="s">
        <v>111</v>
      </c>
      <c r="AX15" s="32">
        <v>9.875</v>
      </c>
      <c r="AY15" s="32" t="s">
        <v>243</v>
      </c>
      <c r="AZ15" s="32">
        <v>12.5</v>
      </c>
      <c r="BA15" s="32">
        <v>20</v>
      </c>
      <c r="BB15" s="82"/>
      <c r="BC15" s="82"/>
      <c r="BD15" s="82"/>
      <c r="BE15" s="82"/>
      <c r="BF15" s="32">
        <v>15</v>
      </c>
      <c r="BG15" s="32">
        <v>15</v>
      </c>
      <c r="BH15" s="32" t="s">
        <v>167</v>
      </c>
      <c r="BI15" s="32">
        <v>30</v>
      </c>
      <c r="BJ15" s="17" t="e">
        <f>CONCATENATE("► M1 Notes: ",#REF!," •-----► CL-SKF Notes: ",#REF!," •-----► DS Notes: ",#REF!)</f>
        <v>#REF!</v>
      </c>
      <c r="BK15" s="2"/>
      <c r="BL15" s="32">
        <v>3</v>
      </c>
      <c r="BM15" s="32" t="s">
        <v>115</v>
      </c>
      <c r="BN15" s="83">
        <v>29.956</v>
      </c>
      <c r="BO15" s="31">
        <v>17.600000000000001</v>
      </c>
      <c r="BP15" s="32" t="s">
        <v>116</v>
      </c>
      <c r="BQ15" s="32" t="s">
        <v>101</v>
      </c>
      <c r="BR15" s="32" t="s">
        <v>116</v>
      </c>
      <c r="BS15" s="32">
        <v>60</v>
      </c>
      <c r="BT15" s="32" t="s">
        <v>117</v>
      </c>
      <c r="BU15" s="32">
        <v>6</v>
      </c>
      <c r="BV15" s="32" t="s">
        <v>117</v>
      </c>
      <c r="BW15" s="103">
        <v>1.49</v>
      </c>
    </row>
    <row r="16" spans="2:75" x14ac:dyDescent="0.25">
      <c r="B16" s="1">
        <v>2017</v>
      </c>
      <c r="C16" s="2"/>
      <c r="D16" s="147" t="s">
        <v>244</v>
      </c>
      <c r="E16" s="55" t="s">
        <v>245</v>
      </c>
      <c r="F16" s="55" t="s">
        <v>246</v>
      </c>
      <c r="G16" s="55" t="s">
        <v>247</v>
      </c>
      <c r="H16" s="55" t="s">
        <v>248</v>
      </c>
      <c r="I16" s="55" t="s">
        <v>249</v>
      </c>
      <c r="J16" s="55" t="s">
        <v>250</v>
      </c>
      <c r="K16" s="55" t="s">
        <v>251</v>
      </c>
      <c r="L16" s="55" t="s">
        <v>252</v>
      </c>
      <c r="M16" s="55" t="s">
        <v>253</v>
      </c>
      <c r="N16" s="55" t="s">
        <v>254</v>
      </c>
      <c r="O16" s="55" t="s">
        <v>255</v>
      </c>
      <c r="P16" s="55" t="s">
        <v>256</v>
      </c>
      <c r="Q16" s="53" t="s">
        <v>93</v>
      </c>
      <c r="R16" s="76">
        <f>COUNTIFS([1]Fleet!$E:$E,Table1[[#This Row],[Old Assy '#]])+COUNTIFS([1]OnDeck!$E:$E,Table1[[#This Row],[Old Assy '#]])</f>
        <v>1</v>
      </c>
      <c r="S16" s="77">
        <v>41380</v>
      </c>
      <c r="T16" s="78"/>
      <c r="U16" s="78"/>
      <c r="V16" s="78"/>
      <c r="W16" s="56" t="str">
        <f>IF(AND(Table1[[#This Row],[Phase Out]]="Y",Table1[[#This Row],[Zero Inventory]]="Y"),"Y","")</f>
        <v/>
      </c>
      <c r="X16" s="79">
        <v>8.75</v>
      </c>
      <c r="Y16" s="63" t="s">
        <v>216</v>
      </c>
      <c r="Z16" s="59" t="str">
        <f>IF(LEFT(Table1[[#This Row],[Model]],2)="NX","NX",IF(LEFT(Table1[[#This Row],[Model]],2)="CR","CR",""))</f>
        <v>CR</v>
      </c>
      <c r="AA16" s="59" t="str">
        <f>LEFT(SUBSTITUTE(SUBSTITUTE(Table1[[#This Row],[Model]],"NX",""),"CR",""),1)</f>
        <v>6</v>
      </c>
      <c r="AB16" s="59" t="str">
        <f>MID(SUBSTITUTE(SUBSTITUTE(Table1[[#This Row],[Model]],"NX",""),"CR",""),2,2)</f>
        <v>19</v>
      </c>
      <c r="AC16" s="64" t="str">
        <f>IF(ISNUMBER(FIND("M",Table1[[#This Row],[Model]])),"M","")</f>
        <v/>
      </c>
      <c r="AD16" s="64" t="str">
        <f>CONCATENATE(MID(Table1[[#This Row],[Model]],FIND("-",Table1[[#This Row],[Model]])+1,2),IF(RIGHT(MID(Table1[[#This Row],[Model]],FIND("-",Table1[[#This Row],[Model]])+1,3),1)="+","+",""))</f>
        <v>SR</v>
      </c>
      <c r="AE16"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6" s="64" t="str">
        <f>IF(ISNUMBER(SEARCH("(K)",Table1[[#This Row],[Model]])),"(K)","")</f>
        <v/>
      </c>
      <c r="AG16" s="64" t="str">
        <f>IF(ISNUMBER(SEARCH("(BR)",Table1[[#This Row],[Model]])),"(BR)","")</f>
        <v/>
      </c>
      <c r="AH16" s="32" t="s">
        <v>103</v>
      </c>
      <c r="AI16" s="32" t="s">
        <v>104</v>
      </c>
      <c r="AJ16" s="32"/>
      <c r="AK16" s="32"/>
      <c r="AL16" s="32" t="s">
        <v>106</v>
      </c>
      <c r="AM16" s="63" t="s">
        <v>107</v>
      </c>
      <c r="AN16" s="64" t="s">
        <v>108</v>
      </c>
      <c r="AO16" s="65"/>
      <c r="AP16" s="66"/>
      <c r="AQ16" s="67">
        <f>VALUE(SUBSTITUTE(INDEX('[2]M1 App'!$A$2:$R$349,MATCH(VALUE(LEFT(Table1[[#This Row],[Old Assy '#]],4)),'[2]M1 App'!$B$2:$B$349,0),MATCH(Table1[[#Headers],[App Six Three]],'[2]M1 App'!$A$1:$R$1,0))," ",""))</f>
        <v>0</v>
      </c>
      <c r="AR16" s="68" t="s">
        <v>109</v>
      </c>
      <c r="AS16" s="32" t="s">
        <v>128</v>
      </c>
      <c r="AT16" s="102">
        <v>8.5625</v>
      </c>
      <c r="AU16" s="69">
        <f>IF(ISNUMBER(Table1[[#This Row],[Above gauge Ø]]),((Table1[[#This Row],[Size]]-Table1[[#This Row],[Above gauge Ø]])/2)-0.05,"")</f>
        <v>4.3749999999999997E-2</v>
      </c>
      <c r="AV16" s="70">
        <v>0.33</v>
      </c>
      <c r="AW16" s="32" t="s">
        <v>111</v>
      </c>
      <c r="AX16" s="32">
        <v>8.75</v>
      </c>
      <c r="AY16" s="32" t="s">
        <v>112</v>
      </c>
      <c r="AZ16" s="32">
        <v>12.5</v>
      </c>
      <c r="BA16" s="32"/>
      <c r="BB16" s="82"/>
      <c r="BC16" s="82"/>
      <c r="BD16" s="82"/>
      <c r="BE16" s="82"/>
      <c r="BF16" s="32">
        <v>15</v>
      </c>
      <c r="BG16" s="32" t="s">
        <v>257</v>
      </c>
      <c r="BH16" s="32" t="s">
        <v>258</v>
      </c>
      <c r="BI16" s="32">
        <v>35</v>
      </c>
      <c r="BJ16" s="17" t="e">
        <f>CONCATENATE("► M1 Notes: ",#REF!," •-----► CL-SKF Notes: ",#REF!," •-----► DS Notes: ",#REF!)</f>
        <v>#REF!</v>
      </c>
      <c r="BK16" s="2"/>
      <c r="BL16" s="32">
        <v>3</v>
      </c>
      <c r="BM16" s="32" t="s">
        <v>115</v>
      </c>
      <c r="BN16" s="83">
        <v>24.428999999999998</v>
      </c>
      <c r="BO16" s="31">
        <v>20.16</v>
      </c>
      <c r="BP16" s="32" t="s">
        <v>116</v>
      </c>
      <c r="BQ16" s="32" t="s">
        <v>101</v>
      </c>
      <c r="BR16" s="32" t="s">
        <v>116</v>
      </c>
      <c r="BS16" s="32">
        <v>60</v>
      </c>
      <c r="BT16" s="32" t="s">
        <v>117</v>
      </c>
      <c r="BU16" s="32">
        <v>6</v>
      </c>
      <c r="BV16" s="32" t="s">
        <v>117</v>
      </c>
      <c r="BW16" s="103">
        <v>2.23</v>
      </c>
    </row>
    <row r="17" spans="2:75" x14ac:dyDescent="0.25">
      <c r="B17" s="1">
        <v>2018</v>
      </c>
      <c r="C17" s="2" t="s">
        <v>259</v>
      </c>
      <c r="D17" s="147" t="s">
        <v>260</v>
      </c>
      <c r="E17" s="75" t="s">
        <v>93</v>
      </c>
      <c r="F17" s="75" t="s">
        <v>93</v>
      </c>
      <c r="G17" s="55" t="s">
        <v>261</v>
      </c>
      <c r="H17" s="55" t="s">
        <v>262</v>
      </c>
      <c r="I17" s="55" t="s">
        <v>263</v>
      </c>
      <c r="J17" s="55" t="s">
        <v>264</v>
      </c>
      <c r="K17" s="55" t="s">
        <v>265</v>
      </c>
      <c r="L17" s="55" t="s">
        <v>266</v>
      </c>
      <c r="M17" s="55" t="s">
        <v>267</v>
      </c>
      <c r="N17" s="55" t="s">
        <v>268</v>
      </c>
      <c r="O17" s="55" t="s">
        <v>269</v>
      </c>
      <c r="P17" s="75" t="s">
        <v>93</v>
      </c>
      <c r="Q17" s="53" t="s">
        <v>93</v>
      </c>
      <c r="R17" s="76">
        <f>COUNTIFS([1]Fleet!$E:$E,Table1[[#This Row],[Old Assy '#]])+COUNTIFS([1]OnDeck!$E:$E,Table1[[#This Row],[Old Assy '#]])</f>
        <v>1</v>
      </c>
      <c r="S17" s="77">
        <v>41383</v>
      </c>
      <c r="T17" s="78"/>
      <c r="U17" s="78"/>
      <c r="V17" s="78"/>
      <c r="W17" s="56" t="str">
        <f>IF(AND(Table1[[#This Row],[Phase Out]]="Y",Table1[[#This Row],[Zero Inventory]]="Y"),"Y","")</f>
        <v/>
      </c>
      <c r="X17" s="110">
        <v>13.5</v>
      </c>
      <c r="Y17" s="111" t="s">
        <v>125</v>
      </c>
      <c r="Z17" s="59" t="str">
        <f>IF(LEFT(Table1[[#This Row],[Model]],2)="NX","NX",IF(LEFT(Table1[[#This Row],[Model]],2)="CR","CR",""))</f>
        <v>CR</v>
      </c>
      <c r="AA17" s="59" t="str">
        <f>LEFT(SUBSTITUTE(SUBSTITUTE(Table1[[#This Row],[Model]],"NX",""),"CR",""),1)</f>
        <v>6</v>
      </c>
      <c r="AB17" s="59" t="str">
        <f>MID(SUBSTITUTE(SUBSTITUTE(Table1[[#This Row],[Model]],"NX",""),"CR",""),2,2)</f>
        <v>16</v>
      </c>
      <c r="AC17" s="64" t="str">
        <f>IF(ISNUMBER(FIND("M",Table1[[#This Row],[Model]])),"M","")</f>
        <v/>
      </c>
      <c r="AD17" s="64" t="str">
        <f>CONCATENATE(MID(Table1[[#This Row],[Model]],FIND("-",Table1[[#This Row],[Model]])+1,2),IF(RIGHT(MID(Table1[[#This Row],[Model]],FIND("-",Table1[[#This Row],[Model]])+1,3),1)="+","+",""))</f>
        <v>SR</v>
      </c>
      <c r="AE17"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7" s="64" t="str">
        <f>IF(ISNUMBER(SEARCH("(K)",Table1[[#This Row],[Model]])),"(K)","")</f>
        <v/>
      </c>
      <c r="AG17" s="64" t="str">
        <f>IF(ISNUMBER(SEARCH("(BR)",Table1[[#This Row],[Model]])),"(BR)","")</f>
        <v/>
      </c>
      <c r="AH17" s="32" t="s">
        <v>103</v>
      </c>
      <c r="AI17" s="32" t="s">
        <v>126</v>
      </c>
      <c r="AJ17" s="32"/>
      <c r="AK17" s="32"/>
      <c r="AL17" s="32" t="s">
        <v>106</v>
      </c>
      <c r="AM17" s="63" t="s">
        <v>107</v>
      </c>
      <c r="AN17" s="64" t="s">
        <v>139</v>
      </c>
      <c r="AO17" s="65"/>
      <c r="AP17" s="66"/>
      <c r="AQ17" s="80">
        <v>0.1</v>
      </c>
      <c r="AR17" s="68" t="s">
        <v>109</v>
      </c>
      <c r="AS17" s="32" t="s">
        <v>128</v>
      </c>
      <c r="AT17" s="32">
        <v>13.125</v>
      </c>
      <c r="AU17" s="69">
        <f>IF(ISNUMBER(Table1[[#This Row],[Above gauge Ø]]),((Table1[[#This Row],[Size]]-Table1[[#This Row],[Above gauge Ø]])/2)-0.05,"")</f>
        <v>0.13750000000000001</v>
      </c>
      <c r="AV17" s="70">
        <v>0.33</v>
      </c>
      <c r="AW17" s="32" t="s">
        <v>180</v>
      </c>
      <c r="AX17" s="32">
        <v>13.5</v>
      </c>
      <c r="AY17" s="32" t="s">
        <v>270</v>
      </c>
      <c r="AZ17" s="32">
        <v>15</v>
      </c>
      <c r="BA17" s="32">
        <v>100</v>
      </c>
      <c r="BB17" s="82"/>
      <c r="BC17" s="82"/>
      <c r="BD17" s="82"/>
      <c r="BE17" s="82"/>
      <c r="BF17" s="32">
        <v>15</v>
      </c>
      <c r="BG17" s="32">
        <v>15</v>
      </c>
      <c r="BH17" s="32" t="s">
        <v>114</v>
      </c>
      <c r="BI17" s="32">
        <v>30</v>
      </c>
      <c r="BJ17" s="17" t="e">
        <f>CONCATENATE("► M1 Notes: ",#REF!," •-----► CL-SKF Notes: ",#REF!," •-----► DS Notes: ",#REF!)</f>
        <v>#REF!</v>
      </c>
      <c r="BK17" s="108" t="s">
        <v>271</v>
      </c>
      <c r="BL17" s="32">
        <v>3</v>
      </c>
      <c r="BM17" s="32" t="s">
        <v>115</v>
      </c>
      <c r="BN17" s="83">
        <v>37.799999999999997</v>
      </c>
      <c r="BO17" s="31">
        <v>45.66</v>
      </c>
      <c r="BP17" s="32" t="s">
        <v>101</v>
      </c>
      <c r="BQ17" s="32" t="s">
        <v>101</v>
      </c>
      <c r="BR17" s="32" t="s">
        <v>116</v>
      </c>
      <c r="BS17" s="32">
        <v>60</v>
      </c>
      <c r="BT17" s="32" t="s">
        <v>117</v>
      </c>
      <c r="BU17" s="32">
        <v>9</v>
      </c>
      <c r="BV17" s="32" t="s">
        <v>117</v>
      </c>
      <c r="BW17" s="103">
        <v>3.34</v>
      </c>
    </row>
    <row r="18" spans="2:75" x14ac:dyDescent="0.25">
      <c r="B18" s="1">
        <v>2019</v>
      </c>
      <c r="C18" s="2"/>
      <c r="D18" s="147" t="s">
        <v>272</v>
      </c>
      <c r="E18" s="75" t="s">
        <v>93</v>
      </c>
      <c r="F18" s="75" t="s">
        <v>93</v>
      </c>
      <c r="G18" s="55" t="s">
        <v>273</v>
      </c>
      <c r="H18" s="55" t="s">
        <v>274</v>
      </c>
      <c r="I18" s="55" t="s">
        <v>275</v>
      </c>
      <c r="J18" s="55" t="s">
        <v>276</v>
      </c>
      <c r="K18" s="55" t="s">
        <v>277</v>
      </c>
      <c r="L18" s="55" t="s">
        <v>278</v>
      </c>
      <c r="M18" s="55" t="s">
        <v>279</v>
      </c>
      <c r="N18" s="55" t="s">
        <v>280</v>
      </c>
      <c r="O18" s="55" t="s">
        <v>281</v>
      </c>
      <c r="P18" s="53" t="s">
        <v>93</v>
      </c>
      <c r="Q18" s="53" t="s">
        <v>93</v>
      </c>
      <c r="R18" s="76">
        <f>COUNTIFS([1]Fleet!$E:$E,Table1[[#This Row],[Old Assy '#]])+COUNTIFS([1]OnDeck!$E:$E,Table1[[#This Row],[Old Assy '#]])</f>
        <v>1</v>
      </c>
      <c r="S18" s="77">
        <v>41397</v>
      </c>
      <c r="T18" s="78"/>
      <c r="U18" s="78" t="s">
        <v>101</v>
      </c>
      <c r="V18" s="78"/>
      <c r="W18" s="56" t="str">
        <f>IF(AND(Table1[[#This Row],[Phase Out]]="Y",Table1[[#This Row],[Zero Inventory]]="Y"),"Y","")</f>
        <v/>
      </c>
      <c r="X18" s="79">
        <v>12.25</v>
      </c>
      <c r="Y18" s="63" t="s">
        <v>282</v>
      </c>
      <c r="Z18" s="59" t="str">
        <f>IF(LEFT(Table1[[#This Row],[Model]],2)="NX","NX",IF(LEFT(Table1[[#This Row],[Model]],2)="CR","CR",""))</f>
        <v>CR</v>
      </c>
      <c r="AA18" s="59" t="str">
        <f>LEFT(SUBSTITUTE(SUBSTITUTE(Table1[[#This Row],[Model]],"NX",""),"CR",""),1)</f>
        <v>5</v>
      </c>
      <c r="AB18" s="59" t="str">
        <f>MID(SUBSTITUTE(SUBSTITUTE(Table1[[#This Row],[Model]],"NX",""),"CR",""),2,2)</f>
        <v>19</v>
      </c>
      <c r="AC18" s="64" t="str">
        <f>IF(ISNUMBER(FIND("M",Table1[[#This Row],[Model]])),"M","")</f>
        <v/>
      </c>
      <c r="AD18" s="64" t="str">
        <f>CONCATENATE(MID(Table1[[#This Row],[Model]],FIND("-",Table1[[#This Row],[Model]])+1,2),IF(RIGHT(MID(Table1[[#This Row],[Model]],FIND("-",Table1[[#This Row],[Model]])+1,3),1)="+","+",""))</f>
        <v>SR</v>
      </c>
      <c r="AE18"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18" s="64" t="str">
        <f>IF(ISNUMBER(SEARCH("(K)",Table1[[#This Row],[Model]])),"(K)","")</f>
        <v/>
      </c>
      <c r="AG18" s="64" t="str">
        <f>IF(ISNUMBER(SEARCH("(BR)",Table1[[#This Row],[Model]])),"(BR)","")</f>
        <v/>
      </c>
      <c r="AH18" s="32" t="s">
        <v>103</v>
      </c>
      <c r="AI18" s="32" t="s">
        <v>126</v>
      </c>
      <c r="AJ18" s="32"/>
      <c r="AK18" s="32" t="s">
        <v>283</v>
      </c>
      <c r="AL18" s="32" t="s">
        <v>182</v>
      </c>
      <c r="AM18" s="63" t="s">
        <v>107</v>
      </c>
      <c r="AN18" s="64" t="s">
        <v>139</v>
      </c>
      <c r="AO18" s="64"/>
      <c r="AP18" s="66"/>
      <c r="AQ18" s="67">
        <f>VALUE(SUBSTITUTE(INDEX('[2]M1 App'!$A$2:$R$349,MATCH(VALUE(LEFT(Table1[[#This Row],[Old Assy '#]],4)),'[2]M1 App'!$B$2:$B$349,0),MATCH(Table1[[#Headers],[App Six Three]],'[2]M1 App'!$A$1:$R$1,0))," ",""))</f>
        <v>0</v>
      </c>
      <c r="AR18" s="68" t="s">
        <v>284</v>
      </c>
      <c r="AS18" s="32">
        <v>15432</v>
      </c>
      <c r="AT18" s="102">
        <v>11.875</v>
      </c>
      <c r="AU18" s="69">
        <f>IF(ISNUMBER(Table1[[#This Row],[Above gauge Ø]]),((Table1[[#This Row],[Size]]-Table1[[#This Row],[Above gauge Ø]])/2)-0.05,"")</f>
        <v>0.13750000000000001</v>
      </c>
      <c r="AV18" s="70">
        <v>0.33</v>
      </c>
      <c r="AW18" s="32" t="s">
        <v>111</v>
      </c>
      <c r="AX18" s="32">
        <v>12.25</v>
      </c>
      <c r="AY18" s="32" t="s">
        <v>140</v>
      </c>
      <c r="AZ18" s="32">
        <v>15</v>
      </c>
      <c r="BA18" s="32"/>
      <c r="BB18" s="82"/>
      <c r="BC18" s="82"/>
      <c r="BD18" s="82"/>
      <c r="BE18" s="82"/>
      <c r="BF18" s="32">
        <v>20</v>
      </c>
      <c r="BG18" s="32">
        <v>15</v>
      </c>
      <c r="BH18" s="32" t="s">
        <v>114</v>
      </c>
      <c r="BI18" s="32">
        <v>30</v>
      </c>
      <c r="BJ18" s="17" t="e">
        <f>CONCATENATE("► M1 Notes: ",#REF!," •-----► CL-SKF Notes: ",#REF!," •-----► DS Notes: ",#REF!)</f>
        <v>#REF!</v>
      </c>
      <c r="BK18" s="108" t="s">
        <v>285</v>
      </c>
      <c r="BL18" s="32">
        <v>3</v>
      </c>
      <c r="BM18" s="32" t="s">
        <v>115</v>
      </c>
      <c r="BN18" s="83">
        <v>24.92</v>
      </c>
      <c r="BO18" s="31">
        <v>47.55</v>
      </c>
      <c r="BP18" s="32" t="s">
        <v>116</v>
      </c>
      <c r="BQ18" s="32" t="s">
        <v>101</v>
      </c>
      <c r="BR18" s="32" t="s">
        <v>116</v>
      </c>
      <c r="BS18" s="32">
        <v>60</v>
      </c>
      <c r="BT18" s="32" t="s">
        <v>117</v>
      </c>
      <c r="BU18" s="32">
        <v>7</v>
      </c>
      <c r="BV18" s="32" t="s">
        <v>117</v>
      </c>
      <c r="BW18" s="103">
        <v>2.6</v>
      </c>
    </row>
    <row r="19" spans="2:75" x14ac:dyDescent="0.25">
      <c r="B19" s="1">
        <v>2020</v>
      </c>
      <c r="C19" s="2"/>
      <c r="D19" s="147" t="s">
        <v>286</v>
      </c>
      <c r="E19" s="55" t="s">
        <v>287</v>
      </c>
      <c r="F19" s="55" t="s">
        <v>288</v>
      </c>
      <c r="G19" s="55" t="s">
        <v>289</v>
      </c>
      <c r="H19" s="75" t="s">
        <v>93</v>
      </c>
      <c r="I19" s="55" t="s">
        <v>290</v>
      </c>
      <c r="J19" s="55" t="s">
        <v>291</v>
      </c>
      <c r="K19" s="55" t="s">
        <v>292</v>
      </c>
      <c r="L19" s="55" t="s">
        <v>293</v>
      </c>
      <c r="M19" s="55" t="s">
        <v>294</v>
      </c>
      <c r="N19" s="55" t="s">
        <v>295</v>
      </c>
      <c r="O19" s="55" t="s">
        <v>296</v>
      </c>
      <c r="P19" s="53" t="s">
        <v>93</v>
      </c>
      <c r="Q19" s="53" t="s">
        <v>93</v>
      </c>
      <c r="R19" s="76">
        <f>COUNTIFS([1]Fleet!$E:$E,Table1[[#This Row],[Old Assy '#]])+COUNTIFS([1]OnDeck!$E:$E,Table1[[#This Row],[Old Assy '#]])</f>
        <v>1</v>
      </c>
      <c r="S19" s="77">
        <v>41389</v>
      </c>
      <c r="T19" s="78"/>
      <c r="U19" s="78" t="s">
        <v>101</v>
      </c>
      <c r="V19" s="78"/>
      <c r="W19" s="56" t="str">
        <f>IF(AND(Table1[[#This Row],[Phase Out]]="Y",Table1[[#This Row],[Zero Inventory]]="Y"),"Y","")</f>
        <v/>
      </c>
      <c r="X19" s="79">
        <v>6.125</v>
      </c>
      <c r="Y19" s="63" t="s">
        <v>166</v>
      </c>
      <c r="Z19" s="59" t="str">
        <f>IF(LEFT(Table1[[#This Row],[Model]],2)="NX","NX",IF(LEFT(Table1[[#This Row],[Model]],2)="CR","CR",""))</f>
        <v>CR</v>
      </c>
      <c r="AA19" s="59" t="str">
        <f>LEFT(SUBSTITUTE(SUBSTITUTE(Table1[[#This Row],[Model]],"NX",""),"CR",""),1)</f>
        <v>6</v>
      </c>
      <c r="AB19" s="59" t="str">
        <f>MID(SUBSTITUTE(SUBSTITUTE(Table1[[#This Row],[Model]],"NX",""),"CR",""),2,2)</f>
        <v>16</v>
      </c>
      <c r="AC19" s="64" t="str">
        <f>IF(ISNUMBER(FIND("M",Table1[[#This Row],[Model]])),"M","")</f>
        <v/>
      </c>
      <c r="AD19" s="64" t="str">
        <f>CONCATENATE(MID(Table1[[#This Row],[Model]],FIND("-",Table1[[#This Row],[Model]])+1,2),IF(RIGHT(MID(Table1[[#This Row],[Model]],FIND("-",Table1[[#This Row],[Model]])+1,3),1)="+","+",""))</f>
        <v>SR</v>
      </c>
      <c r="AE1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9" s="64" t="str">
        <f>IF(ISNUMBER(SEARCH("(K)",Table1[[#This Row],[Model]])),"(K)","")</f>
        <v/>
      </c>
      <c r="AG19" s="64" t="str">
        <f>IF(ISNUMBER(SEARCH("(BR)",Table1[[#This Row],[Model]])),"(BR)","")</f>
        <v/>
      </c>
      <c r="AH19" s="32" t="s">
        <v>103</v>
      </c>
      <c r="AI19" s="32" t="s">
        <v>163</v>
      </c>
      <c r="AJ19" s="32"/>
      <c r="AK19" s="32"/>
      <c r="AL19" s="32" t="s">
        <v>106</v>
      </c>
      <c r="AM19" s="63" t="s">
        <v>107</v>
      </c>
      <c r="AN19" s="64" t="s">
        <v>108</v>
      </c>
      <c r="AO19" s="65"/>
      <c r="AP19" s="66"/>
      <c r="AQ19" s="67">
        <f>VALUE(SUBSTITUTE(INDEX('[2]M1 App'!$A$2:$R$349,MATCH(VALUE(LEFT(Table1[[#This Row],[Old Assy '#]],4)),'[2]M1 App'!$B$2:$B$349,0),MATCH(Table1[[#Headers],[App Six Three]],'[2]M1 App'!$A$1:$R$1,0))," ",""))</f>
        <v>0</v>
      </c>
      <c r="AR19" s="69" t="s">
        <v>109</v>
      </c>
      <c r="AS19" s="32" t="s">
        <v>128</v>
      </c>
      <c r="AT19" s="32">
        <v>5.875</v>
      </c>
      <c r="AU19" s="69">
        <f>IF(ISNUMBER(Table1[[#This Row],[Above gauge Ø]]),((Table1[[#This Row],[Size]]-Table1[[#This Row],[Above gauge Ø]])/2)-0.05,"")</f>
        <v>7.4999999999999997E-2</v>
      </c>
      <c r="AV19" s="70">
        <v>0.33</v>
      </c>
      <c r="AW19" s="32" t="s">
        <v>111</v>
      </c>
      <c r="AX19" s="32">
        <v>6.125</v>
      </c>
      <c r="AY19" s="32" t="s">
        <v>219</v>
      </c>
      <c r="AZ19" s="32">
        <v>10</v>
      </c>
      <c r="BA19" s="32"/>
      <c r="BB19" s="82"/>
      <c r="BC19" s="82"/>
      <c r="BD19" s="82"/>
      <c r="BE19" s="82"/>
      <c r="BF19" s="32">
        <v>15</v>
      </c>
      <c r="BG19" s="32">
        <v>15</v>
      </c>
      <c r="BH19" s="32">
        <v>17.5</v>
      </c>
      <c r="BI19" s="32">
        <v>30</v>
      </c>
      <c r="BJ19" s="17" t="e">
        <f>CONCATENATE("► M1 Notes: ",#REF!," •-----► CL-SKF Notes: ",#REF!," •-----► DS Notes: ",#REF!)</f>
        <v>#REF!</v>
      </c>
      <c r="BK19" s="17"/>
      <c r="BL19" s="32">
        <v>1.5</v>
      </c>
      <c r="BM19" s="32" t="s">
        <v>115</v>
      </c>
      <c r="BN19" s="83">
        <v>6.6589999999999998</v>
      </c>
      <c r="BO19" s="31">
        <v>10.199999999999999</v>
      </c>
      <c r="BP19" s="32" t="s">
        <v>101</v>
      </c>
      <c r="BQ19" s="32" t="s">
        <v>101</v>
      </c>
      <c r="BR19" s="32" t="s">
        <v>116</v>
      </c>
      <c r="BS19" s="32">
        <v>55</v>
      </c>
      <c r="BT19" s="32" t="s">
        <v>117</v>
      </c>
      <c r="BU19" s="32">
        <v>6</v>
      </c>
      <c r="BV19" s="32" t="s">
        <v>117</v>
      </c>
      <c r="BW19" s="103">
        <v>1.18</v>
      </c>
    </row>
    <row r="20" spans="2:75" x14ac:dyDescent="0.25">
      <c r="B20" s="1">
        <v>2027</v>
      </c>
      <c r="C20" s="2"/>
      <c r="D20" s="146" t="s">
        <v>93</v>
      </c>
      <c r="E20" s="75" t="s">
        <v>93</v>
      </c>
      <c r="F20" s="75" t="s">
        <v>93</v>
      </c>
      <c r="G20" s="55" t="s">
        <v>297</v>
      </c>
      <c r="H20" s="55" t="s">
        <v>298</v>
      </c>
      <c r="I20" s="55" t="s">
        <v>299</v>
      </c>
      <c r="J20" s="55" t="s">
        <v>300</v>
      </c>
      <c r="K20" s="55" t="s">
        <v>301</v>
      </c>
      <c r="L20" s="55" t="s">
        <v>302</v>
      </c>
      <c r="M20" s="55" t="s">
        <v>303</v>
      </c>
      <c r="N20" s="55" t="s">
        <v>304</v>
      </c>
      <c r="O20" s="55" t="s">
        <v>305</v>
      </c>
      <c r="P20" s="53" t="s">
        <v>93</v>
      </c>
      <c r="Q20" s="53" t="s">
        <v>93</v>
      </c>
      <c r="R20" s="76">
        <f>COUNTIFS([1]Fleet!$E:$E,Table1[[#This Row],[Old Assy '#]])+COUNTIFS([1]OnDeck!$E:$E,Table1[[#This Row],[Old Assy '#]])</f>
        <v>1</v>
      </c>
      <c r="S20" s="77">
        <v>41477</v>
      </c>
      <c r="T20" s="78"/>
      <c r="U20" s="78"/>
      <c r="V20" s="78"/>
      <c r="W20" s="56" t="str">
        <f>IF(AND(Table1[[#This Row],[Phase Out]]="Y",Table1[[#This Row],[Zero Inventory]]="Y"),"Y","")</f>
        <v/>
      </c>
      <c r="X20" s="79">
        <v>8.5</v>
      </c>
      <c r="Y20" s="63" t="s">
        <v>306</v>
      </c>
      <c r="Z20" s="59" t="str">
        <f>IF(LEFT(Table1[[#This Row],[Model]],2)="NX","NX",IF(LEFT(Table1[[#This Row],[Model]],2)="CR","CR",""))</f>
        <v>CR</v>
      </c>
      <c r="AA20" s="59" t="str">
        <f>LEFT(SUBSTITUTE(SUBSTITUTE(Table1[[#This Row],[Model]],"NX",""),"CR",""),1)</f>
        <v>5</v>
      </c>
      <c r="AB20" s="59" t="str">
        <f>MID(SUBSTITUTE(SUBSTITUTE(Table1[[#This Row],[Model]],"NX",""),"CR",""),2,2)</f>
        <v>16</v>
      </c>
      <c r="AC20" s="64" t="str">
        <f>IF(ISNUMBER(FIND("M",Table1[[#This Row],[Model]])),"M","")</f>
        <v/>
      </c>
      <c r="AD20" s="64" t="str">
        <f>CONCATENATE(MID(Table1[[#This Row],[Model]],FIND("-",Table1[[#This Row],[Model]])+1,2),IF(RIGHT(MID(Table1[[#This Row],[Model]],FIND("-",Table1[[#This Row],[Model]])+1,3),1)="+","+",""))</f>
        <v>SR</v>
      </c>
      <c r="AE20"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20" s="64" t="str">
        <f>IF(ISNUMBER(SEARCH("(K)",Table1[[#This Row],[Model]])),"(K)","")</f>
        <v/>
      </c>
      <c r="AG20" s="64" t="str">
        <f>IF(ISNUMBER(SEARCH("(BR)",Table1[[#This Row],[Model]])),"(BR)","")</f>
        <v/>
      </c>
      <c r="AH20" s="32" t="s">
        <v>103</v>
      </c>
      <c r="AI20" s="32" t="s">
        <v>104</v>
      </c>
      <c r="AJ20" s="32"/>
      <c r="AK20" s="32"/>
      <c r="AL20" s="32" t="s">
        <v>182</v>
      </c>
      <c r="AM20" s="63" t="s">
        <v>107</v>
      </c>
      <c r="AN20" s="64" t="s">
        <v>108</v>
      </c>
      <c r="AO20" s="64"/>
      <c r="AP20" s="66"/>
      <c r="AQ20" s="67">
        <f>VALUE(SUBSTITUTE(INDEX('[2]M1 App'!$A$2:$R$349,MATCH(VALUE(LEFT(Table1[[#This Row],[Old Assy '#]],4)),'[2]M1 App'!$B$2:$B$349,0),MATCH(Table1[[#Headers],[App Six Three]],'[2]M1 App'!$A$1:$R$1,0))," ",""))</f>
        <v>0</v>
      </c>
      <c r="AR20" s="68" t="s">
        <v>179</v>
      </c>
      <c r="AS20" s="32">
        <v>12345</v>
      </c>
      <c r="AT20" s="102">
        <v>8.125</v>
      </c>
      <c r="AU20" s="69">
        <f>IF(ISNUMBER(Table1[[#This Row],[Above gauge Ø]]),((Table1[[#This Row],[Size]]-Table1[[#This Row],[Above gauge Ø]])/2)-0.05,"")</f>
        <v>0.13750000000000001</v>
      </c>
      <c r="AV20" s="70">
        <v>0.33</v>
      </c>
      <c r="AW20" s="32" t="s">
        <v>180</v>
      </c>
      <c r="AX20" s="32">
        <v>8.375</v>
      </c>
      <c r="AY20" s="32" t="s">
        <v>307</v>
      </c>
      <c r="AZ20" s="32">
        <v>7.5</v>
      </c>
      <c r="BA20" s="32"/>
      <c r="BB20" s="82"/>
      <c r="BC20" s="82"/>
      <c r="BD20" s="82"/>
      <c r="BE20" s="82"/>
      <c r="BF20" s="32">
        <v>15</v>
      </c>
      <c r="BG20" s="32">
        <v>20</v>
      </c>
      <c r="BH20" s="32" t="s">
        <v>308</v>
      </c>
      <c r="BI20" s="32">
        <v>30</v>
      </c>
      <c r="BJ20" s="17" t="e">
        <f>CONCATENATE("► M1 Notes: ",#REF!," •-----► CL-SKF Notes: ",#REF!," •-----► DS Notes: ",#REF!)</f>
        <v>#REF!</v>
      </c>
      <c r="BK20" s="109" t="s">
        <v>309</v>
      </c>
      <c r="BL20" s="32">
        <v>2.5</v>
      </c>
      <c r="BM20" s="32" t="s">
        <v>115</v>
      </c>
      <c r="BN20" s="83">
        <v>21</v>
      </c>
      <c r="BO20" s="31">
        <v>18.399999999999999</v>
      </c>
      <c r="BP20" s="32" t="s">
        <v>116</v>
      </c>
      <c r="BQ20" s="32" t="s">
        <v>101</v>
      </c>
      <c r="BR20" s="32" t="s">
        <v>116</v>
      </c>
      <c r="BS20" s="32">
        <v>60</v>
      </c>
      <c r="BT20" s="32" t="s">
        <v>117</v>
      </c>
      <c r="BU20" s="32">
        <v>7</v>
      </c>
      <c r="BV20" s="32" t="s">
        <v>117</v>
      </c>
      <c r="BW20" s="103">
        <v>2.6</v>
      </c>
    </row>
    <row r="21" spans="2:75" x14ac:dyDescent="0.25">
      <c r="B21" s="1">
        <v>2028</v>
      </c>
      <c r="C21" s="2"/>
      <c r="D21" s="146" t="s">
        <v>93</v>
      </c>
      <c r="E21" s="75" t="s">
        <v>93</v>
      </c>
      <c r="F21" s="75" t="s">
        <v>93</v>
      </c>
      <c r="G21" s="55" t="s">
        <v>310</v>
      </c>
      <c r="H21" s="55" t="s">
        <v>311</v>
      </c>
      <c r="I21" s="112" t="s">
        <v>312</v>
      </c>
      <c r="J21" s="55" t="s">
        <v>313</v>
      </c>
      <c r="K21" s="55" t="s">
        <v>314</v>
      </c>
      <c r="L21" s="55" t="s">
        <v>315</v>
      </c>
      <c r="M21" s="55" t="s">
        <v>316</v>
      </c>
      <c r="N21" s="55" t="s">
        <v>317</v>
      </c>
      <c r="O21" s="55" t="s">
        <v>318</v>
      </c>
      <c r="P21" s="53" t="s">
        <v>93</v>
      </c>
      <c r="Q21" s="53" t="s">
        <v>93</v>
      </c>
      <c r="R21" s="76">
        <f>COUNTIFS([1]Fleet!$E:$E,Table1[[#This Row],[Old Assy '#]])+COUNTIFS([1]OnDeck!$E:$E,Table1[[#This Row],[Old Assy '#]])</f>
        <v>1</v>
      </c>
      <c r="S21" s="77">
        <v>41481</v>
      </c>
      <c r="T21" s="78"/>
      <c r="U21" s="78"/>
      <c r="V21" s="78"/>
      <c r="W21" s="56" t="str">
        <f>IF(AND(Table1[[#This Row],[Phase Out]]="Y",Table1[[#This Row],[Zero Inventory]]="Y"),"Y","")</f>
        <v/>
      </c>
      <c r="X21" s="79">
        <v>8.5</v>
      </c>
      <c r="Y21" s="63" t="s">
        <v>319</v>
      </c>
      <c r="Z21" s="59" t="str">
        <f>IF(LEFT(Table1[[#This Row],[Model]],2)="NX","NX",IF(LEFT(Table1[[#This Row],[Model]],2)="CR","CR",""))</f>
        <v>CR</v>
      </c>
      <c r="AA21" s="59" t="str">
        <f>LEFT(SUBSTITUTE(SUBSTITUTE(Table1[[#This Row],[Model]],"NX",""),"CR",""),1)</f>
        <v>5</v>
      </c>
      <c r="AB21" s="59" t="str">
        <f>MID(SUBSTITUTE(SUBSTITUTE(Table1[[#This Row],[Model]],"NX",""),"CR",""),2,2)</f>
        <v>13</v>
      </c>
      <c r="AC21" s="64" t="str">
        <f>IF(ISNUMBER(FIND("M",Table1[[#This Row],[Model]])),"M","")</f>
        <v/>
      </c>
      <c r="AD21" s="64" t="str">
        <f>CONCATENATE(MID(Table1[[#This Row],[Model]],FIND("-",Table1[[#This Row],[Model]])+1,2),IF(RIGHT(MID(Table1[[#This Row],[Model]],FIND("-",Table1[[#This Row],[Model]])+1,3),1)="+","+",""))</f>
        <v>YR</v>
      </c>
      <c r="AE21"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21" s="64" t="str">
        <f>IF(ISNUMBER(SEARCH("(K)",Table1[[#This Row],[Model]])),"(K)","")</f>
        <v/>
      </c>
      <c r="AG21" s="64" t="str">
        <f>IF(ISNUMBER(SEARCH("(BR)",Table1[[#This Row],[Model]])),"(BR)","")</f>
        <v>(BR)</v>
      </c>
      <c r="AH21" s="32" t="s">
        <v>103</v>
      </c>
      <c r="AI21" s="32" t="s">
        <v>104</v>
      </c>
      <c r="AJ21" s="32"/>
      <c r="AK21" s="32"/>
      <c r="AL21" s="32" t="s">
        <v>320</v>
      </c>
      <c r="AM21" s="63" t="s">
        <v>321</v>
      </c>
      <c r="AN21" s="64" t="s">
        <v>108</v>
      </c>
      <c r="AO21" s="65"/>
      <c r="AP21" s="66"/>
      <c r="AQ21" s="67">
        <f>VALUE(SUBSTITUTE(INDEX('[2]M1 App'!$A$2:$R$349,MATCH(VALUE(LEFT(Table1[[#This Row],[Old Assy '#]],4)),'[2]M1 App'!$B$2:$B$349,0),MATCH(Table1[[#Headers],[App Six Three]],'[2]M1 App'!$A$1:$R$1,0))," ",""))</f>
        <v>0</v>
      </c>
      <c r="AR21" s="68" t="s">
        <v>179</v>
      </c>
      <c r="AS21" s="32">
        <v>12345</v>
      </c>
      <c r="AT21" s="102">
        <v>8.125</v>
      </c>
      <c r="AU21" s="69">
        <f>IF(ISNUMBER(Table1[[#This Row],[Above gauge Ø]]),((Table1[[#This Row],[Size]]-Table1[[#This Row],[Above gauge Ø]])/2)-0.05,"")</f>
        <v>0.13750000000000001</v>
      </c>
      <c r="AV21" s="70">
        <v>0.33</v>
      </c>
      <c r="AW21" s="32" t="s">
        <v>180</v>
      </c>
      <c r="AX21" s="32">
        <v>8.375</v>
      </c>
      <c r="AY21" s="32" t="s">
        <v>307</v>
      </c>
      <c r="AZ21" s="32">
        <v>7.5</v>
      </c>
      <c r="BA21" s="32"/>
      <c r="BB21" s="82">
        <v>50</v>
      </c>
      <c r="BC21" s="82">
        <v>0</v>
      </c>
      <c r="BD21" s="82"/>
      <c r="BE21" s="82"/>
      <c r="BF21" s="32">
        <v>15</v>
      </c>
      <c r="BG21" s="32">
        <v>15</v>
      </c>
      <c r="BH21" s="32" t="s">
        <v>322</v>
      </c>
      <c r="BI21" s="32">
        <v>30</v>
      </c>
      <c r="BJ21" s="17" t="e">
        <f>CONCATENATE("► M1 Notes: ",#REF!," •-----► CL-SKF Notes: ",#REF!," •-----► DS Notes: ",#REF!)</f>
        <v>#REF!</v>
      </c>
      <c r="BK21" s="109" t="s">
        <v>323</v>
      </c>
      <c r="BL21" s="32">
        <v>1.5</v>
      </c>
      <c r="BM21" s="32" t="s">
        <v>115</v>
      </c>
      <c r="BN21" s="83">
        <v>12.39</v>
      </c>
      <c r="BO21" s="31">
        <v>16.96</v>
      </c>
      <c r="BP21" s="32" t="s">
        <v>116</v>
      </c>
      <c r="BQ21" s="32" t="s">
        <v>101</v>
      </c>
      <c r="BR21" s="32" t="s">
        <v>116</v>
      </c>
      <c r="BS21" s="32">
        <v>60</v>
      </c>
      <c r="BT21" s="32" t="s">
        <v>117</v>
      </c>
      <c r="BU21" s="32">
        <v>7</v>
      </c>
      <c r="BV21" s="32" t="s">
        <v>117</v>
      </c>
      <c r="BW21" s="103">
        <v>2.6</v>
      </c>
    </row>
    <row r="22" spans="2:75" x14ac:dyDescent="0.25">
      <c r="B22" s="1">
        <v>2033</v>
      </c>
      <c r="C22" s="2"/>
      <c r="D22" s="147" t="s">
        <v>324</v>
      </c>
      <c r="E22" s="75" t="s">
        <v>93</v>
      </c>
      <c r="F22" s="75" t="s">
        <v>93</v>
      </c>
      <c r="G22" s="55" t="s">
        <v>325</v>
      </c>
      <c r="H22" s="55" t="s">
        <v>326</v>
      </c>
      <c r="I22" s="55" t="s">
        <v>327</v>
      </c>
      <c r="J22" s="55" t="s">
        <v>328</v>
      </c>
      <c r="K22" s="55" t="s">
        <v>329</v>
      </c>
      <c r="L22" s="55" t="s">
        <v>330</v>
      </c>
      <c r="M22" s="55" t="s">
        <v>331</v>
      </c>
      <c r="N22" s="55" t="s">
        <v>332</v>
      </c>
      <c r="O22" s="55" t="s">
        <v>333</v>
      </c>
      <c r="P22" s="55" t="s">
        <v>334</v>
      </c>
      <c r="Q22" s="53" t="s">
        <v>93</v>
      </c>
      <c r="R22" s="76">
        <f>COUNTIFS([1]Fleet!$E:$E,Table1[[#This Row],[Old Assy '#]])+COUNTIFS([1]OnDeck!$E:$E,Table1[[#This Row],[Old Assy '#]])</f>
        <v>1</v>
      </c>
      <c r="S22" s="77">
        <v>41525</v>
      </c>
      <c r="T22" s="78"/>
      <c r="U22" s="78" t="s">
        <v>101</v>
      </c>
      <c r="V22" s="78"/>
      <c r="W22" s="56" t="str">
        <f>IF(AND(Table1[[#This Row],[Phase Out]]="Y",Table1[[#This Row],[Zero Inventory]]="Y"),"Y","")</f>
        <v/>
      </c>
      <c r="X22" s="79">
        <v>6.125</v>
      </c>
      <c r="Y22" s="63" t="s">
        <v>335</v>
      </c>
      <c r="Z22" s="59" t="str">
        <f>IF(LEFT(Table1[[#This Row],[Model]],2)="NX","NX",IF(LEFT(Table1[[#This Row],[Model]],2)="CR","CR",""))</f>
        <v>CR</v>
      </c>
      <c r="AA22" s="59" t="str">
        <f>LEFT(SUBSTITUTE(SUBSTITUTE(Table1[[#This Row],[Model]],"NX",""),"CR",""),1)</f>
        <v>5</v>
      </c>
      <c r="AB22" s="59" t="str">
        <f>MID(SUBSTITUTE(SUBSTITUTE(Table1[[#This Row],[Model]],"NX",""),"CR",""),2,2)</f>
        <v>16</v>
      </c>
      <c r="AC22" s="64" t="str">
        <f>IF(ISNUMBER(FIND("M",Table1[[#This Row],[Model]])),"M","")</f>
        <v/>
      </c>
      <c r="AD22" s="64" t="str">
        <f>CONCATENATE(MID(Table1[[#This Row],[Model]],FIND("-",Table1[[#This Row],[Model]])+1,2),IF(RIGHT(MID(Table1[[#This Row],[Model]],FIND("-",Table1[[#This Row],[Model]])+1,3),1)="+","+",""))</f>
        <v>SR</v>
      </c>
      <c r="AE22"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22" s="64" t="str">
        <f>IF(ISNUMBER(SEARCH("(K)",Table1[[#This Row],[Model]])),"(K)","")</f>
        <v/>
      </c>
      <c r="AG22" s="64" t="str">
        <f>IF(ISNUMBER(SEARCH("(BR)",Table1[[#This Row],[Model]])),"(BR)","")</f>
        <v/>
      </c>
      <c r="AH22" s="32" t="s">
        <v>103</v>
      </c>
      <c r="AI22" s="32" t="s">
        <v>163</v>
      </c>
      <c r="AJ22" s="32"/>
      <c r="AK22" s="32"/>
      <c r="AL22" s="32" t="s">
        <v>106</v>
      </c>
      <c r="AM22" s="63" t="s">
        <v>107</v>
      </c>
      <c r="AN22" s="64" t="s">
        <v>108</v>
      </c>
      <c r="AO22" s="65"/>
      <c r="AP22" s="66"/>
      <c r="AQ22" s="67">
        <f>VALUE(SUBSTITUTE(INDEX('[2]M1 App'!$A$2:$R$349,MATCH(VALUE(LEFT(Table1[[#This Row],[Old Assy '#]],4)),'[2]M1 App'!$B$2:$B$349,0),MATCH(Table1[[#Headers],[App Six Three]],'[2]M1 App'!$A$1:$R$1,0))," ",""))</f>
        <v>0</v>
      </c>
      <c r="AR22" s="68" t="s">
        <v>284</v>
      </c>
      <c r="AS22" s="32">
        <v>15432</v>
      </c>
      <c r="AT22" s="32">
        <v>5.875</v>
      </c>
      <c r="AU22" s="69">
        <f>IF(ISNUMBER(Table1[[#This Row],[Above gauge Ø]]),((Table1[[#This Row],[Size]]-Table1[[#This Row],[Above gauge Ø]])/2)-0.05,"")</f>
        <v>7.4999999999999997E-2</v>
      </c>
      <c r="AV22" s="70">
        <v>0.33</v>
      </c>
      <c r="AW22" s="32" t="s">
        <v>111</v>
      </c>
      <c r="AX22" s="32">
        <v>6.125</v>
      </c>
      <c r="AY22" s="32" t="s">
        <v>219</v>
      </c>
      <c r="AZ22" s="32">
        <v>10</v>
      </c>
      <c r="BA22" s="32"/>
      <c r="BB22" s="82"/>
      <c r="BC22" s="82"/>
      <c r="BD22" s="82"/>
      <c r="BE22" s="82"/>
      <c r="BF22" s="32">
        <v>20</v>
      </c>
      <c r="BG22" s="32">
        <v>15</v>
      </c>
      <c r="BH22" s="32" t="s">
        <v>336</v>
      </c>
      <c r="BI22" s="32">
        <v>25</v>
      </c>
      <c r="BJ22" s="17" t="e">
        <f>CONCATENATE("► M1 Notes: ",#REF!," •-----► CL-SKF Notes: ",#REF!," •-----► DS Notes: ",#REF!)</f>
        <v>#REF!</v>
      </c>
      <c r="BK22" s="109" t="s">
        <v>337</v>
      </c>
      <c r="BL22" s="32">
        <v>1.5</v>
      </c>
      <c r="BM22" s="32" t="s">
        <v>184</v>
      </c>
      <c r="BN22" s="83">
        <v>8.69</v>
      </c>
      <c r="BO22" s="31">
        <v>10.1</v>
      </c>
      <c r="BP22" s="32" t="s">
        <v>101</v>
      </c>
      <c r="BQ22" s="32" t="s">
        <v>101</v>
      </c>
      <c r="BR22" s="32" t="s">
        <v>116</v>
      </c>
      <c r="BS22" s="32">
        <v>55</v>
      </c>
      <c r="BT22" s="32" t="s">
        <v>117</v>
      </c>
      <c r="BU22" s="32">
        <v>5</v>
      </c>
      <c r="BV22" s="32" t="s">
        <v>117</v>
      </c>
      <c r="BW22" s="103">
        <v>0.98</v>
      </c>
    </row>
    <row r="23" spans="2:75" x14ac:dyDescent="0.25">
      <c r="B23" s="1">
        <v>2036</v>
      </c>
      <c r="C23" s="2"/>
      <c r="D23" s="147" t="s">
        <v>338</v>
      </c>
      <c r="E23" s="75" t="s">
        <v>93</v>
      </c>
      <c r="F23" s="75" t="s">
        <v>93</v>
      </c>
      <c r="G23" s="55" t="s">
        <v>339</v>
      </c>
      <c r="H23" s="55" t="s">
        <v>340</v>
      </c>
      <c r="I23" s="55" t="s">
        <v>341</v>
      </c>
      <c r="J23" s="55" t="s">
        <v>342</v>
      </c>
      <c r="K23" s="55" t="s">
        <v>343</v>
      </c>
      <c r="L23" s="55" t="s">
        <v>344</v>
      </c>
      <c r="M23" s="55" t="s">
        <v>345</v>
      </c>
      <c r="N23" s="55" t="s">
        <v>346</v>
      </c>
      <c r="O23" s="55" t="s">
        <v>347</v>
      </c>
      <c r="P23" s="53" t="s">
        <v>93</v>
      </c>
      <c r="Q23" s="53" t="s">
        <v>93</v>
      </c>
      <c r="R23" s="76">
        <f>COUNTIFS([1]Fleet!$E:$E,Table1[[#This Row],[Old Assy '#]])+COUNTIFS([1]OnDeck!$E:$E,Table1[[#This Row],[Old Assy '#]])</f>
        <v>3</v>
      </c>
      <c r="S23" s="77">
        <v>41533</v>
      </c>
      <c r="T23" s="78"/>
      <c r="U23" s="78"/>
      <c r="V23" s="78"/>
      <c r="W23" s="56" t="str">
        <f>IF(AND(Table1[[#This Row],[Phase Out]]="Y",Table1[[#This Row],[Zero Inventory]]="Y"),"Y","")</f>
        <v/>
      </c>
      <c r="X23" s="79">
        <v>17.5</v>
      </c>
      <c r="Y23" s="63" t="s">
        <v>125</v>
      </c>
      <c r="Z23" s="59" t="str">
        <f>IF(LEFT(Table1[[#This Row],[Model]],2)="NX","NX",IF(LEFT(Table1[[#This Row],[Model]],2)="CR","CR",""))</f>
        <v>CR</v>
      </c>
      <c r="AA23" s="59" t="str">
        <f>LEFT(SUBSTITUTE(SUBSTITUTE(Table1[[#This Row],[Model]],"NX",""),"CR",""),1)</f>
        <v>6</v>
      </c>
      <c r="AB23" s="59" t="str">
        <f>MID(SUBSTITUTE(SUBSTITUTE(Table1[[#This Row],[Model]],"NX",""),"CR",""),2,2)</f>
        <v>16</v>
      </c>
      <c r="AC23" s="64" t="str">
        <f>IF(ISNUMBER(FIND("M",Table1[[#This Row],[Model]])),"M","")</f>
        <v/>
      </c>
      <c r="AD23" s="64" t="str">
        <f>CONCATENATE(MID(Table1[[#This Row],[Model]],FIND("-",Table1[[#This Row],[Model]])+1,2),IF(RIGHT(MID(Table1[[#This Row],[Model]],FIND("-",Table1[[#This Row],[Model]])+1,3),1)="+","+",""))</f>
        <v>SR</v>
      </c>
      <c r="AE2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23" s="64" t="str">
        <f>IF(ISNUMBER(SEARCH("(K)",Table1[[#This Row],[Model]])),"(K)","")</f>
        <v/>
      </c>
      <c r="AG23" s="64" t="str">
        <f>IF(ISNUMBER(SEARCH("(BR)",Table1[[#This Row],[Model]])),"(BR)","")</f>
        <v/>
      </c>
      <c r="AH23" s="32" t="s">
        <v>103</v>
      </c>
      <c r="AI23" s="32" t="s">
        <v>126</v>
      </c>
      <c r="AJ23" s="32"/>
      <c r="AK23" s="32"/>
      <c r="AL23" s="32" t="s">
        <v>106</v>
      </c>
      <c r="AM23" s="63" t="s">
        <v>107</v>
      </c>
      <c r="AN23" s="63" t="s">
        <v>139</v>
      </c>
      <c r="AO23" s="65"/>
      <c r="AP23" s="66"/>
      <c r="AQ23" s="67">
        <f>VALUE(SUBSTITUTE(INDEX('[2]M1 App'!$A$2:$R$349,MATCH(VALUE(LEFT(Table1[[#This Row],[Old Assy '#]],4)),'[2]M1 App'!$B$2:$B$349,0),MATCH(Table1[[#Headers],[App Six Three]],'[2]M1 App'!$A$1:$R$1,0))," ",""))</f>
        <v>0</v>
      </c>
      <c r="AR23" s="68" t="s">
        <v>109</v>
      </c>
      <c r="AS23" s="32" t="s">
        <v>348</v>
      </c>
      <c r="AT23" s="32">
        <v>17.125</v>
      </c>
      <c r="AU23" s="69">
        <f>IF(ISNUMBER(Table1[[#This Row],[Above gauge Ø]]),((Table1[[#This Row],[Size]]-Table1[[#This Row],[Above gauge Ø]])/2)-0.05,"")</f>
        <v>0.13750000000000001</v>
      </c>
      <c r="AV23" s="70">
        <v>0.33</v>
      </c>
      <c r="AW23" s="32" t="s">
        <v>180</v>
      </c>
      <c r="AX23" s="32">
        <v>17.375</v>
      </c>
      <c r="AY23" s="32" t="s">
        <v>349</v>
      </c>
      <c r="AZ23" s="32">
        <v>15</v>
      </c>
      <c r="BA23" s="32"/>
      <c r="BB23" s="82"/>
      <c r="BC23" s="82"/>
      <c r="BD23" s="82"/>
      <c r="BE23" s="82"/>
      <c r="BF23" s="32">
        <v>15</v>
      </c>
      <c r="BG23" s="32">
        <v>15</v>
      </c>
      <c r="BH23" s="32" t="s">
        <v>114</v>
      </c>
      <c r="BI23" s="32">
        <v>30</v>
      </c>
      <c r="BJ23" s="17" t="e">
        <f>CONCATENATE("► M1 Notes: ",#REF!," •-----► CL-SKF Notes: ",#REF!," •-----► DS Notes: ",#REF!)</f>
        <v>#REF!</v>
      </c>
      <c r="BK23" s="109" t="s">
        <v>350</v>
      </c>
      <c r="BL23" s="32">
        <v>3.5</v>
      </c>
      <c r="BM23" s="32" t="s">
        <v>115</v>
      </c>
      <c r="BN23" s="83">
        <v>53</v>
      </c>
      <c r="BO23" s="31">
        <v>83.9</v>
      </c>
      <c r="BP23" s="32" t="s">
        <v>101</v>
      </c>
      <c r="BQ23" s="32" t="s">
        <v>101</v>
      </c>
      <c r="BR23" s="32" t="s">
        <v>116</v>
      </c>
      <c r="BS23" s="32">
        <v>60</v>
      </c>
      <c r="BT23" s="32" t="s">
        <v>117</v>
      </c>
      <c r="BU23" s="32">
        <v>9</v>
      </c>
      <c r="BV23" s="32" t="s">
        <v>117</v>
      </c>
      <c r="BW23" s="103">
        <v>3.34</v>
      </c>
    </row>
    <row r="24" spans="2:75" x14ac:dyDescent="0.25">
      <c r="B24" s="1">
        <v>2043</v>
      </c>
      <c r="C24" s="2"/>
      <c r="D24" s="147" t="s">
        <v>351</v>
      </c>
      <c r="E24" s="75" t="s">
        <v>93</v>
      </c>
      <c r="F24" s="75" t="s">
        <v>352</v>
      </c>
      <c r="G24" s="55" t="s">
        <v>353</v>
      </c>
      <c r="H24" s="55" t="s">
        <v>354</v>
      </c>
      <c r="I24" s="55" t="s">
        <v>355</v>
      </c>
      <c r="J24" s="55" t="s">
        <v>356</v>
      </c>
      <c r="K24" s="55" t="s">
        <v>357</v>
      </c>
      <c r="L24" s="55" t="s">
        <v>358</v>
      </c>
      <c r="M24" s="55" t="s">
        <v>359</v>
      </c>
      <c r="N24" s="55" t="s">
        <v>360</v>
      </c>
      <c r="O24" s="55" t="s">
        <v>361</v>
      </c>
      <c r="P24" s="55" t="s">
        <v>362</v>
      </c>
      <c r="Q24" s="53" t="s">
        <v>93</v>
      </c>
      <c r="R24" s="76">
        <f>COUNTIFS([1]Fleet!$E:$E,Table1[[#This Row],[Old Assy '#]])+COUNTIFS([1]OnDeck!$E:$E,Table1[[#This Row],[Old Assy '#]])</f>
        <v>1</v>
      </c>
      <c r="S24" s="77">
        <v>41551</v>
      </c>
      <c r="T24" s="78"/>
      <c r="U24" s="78" t="s">
        <v>101</v>
      </c>
      <c r="V24" s="78"/>
      <c r="W24" s="56" t="str">
        <f>IF(AND(Table1[[#This Row],[Phase Out]]="Y",Table1[[#This Row],[Zero Inventory]]="Y"),"Y","")</f>
        <v/>
      </c>
      <c r="X24" s="79">
        <v>6</v>
      </c>
      <c r="Y24" s="63" t="s">
        <v>166</v>
      </c>
      <c r="Z24" s="59" t="str">
        <f>IF(LEFT(Table1[[#This Row],[Model]],2)="NX","NX",IF(LEFT(Table1[[#This Row],[Model]],2)="CR","CR",""))</f>
        <v>CR</v>
      </c>
      <c r="AA24" s="59" t="str">
        <f>LEFT(SUBSTITUTE(SUBSTITUTE(Table1[[#This Row],[Model]],"NX",""),"CR",""),1)</f>
        <v>6</v>
      </c>
      <c r="AB24" s="59" t="str">
        <f>MID(SUBSTITUTE(SUBSTITUTE(Table1[[#This Row],[Model]],"NX",""),"CR",""),2,2)</f>
        <v>16</v>
      </c>
      <c r="AC24" s="64" t="str">
        <f>IF(ISNUMBER(FIND("M",Table1[[#This Row],[Model]])),"M","")</f>
        <v/>
      </c>
      <c r="AD24" s="64" t="str">
        <f>CONCATENATE(MID(Table1[[#This Row],[Model]],FIND("-",Table1[[#This Row],[Model]])+1,2),IF(RIGHT(MID(Table1[[#This Row],[Model]],FIND("-",Table1[[#This Row],[Model]])+1,3),1)="+","+",""))</f>
        <v>SR</v>
      </c>
      <c r="AE2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24" s="64" t="str">
        <f>IF(ISNUMBER(SEARCH("(K)",Table1[[#This Row],[Model]])),"(K)","")</f>
        <v/>
      </c>
      <c r="AG24" s="64" t="str">
        <f>IF(ISNUMBER(SEARCH("(BR)",Table1[[#This Row],[Model]])),"(BR)","")</f>
        <v/>
      </c>
      <c r="AH24" s="32" t="s">
        <v>103</v>
      </c>
      <c r="AI24" s="32" t="s">
        <v>163</v>
      </c>
      <c r="AJ24" s="32"/>
      <c r="AK24" s="32"/>
      <c r="AL24" s="32" t="s">
        <v>106</v>
      </c>
      <c r="AM24" s="63" t="s">
        <v>107</v>
      </c>
      <c r="AN24" s="64" t="s">
        <v>108</v>
      </c>
      <c r="AO24" s="65"/>
      <c r="AP24" s="66"/>
      <c r="AQ24" s="67">
        <f>VALUE(SUBSTITUTE(INDEX('[2]M1 App'!$A$2:$R$349,MATCH(VALUE(LEFT(Table1[[#This Row],[Old Assy '#]],4)),'[2]M1 App'!$B$2:$B$349,0),MATCH(Table1[[#Headers],[App Six Three]],'[2]M1 App'!$A$1:$R$1,0))," ",""))</f>
        <v>0</v>
      </c>
      <c r="AR24" s="68" t="s">
        <v>109</v>
      </c>
      <c r="AS24" s="32" t="s">
        <v>128</v>
      </c>
      <c r="AT24" s="32">
        <v>5.75</v>
      </c>
      <c r="AU24" s="69">
        <f>IF(ISNUMBER(Table1[[#This Row],[Above gauge Ø]]),((Table1[[#This Row],[Size]]-Table1[[#This Row],[Above gauge Ø]])/2)-0.05,"")</f>
        <v>7.4999999999999997E-2</v>
      </c>
      <c r="AV24" s="70">
        <v>0.33</v>
      </c>
      <c r="AW24" s="32" t="s">
        <v>111</v>
      </c>
      <c r="AX24" s="32">
        <v>6</v>
      </c>
      <c r="AY24" s="32" t="s">
        <v>164</v>
      </c>
      <c r="AZ24" s="32">
        <v>10</v>
      </c>
      <c r="BA24" s="32"/>
      <c r="BB24" s="82"/>
      <c r="BC24" s="82"/>
      <c r="BD24" s="82"/>
      <c r="BE24" s="82"/>
      <c r="BF24" s="32">
        <v>20</v>
      </c>
      <c r="BG24" s="32">
        <v>15</v>
      </c>
      <c r="BH24" s="32" t="s">
        <v>363</v>
      </c>
      <c r="BI24" s="32">
        <v>25</v>
      </c>
      <c r="BJ24" s="17" t="e">
        <f>CONCATENATE("► M1 Notes: ",#REF!," •-----► CL-SKF Notes: ",#REF!," •-----► DS Notes: ",#REF!)</f>
        <v>#REF!</v>
      </c>
      <c r="BK24" s="109" t="s">
        <v>364</v>
      </c>
      <c r="BL24" s="32">
        <v>1.5</v>
      </c>
      <c r="BM24" s="32" t="s">
        <v>115</v>
      </c>
      <c r="BN24" s="83">
        <v>7.7480000000000002</v>
      </c>
      <c r="BO24" s="31">
        <v>9.4499999999999993</v>
      </c>
      <c r="BP24" s="32" t="s">
        <v>101</v>
      </c>
      <c r="BQ24" s="32" t="s">
        <v>101</v>
      </c>
      <c r="BR24" s="32" t="s">
        <v>116</v>
      </c>
      <c r="BS24" s="32">
        <v>55</v>
      </c>
      <c r="BT24" s="32" t="s">
        <v>117</v>
      </c>
      <c r="BU24" s="32">
        <v>6</v>
      </c>
      <c r="BV24" s="32" t="s">
        <v>117</v>
      </c>
      <c r="BW24" s="103">
        <v>1.18</v>
      </c>
    </row>
    <row r="25" spans="2:75" x14ac:dyDescent="0.25">
      <c r="B25" s="1">
        <v>2046</v>
      </c>
      <c r="C25" s="2"/>
      <c r="D25" s="147" t="s">
        <v>365</v>
      </c>
      <c r="E25" s="75" t="s">
        <v>93</v>
      </c>
      <c r="F25" s="75" t="s">
        <v>93</v>
      </c>
      <c r="G25" s="55" t="s">
        <v>366</v>
      </c>
      <c r="H25" s="55" t="s">
        <v>367</v>
      </c>
      <c r="I25" s="55" t="s">
        <v>368</v>
      </c>
      <c r="J25" s="55" t="s">
        <v>369</v>
      </c>
      <c r="K25" s="55" t="s">
        <v>370</v>
      </c>
      <c r="L25" s="55" t="s">
        <v>371</v>
      </c>
      <c r="M25" s="55" t="s">
        <v>372</v>
      </c>
      <c r="N25" s="55" t="s">
        <v>373</v>
      </c>
      <c r="O25" s="55" t="s">
        <v>374</v>
      </c>
      <c r="P25" s="53" t="s">
        <v>93</v>
      </c>
      <c r="Q25" s="53" t="s">
        <v>93</v>
      </c>
      <c r="R25" s="76">
        <f>COUNTIFS([1]Fleet!$E:$E,Table1[[#This Row],[Old Assy '#]])+COUNTIFS([1]OnDeck!$E:$E,Table1[[#This Row],[Old Assy '#]])</f>
        <v>1</v>
      </c>
      <c r="S25" s="77">
        <v>41625</v>
      </c>
      <c r="T25" s="78"/>
      <c r="U25" s="78"/>
      <c r="V25" s="78"/>
      <c r="W25" s="56" t="str">
        <f>IF(AND(Table1[[#This Row],[Phase Out]]="Y",Table1[[#This Row],[Zero Inventory]]="Y"),"Y","")</f>
        <v/>
      </c>
      <c r="X25" s="79">
        <v>6.125</v>
      </c>
      <c r="Y25" s="63" t="s">
        <v>375</v>
      </c>
      <c r="Z25" s="59" t="str">
        <f>IF(LEFT(Table1[[#This Row],[Model]],2)="NX","NX",IF(LEFT(Table1[[#This Row],[Model]],2)="CR","CR",""))</f>
        <v>CR</v>
      </c>
      <c r="AA25" s="59" t="str">
        <f>LEFT(SUBSTITUTE(SUBSTITUTE(Table1[[#This Row],[Model]],"NX",""),"CR",""),1)</f>
        <v>3</v>
      </c>
      <c r="AB25" s="59" t="str">
        <f>MID(SUBSTITUTE(SUBSTITUTE(Table1[[#This Row],[Model]],"NX",""),"CR",""),2,2)</f>
        <v>13</v>
      </c>
      <c r="AC25" s="64" t="str">
        <f>IF(ISNUMBER(FIND("M",Table1[[#This Row],[Model]])),"M","")</f>
        <v/>
      </c>
      <c r="AD25" s="64" t="str">
        <f>CONCATENATE(MID(Table1[[#This Row],[Model]],FIND("-",Table1[[#This Row],[Model]])+1,2),IF(RIGHT(MID(Table1[[#This Row],[Model]],FIND("-",Table1[[#This Row],[Model]])+1,3),1)="+","+",""))</f>
        <v>YR</v>
      </c>
      <c r="AE25"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3</v>
      </c>
      <c r="AF25" s="64" t="str">
        <f>IF(ISNUMBER(SEARCH("(K)",Table1[[#This Row],[Model]])),"(K)","")</f>
        <v/>
      </c>
      <c r="AG25" s="64" t="str">
        <f>IF(ISNUMBER(SEARCH("(BR)",Table1[[#This Row],[Model]])),"(BR)","")</f>
        <v/>
      </c>
      <c r="AH25" s="32" t="s">
        <v>103</v>
      </c>
      <c r="AI25" s="32" t="s">
        <v>163</v>
      </c>
      <c r="AJ25" s="32"/>
      <c r="AK25" s="32"/>
      <c r="AL25" s="32" t="s">
        <v>106</v>
      </c>
      <c r="AM25" s="63" t="s">
        <v>107</v>
      </c>
      <c r="AN25" s="64" t="s">
        <v>108</v>
      </c>
      <c r="AO25" s="65"/>
      <c r="AP25" s="66"/>
      <c r="AQ25" s="67">
        <f>VALUE(SUBSTITUTE(INDEX('[2]M1 App'!$A$2:$R$349,MATCH(VALUE(LEFT(Table1[[#This Row],[Old Assy '#]],4)),'[2]M1 App'!$B$2:$B$349,0),MATCH(Table1[[#Headers],[App Six Three]],'[2]M1 App'!$A$1:$R$1,0))," ",""))</f>
        <v>0</v>
      </c>
      <c r="AR25" s="68" t="s">
        <v>179</v>
      </c>
      <c r="AS25" s="32">
        <v>123</v>
      </c>
      <c r="AT25" s="32">
        <v>5.875</v>
      </c>
      <c r="AU25" s="69">
        <f>IF(ISNUMBER(Table1[[#This Row],[Above gauge Ø]]),((Table1[[#This Row],[Size]]-Table1[[#This Row],[Above gauge Ø]])/2)-0.05,"")</f>
        <v>7.4999999999999997E-2</v>
      </c>
      <c r="AV25" s="70">
        <v>0.33</v>
      </c>
      <c r="AW25" s="32" t="s">
        <v>180</v>
      </c>
      <c r="AX25" s="32">
        <v>6.125</v>
      </c>
      <c r="AY25" s="32" t="s">
        <v>219</v>
      </c>
      <c r="AZ25" s="32">
        <v>10</v>
      </c>
      <c r="BA25" s="32"/>
      <c r="BB25" s="82">
        <v>10</v>
      </c>
      <c r="BC25" s="82">
        <v>0</v>
      </c>
      <c r="BD25" s="82"/>
      <c r="BE25" s="82"/>
      <c r="BF25" s="32" t="s">
        <v>376</v>
      </c>
      <c r="BG25" s="32">
        <v>12.5</v>
      </c>
      <c r="BH25" s="32" t="s">
        <v>377</v>
      </c>
      <c r="BI25" s="32">
        <v>30</v>
      </c>
      <c r="BJ25" s="17" t="e">
        <f>CONCATENATE("► M1 Notes: ",#REF!," •-----► CL-SKF Notes: ",#REF!," •-----► DS Notes: ",#REF!)</f>
        <v>#REF!</v>
      </c>
      <c r="BK25" s="108" t="s">
        <v>378</v>
      </c>
      <c r="BL25" s="32">
        <v>3</v>
      </c>
      <c r="BM25" s="32" t="s">
        <v>184</v>
      </c>
      <c r="BN25" s="83">
        <v>19.323</v>
      </c>
      <c r="BO25" s="31">
        <v>8.26</v>
      </c>
      <c r="BP25" s="32" t="s">
        <v>116</v>
      </c>
      <c r="BQ25" s="32" t="s">
        <v>101</v>
      </c>
      <c r="BR25" s="32" t="s">
        <v>116</v>
      </c>
      <c r="BS25" s="32">
        <v>60</v>
      </c>
      <c r="BT25" s="32" t="s">
        <v>117</v>
      </c>
      <c r="BU25" s="32">
        <v>3</v>
      </c>
      <c r="BV25" s="32" t="s">
        <v>117</v>
      </c>
      <c r="BW25" s="103">
        <v>1.1100000000000001</v>
      </c>
    </row>
    <row r="26" spans="2:75" x14ac:dyDescent="0.25">
      <c r="B26" s="1">
        <v>2049</v>
      </c>
      <c r="C26" s="2" t="s">
        <v>259</v>
      </c>
      <c r="D26" s="146" t="s">
        <v>93</v>
      </c>
      <c r="E26" s="75" t="s">
        <v>93</v>
      </c>
      <c r="F26" s="75" t="s">
        <v>93</v>
      </c>
      <c r="G26" s="55" t="s">
        <v>379</v>
      </c>
      <c r="H26" s="55" t="s">
        <v>380</v>
      </c>
      <c r="I26" s="55" t="s">
        <v>381</v>
      </c>
      <c r="J26" s="55" t="s">
        <v>382</v>
      </c>
      <c r="K26" s="55" t="s">
        <v>383</v>
      </c>
      <c r="L26" s="55" t="s">
        <v>384</v>
      </c>
      <c r="M26" s="55" t="s">
        <v>385</v>
      </c>
      <c r="N26" s="55" t="s">
        <v>386</v>
      </c>
      <c r="O26" s="55" t="s">
        <v>387</v>
      </c>
      <c r="P26" s="53" t="s">
        <v>93</v>
      </c>
      <c r="Q26" s="53" t="s">
        <v>93</v>
      </c>
      <c r="R26" s="76">
        <f>COUNTIFS([1]Fleet!$E:$E,Table1[[#This Row],[Old Assy '#]])+COUNTIFS([1]OnDeck!$E:$E,Table1[[#This Row],[Old Assy '#]])</f>
        <v>2</v>
      </c>
      <c r="S26" s="77">
        <v>41814</v>
      </c>
      <c r="T26" s="78" t="s">
        <v>101</v>
      </c>
      <c r="U26" s="78" t="s">
        <v>101</v>
      </c>
      <c r="V26" s="78"/>
      <c r="W26" s="56" t="str">
        <f>IF(AND(Table1[[#This Row],[Phase Out]]="Y",Table1[[#This Row],[Zero Inventory]]="Y"),"Y","")</f>
        <v/>
      </c>
      <c r="X26" s="110">
        <v>13.5</v>
      </c>
      <c r="Y26" s="111" t="s">
        <v>125</v>
      </c>
      <c r="Z26" s="59" t="str">
        <f>IF(LEFT(Table1[[#This Row],[Model]],2)="NX","NX",IF(LEFT(Table1[[#This Row],[Model]],2)="CR","CR",""))</f>
        <v>CR</v>
      </c>
      <c r="AA26" s="59" t="str">
        <f>LEFT(SUBSTITUTE(SUBSTITUTE(Table1[[#This Row],[Model]],"NX",""),"CR",""),1)</f>
        <v>6</v>
      </c>
      <c r="AB26" s="59" t="str">
        <f>MID(SUBSTITUTE(SUBSTITUTE(Table1[[#This Row],[Model]],"NX",""),"CR",""),2,2)</f>
        <v>16</v>
      </c>
      <c r="AC26" s="64" t="str">
        <f>IF(ISNUMBER(FIND("M",Table1[[#This Row],[Model]])),"M","")</f>
        <v/>
      </c>
      <c r="AD26" s="64" t="str">
        <f>CONCATENATE(MID(Table1[[#This Row],[Model]],FIND("-",Table1[[#This Row],[Model]])+1,2),IF(RIGHT(MID(Table1[[#This Row],[Model]],FIND("-",Table1[[#This Row],[Model]])+1,3),1)="+","+",""))</f>
        <v>SR</v>
      </c>
      <c r="AE26"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26" s="64" t="str">
        <f>IF(ISNUMBER(SEARCH("(K)",Table1[[#This Row],[Model]])),"(K)","")</f>
        <v/>
      </c>
      <c r="AG26" s="64" t="str">
        <f>IF(ISNUMBER(SEARCH("(BR)",Table1[[#This Row],[Model]])),"(BR)","")</f>
        <v/>
      </c>
      <c r="AH26" s="32" t="s">
        <v>103</v>
      </c>
      <c r="AI26" s="32" t="s">
        <v>126</v>
      </c>
      <c r="AJ26" s="32"/>
      <c r="AK26" s="113" t="s">
        <v>388</v>
      </c>
      <c r="AL26" s="32" t="s">
        <v>106</v>
      </c>
      <c r="AM26" s="63" t="s">
        <v>107</v>
      </c>
      <c r="AN26" s="64" t="s">
        <v>139</v>
      </c>
      <c r="AO26" s="64"/>
      <c r="AP26" s="66"/>
      <c r="AQ26" s="67">
        <f>VALUE(SUBSTITUTE(INDEX('[2]M1 App'!$A$2:$R$349,MATCH(VALUE(LEFT(Table1[[#This Row],[Old Assy '#]],4)),'[2]M1 App'!$B$2:$B$349,0),MATCH(Table1[[#Headers],[App Six Three]],'[2]M1 App'!$A$1:$R$1,0))," ",""))</f>
        <v>0</v>
      </c>
      <c r="AR26" s="68" t="s">
        <v>109</v>
      </c>
      <c r="AS26" s="32" t="s">
        <v>128</v>
      </c>
      <c r="AT26" s="32">
        <v>13.125</v>
      </c>
      <c r="AU26" s="69">
        <f>IF(ISNUMBER(Table1[[#This Row],[Above gauge Ø]]),((Table1[[#This Row],[Size]]-Table1[[#This Row],[Above gauge Ø]])/2)-0.05,"")</f>
        <v>0.13750000000000001</v>
      </c>
      <c r="AV26" s="70">
        <v>0.33</v>
      </c>
      <c r="AW26" s="32" t="s">
        <v>180</v>
      </c>
      <c r="AX26" s="32">
        <v>13.4375</v>
      </c>
      <c r="AY26" s="32" t="s">
        <v>270</v>
      </c>
      <c r="AZ26" s="32">
        <v>15</v>
      </c>
      <c r="BA26" s="32"/>
      <c r="BB26" s="82"/>
      <c r="BC26" s="82"/>
      <c r="BD26" s="82"/>
      <c r="BE26" s="82"/>
      <c r="BF26" s="32">
        <v>15</v>
      </c>
      <c r="BG26" s="32">
        <v>15</v>
      </c>
      <c r="BH26" s="32" t="s">
        <v>114</v>
      </c>
      <c r="BI26" s="32">
        <v>30</v>
      </c>
      <c r="BJ26" s="17" t="e">
        <f>CONCATENATE("► M1 Notes: ",#REF!," •-----► CL-SKF Notes: ",#REF!," •-----► DS Notes: ",#REF!)</f>
        <v>#REF!</v>
      </c>
      <c r="BK26" s="2" t="s">
        <v>389</v>
      </c>
      <c r="BL26" s="32">
        <v>3</v>
      </c>
      <c r="BM26" s="32" t="s">
        <v>115</v>
      </c>
      <c r="BN26" s="83">
        <v>37.9</v>
      </c>
      <c r="BO26" s="31">
        <v>45.66</v>
      </c>
      <c r="BP26" s="32" t="s">
        <v>101</v>
      </c>
      <c r="BQ26" s="32" t="s">
        <v>101</v>
      </c>
      <c r="BR26" s="32" t="s">
        <v>116</v>
      </c>
      <c r="BS26" s="32">
        <v>60</v>
      </c>
      <c r="BT26" s="32" t="s">
        <v>117</v>
      </c>
      <c r="BU26" s="32">
        <v>9</v>
      </c>
      <c r="BV26" s="32" t="s">
        <v>117</v>
      </c>
      <c r="BW26" s="103">
        <v>3.34</v>
      </c>
    </row>
    <row r="27" spans="2:75" x14ac:dyDescent="0.25">
      <c r="B27" s="1">
        <v>2050</v>
      </c>
      <c r="C27" s="2"/>
      <c r="D27" s="146" t="s">
        <v>93</v>
      </c>
      <c r="E27" s="75" t="s">
        <v>93</v>
      </c>
      <c r="F27" s="75" t="s">
        <v>93</v>
      </c>
      <c r="G27" s="55" t="s">
        <v>390</v>
      </c>
      <c r="H27" s="55" t="s">
        <v>391</v>
      </c>
      <c r="I27" s="55" t="s">
        <v>392</v>
      </c>
      <c r="J27" s="55" t="s">
        <v>393</v>
      </c>
      <c r="K27" s="55" t="s">
        <v>394</v>
      </c>
      <c r="L27" s="55" t="s">
        <v>395</v>
      </c>
      <c r="M27" s="55" t="s">
        <v>396</v>
      </c>
      <c r="N27" s="55" t="s">
        <v>397</v>
      </c>
      <c r="O27" s="55" t="s">
        <v>398</v>
      </c>
      <c r="P27" s="53" t="s">
        <v>93</v>
      </c>
      <c r="Q27" s="53" t="s">
        <v>93</v>
      </c>
      <c r="R27" s="76">
        <f>COUNTIFS([1]Fleet!$E:$E,Table1[[#This Row],[Old Assy '#]])+COUNTIFS([1]OnDeck!$E:$E,Table1[[#This Row],[Old Assy '#]])</f>
        <v>8</v>
      </c>
      <c r="S27" s="77">
        <v>41814</v>
      </c>
      <c r="T27" s="78"/>
      <c r="U27" s="78"/>
      <c r="V27" s="78"/>
      <c r="W27" s="56" t="str">
        <f>IF(AND(Table1[[#This Row],[Phase Out]]="Y",Table1[[#This Row],[Zero Inventory]]="Y"),"Y","")</f>
        <v/>
      </c>
      <c r="X27" s="79">
        <v>16</v>
      </c>
      <c r="Y27" s="63" t="s">
        <v>399</v>
      </c>
      <c r="Z27" s="59" t="str">
        <f>IF(LEFT(Table1[[#This Row],[Model]],2)="NX","NX",IF(LEFT(Table1[[#This Row],[Model]],2)="CR","CR",""))</f>
        <v>CR</v>
      </c>
      <c r="AA27" s="59" t="str">
        <f>LEFT(SUBSTITUTE(SUBSTITUTE(Table1[[#This Row],[Model]],"NX",""),"CR",""),1)</f>
        <v>6</v>
      </c>
      <c r="AB27" s="59" t="str">
        <f>MID(SUBSTITUTE(SUBSTITUTE(Table1[[#This Row],[Model]],"NX",""),"CR",""),2,2)</f>
        <v>16</v>
      </c>
      <c r="AC27" s="64" t="str">
        <f>IF(ISNUMBER(FIND("M",Table1[[#This Row],[Model]])),"M","")</f>
        <v/>
      </c>
      <c r="AD27" s="64" t="str">
        <f>CONCATENATE(MID(Table1[[#This Row],[Model]],FIND("-",Table1[[#This Row],[Model]])+1,2),IF(RIGHT(MID(Table1[[#This Row],[Model]],FIND("-",Table1[[#This Row],[Model]])+1,3),1)="+","+",""))</f>
        <v>SR</v>
      </c>
      <c r="AE27"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27" s="64" t="str">
        <f>IF(ISNUMBER(SEARCH("(K)",Table1[[#This Row],[Model]])),"(K)","")</f>
        <v/>
      </c>
      <c r="AG27" s="64" t="str">
        <f>IF(ISNUMBER(SEARCH("(BR)",Table1[[#This Row],[Model]])),"(BR)","")</f>
        <v/>
      </c>
      <c r="AH27" s="32" t="s">
        <v>103</v>
      </c>
      <c r="AI27" s="32" t="s">
        <v>126</v>
      </c>
      <c r="AJ27" s="32"/>
      <c r="AK27" s="32"/>
      <c r="AL27" s="32" t="s">
        <v>106</v>
      </c>
      <c r="AM27" s="63" t="s">
        <v>107</v>
      </c>
      <c r="AN27" s="64" t="s">
        <v>139</v>
      </c>
      <c r="AO27" s="65"/>
      <c r="AP27" s="66"/>
      <c r="AQ27" s="67">
        <f>VALUE(SUBSTITUTE(INDEX('[2]M1 App'!$A$2:$R$349,MATCH(VALUE(LEFT(Table1[[#This Row],[Old Assy '#]],4)),'[2]M1 App'!$B$2:$B$349,0),MATCH(Table1[[#Headers],[App Six Three]],'[2]M1 App'!$A$1:$R$1,0))," ",""))</f>
        <v>0</v>
      </c>
      <c r="AR27" s="68" t="s">
        <v>109</v>
      </c>
      <c r="AS27" s="32" t="s">
        <v>128</v>
      </c>
      <c r="AT27" s="32">
        <v>15.625</v>
      </c>
      <c r="AU27" s="69">
        <f>IF(ISNUMBER(Table1[[#This Row],[Above gauge Ø]]),((Table1[[#This Row],[Size]]-Table1[[#This Row],[Above gauge Ø]])/2)-0.05,"")</f>
        <v>0.13750000000000001</v>
      </c>
      <c r="AV27" s="70">
        <v>0.33</v>
      </c>
      <c r="AW27" s="32" t="s">
        <v>180</v>
      </c>
      <c r="AX27" s="32">
        <v>16</v>
      </c>
      <c r="AY27" s="32" t="s">
        <v>400</v>
      </c>
      <c r="AZ27" s="32">
        <v>15</v>
      </c>
      <c r="BA27" s="32"/>
      <c r="BB27" s="82"/>
      <c r="BC27" s="82"/>
      <c r="BD27" s="82"/>
      <c r="BE27" s="82"/>
      <c r="BF27" s="32">
        <v>15</v>
      </c>
      <c r="BG27" s="32">
        <v>15</v>
      </c>
      <c r="BH27" s="32" t="s">
        <v>114</v>
      </c>
      <c r="BI27" s="32">
        <v>30</v>
      </c>
      <c r="BJ27" s="17" t="e">
        <f>CONCATENATE("► M1 Notes: ",#REF!," •-----► CL-SKF Notes: ",#REF!," •-----► DS Notes: ",#REF!)</f>
        <v>#REF!</v>
      </c>
      <c r="BK27" s="2" t="s">
        <v>401</v>
      </c>
      <c r="BL27" s="32">
        <v>3</v>
      </c>
      <c r="BM27" s="32" t="s">
        <v>115</v>
      </c>
      <c r="BN27" s="83">
        <v>44</v>
      </c>
      <c r="BO27" s="31">
        <v>68.2</v>
      </c>
      <c r="BP27" s="32" t="s">
        <v>101</v>
      </c>
      <c r="BQ27" s="32" t="s">
        <v>101</v>
      </c>
      <c r="BR27" s="32" t="s">
        <v>116</v>
      </c>
      <c r="BS27" s="32">
        <v>60</v>
      </c>
      <c r="BT27" s="32" t="s">
        <v>117</v>
      </c>
      <c r="BU27" s="32">
        <v>9</v>
      </c>
      <c r="BV27" s="32" t="s">
        <v>117</v>
      </c>
      <c r="BW27" s="103">
        <v>3.34</v>
      </c>
    </row>
    <row r="28" spans="2:75" x14ac:dyDescent="0.25">
      <c r="B28" s="1">
        <v>2051</v>
      </c>
      <c r="C28" s="2"/>
      <c r="D28" s="146" t="s">
        <v>93</v>
      </c>
      <c r="E28" s="75" t="s">
        <v>93</v>
      </c>
      <c r="F28" s="75" t="s">
        <v>93</v>
      </c>
      <c r="G28" s="55" t="s">
        <v>402</v>
      </c>
      <c r="H28" s="55" t="s">
        <v>403</v>
      </c>
      <c r="I28" s="55" t="s">
        <v>404</v>
      </c>
      <c r="J28" s="55" t="s">
        <v>405</v>
      </c>
      <c r="K28" s="55" t="s">
        <v>406</v>
      </c>
      <c r="L28" s="55" t="s">
        <v>407</v>
      </c>
      <c r="M28" s="55" t="s">
        <v>408</v>
      </c>
      <c r="N28" s="55" t="s">
        <v>409</v>
      </c>
      <c r="O28" s="55" t="s">
        <v>410</v>
      </c>
      <c r="P28" s="53" t="s">
        <v>93</v>
      </c>
      <c r="Q28" s="53" t="s">
        <v>93</v>
      </c>
      <c r="R28" s="76">
        <f>COUNTIFS([1]Fleet!$E:$E,Table1[[#This Row],[Old Assy '#]])+COUNTIFS([1]OnDeck!$E:$E,Table1[[#This Row],[Old Assy '#]])</f>
        <v>2</v>
      </c>
      <c r="S28" s="77">
        <v>41814</v>
      </c>
      <c r="T28" s="78"/>
      <c r="U28" s="78"/>
      <c r="V28" s="78"/>
      <c r="W28" s="56" t="str">
        <f>IF(AND(Table1[[#This Row],[Phase Out]]="Y",Table1[[#This Row],[Zero Inventory]]="Y"),"Y","")</f>
        <v/>
      </c>
      <c r="X28" s="79">
        <v>14.75</v>
      </c>
      <c r="Y28" s="63" t="s">
        <v>125</v>
      </c>
      <c r="Z28" s="59" t="str">
        <f>IF(LEFT(Table1[[#This Row],[Model]],2)="NX","NX",IF(LEFT(Table1[[#This Row],[Model]],2)="CR","CR",""))</f>
        <v>CR</v>
      </c>
      <c r="AA28" s="59" t="str">
        <f>LEFT(SUBSTITUTE(SUBSTITUTE(Table1[[#This Row],[Model]],"NX",""),"CR",""),1)</f>
        <v>6</v>
      </c>
      <c r="AB28" s="59" t="str">
        <f>MID(SUBSTITUTE(SUBSTITUTE(Table1[[#This Row],[Model]],"NX",""),"CR",""),2,2)</f>
        <v>16</v>
      </c>
      <c r="AC28" s="64" t="str">
        <f>IF(ISNUMBER(FIND("M",Table1[[#This Row],[Model]])),"M","")</f>
        <v/>
      </c>
      <c r="AD28" s="64" t="str">
        <f>CONCATENATE(MID(Table1[[#This Row],[Model]],FIND("-",Table1[[#This Row],[Model]])+1,2),IF(RIGHT(MID(Table1[[#This Row],[Model]],FIND("-",Table1[[#This Row],[Model]])+1,3),1)="+","+",""))</f>
        <v>SR</v>
      </c>
      <c r="AE28"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28" s="64" t="str">
        <f>IF(ISNUMBER(SEARCH("(K)",Table1[[#This Row],[Model]])),"(K)","")</f>
        <v/>
      </c>
      <c r="AG28" s="64" t="str">
        <f>IF(ISNUMBER(SEARCH("(BR)",Table1[[#This Row],[Model]])),"(BR)","")</f>
        <v/>
      </c>
      <c r="AH28" s="32" t="s">
        <v>103</v>
      </c>
      <c r="AI28" s="32" t="s">
        <v>126</v>
      </c>
      <c r="AJ28" s="32"/>
      <c r="AK28" s="32"/>
      <c r="AL28" s="32" t="s">
        <v>106</v>
      </c>
      <c r="AM28" s="63" t="s">
        <v>107</v>
      </c>
      <c r="AN28" s="64" t="s">
        <v>139</v>
      </c>
      <c r="AO28" s="65"/>
      <c r="AP28" s="66"/>
      <c r="AQ28" s="67">
        <f>VALUE(SUBSTITUTE(INDEX('[2]M1 App'!$A$2:$R$349,MATCH(VALUE(LEFT(Table1[[#This Row],[Old Assy '#]],4)),'[2]M1 App'!$B$2:$B$349,0),MATCH(Table1[[#Headers],[App Six Three]],'[2]M1 App'!$A$1:$R$1,0))," ",""))</f>
        <v>0</v>
      </c>
      <c r="AR28" s="68" t="s">
        <v>109</v>
      </c>
      <c r="AS28" s="32" t="s">
        <v>128</v>
      </c>
      <c r="AT28" s="32">
        <v>14.375</v>
      </c>
      <c r="AU28" s="69">
        <f>IF(ISNUMBER(Table1[[#This Row],[Above gauge Ø]]),((Table1[[#This Row],[Size]]-Table1[[#This Row],[Above gauge Ø]])/2)-0.05,"")</f>
        <v>0.13750000000000001</v>
      </c>
      <c r="AV28" s="70">
        <v>0.33</v>
      </c>
      <c r="AW28" s="32" t="s">
        <v>180</v>
      </c>
      <c r="AX28" s="32">
        <v>14.75</v>
      </c>
      <c r="AY28" s="32" t="s">
        <v>411</v>
      </c>
      <c r="AZ28" s="32">
        <v>15</v>
      </c>
      <c r="BA28" s="32"/>
      <c r="BB28" s="82"/>
      <c r="BC28" s="82"/>
      <c r="BD28" s="82"/>
      <c r="BE28" s="82"/>
      <c r="BF28" s="32">
        <v>15</v>
      </c>
      <c r="BG28" s="32">
        <v>15</v>
      </c>
      <c r="BH28" s="32" t="s">
        <v>114</v>
      </c>
      <c r="BI28" s="32">
        <v>30</v>
      </c>
      <c r="BJ28" s="17" t="e">
        <f>CONCATENATE("► M1 Notes: ",#REF!," •-----► CL-SKF Notes: ",#REF!," •-----► DS Notes: ",#REF!)</f>
        <v>#REF!</v>
      </c>
      <c r="BK28" s="2" t="s">
        <v>412</v>
      </c>
      <c r="BL28" s="32">
        <v>3</v>
      </c>
      <c r="BM28" s="32" t="s">
        <v>115</v>
      </c>
      <c r="BN28" s="83">
        <v>40.35</v>
      </c>
      <c r="BO28" s="31">
        <v>57.17</v>
      </c>
      <c r="BP28" s="32" t="s">
        <v>101</v>
      </c>
      <c r="BQ28" s="32" t="s">
        <v>101</v>
      </c>
      <c r="BR28" s="32" t="s">
        <v>116</v>
      </c>
      <c r="BS28" s="32">
        <v>60</v>
      </c>
      <c r="BT28" s="32" t="s">
        <v>117</v>
      </c>
      <c r="BU28" s="32">
        <v>9</v>
      </c>
      <c r="BV28" s="32" t="s">
        <v>117</v>
      </c>
      <c r="BW28" s="103">
        <v>3.34</v>
      </c>
    </row>
    <row r="29" spans="2:75" x14ac:dyDescent="0.25">
      <c r="B29" s="1">
        <v>2053</v>
      </c>
      <c r="C29" s="2"/>
      <c r="D29" s="147" t="s">
        <v>413</v>
      </c>
      <c r="E29" s="75" t="s">
        <v>93</v>
      </c>
      <c r="F29" s="75" t="s">
        <v>93</v>
      </c>
      <c r="G29" s="55" t="s">
        <v>414</v>
      </c>
      <c r="H29" s="55" t="s">
        <v>415</v>
      </c>
      <c r="I29" s="55" t="s">
        <v>416</v>
      </c>
      <c r="J29" s="55" t="s">
        <v>417</v>
      </c>
      <c r="K29" s="55" t="s">
        <v>418</v>
      </c>
      <c r="L29" s="55" t="s">
        <v>419</v>
      </c>
      <c r="M29" s="55" t="s">
        <v>420</v>
      </c>
      <c r="N29" s="55" t="s">
        <v>421</v>
      </c>
      <c r="O29" s="55" t="s">
        <v>422</v>
      </c>
      <c r="P29" s="53" t="s">
        <v>93</v>
      </c>
      <c r="Q29" s="53" t="s">
        <v>93</v>
      </c>
      <c r="R29" s="76">
        <f>COUNTIFS([1]Fleet!$E:$E,Table1[[#This Row],[Old Assy '#]])+COUNTIFS([1]OnDeck!$E:$E,Table1[[#This Row],[Old Assy '#]])</f>
        <v>1</v>
      </c>
      <c r="S29" s="77">
        <v>41911</v>
      </c>
      <c r="T29" s="78"/>
      <c r="U29" s="78"/>
      <c r="V29" s="78"/>
      <c r="W29" s="56" t="str">
        <f>IF(AND(Table1[[#This Row],[Phase Out]]="Y",Table1[[#This Row],[Zero Inventory]]="Y"),"Y","")</f>
        <v/>
      </c>
      <c r="X29" s="79">
        <v>8.5</v>
      </c>
      <c r="Y29" s="63" t="s">
        <v>423</v>
      </c>
      <c r="Z29" s="59" t="str">
        <f>IF(LEFT(Table1[[#This Row],[Model]],2)="NX","NX",IF(LEFT(Table1[[#This Row],[Model]],2)="CR","CR",""))</f>
        <v>CR</v>
      </c>
      <c r="AA29" s="59" t="str">
        <f>LEFT(SUBSTITUTE(SUBSTITUTE(Table1[[#This Row],[Model]],"NX",""),"CR",""),1)</f>
        <v>6</v>
      </c>
      <c r="AB29" s="59" t="str">
        <f>MID(SUBSTITUTE(SUBSTITUTE(Table1[[#This Row],[Model]],"NX",""),"CR",""),2,2)</f>
        <v>16</v>
      </c>
      <c r="AC29" s="64" t="str">
        <f>IF(ISNUMBER(FIND("M",Table1[[#This Row],[Model]])),"M","")</f>
        <v/>
      </c>
      <c r="AD29" s="64" t="str">
        <f>CONCATENATE(MID(Table1[[#This Row],[Model]],FIND("-",Table1[[#This Row],[Model]])+1,2),IF(RIGHT(MID(Table1[[#This Row],[Model]],FIND("-",Table1[[#This Row],[Model]])+1,3),1)="+","+",""))</f>
        <v>YR</v>
      </c>
      <c r="AE2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29" s="64" t="str">
        <f>IF(ISNUMBER(SEARCH("(K)",Table1[[#This Row],[Model]])),"(K)","")</f>
        <v/>
      </c>
      <c r="AG29" s="64" t="str">
        <f>IF(ISNUMBER(SEARCH("(BR)",Table1[[#This Row],[Model]])),"(BR)","")</f>
        <v>(BR)</v>
      </c>
      <c r="AH29" s="32" t="s">
        <v>103</v>
      </c>
      <c r="AI29" s="32" t="s">
        <v>104</v>
      </c>
      <c r="AJ29" s="32"/>
      <c r="AK29" s="32"/>
      <c r="AL29" s="32" t="s">
        <v>320</v>
      </c>
      <c r="AM29" s="63" t="s">
        <v>321</v>
      </c>
      <c r="AN29" s="64" t="s">
        <v>108</v>
      </c>
      <c r="AO29" s="65"/>
      <c r="AP29" s="66"/>
      <c r="AQ29" s="67">
        <f>VALUE(SUBSTITUTE(INDEX('[2]M1 App'!$A$2:$R$349,MATCH(VALUE(LEFT(Table1[[#This Row],[Old Assy '#]],4)),'[2]M1 App'!$B$2:$B$349,0),MATCH(Table1[[#Headers],[App Six Three]],'[2]M1 App'!$A$1:$R$1,0))," ",""))</f>
        <v>0</v>
      </c>
      <c r="AR29" s="68" t="s">
        <v>109</v>
      </c>
      <c r="AS29" s="32" t="s">
        <v>128</v>
      </c>
      <c r="AT29" s="102">
        <v>8.125</v>
      </c>
      <c r="AU29" s="69">
        <f>IF(ISNUMBER(Table1[[#This Row],[Above gauge Ø]]),((Table1[[#This Row],[Size]]-Table1[[#This Row],[Above gauge Ø]])/2)-0.05,"")</f>
        <v>0.13750000000000001</v>
      </c>
      <c r="AV29" s="70">
        <v>0.33</v>
      </c>
      <c r="AW29" s="32" t="s">
        <v>180</v>
      </c>
      <c r="AX29" s="32">
        <v>8.375</v>
      </c>
      <c r="AY29" s="32" t="s">
        <v>307</v>
      </c>
      <c r="AZ29" s="32">
        <v>7.5</v>
      </c>
      <c r="BA29" s="32"/>
      <c r="BB29" s="82">
        <v>70</v>
      </c>
      <c r="BC29" s="82">
        <v>60</v>
      </c>
      <c r="BD29" s="82"/>
      <c r="BE29" s="82"/>
      <c r="BF29" s="32" t="s">
        <v>113</v>
      </c>
      <c r="BG29" s="32">
        <v>15</v>
      </c>
      <c r="BH29" s="32" t="s">
        <v>114</v>
      </c>
      <c r="BI29" s="32">
        <v>30</v>
      </c>
      <c r="BJ29" s="17" t="e">
        <f>CONCATENATE("► M1 Notes: ",#REF!," •-----► CL-SKF Notes: ",#REF!," •-----► DS Notes: ",#REF!)</f>
        <v>#REF!</v>
      </c>
      <c r="BK29" s="108" t="s">
        <v>424</v>
      </c>
      <c r="BL29" s="32">
        <v>2.5</v>
      </c>
      <c r="BM29" s="32" t="s">
        <v>184</v>
      </c>
      <c r="BN29" s="83">
        <v>21.927</v>
      </c>
      <c r="BO29" s="31">
        <v>15.17</v>
      </c>
      <c r="BP29" s="32" t="s">
        <v>116</v>
      </c>
      <c r="BQ29" s="32" t="s">
        <v>101</v>
      </c>
      <c r="BR29" s="32" t="s">
        <v>116</v>
      </c>
      <c r="BS29" s="32">
        <v>60</v>
      </c>
      <c r="BT29" s="32" t="s">
        <v>117</v>
      </c>
      <c r="BU29" s="32">
        <v>6</v>
      </c>
      <c r="BV29" s="32" t="s">
        <v>117</v>
      </c>
      <c r="BW29" s="103">
        <v>2.23</v>
      </c>
    </row>
    <row r="30" spans="2:75" x14ac:dyDescent="0.25">
      <c r="B30" s="1">
        <v>2054</v>
      </c>
      <c r="C30" s="2"/>
      <c r="D30" s="147" t="s">
        <v>425</v>
      </c>
      <c r="E30" s="55" t="s">
        <v>426</v>
      </c>
      <c r="F30" s="55" t="s">
        <v>427</v>
      </c>
      <c r="G30" s="55" t="s">
        <v>428</v>
      </c>
      <c r="H30" s="55" t="s">
        <v>429</v>
      </c>
      <c r="I30" s="55" t="s">
        <v>430</v>
      </c>
      <c r="J30" s="55" t="s">
        <v>431</v>
      </c>
      <c r="K30" s="55" t="s">
        <v>432</v>
      </c>
      <c r="L30" s="55" t="s">
        <v>433</v>
      </c>
      <c r="M30" s="55" t="s">
        <v>434</v>
      </c>
      <c r="N30" s="55" t="s">
        <v>435</v>
      </c>
      <c r="O30" s="55" t="s">
        <v>436</v>
      </c>
      <c r="P30" s="53" t="s">
        <v>93</v>
      </c>
      <c r="Q30" s="53" t="s">
        <v>93</v>
      </c>
      <c r="R30" s="76">
        <f>COUNTIFS([1]Fleet!$E:$E,Table1[[#This Row],[Old Assy '#]])+COUNTIFS([1]OnDeck!$E:$E,Table1[[#This Row],[Old Assy '#]])</f>
        <v>1</v>
      </c>
      <c r="S30" s="77">
        <v>41911</v>
      </c>
      <c r="T30" s="78"/>
      <c r="U30" s="78"/>
      <c r="V30" s="78"/>
      <c r="W30" s="56" t="str">
        <f>IF(AND(Table1[[#This Row],[Phase Out]]="Y",Table1[[#This Row],[Zero Inventory]]="Y"),"Y","")</f>
        <v/>
      </c>
      <c r="X30" s="79">
        <v>8.5</v>
      </c>
      <c r="Y30" s="63" t="s">
        <v>423</v>
      </c>
      <c r="Z30" s="59" t="str">
        <f>IF(LEFT(Table1[[#This Row],[Model]],2)="NX","NX",IF(LEFT(Table1[[#This Row],[Model]],2)="CR","CR",""))</f>
        <v>CR</v>
      </c>
      <c r="AA30" s="59" t="str">
        <f>LEFT(SUBSTITUTE(SUBSTITUTE(Table1[[#This Row],[Model]],"NX",""),"CR",""),1)</f>
        <v>6</v>
      </c>
      <c r="AB30" s="59" t="str">
        <f>MID(SUBSTITUTE(SUBSTITUTE(Table1[[#This Row],[Model]],"NX",""),"CR",""),2,2)</f>
        <v>16</v>
      </c>
      <c r="AC30" s="64" t="str">
        <f>IF(ISNUMBER(FIND("M",Table1[[#This Row],[Model]])),"M","")</f>
        <v/>
      </c>
      <c r="AD30" s="64" t="str">
        <f>CONCATENATE(MID(Table1[[#This Row],[Model]],FIND("-",Table1[[#This Row],[Model]])+1,2),IF(RIGHT(MID(Table1[[#This Row],[Model]],FIND("-",Table1[[#This Row],[Model]])+1,3),1)="+","+",""))</f>
        <v>YR</v>
      </c>
      <c r="AE30"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30" s="64" t="str">
        <f>IF(ISNUMBER(SEARCH("(K)",Table1[[#This Row],[Model]])),"(K)","")</f>
        <v/>
      </c>
      <c r="AG30" s="64" t="str">
        <f>IF(ISNUMBER(SEARCH("(BR)",Table1[[#This Row],[Model]])),"(BR)","")</f>
        <v>(BR)</v>
      </c>
      <c r="AH30" s="32" t="s">
        <v>103</v>
      </c>
      <c r="AI30" s="32" t="s">
        <v>104</v>
      </c>
      <c r="AJ30" s="32"/>
      <c r="AK30" s="32"/>
      <c r="AL30" s="32" t="s">
        <v>106</v>
      </c>
      <c r="AM30" s="63" t="s">
        <v>107</v>
      </c>
      <c r="AN30" s="64" t="s">
        <v>108</v>
      </c>
      <c r="AO30" s="65"/>
      <c r="AP30" s="66"/>
      <c r="AQ30" s="67">
        <f>VALUE(SUBSTITUTE(INDEX('[2]M1 App'!$A$2:$R$349,MATCH(VALUE(LEFT(Table1[[#This Row],[Old Assy '#]],4)),'[2]M1 App'!$B$2:$B$349,0),MATCH(Table1[[#Headers],[App Six Three]],'[2]M1 App'!$A$1:$R$1,0))," ",""))</f>
        <v>0</v>
      </c>
      <c r="AR30" s="68" t="s">
        <v>109</v>
      </c>
      <c r="AS30" s="32" t="s">
        <v>128</v>
      </c>
      <c r="AT30" s="102">
        <v>8.3125</v>
      </c>
      <c r="AU30" s="69">
        <f>IF(ISNUMBER(Table1[[#This Row],[Above gauge Ø]]),((Table1[[#This Row],[Size]]-Table1[[#This Row],[Above gauge Ø]])/2)-0.05,"")</f>
        <v>4.3749999999999997E-2</v>
      </c>
      <c r="AV30" s="70">
        <v>0.33</v>
      </c>
      <c r="AW30" s="32" t="s">
        <v>111</v>
      </c>
      <c r="AX30" s="32">
        <v>8.3125</v>
      </c>
      <c r="AY30" s="32" t="s">
        <v>112</v>
      </c>
      <c r="AZ30" s="32">
        <v>15</v>
      </c>
      <c r="BA30" s="32"/>
      <c r="BB30" s="82">
        <v>110</v>
      </c>
      <c r="BC30" s="82">
        <v>110</v>
      </c>
      <c r="BD30" s="82"/>
      <c r="BE30" s="82"/>
      <c r="BF30" s="32">
        <v>15</v>
      </c>
      <c r="BG30" s="32" t="s">
        <v>257</v>
      </c>
      <c r="BH30" s="32" t="s">
        <v>437</v>
      </c>
      <c r="BI30" s="32">
        <v>27.5</v>
      </c>
      <c r="BJ30" s="108" t="e">
        <f>CONCATENATE("► M1 Notes: ",#REF!," •-----► CL-SKF Notes: ",#REF!," •-----► DS Notes: ",#REF!)</f>
        <v>#REF!</v>
      </c>
      <c r="BK30" s="108" t="s">
        <v>438</v>
      </c>
      <c r="BL30" s="32">
        <v>2.5</v>
      </c>
      <c r="BM30" s="32" t="s">
        <v>184</v>
      </c>
      <c r="BN30" s="83">
        <v>27.844999999999999</v>
      </c>
      <c r="BO30" s="31">
        <v>14.26</v>
      </c>
      <c r="BP30" s="32" t="s">
        <v>116</v>
      </c>
      <c r="BQ30" s="32" t="s">
        <v>101</v>
      </c>
      <c r="BR30" s="32" t="s">
        <v>116</v>
      </c>
      <c r="BS30" s="32">
        <v>60</v>
      </c>
      <c r="BT30" s="32" t="s">
        <v>117</v>
      </c>
      <c r="BU30" s="32">
        <v>6</v>
      </c>
      <c r="BV30" s="32" t="s">
        <v>117</v>
      </c>
      <c r="BW30" s="103">
        <v>2.23</v>
      </c>
    </row>
    <row r="31" spans="2:75" x14ac:dyDescent="0.25">
      <c r="B31" s="1">
        <v>2070</v>
      </c>
      <c r="C31" s="2"/>
      <c r="D31" s="146" t="s">
        <v>93</v>
      </c>
      <c r="E31" s="55" t="s">
        <v>440</v>
      </c>
      <c r="F31" s="55" t="s">
        <v>441</v>
      </c>
      <c r="G31" s="55" t="s">
        <v>442</v>
      </c>
      <c r="H31" s="55" t="s">
        <v>443</v>
      </c>
      <c r="I31" s="55" t="s">
        <v>444</v>
      </c>
      <c r="J31" s="55" t="s">
        <v>445</v>
      </c>
      <c r="K31" s="55" t="s">
        <v>446</v>
      </c>
      <c r="L31" s="55" t="s">
        <v>447</v>
      </c>
      <c r="M31" s="55" t="s">
        <v>448</v>
      </c>
      <c r="N31" s="55" t="s">
        <v>449</v>
      </c>
      <c r="O31" s="55" t="s">
        <v>450</v>
      </c>
      <c r="P31" s="53" t="s">
        <v>93</v>
      </c>
      <c r="Q31" s="53" t="s">
        <v>93</v>
      </c>
      <c r="R31" s="76">
        <f>COUNTIFS([1]Fleet!$E:$E,Table1[[#This Row],[Old Assy '#]])+COUNTIFS([1]OnDeck!$E:$E,Table1[[#This Row],[Old Assy '#]])</f>
        <v>1</v>
      </c>
      <c r="S31" s="77">
        <v>42117</v>
      </c>
      <c r="T31" s="78" t="s">
        <v>101</v>
      </c>
      <c r="U31" s="78" t="s">
        <v>101</v>
      </c>
      <c r="V31" s="78" t="s">
        <v>101</v>
      </c>
      <c r="W31" s="56" t="str">
        <f>IF(AND(Table1[[#This Row],[Phase Out]]="Y",Table1[[#This Row],[Zero Inventory]]="Y"),"Y","")</f>
        <v>Y</v>
      </c>
      <c r="X31" s="79">
        <v>8.5</v>
      </c>
      <c r="Y31" s="63" t="s">
        <v>451</v>
      </c>
      <c r="Z31" s="59" t="str">
        <f>IF(LEFT(Table1[[#This Row],[Model]],2)="NX","NX",IF(LEFT(Table1[[#This Row],[Model]],2)="CR","CR",""))</f>
        <v>CR</v>
      </c>
      <c r="AA31" s="59" t="str">
        <f>LEFT(SUBSTITUTE(SUBSTITUTE(Table1[[#This Row],[Model]],"NX",""),"CR",""),1)</f>
        <v>5</v>
      </c>
      <c r="AB31" s="59" t="str">
        <f>MID(SUBSTITUTE(SUBSTITUTE(Table1[[#This Row],[Model]],"NX",""),"CR",""),2,2)</f>
        <v>16</v>
      </c>
      <c r="AC31" s="64" t="str">
        <f>IF(ISNUMBER(FIND("M",Table1[[#This Row],[Model]])),"M","")</f>
        <v/>
      </c>
      <c r="AD31" s="64" t="str">
        <f>CONCATENATE(MID(Table1[[#This Row],[Model]],FIND("-",Table1[[#This Row],[Model]])+1,2),IF(RIGHT(MID(Table1[[#This Row],[Model]],FIND("-",Table1[[#This Row],[Model]])+1,3),1)="+","+",""))</f>
        <v>YR</v>
      </c>
      <c r="AE3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31" s="64" t="str">
        <f>IF(ISNUMBER(SEARCH("(K)",Table1[[#This Row],[Model]])),"(K)","")</f>
        <v>(K)</v>
      </c>
      <c r="AG31" s="64" t="str">
        <f>IF(ISNUMBER(SEARCH("(BR)",Table1[[#This Row],[Model]])),"(BR)","")</f>
        <v>(BR)</v>
      </c>
      <c r="AH31" s="32" t="s">
        <v>103</v>
      </c>
      <c r="AI31" s="32" t="s">
        <v>104</v>
      </c>
      <c r="AJ31" s="114" t="s">
        <v>452</v>
      </c>
      <c r="AK31" s="115" t="s">
        <v>453</v>
      </c>
      <c r="AL31" s="32" t="s">
        <v>182</v>
      </c>
      <c r="AM31" s="64" t="str">
        <f>SUBSTITUTE(INDEX('[2]M1 App'!$A$2:$R$349,MATCH(VALUE(LEFT(Table1[[#This Row],[Old Assy '#]],4)),'[2]M1 App'!$B$2:$B$349,0),MATCH(Table1[[#Headers],[App Interval Type]],'[2]M1 App'!$A$1:$R$1,0))," ","")</f>
        <v>Lateral</v>
      </c>
      <c r="AN31" s="64" t="s">
        <v>108</v>
      </c>
      <c r="AO31" s="64"/>
      <c r="AP31" s="66"/>
      <c r="AQ31" s="67">
        <f>VALUE(SUBSTITUTE(INDEX('[2]M1 App'!$A$2:$R$349,MATCH(VALUE(LEFT(Table1[[#This Row],[Old Assy '#]],4)),'[2]M1 App'!$B$2:$B$349,0),MATCH(Table1[[#Headers],[App Six Three]],'[2]M1 App'!$A$1:$R$1,0))," ",""))</f>
        <v>0</v>
      </c>
      <c r="AR31" s="68" t="s">
        <v>284</v>
      </c>
      <c r="AS31" s="32">
        <v>15432</v>
      </c>
      <c r="AT31" s="102">
        <v>8.3125</v>
      </c>
      <c r="AU31" s="69">
        <f>IF(ISNUMBER(Table1[[#This Row],[Above gauge Ø]]),((Table1[[#This Row],[Size]]-Table1[[#This Row],[Above gauge Ø]])/2)-0.05,"")</f>
        <v>4.3749999999999997E-2</v>
      </c>
      <c r="AV31" s="70">
        <v>0.33</v>
      </c>
      <c r="AW31" s="32" t="s">
        <v>111</v>
      </c>
      <c r="AX31" s="32">
        <v>8.4375</v>
      </c>
      <c r="AY31" s="32" t="s">
        <v>454</v>
      </c>
      <c r="AZ31" s="32">
        <v>15</v>
      </c>
      <c r="BA31" s="32"/>
      <c r="BB31" s="82">
        <v>50</v>
      </c>
      <c r="BC31" s="82">
        <v>60</v>
      </c>
      <c r="BD31" s="82">
        <v>0</v>
      </c>
      <c r="BE31" s="82"/>
      <c r="BF31" s="32">
        <v>15</v>
      </c>
      <c r="BG31" s="32">
        <v>15</v>
      </c>
      <c r="BH31" s="32" t="s">
        <v>183</v>
      </c>
      <c r="BI31" s="32">
        <v>30</v>
      </c>
      <c r="BJ31" s="109" t="e">
        <f>CONCATENATE("► M1 Notes: ",#REF!," •-----► CL-SKF Notes: ",#REF!," •-----► DS Notes: ",#REF!)</f>
        <v>#REF!</v>
      </c>
      <c r="BK31" s="109" t="s">
        <v>455</v>
      </c>
      <c r="BL31" s="32">
        <v>2</v>
      </c>
      <c r="BM31" s="32" t="s">
        <v>184</v>
      </c>
      <c r="BN31" s="83">
        <v>22.45</v>
      </c>
      <c r="BO31" s="31">
        <v>14.08</v>
      </c>
      <c r="BP31" s="32" t="s">
        <v>116</v>
      </c>
      <c r="BQ31" s="32" t="s">
        <v>101</v>
      </c>
      <c r="BR31" s="32" t="s">
        <v>116</v>
      </c>
      <c r="BS31" s="32">
        <v>60</v>
      </c>
      <c r="BT31" s="32" t="s">
        <v>117</v>
      </c>
      <c r="BU31" s="32">
        <v>5</v>
      </c>
      <c r="BV31" s="32" t="s">
        <v>117</v>
      </c>
      <c r="BW31" s="103">
        <v>1.86</v>
      </c>
    </row>
    <row r="32" spans="2:75" x14ac:dyDescent="0.25">
      <c r="B32" s="1">
        <v>2074</v>
      </c>
      <c r="C32" s="2"/>
      <c r="D32" s="146" t="s">
        <v>93</v>
      </c>
      <c r="E32" s="75" t="s">
        <v>93</v>
      </c>
      <c r="F32" s="75" t="s">
        <v>93</v>
      </c>
      <c r="G32" s="55" t="s">
        <v>456</v>
      </c>
      <c r="H32" s="55" t="s">
        <v>457</v>
      </c>
      <c r="I32" s="55" t="s">
        <v>458</v>
      </c>
      <c r="J32" s="55" t="s">
        <v>459</v>
      </c>
      <c r="K32" s="55" t="s">
        <v>460</v>
      </c>
      <c r="L32" s="55" t="s">
        <v>461</v>
      </c>
      <c r="M32" s="55" t="s">
        <v>462</v>
      </c>
      <c r="N32" s="55" t="s">
        <v>463</v>
      </c>
      <c r="O32" s="55" t="s">
        <v>464</v>
      </c>
      <c r="P32" s="53" t="s">
        <v>93</v>
      </c>
      <c r="Q32" s="53" t="s">
        <v>93</v>
      </c>
      <c r="R32" s="76">
        <f>COUNTIFS([1]Fleet!$E:$E,Table1[[#This Row],[Old Assy '#]])+COUNTIFS([1]OnDeck!$E:$E,Table1[[#This Row],[Old Assy '#]])</f>
        <v>1</v>
      </c>
      <c r="S32" s="77">
        <v>42130</v>
      </c>
      <c r="T32" s="78" t="s">
        <v>101</v>
      </c>
      <c r="U32" s="78" t="s">
        <v>101</v>
      </c>
      <c r="V32" s="78" t="s">
        <v>101</v>
      </c>
      <c r="W32" s="56" t="str">
        <f>IF(AND(Table1[[#This Row],[Phase Out]]="Y",Table1[[#This Row],[Zero Inventory]]="Y"),"Y","")</f>
        <v>Y</v>
      </c>
      <c r="X32" s="79">
        <v>8.5</v>
      </c>
      <c r="Y32" s="63" t="s">
        <v>465</v>
      </c>
      <c r="Z32" s="59" t="str">
        <f>IF(LEFT(Table1[[#This Row],[Model]],2)="NX","NX",IF(LEFT(Table1[[#This Row],[Model]],2)="CR","CR",""))</f>
        <v>CR</v>
      </c>
      <c r="AA32" s="59" t="str">
        <f>LEFT(SUBSTITUTE(SUBSTITUTE(Table1[[#This Row],[Model]],"NX",""),"CR",""),1)</f>
        <v>5</v>
      </c>
      <c r="AB32" s="59" t="str">
        <f>MID(SUBSTITUTE(SUBSTITUTE(Table1[[#This Row],[Model]],"NX",""),"CR",""),2,2)</f>
        <v>13</v>
      </c>
      <c r="AC32" s="64" t="str">
        <f>IF(ISNUMBER(FIND("M",Table1[[#This Row],[Model]])),"M","")</f>
        <v/>
      </c>
      <c r="AD32" s="64" t="str">
        <f>CONCATENATE(MID(Table1[[#This Row],[Model]],FIND("-",Table1[[#This Row],[Model]])+1,2),IF(RIGHT(MID(Table1[[#This Row],[Model]],FIND("-",Table1[[#This Row],[Model]])+1,3),1)="+","+",""))</f>
        <v>SR</v>
      </c>
      <c r="AE32"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32" s="64" t="str">
        <f>IF(ISNUMBER(SEARCH("(K)",Table1[[#This Row],[Model]])),"(K)","")</f>
        <v>(K)</v>
      </c>
      <c r="AG32" s="64" t="str">
        <f>IF(ISNUMBER(SEARCH("(BR)",Table1[[#This Row],[Model]])),"(BR)","")</f>
        <v>(BR)</v>
      </c>
      <c r="AH32" s="32" t="s">
        <v>103</v>
      </c>
      <c r="AI32" s="32" t="s">
        <v>104</v>
      </c>
      <c r="AJ32" s="62" t="s">
        <v>105</v>
      </c>
      <c r="AK32" s="115" t="s">
        <v>453</v>
      </c>
      <c r="AL32" s="32" t="s">
        <v>182</v>
      </c>
      <c r="AM32" s="63" t="s">
        <v>321</v>
      </c>
      <c r="AN32" s="64" t="s">
        <v>321</v>
      </c>
      <c r="AO32" s="64"/>
      <c r="AP32" s="66"/>
      <c r="AQ32" s="67">
        <f>VALUE(SUBSTITUTE(INDEX('[2]M1 App'!$A$2:$R$349,MATCH(VALUE(LEFT(Table1[[#This Row],[Old Assy '#]],4)),'[2]M1 App'!$B$2:$B$349,0),MATCH(Table1[[#Headers],[App Six Three]],'[2]M1 App'!$A$1:$R$1,0))," ",""))</f>
        <v>0</v>
      </c>
      <c r="AR32" s="68" t="s">
        <v>284</v>
      </c>
      <c r="AS32" s="32">
        <v>15432</v>
      </c>
      <c r="AT32" s="102">
        <v>8.1875</v>
      </c>
      <c r="AU32" s="69">
        <f>IF(ISNUMBER(Table1[[#This Row],[Above gauge Ø]]),((Table1[[#This Row],[Size]]-Table1[[#This Row],[Above gauge Ø]])/2)-0.05,"")</f>
        <v>0.10625</v>
      </c>
      <c r="AV32" s="70">
        <v>0.33</v>
      </c>
      <c r="AW32" s="32" t="s">
        <v>111</v>
      </c>
      <c r="AX32" s="32">
        <v>8.4375</v>
      </c>
      <c r="AY32" s="32" t="s">
        <v>307</v>
      </c>
      <c r="AZ32" s="32">
        <v>7.5</v>
      </c>
      <c r="BA32" s="32"/>
      <c r="BB32" s="82"/>
      <c r="BC32" s="82"/>
      <c r="BD32" s="82">
        <v>0</v>
      </c>
      <c r="BE32" s="82"/>
      <c r="BF32" s="32">
        <v>17.5</v>
      </c>
      <c r="BG32" s="32">
        <v>17.5</v>
      </c>
      <c r="BH32" s="32" t="s">
        <v>439</v>
      </c>
      <c r="BI32" s="32">
        <v>35</v>
      </c>
      <c r="BJ32" s="108" t="e">
        <f>CONCATENATE("► M1 Notes: ",#REF!," •-----► CL-SKF Notes: ",#REF!," •-----► DS Notes: ",#REF!)</f>
        <v>#REF!</v>
      </c>
      <c r="BK32" s="108" t="s">
        <v>466</v>
      </c>
      <c r="BL32" s="32">
        <v>2</v>
      </c>
      <c r="BM32" s="32" t="s">
        <v>184</v>
      </c>
      <c r="BN32" s="83">
        <v>16.11</v>
      </c>
      <c r="BO32" s="31">
        <v>18.38</v>
      </c>
      <c r="BP32" s="32" t="s">
        <v>116</v>
      </c>
      <c r="BQ32" s="32" t="s">
        <v>101</v>
      </c>
      <c r="BR32" s="32" t="s">
        <v>116</v>
      </c>
      <c r="BS32" s="32">
        <v>60</v>
      </c>
      <c r="BT32" s="32" t="s">
        <v>117</v>
      </c>
      <c r="BU32" s="32">
        <v>5</v>
      </c>
      <c r="BV32" s="32" t="s">
        <v>117</v>
      </c>
      <c r="BW32" s="103">
        <v>1.86</v>
      </c>
    </row>
    <row r="33" spans="2:75" x14ac:dyDescent="0.25">
      <c r="B33" s="1">
        <v>2075</v>
      </c>
      <c r="C33" s="2"/>
      <c r="D33" s="146" t="s">
        <v>93</v>
      </c>
      <c r="E33" s="55" t="s">
        <v>467</v>
      </c>
      <c r="F33" s="55" t="s">
        <v>468</v>
      </c>
      <c r="G33" s="55" t="s">
        <v>469</v>
      </c>
      <c r="H33" s="55" t="s">
        <v>470</v>
      </c>
      <c r="I33" s="55" t="s">
        <v>471</v>
      </c>
      <c r="J33" s="55" t="s">
        <v>472</v>
      </c>
      <c r="K33" s="55" t="s">
        <v>473</v>
      </c>
      <c r="L33" s="55" t="s">
        <v>474</v>
      </c>
      <c r="M33" s="55" t="s">
        <v>475</v>
      </c>
      <c r="N33" s="55" t="s">
        <v>476</v>
      </c>
      <c r="O33" s="55" t="s">
        <v>477</v>
      </c>
      <c r="P33" s="53" t="s">
        <v>93</v>
      </c>
      <c r="Q33" s="53" t="s">
        <v>93</v>
      </c>
      <c r="R33" s="76">
        <f>COUNTIFS([1]Fleet!$E:$E,Table1[[#This Row],[Old Assy '#]])+COUNTIFS([1]OnDeck!$E:$E,Table1[[#This Row],[Old Assy '#]])</f>
        <v>1</v>
      </c>
      <c r="S33" s="77">
        <v>42130</v>
      </c>
      <c r="T33" s="78"/>
      <c r="U33" s="78"/>
      <c r="V33" s="78"/>
      <c r="W33" s="56" t="str">
        <f>IF(AND(Table1[[#This Row],[Phase Out]]="Y",Table1[[#This Row],[Zero Inventory]]="Y"),"Y","")</f>
        <v/>
      </c>
      <c r="X33" s="79">
        <v>8.5</v>
      </c>
      <c r="Y33" s="63" t="s">
        <v>478</v>
      </c>
      <c r="Z33" s="59" t="str">
        <f>IF(LEFT(Table1[[#This Row],[Model]],2)="NX","NX",IF(LEFT(Table1[[#This Row],[Model]],2)="CR","CR",""))</f>
        <v>CR</v>
      </c>
      <c r="AA33" s="59" t="str">
        <f>LEFT(SUBSTITUTE(SUBSTITUTE(Table1[[#This Row],[Model]],"NX",""),"CR",""),1)</f>
        <v>6</v>
      </c>
      <c r="AB33" s="59" t="str">
        <f>MID(SUBSTITUTE(SUBSTITUTE(Table1[[#This Row],[Model]],"NX",""),"CR",""),2,2)</f>
        <v>11</v>
      </c>
      <c r="AC33" s="64" t="str">
        <f>IF(ISNUMBER(FIND("M",Table1[[#This Row],[Model]])),"M","")</f>
        <v/>
      </c>
      <c r="AD33" s="64" t="str">
        <f>CONCATENATE(MID(Table1[[#This Row],[Model]],FIND("-",Table1[[#This Row],[Model]])+1,2),IF(RIGHT(MID(Table1[[#This Row],[Model]],FIND("-",Table1[[#This Row],[Model]])+1,3),1)="+","+",""))</f>
        <v>SR</v>
      </c>
      <c r="AE3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33" s="64" t="str">
        <f>IF(ISNUMBER(SEARCH("(K)",Table1[[#This Row],[Model]])),"(K)","")</f>
        <v>(K)</v>
      </c>
      <c r="AG33" s="64" t="str">
        <f>IF(ISNUMBER(SEARCH("(BR)",Table1[[#This Row],[Model]])),"(BR)","")</f>
        <v>(BR)</v>
      </c>
      <c r="AH33" s="32" t="s">
        <v>103</v>
      </c>
      <c r="AI33" s="32" t="s">
        <v>104</v>
      </c>
      <c r="AJ33" s="62" t="s">
        <v>105</v>
      </c>
      <c r="AK33" s="32"/>
      <c r="AL33" s="32" t="s">
        <v>320</v>
      </c>
      <c r="AM33" s="63" t="s">
        <v>321</v>
      </c>
      <c r="AN33" s="64" t="s">
        <v>321</v>
      </c>
      <c r="AO33" s="65"/>
      <c r="AP33" s="66"/>
      <c r="AQ33" s="67">
        <f>VALUE(SUBSTITUTE(INDEX('[2]M1 App'!$A$2:$R$349,MATCH(VALUE(LEFT(Table1[[#This Row],[Old Assy '#]],4)),'[2]M1 App'!$B$2:$B$349,0),MATCH(Table1[[#Headers],[App Six Three]],'[2]M1 App'!$A$1:$R$1,0))," ",""))</f>
        <v>0</v>
      </c>
      <c r="AR33" s="68" t="s">
        <v>284</v>
      </c>
      <c r="AS33" s="32">
        <v>165432</v>
      </c>
      <c r="AT33" s="102">
        <v>8.1875</v>
      </c>
      <c r="AU33" s="69">
        <f>IF(ISNUMBER(Table1[[#This Row],[Above gauge Ø]]),((Table1[[#This Row],[Size]]-Table1[[#This Row],[Above gauge Ø]])/2)-0.05,"")</f>
        <v>0.10625</v>
      </c>
      <c r="AV33" s="70">
        <v>0.33</v>
      </c>
      <c r="AW33" s="32" t="s">
        <v>111</v>
      </c>
      <c r="AX33" s="32">
        <v>8.4375</v>
      </c>
      <c r="AY33" s="32" t="s">
        <v>307</v>
      </c>
      <c r="AZ33" s="32">
        <v>7.5</v>
      </c>
      <c r="BA33" s="32"/>
      <c r="BB33" s="82"/>
      <c r="BC33" s="82"/>
      <c r="BD33" s="82">
        <v>0</v>
      </c>
      <c r="BE33" s="82"/>
      <c r="BF33" s="32">
        <v>20</v>
      </c>
      <c r="BG33" s="32">
        <v>20</v>
      </c>
      <c r="BH33" s="32" t="s">
        <v>308</v>
      </c>
      <c r="BI33" s="32">
        <v>30</v>
      </c>
      <c r="BJ33" s="108" t="e">
        <f>CONCATENATE("► M1 Notes: ",#REF!," •-----► CL-SKF Notes: ",#REF!," •-----► DS Notes: ",#REF!)</f>
        <v>#REF!</v>
      </c>
      <c r="BK33" s="108" t="s">
        <v>466</v>
      </c>
      <c r="BL33" s="32">
        <v>2</v>
      </c>
      <c r="BM33" s="32" t="s">
        <v>184</v>
      </c>
      <c r="BN33" s="83">
        <v>19.3</v>
      </c>
      <c r="BO33" s="31">
        <v>15.8</v>
      </c>
      <c r="BP33" s="32" t="s">
        <v>116</v>
      </c>
      <c r="BQ33" s="32" t="s">
        <v>101</v>
      </c>
      <c r="BR33" s="32" t="s">
        <v>116</v>
      </c>
      <c r="BS33" s="32">
        <v>60</v>
      </c>
      <c r="BT33" s="32" t="s">
        <v>117</v>
      </c>
      <c r="BU33" s="32">
        <v>6</v>
      </c>
      <c r="BV33" s="32" t="s">
        <v>117</v>
      </c>
      <c r="BW33" s="103">
        <v>2.23</v>
      </c>
    </row>
    <row r="34" spans="2:75" x14ac:dyDescent="0.25">
      <c r="B34" s="1">
        <v>2077</v>
      </c>
      <c r="C34" s="2"/>
      <c r="D34" s="146" t="s">
        <v>93</v>
      </c>
      <c r="E34" s="55" t="s">
        <v>479</v>
      </c>
      <c r="F34" s="55" t="s">
        <v>480</v>
      </c>
      <c r="G34" s="55" t="s">
        <v>481</v>
      </c>
      <c r="H34" s="55" t="s">
        <v>482</v>
      </c>
      <c r="I34" s="55" t="s">
        <v>483</v>
      </c>
      <c r="J34" s="55" t="s">
        <v>484</v>
      </c>
      <c r="K34" s="55" t="s">
        <v>485</v>
      </c>
      <c r="L34" s="55" t="s">
        <v>486</v>
      </c>
      <c r="M34" s="55" t="s">
        <v>487</v>
      </c>
      <c r="N34" s="55" t="s">
        <v>488</v>
      </c>
      <c r="O34" s="55" t="s">
        <v>489</v>
      </c>
      <c r="P34" s="53" t="s">
        <v>93</v>
      </c>
      <c r="Q34" s="53" t="s">
        <v>93</v>
      </c>
      <c r="R34" s="76">
        <f>COUNTIFS([1]Fleet!$E:$E,Table1[[#This Row],[Old Assy '#]])+COUNTIFS([1]OnDeck!$E:$E,Table1[[#This Row],[Old Assy '#]])</f>
        <v>1</v>
      </c>
      <c r="S34" s="77">
        <v>42135</v>
      </c>
      <c r="T34" s="78"/>
      <c r="U34" s="78"/>
      <c r="V34" s="78"/>
      <c r="W34" s="56" t="str">
        <f>IF(AND(Table1[[#This Row],[Phase Out]]="Y",Table1[[#This Row],[Zero Inventory]]="Y"),"Y","")</f>
        <v/>
      </c>
      <c r="X34" s="79">
        <v>8.75</v>
      </c>
      <c r="Y34" s="63" t="s">
        <v>478</v>
      </c>
      <c r="Z34" s="59" t="str">
        <f>IF(LEFT(Table1[[#This Row],[Model]],2)="NX","NX",IF(LEFT(Table1[[#This Row],[Model]],2)="CR","CR",""))</f>
        <v>CR</v>
      </c>
      <c r="AA34" s="59" t="str">
        <f>LEFT(SUBSTITUTE(SUBSTITUTE(Table1[[#This Row],[Model]],"NX",""),"CR",""),1)</f>
        <v>6</v>
      </c>
      <c r="AB34" s="59" t="str">
        <f>MID(SUBSTITUTE(SUBSTITUTE(Table1[[#This Row],[Model]],"NX",""),"CR",""),2,2)</f>
        <v>11</v>
      </c>
      <c r="AC34" s="64" t="str">
        <f>IF(ISNUMBER(FIND("M",Table1[[#This Row],[Model]])),"M","")</f>
        <v/>
      </c>
      <c r="AD34" s="64" t="str">
        <f>CONCATENATE(MID(Table1[[#This Row],[Model]],FIND("-",Table1[[#This Row],[Model]])+1,2),IF(RIGHT(MID(Table1[[#This Row],[Model]],FIND("-",Table1[[#This Row],[Model]])+1,3),1)="+","+",""))</f>
        <v>SR</v>
      </c>
      <c r="AE3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34" s="64" t="str">
        <f>IF(ISNUMBER(SEARCH("(K)",Table1[[#This Row],[Model]])),"(K)","")</f>
        <v>(K)</v>
      </c>
      <c r="AG34" s="64" t="str">
        <f>IF(ISNUMBER(SEARCH("(BR)",Table1[[#This Row],[Model]])),"(BR)","")</f>
        <v>(BR)</v>
      </c>
      <c r="AH34" s="32" t="s">
        <v>103</v>
      </c>
      <c r="AI34" s="32" t="s">
        <v>104</v>
      </c>
      <c r="AJ34" s="62" t="s">
        <v>105</v>
      </c>
      <c r="AK34" s="32"/>
      <c r="AL34" s="32" t="s">
        <v>320</v>
      </c>
      <c r="AM34" s="63" t="s">
        <v>321</v>
      </c>
      <c r="AN34" s="64" t="s">
        <v>321</v>
      </c>
      <c r="AO34" s="65"/>
      <c r="AP34" s="66"/>
      <c r="AQ34" s="67">
        <f>VALUE(SUBSTITUTE(INDEX('[2]M1 App'!$A$2:$R$349,MATCH(VALUE(LEFT(Table1[[#This Row],[Old Assy '#]],4)),'[2]M1 App'!$B$2:$B$349,0),MATCH(Table1[[#Headers],[App Six Three]],'[2]M1 App'!$A$1:$R$1,0))," ",""))</f>
        <v>0</v>
      </c>
      <c r="AR34" s="68" t="s">
        <v>284</v>
      </c>
      <c r="AS34" s="32">
        <v>165432</v>
      </c>
      <c r="AT34" s="102">
        <v>8.4375</v>
      </c>
      <c r="AU34" s="69">
        <f>IF(ISNUMBER(Table1[[#This Row],[Above gauge Ø]]),((Table1[[#This Row],[Size]]-Table1[[#This Row],[Above gauge Ø]])/2)-0.05,"")</f>
        <v>0.10625</v>
      </c>
      <c r="AV34" s="70">
        <v>0.33</v>
      </c>
      <c r="AW34" s="32" t="s">
        <v>111</v>
      </c>
      <c r="AX34" s="32">
        <v>8.6875</v>
      </c>
      <c r="AY34" s="32" t="s">
        <v>307</v>
      </c>
      <c r="AZ34" s="32">
        <v>7.5</v>
      </c>
      <c r="BA34" s="32"/>
      <c r="BB34" s="82"/>
      <c r="BC34" s="82"/>
      <c r="BD34" s="82">
        <v>0</v>
      </c>
      <c r="BE34" s="82"/>
      <c r="BF34" s="32">
        <v>20</v>
      </c>
      <c r="BG34" s="32">
        <v>20</v>
      </c>
      <c r="BH34" s="32" t="s">
        <v>308</v>
      </c>
      <c r="BI34" s="32">
        <v>30</v>
      </c>
      <c r="BJ34" s="108" t="e">
        <f>CONCATENATE("► M1 Notes: ",#REF!," •-----► CL-SKF Notes: ",#REF!," •-----► DS Notes: ",#REF!)</f>
        <v>#REF!</v>
      </c>
      <c r="BK34" s="108" t="s">
        <v>466</v>
      </c>
      <c r="BL34" s="32">
        <v>2</v>
      </c>
      <c r="BM34" s="32" t="s">
        <v>184</v>
      </c>
      <c r="BN34" s="83">
        <v>20.2</v>
      </c>
      <c r="BO34" s="31">
        <v>17.61</v>
      </c>
      <c r="BP34" s="32" t="s">
        <v>116</v>
      </c>
      <c r="BQ34" s="32" t="s">
        <v>101</v>
      </c>
      <c r="BR34" s="32" t="s">
        <v>116</v>
      </c>
      <c r="BS34" s="32">
        <v>60</v>
      </c>
      <c r="BT34" s="32" t="s">
        <v>117</v>
      </c>
      <c r="BU34" s="32">
        <v>6</v>
      </c>
      <c r="BV34" s="32" t="s">
        <v>117</v>
      </c>
      <c r="BW34" s="103">
        <v>2.23</v>
      </c>
    </row>
    <row r="35" spans="2:75" x14ac:dyDescent="0.25">
      <c r="B35" s="1">
        <v>2079</v>
      </c>
      <c r="C35" s="2"/>
      <c r="D35" s="146" t="s">
        <v>93</v>
      </c>
      <c r="E35" s="55" t="s">
        <v>490</v>
      </c>
      <c r="F35" s="55" t="s">
        <v>491</v>
      </c>
      <c r="G35" s="55" t="s">
        <v>492</v>
      </c>
      <c r="H35" s="55" t="s">
        <v>493</v>
      </c>
      <c r="I35" s="55" t="s">
        <v>494</v>
      </c>
      <c r="J35" s="55" t="s">
        <v>495</v>
      </c>
      <c r="K35" s="55" t="s">
        <v>496</v>
      </c>
      <c r="L35" s="55" t="s">
        <v>497</v>
      </c>
      <c r="M35" s="55" t="s">
        <v>498</v>
      </c>
      <c r="N35" s="55" t="s">
        <v>499</v>
      </c>
      <c r="O35" s="55" t="s">
        <v>500</v>
      </c>
      <c r="P35" s="53" t="s">
        <v>93</v>
      </c>
      <c r="Q35" s="53" t="s">
        <v>93</v>
      </c>
      <c r="R35" s="76">
        <f>COUNTIFS([1]Fleet!$E:$E,Table1[[#This Row],[Old Assy '#]])+COUNTIFS([1]OnDeck!$E:$E,Table1[[#This Row],[Old Assy '#]])</f>
        <v>1</v>
      </c>
      <c r="S35" s="77">
        <v>42157</v>
      </c>
      <c r="T35" s="78"/>
      <c r="U35" s="78" t="s">
        <v>101</v>
      </c>
      <c r="V35" s="78"/>
      <c r="W35" s="56" t="str">
        <f>IF(AND(Table1[[#This Row],[Phase Out]]="Y",Table1[[#This Row],[Zero Inventory]]="Y"),"Y","")</f>
        <v/>
      </c>
      <c r="X35" s="79">
        <v>6.125</v>
      </c>
      <c r="Y35" s="63" t="s">
        <v>501</v>
      </c>
      <c r="Z35" s="59" t="str">
        <f>IF(LEFT(Table1[[#This Row],[Model]],2)="NX","NX",IF(LEFT(Table1[[#This Row],[Model]],2)="CR","CR",""))</f>
        <v>CR</v>
      </c>
      <c r="AA35" s="59" t="str">
        <f>LEFT(SUBSTITUTE(SUBSTITUTE(Table1[[#This Row],[Model]],"NX",""),"CR",""),1)</f>
        <v>4</v>
      </c>
      <c r="AB35" s="59" t="str">
        <f>MID(SUBSTITUTE(SUBSTITUTE(Table1[[#This Row],[Model]],"NX",""),"CR",""),2,2)</f>
        <v>13</v>
      </c>
      <c r="AC35" s="64" t="str">
        <f>IF(ISNUMBER(FIND("M",Table1[[#This Row],[Model]])),"M","")</f>
        <v/>
      </c>
      <c r="AD35" s="64" t="str">
        <f>CONCATENATE(MID(Table1[[#This Row],[Model]],FIND("-",Table1[[#This Row],[Model]])+1,2),IF(RIGHT(MID(Table1[[#This Row],[Model]],FIND("-",Table1[[#This Row],[Model]])+1,3),1)="+","+",""))</f>
        <v>SR</v>
      </c>
      <c r="AE35"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4</v>
      </c>
      <c r="AF35" s="64" t="str">
        <f>IF(ISNUMBER(SEARCH("(K)",Table1[[#This Row],[Model]])),"(K)","")</f>
        <v>(K)</v>
      </c>
      <c r="AG35" s="64" t="str">
        <f>IF(ISNUMBER(SEARCH("(BR)",Table1[[#This Row],[Model]])),"(BR)","")</f>
        <v/>
      </c>
      <c r="AH35" s="32" t="s">
        <v>103</v>
      </c>
      <c r="AI35" s="32" t="s">
        <v>163</v>
      </c>
      <c r="AJ35" s="32" t="s">
        <v>452</v>
      </c>
      <c r="AK35" s="32"/>
      <c r="AL35" s="32" t="s">
        <v>106</v>
      </c>
      <c r="AM35" s="63" t="s">
        <v>107</v>
      </c>
      <c r="AN35" s="64" t="s">
        <v>108</v>
      </c>
      <c r="AO35" s="65"/>
      <c r="AP35" s="66"/>
      <c r="AQ35" s="67">
        <f>VALUE(SUBSTITUTE(INDEX('[2]M1 App'!$A$2:$R$349,MATCH(VALUE(LEFT(Table1[[#This Row],[Old Assy '#]],4)),'[2]M1 App'!$B$2:$B$349,0),MATCH(Table1[[#Headers],[App Six Three]],'[2]M1 App'!$A$1:$R$1,0))," ",""))</f>
        <v>0</v>
      </c>
      <c r="AR35" s="68" t="s">
        <v>284</v>
      </c>
      <c r="AS35" s="32">
        <v>1432</v>
      </c>
      <c r="AT35" s="32">
        <v>5.875</v>
      </c>
      <c r="AU35" s="69">
        <f>IF(ISNUMBER(Table1[[#This Row],[Above gauge Ø]]),((Table1[[#This Row],[Size]]-Table1[[#This Row],[Above gauge Ø]])/2)-0.05,"")</f>
        <v>7.4999999999999997E-2</v>
      </c>
      <c r="AV35" s="70">
        <v>0.33</v>
      </c>
      <c r="AW35" s="32" t="s">
        <v>180</v>
      </c>
      <c r="AX35" s="32">
        <v>6.0620000000000003</v>
      </c>
      <c r="AY35" s="32" t="s">
        <v>219</v>
      </c>
      <c r="AZ35" s="32">
        <v>10</v>
      </c>
      <c r="BA35" s="32"/>
      <c r="BB35" s="82"/>
      <c r="BC35" s="82"/>
      <c r="BD35" s="82"/>
      <c r="BE35" s="82"/>
      <c r="BF35" s="32">
        <v>17.5</v>
      </c>
      <c r="BG35" s="32">
        <v>18</v>
      </c>
      <c r="BH35" s="32" t="s">
        <v>502</v>
      </c>
      <c r="BI35" s="32">
        <v>30</v>
      </c>
      <c r="BJ35" s="2" t="e">
        <f>CONCATENATE("► M1 Notes: ",#REF!," •-----► CL-SKF Notes: ",#REF!," •-----► DS Notes: ",#REF!)</f>
        <v>#REF!</v>
      </c>
      <c r="BK35" s="108" t="s">
        <v>503</v>
      </c>
      <c r="BL35" s="32">
        <v>2</v>
      </c>
      <c r="BM35" s="32" t="s">
        <v>184</v>
      </c>
      <c r="BN35" s="83">
        <v>14.295999999999999</v>
      </c>
      <c r="BO35" s="31">
        <v>7.8</v>
      </c>
      <c r="BP35" s="32" t="s">
        <v>101</v>
      </c>
      <c r="BQ35" s="32" t="s">
        <v>101</v>
      </c>
      <c r="BR35" s="32" t="s">
        <v>116</v>
      </c>
      <c r="BS35" s="32">
        <v>60</v>
      </c>
      <c r="BT35" s="32" t="s">
        <v>117</v>
      </c>
      <c r="BU35" s="32">
        <v>4</v>
      </c>
      <c r="BV35" s="32" t="s">
        <v>117</v>
      </c>
      <c r="BW35" s="103">
        <v>0.99</v>
      </c>
    </row>
    <row r="36" spans="2:75" x14ac:dyDescent="0.25">
      <c r="B36" s="1">
        <v>2081</v>
      </c>
      <c r="C36" s="2"/>
      <c r="D36" s="147" t="s">
        <v>504</v>
      </c>
      <c r="E36" s="55" t="s">
        <v>505</v>
      </c>
      <c r="F36" s="55" t="s">
        <v>506</v>
      </c>
      <c r="G36" s="55" t="s">
        <v>507</v>
      </c>
      <c r="H36" s="55" t="s">
        <v>508</v>
      </c>
      <c r="I36" s="55" t="s">
        <v>509</v>
      </c>
      <c r="J36" s="55" t="s">
        <v>510</v>
      </c>
      <c r="K36" s="55" t="s">
        <v>511</v>
      </c>
      <c r="L36" s="55" t="s">
        <v>512</v>
      </c>
      <c r="M36" s="55" t="s">
        <v>513</v>
      </c>
      <c r="N36" s="55" t="s">
        <v>514</v>
      </c>
      <c r="O36" s="55" t="s">
        <v>515</v>
      </c>
      <c r="P36" s="53" t="s">
        <v>93</v>
      </c>
      <c r="Q36" s="53" t="s">
        <v>93</v>
      </c>
      <c r="R36" s="76">
        <f>COUNTIFS([1]Fleet!$E:$E,Table1[[#This Row],[Old Assy '#]])+COUNTIFS([1]OnDeck!$E:$E,Table1[[#This Row],[Old Assy '#]])</f>
        <v>1</v>
      </c>
      <c r="S36" s="77">
        <v>42167</v>
      </c>
      <c r="T36" s="78" t="s">
        <v>101</v>
      </c>
      <c r="U36" s="78" t="s">
        <v>101</v>
      </c>
      <c r="V36" s="78" t="s">
        <v>101</v>
      </c>
      <c r="W36" s="56" t="str">
        <f>IF(AND(Table1[[#This Row],[Phase Out]]="Y",Table1[[#This Row],[Zero Inventory]]="Y"),"Y","")</f>
        <v>Y</v>
      </c>
      <c r="X36" s="79">
        <v>8.75</v>
      </c>
      <c r="Y36" s="63" t="s">
        <v>335</v>
      </c>
      <c r="Z36" s="59" t="str">
        <f>IF(LEFT(Table1[[#This Row],[Model]],2)="NX","NX",IF(LEFT(Table1[[#This Row],[Model]],2)="CR","CR",""))</f>
        <v>CR</v>
      </c>
      <c r="AA36" s="59" t="str">
        <f>LEFT(SUBSTITUTE(SUBSTITUTE(Table1[[#This Row],[Model]],"NX",""),"CR",""),1)</f>
        <v>5</v>
      </c>
      <c r="AB36" s="59" t="str">
        <f>MID(SUBSTITUTE(SUBSTITUTE(Table1[[#This Row],[Model]],"NX",""),"CR",""),2,2)</f>
        <v>16</v>
      </c>
      <c r="AC36" s="64" t="str">
        <f>IF(ISNUMBER(FIND("M",Table1[[#This Row],[Model]])),"M","")</f>
        <v/>
      </c>
      <c r="AD36" s="64" t="str">
        <f>CONCATENATE(MID(Table1[[#This Row],[Model]],FIND("-",Table1[[#This Row],[Model]])+1,2),IF(RIGHT(MID(Table1[[#This Row],[Model]],FIND("-",Table1[[#This Row],[Model]])+1,3),1)="+","+",""))</f>
        <v>SR</v>
      </c>
      <c r="AE36"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36" s="64" t="str">
        <f>IF(ISNUMBER(SEARCH("(K)",Table1[[#This Row],[Model]])),"(K)","")</f>
        <v/>
      </c>
      <c r="AG36" s="64" t="str">
        <f>IF(ISNUMBER(SEARCH("(BR)",Table1[[#This Row],[Model]])),"(BR)","")</f>
        <v/>
      </c>
      <c r="AH36" s="32" t="s">
        <v>103</v>
      </c>
      <c r="AI36" s="32" t="s">
        <v>104</v>
      </c>
      <c r="AJ36" s="32"/>
      <c r="AK36" s="115" t="s">
        <v>516</v>
      </c>
      <c r="AL36" s="32" t="s">
        <v>182</v>
      </c>
      <c r="AM36" s="63" t="s">
        <v>107</v>
      </c>
      <c r="AN36" s="64" t="s">
        <v>108</v>
      </c>
      <c r="AO36" s="64"/>
      <c r="AP36" s="66"/>
      <c r="AQ36" s="67">
        <f>VALUE(SUBSTITUTE(INDEX('[2]M1 App'!$A$2:$R$349,MATCH(VALUE(LEFT(Table1[[#This Row],[Old Assy '#]],4)),'[2]M1 App'!$B$2:$B$349,0),MATCH(Table1[[#Headers],[App Six Three]],'[2]M1 App'!$A$1:$R$1,0))," ",""))</f>
        <v>0</v>
      </c>
      <c r="AR36" s="68" t="s">
        <v>284</v>
      </c>
      <c r="AS36" s="32">
        <v>15432</v>
      </c>
      <c r="AT36" s="102">
        <v>8.4375</v>
      </c>
      <c r="AU36" s="69">
        <f>IF(ISNUMBER(Table1[[#This Row],[Above gauge Ø]]),((Table1[[#This Row],[Size]]-Table1[[#This Row],[Above gauge Ø]])/2)-0.05,"")</f>
        <v>0.10625</v>
      </c>
      <c r="AV36" s="70">
        <v>0.33</v>
      </c>
      <c r="AW36" s="32" t="s">
        <v>111</v>
      </c>
      <c r="AX36" s="32">
        <v>8.6875</v>
      </c>
      <c r="AY36" s="32" t="s">
        <v>307</v>
      </c>
      <c r="AZ36" s="32">
        <v>7.5</v>
      </c>
      <c r="BA36" s="32"/>
      <c r="BB36" s="82"/>
      <c r="BC36" s="82"/>
      <c r="BD36" s="82"/>
      <c r="BE36" s="82"/>
      <c r="BF36" s="32">
        <v>15</v>
      </c>
      <c r="BG36" s="32">
        <v>15</v>
      </c>
      <c r="BH36" s="32">
        <v>15</v>
      </c>
      <c r="BI36" s="32">
        <v>30</v>
      </c>
      <c r="BJ36" s="108" t="e">
        <f>CONCATENATE("► M1 Notes: ",#REF!," •-----► CL-SKF Notes: ",#REF!," •-----► DS Notes: ",#REF!)</f>
        <v>#REF!</v>
      </c>
      <c r="BK36" s="108" t="s">
        <v>517</v>
      </c>
      <c r="BL36" s="32">
        <v>2</v>
      </c>
      <c r="BM36" s="32" t="s">
        <v>115</v>
      </c>
      <c r="BN36" s="83">
        <v>15.17</v>
      </c>
      <c r="BO36" s="31">
        <v>20.41</v>
      </c>
      <c r="BP36" s="32" t="s">
        <v>116</v>
      </c>
      <c r="BQ36" s="32" t="s">
        <v>101</v>
      </c>
      <c r="BR36" s="32" t="s">
        <v>116</v>
      </c>
      <c r="BS36" s="32">
        <v>60</v>
      </c>
      <c r="BT36" s="32" t="s">
        <v>117</v>
      </c>
      <c r="BU36" s="32">
        <v>5</v>
      </c>
      <c r="BV36" s="32" t="s">
        <v>117</v>
      </c>
      <c r="BW36" s="103">
        <v>1.86</v>
      </c>
    </row>
    <row r="37" spans="2:75" x14ac:dyDescent="0.25">
      <c r="B37" s="1">
        <v>2090</v>
      </c>
      <c r="C37" s="2"/>
      <c r="D37" s="146" t="s">
        <v>93</v>
      </c>
      <c r="E37" s="75" t="s">
        <v>93</v>
      </c>
      <c r="F37" s="75" t="s">
        <v>93</v>
      </c>
      <c r="G37" s="55" t="s">
        <v>518</v>
      </c>
      <c r="H37" s="55" t="s">
        <v>519</v>
      </c>
      <c r="I37" s="55" t="s">
        <v>520</v>
      </c>
      <c r="J37" s="55" t="s">
        <v>521</v>
      </c>
      <c r="K37" s="55" t="s">
        <v>522</v>
      </c>
      <c r="L37" s="55" t="s">
        <v>523</v>
      </c>
      <c r="M37" s="55" t="s">
        <v>524</v>
      </c>
      <c r="N37" s="55" t="s">
        <v>525</v>
      </c>
      <c r="O37" s="55" t="s">
        <v>526</v>
      </c>
      <c r="P37" s="53" t="s">
        <v>93</v>
      </c>
      <c r="Q37" s="53" t="s">
        <v>93</v>
      </c>
      <c r="R37" s="76">
        <f>COUNTIFS([1]Fleet!$E:$E,Table1[[#This Row],[Old Assy '#]])+COUNTIFS([1]OnDeck!$E:$E,Table1[[#This Row],[Old Assy '#]])</f>
        <v>1</v>
      </c>
      <c r="S37" s="77">
        <v>42214</v>
      </c>
      <c r="T37" s="78"/>
      <c r="U37" s="78"/>
      <c r="V37" s="78"/>
      <c r="W37" s="56" t="str">
        <f>IF(AND(Table1[[#This Row],[Phase Out]]="Y",Table1[[#This Row],[Zero Inventory]]="Y"),"Y","")</f>
        <v/>
      </c>
      <c r="X37" s="79">
        <v>9.875</v>
      </c>
      <c r="Y37" s="63" t="s">
        <v>527</v>
      </c>
      <c r="Z37" s="59" t="str">
        <f>IF(LEFT(Table1[[#This Row],[Model]],2)="NX","NX",IF(LEFT(Table1[[#This Row],[Model]],2)="CR","CR",""))</f>
        <v>CR</v>
      </c>
      <c r="AA37" s="59" t="str">
        <f>LEFT(SUBSTITUTE(SUBSTITUTE(Table1[[#This Row],[Model]],"NX",""),"CR",""),1)</f>
        <v>6</v>
      </c>
      <c r="AB37" s="59" t="str">
        <f>MID(SUBSTITUTE(SUBSTITUTE(Table1[[#This Row],[Model]],"NX",""),"CR",""),2,2)</f>
        <v>16</v>
      </c>
      <c r="AC37" s="64" t="str">
        <f>IF(ISNUMBER(FIND("M",Table1[[#This Row],[Model]])),"M","")</f>
        <v/>
      </c>
      <c r="AD37" s="64" t="str">
        <f>CONCATENATE(MID(Table1[[#This Row],[Model]],FIND("-",Table1[[#This Row],[Model]])+1,2),IF(RIGHT(MID(Table1[[#This Row],[Model]],FIND("-",Table1[[#This Row],[Model]])+1,3),1)="+","+",""))</f>
        <v>YR</v>
      </c>
      <c r="AE37"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37" s="64" t="str">
        <f>IF(ISNUMBER(SEARCH("(K)",Table1[[#This Row],[Model]])),"(K)","")</f>
        <v>(K)</v>
      </c>
      <c r="AG37" s="64" t="str">
        <f>IF(ISNUMBER(SEARCH("(BR)",Table1[[#This Row],[Model]])),"(BR)","")</f>
        <v/>
      </c>
      <c r="AH37" s="32" t="s">
        <v>103</v>
      </c>
      <c r="AI37" s="32" t="s">
        <v>126</v>
      </c>
      <c r="AJ37" s="114" t="s">
        <v>528</v>
      </c>
      <c r="AK37" s="32"/>
      <c r="AL37" s="32" t="s">
        <v>106</v>
      </c>
      <c r="AM37" s="63" t="s">
        <v>107</v>
      </c>
      <c r="AN37" s="64" t="s">
        <v>127</v>
      </c>
      <c r="AO37" s="65"/>
      <c r="AP37" s="66"/>
      <c r="AQ37" s="67">
        <f>VALUE(SUBSTITUTE(INDEX('[2]M1 App'!$A$2:$R$349,MATCH(VALUE(LEFT(Table1[[#This Row],[Old Assy '#]],4)),'[2]M1 App'!$B$2:$B$349,0),MATCH(Table1[[#Headers],[App Six Three]],'[2]M1 App'!$A$1:$R$1,0))," ",""))</f>
        <v>0</v>
      </c>
      <c r="AR37" s="68" t="s">
        <v>109</v>
      </c>
      <c r="AS37" s="32" t="s">
        <v>128</v>
      </c>
      <c r="AT37" s="32">
        <v>9.6875</v>
      </c>
      <c r="AU37" s="69">
        <f>IF(ISNUMBER(Table1[[#This Row],[Above gauge Ø]]),((Table1[[#This Row],[Size]]-Table1[[#This Row],[Above gauge Ø]])/2)-0.05,"")</f>
        <v>4.3749999999999997E-2</v>
      </c>
      <c r="AV37" s="70">
        <v>0.33</v>
      </c>
      <c r="AW37" s="32" t="s">
        <v>111</v>
      </c>
      <c r="AX37" s="32">
        <v>9.875</v>
      </c>
      <c r="AY37" s="32" t="s">
        <v>243</v>
      </c>
      <c r="AZ37" s="32">
        <v>12.5</v>
      </c>
      <c r="BA37" s="32"/>
      <c r="BB37" s="82">
        <v>70</v>
      </c>
      <c r="BC37" s="82">
        <v>120</v>
      </c>
      <c r="BD37" s="82">
        <v>70</v>
      </c>
      <c r="BE37" s="82">
        <v>80</v>
      </c>
      <c r="BF37" s="32">
        <v>15</v>
      </c>
      <c r="BG37" s="32">
        <v>17.5</v>
      </c>
      <c r="BH37" s="32" t="s">
        <v>183</v>
      </c>
      <c r="BI37" s="32">
        <v>30</v>
      </c>
      <c r="BJ37" s="108" t="e">
        <f>CONCATENATE("► M1 Notes: ",#REF!," •-----► CL-SKF Notes: ",#REF!," •-----► DS Notes: ",#REF!)</f>
        <v>#REF!</v>
      </c>
      <c r="BK37" s="108"/>
      <c r="BL37" s="32">
        <v>3</v>
      </c>
      <c r="BM37" s="32" t="s">
        <v>115</v>
      </c>
      <c r="BN37" s="83">
        <v>28.82</v>
      </c>
      <c r="BO37" s="31">
        <v>20.8</v>
      </c>
      <c r="BP37" s="32" t="s">
        <v>116</v>
      </c>
      <c r="BQ37" s="32" t="s">
        <v>116</v>
      </c>
      <c r="BR37" s="32" t="s">
        <v>116</v>
      </c>
      <c r="BS37" s="32">
        <v>60</v>
      </c>
      <c r="BT37" s="32" t="s">
        <v>117</v>
      </c>
      <c r="BU37" s="32">
        <v>6</v>
      </c>
      <c r="BV37" s="32" t="s">
        <v>117</v>
      </c>
      <c r="BW37" s="103">
        <v>2.23</v>
      </c>
    </row>
    <row r="38" spans="2:75" x14ac:dyDescent="0.25">
      <c r="B38" s="1">
        <v>2091</v>
      </c>
      <c r="C38" s="2"/>
      <c r="D38" s="146" t="s">
        <v>93</v>
      </c>
      <c r="E38" s="75" t="s">
        <v>93</v>
      </c>
      <c r="F38" s="55" t="s">
        <v>529</v>
      </c>
      <c r="G38" s="55" t="s">
        <v>530</v>
      </c>
      <c r="H38" s="75" t="s">
        <v>93</v>
      </c>
      <c r="I38" s="55" t="s">
        <v>531</v>
      </c>
      <c r="J38" s="55" t="s">
        <v>532</v>
      </c>
      <c r="K38" s="55" t="s">
        <v>533</v>
      </c>
      <c r="L38" s="55" t="s">
        <v>534</v>
      </c>
      <c r="M38" s="55" t="s">
        <v>535</v>
      </c>
      <c r="N38" s="55" t="s">
        <v>536</v>
      </c>
      <c r="O38" s="55" t="s">
        <v>537</v>
      </c>
      <c r="P38" s="53" t="s">
        <v>93</v>
      </c>
      <c r="Q38" s="53" t="s">
        <v>93</v>
      </c>
      <c r="R38" s="76">
        <f>COUNTIFS([1]Fleet!$E:$E,Table1[[#This Row],[Old Assy '#]])+COUNTIFS([1]OnDeck!$E:$E,Table1[[#This Row],[Old Assy '#]])</f>
        <v>1</v>
      </c>
      <c r="S38" s="77">
        <v>42216</v>
      </c>
      <c r="T38" s="78" t="s">
        <v>101</v>
      </c>
      <c r="U38" s="78" t="s">
        <v>101</v>
      </c>
      <c r="V38" s="78" t="s">
        <v>101</v>
      </c>
      <c r="W38" s="56" t="str">
        <f>IF(AND(Table1[[#This Row],[Phase Out]]="Y",Table1[[#This Row],[Zero Inventory]]="Y"),"Y","")</f>
        <v>Y</v>
      </c>
      <c r="X38" s="79">
        <v>6.75</v>
      </c>
      <c r="Y38" s="63" t="s">
        <v>538</v>
      </c>
      <c r="Z38" s="59" t="str">
        <f>IF(LEFT(Table1[[#This Row],[Model]],2)="NX","NX",IF(LEFT(Table1[[#This Row],[Model]],2)="CR","CR",""))</f>
        <v>CR</v>
      </c>
      <c r="AA38" s="59" t="str">
        <f>LEFT(SUBSTITUTE(SUBSTITUTE(Table1[[#This Row],[Model]],"NX",""),"CR",""),1)</f>
        <v>6</v>
      </c>
      <c r="AB38" s="59" t="str">
        <f>MID(SUBSTITUTE(SUBSTITUTE(Table1[[#This Row],[Model]],"NX",""),"CR",""),2,2)</f>
        <v>13</v>
      </c>
      <c r="AC38" s="64" t="str">
        <f>IF(ISNUMBER(FIND("M",Table1[[#This Row],[Model]])),"M","")</f>
        <v/>
      </c>
      <c r="AD38" s="64" t="str">
        <f>CONCATENATE(MID(Table1[[#This Row],[Model]],FIND("-",Table1[[#This Row],[Model]])+1,2),IF(RIGHT(MID(Table1[[#This Row],[Model]],FIND("-",Table1[[#This Row],[Model]])+1,3),1)="+","+",""))</f>
        <v>XR</v>
      </c>
      <c r="AE38"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38" s="64" t="str">
        <f>IF(ISNUMBER(SEARCH("(K)",Table1[[#This Row],[Model]])),"(K)","")</f>
        <v/>
      </c>
      <c r="AG38" s="64" t="str">
        <f>IF(ISNUMBER(SEARCH("(BR)",Table1[[#This Row],[Model]])),"(BR)","")</f>
        <v>(BR)</v>
      </c>
      <c r="AH38" s="32" t="s">
        <v>103</v>
      </c>
      <c r="AI38" s="32" t="s">
        <v>163</v>
      </c>
      <c r="AJ38" s="32" t="s">
        <v>539</v>
      </c>
      <c r="AK38" s="115" t="s">
        <v>540</v>
      </c>
      <c r="AL38" s="32" t="s">
        <v>182</v>
      </c>
      <c r="AM38" s="63" t="s">
        <v>107</v>
      </c>
      <c r="AN38" s="64" t="s">
        <v>108</v>
      </c>
      <c r="AO38" s="64"/>
      <c r="AP38" s="66"/>
      <c r="AQ38" s="67">
        <f>VALUE(SUBSTITUTE(INDEX('[2]M1 App'!$A$2:$R$349,MATCH(VALUE(LEFT(Table1[[#This Row],[Old Assy '#]],4)),'[2]M1 App'!$B$2:$B$349,0),MATCH(Table1[[#Headers],[App Six Three]],'[2]M1 App'!$A$1:$R$1,0))," ",""))</f>
        <v>0</v>
      </c>
      <c r="AR38" s="68" t="s">
        <v>109</v>
      </c>
      <c r="AS38" s="32" t="s">
        <v>128</v>
      </c>
      <c r="AT38" s="32">
        <v>6.5620000000000003</v>
      </c>
      <c r="AU38" s="69">
        <f>IF(ISNUMBER(Table1[[#This Row],[Above gauge Ø]]),((Table1[[#This Row],[Size]]-Table1[[#This Row],[Above gauge Ø]])/2)-0.05,"")</f>
        <v>4.3999999999999859E-2</v>
      </c>
      <c r="AV38" s="70">
        <v>0.33</v>
      </c>
      <c r="AW38" s="32" t="s">
        <v>111</v>
      </c>
      <c r="AX38" s="32">
        <v>6.6879999999999997</v>
      </c>
      <c r="AY38" s="32" t="s">
        <v>541</v>
      </c>
      <c r="AZ38" s="32">
        <v>10</v>
      </c>
      <c r="BA38" s="32"/>
      <c r="BB38" s="82">
        <v>0</v>
      </c>
      <c r="BC38" s="82">
        <v>0</v>
      </c>
      <c r="BD38" s="82"/>
      <c r="BE38" s="82"/>
      <c r="BF38" s="32">
        <v>17.5</v>
      </c>
      <c r="BG38" s="32" t="s">
        <v>542</v>
      </c>
      <c r="BH38" s="32">
        <v>25</v>
      </c>
      <c r="BI38" s="32">
        <v>40</v>
      </c>
      <c r="BJ38" s="2" t="e">
        <f>CONCATENATE("► M1 Notes: ",#REF!," •-----► CL-SKF Notes: ",#REF!," •-----► DS Notes: ",#REF!)</f>
        <v>#REF!</v>
      </c>
      <c r="BK38" s="2"/>
      <c r="BL38" s="32">
        <v>1.5</v>
      </c>
      <c r="BM38" s="32" t="s">
        <v>115</v>
      </c>
      <c r="BN38" s="83">
        <v>13.518000000000001</v>
      </c>
      <c r="BO38" s="31">
        <v>12.2</v>
      </c>
      <c r="BP38" s="32" t="s">
        <v>116</v>
      </c>
      <c r="BQ38" s="32" t="s">
        <v>101</v>
      </c>
      <c r="BR38" s="32" t="s">
        <v>116</v>
      </c>
      <c r="BS38" s="32">
        <v>55</v>
      </c>
      <c r="BT38" s="32" t="s">
        <v>117</v>
      </c>
      <c r="BU38" s="32">
        <v>6</v>
      </c>
      <c r="BV38" s="32" t="s">
        <v>117</v>
      </c>
      <c r="BW38" s="103">
        <v>1.18</v>
      </c>
    </row>
    <row r="39" spans="2:75" x14ac:dyDescent="0.25">
      <c r="B39" s="1">
        <v>2093</v>
      </c>
      <c r="C39" s="2"/>
      <c r="D39" s="146" t="s">
        <v>93</v>
      </c>
      <c r="E39" s="75" t="s">
        <v>93</v>
      </c>
      <c r="F39" s="75" t="s">
        <v>93</v>
      </c>
      <c r="G39" s="55" t="s">
        <v>543</v>
      </c>
      <c r="H39" s="55" t="s">
        <v>544</v>
      </c>
      <c r="I39" s="55" t="s">
        <v>545</v>
      </c>
      <c r="J39" s="55" t="s">
        <v>546</v>
      </c>
      <c r="K39" s="55" t="s">
        <v>547</v>
      </c>
      <c r="L39" s="55" t="s">
        <v>548</v>
      </c>
      <c r="M39" s="55" t="s">
        <v>549</v>
      </c>
      <c r="N39" s="55" t="s">
        <v>550</v>
      </c>
      <c r="O39" s="55" t="s">
        <v>551</v>
      </c>
      <c r="P39" s="53" t="s">
        <v>93</v>
      </c>
      <c r="Q39" s="53" t="s">
        <v>93</v>
      </c>
      <c r="R39" s="76">
        <f>COUNTIFS([1]Fleet!$E:$E,Table1[[#This Row],[Old Assy '#]])+COUNTIFS([1]OnDeck!$E:$E,Table1[[#This Row],[Old Assy '#]])</f>
        <v>1</v>
      </c>
      <c r="S39" s="77">
        <v>42226</v>
      </c>
      <c r="T39" s="78"/>
      <c r="U39" s="78"/>
      <c r="V39" s="78"/>
      <c r="W39" s="56" t="str">
        <f>IF(AND(Table1[[#This Row],[Phase Out]]="Y",Table1[[#This Row],[Zero Inventory]]="Y"),"Y","")</f>
        <v/>
      </c>
      <c r="X39" s="79">
        <v>7.875</v>
      </c>
      <c r="Y39" s="63" t="s">
        <v>552</v>
      </c>
      <c r="Z39" s="59" t="str">
        <f>IF(LEFT(Table1[[#This Row],[Model]],2)="NX","NX",IF(LEFT(Table1[[#This Row],[Model]],2)="CR","CR",""))</f>
        <v>CR</v>
      </c>
      <c r="AA39" s="59" t="str">
        <f>LEFT(SUBSTITUTE(SUBSTITUTE(Table1[[#This Row],[Model]],"NX",""),"CR",""),1)</f>
        <v>4</v>
      </c>
      <c r="AB39" s="59" t="str">
        <f>MID(SUBSTITUTE(SUBSTITUTE(Table1[[#This Row],[Model]],"NX",""),"CR",""),2,2)</f>
        <v>19</v>
      </c>
      <c r="AC39" s="64" t="str">
        <f>IF(ISNUMBER(FIND("M",Table1[[#This Row],[Model]])),"M","")</f>
        <v/>
      </c>
      <c r="AD39" s="64" t="str">
        <f>CONCATENATE(MID(Table1[[#This Row],[Model]],FIND("-",Table1[[#This Row],[Model]])+1,2),IF(RIGHT(MID(Table1[[#This Row],[Model]],FIND("-",Table1[[#This Row],[Model]])+1,3),1)="+","+",""))</f>
        <v>SR</v>
      </c>
      <c r="AE39"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4</v>
      </c>
      <c r="AF39" s="64" t="str">
        <f>IF(ISNUMBER(SEARCH("(K)",Table1[[#This Row],[Model]])),"(K)","")</f>
        <v/>
      </c>
      <c r="AG39" s="64" t="str">
        <f>IF(ISNUMBER(SEARCH("(BR)",Table1[[#This Row],[Model]])),"(BR)","")</f>
        <v/>
      </c>
      <c r="AH39" s="32" t="s">
        <v>103</v>
      </c>
      <c r="AI39" s="32" t="s">
        <v>104</v>
      </c>
      <c r="AJ39" s="32"/>
      <c r="AK39" s="32"/>
      <c r="AL39" s="32" t="s">
        <v>106</v>
      </c>
      <c r="AM39" s="63" t="s">
        <v>107</v>
      </c>
      <c r="AN39" s="64" t="s">
        <v>108</v>
      </c>
      <c r="AO39" s="65"/>
      <c r="AP39" s="66"/>
      <c r="AQ39" s="67">
        <f>VALUE(SUBSTITUTE(INDEX('[2]M1 App'!$A$2:$R$349,MATCH(VALUE(LEFT(Table1[[#This Row],[Old Assy '#]],4)),'[2]M1 App'!$B$2:$B$349,0),MATCH(Table1[[#Headers],[App Six Three]],'[2]M1 App'!$A$1:$R$1,0))," ",""))</f>
        <v>0</v>
      </c>
      <c r="AR39" s="68" t="s">
        <v>284</v>
      </c>
      <c r="AS39" s="32">
        <v>1432</v>
      </c>
      <c r="AT39" s="32">
        <v>7.6875</v>
      </c>
      <c r="AU39" s="69">
        <f>IF(ISNUMBER(Table1[[#This Row],[Above gauge Ø]]),((Table1[[#This Row],[Size]]-Table1[[#This Row],[Above gauge Ø]])/2)-0.05,"")</f>
        <v>4.3749999999999997E-2</v>
      </c>
      <c r="AV39" s="70">
        <v>0.33</v>
      </c>
      <c r="AW39" s="32" t="s">
        <v>111</v>
      </c>
      <c r="AX39" s="32">
        <v>7.875</v>
      </c>
      <c r="AY39" s="32" t="s">
        <v>112</v>
      </c>
      <c r="AZ39" s="32">
        <v>15</v>
      </c>
      <c r="BA39" s="32"/>
      <c r="BB39" s="82"/>
      <c r="BC39" s="82"/>
      <c r="BD39" s="82"/>
      <c r="BE39" s="82"/>
      <c r="BF39" s="32">
        <v>17.5</v>
      </c>
      <c r="BG39" s="32">
        <v>17.5</v>
      </c>
      <c r="BH39" s="32" t="s">
        <v>439</v>
      </c>
      <c r="BI39" s="32">
        <v>35</v>
      </c>
      <c r="BJ39" s="108" t="e">
        <f>CONCATENATE("► M1 Notes: ",#REF!," •-----► CL-SKF Notes: ",#REF!," •-----► DS Notes: ",#REF!)</f>
        <v>#REF!</v>
      </c>
      <c r="BK39" s="108" t="s">
        <v>517</v>
      </c>
      <c r="BL39" s="32">
        <v>2.75</v>
      </c>
      <c r="BM39" s="32" t="s">
        <v>115</v>
      </c>
      <c r="BN39" s="83">
        <v>20</v>
      </c>
      <c r="BO39" s="31">
        <v>13.08</v>
      </c>
      <c r="BP39" s="32" t="s">
        <v>101</v>
      </c>
      <c r="BQ39" s="32" t="s">
        <v>101</v>
      </c>
      <c r="BR39" s="32" t="s">
        <v>116</v>
      </c>
      <c r="BS39" s="32">
        <v>60</v>
      </c>
      <c r="BT39" s="32" t="s">
        <v>117</v>
      </c>
      <c r="BU39" s="32">
        <v>4</v>
      </c>
      <c r="BV39" s="32" t="s">
        <v>117</v>
      </c>
      <c r="BW39" s="103">
        <v>1.48</v>
      </c>
    </row>
    <row r="40" spans="2:75" x14ac:dyDescent="0.25">
      <c r="B40" s="1">
        <v>2095</v>
      </c>
      <c r="C40" s="2"/>
      <c r="D40" s="146" t="s">
        <v>93</v>
      </c>
      <c r="E40" s="75" t="s">
        <v>93</v>
      </c>
      <c r="F40" s="75" t="s">
        <v>93</v>
      </c>
      <c r="G40" s="55" t="s">
        <v>554</v>
      </c>
      <c r="H40" s="55" t="s">
        <v>555</v>
      </c>
      <c r="I40" s="55" t="s">
        <v>556</v>
      </c>
      <c r="J40" s="55" t="s">
        <v>557</v>
      </c>
      <c r="K40" s="55" t="s">
        <v>558</v>
      </c>
      <c r="L40" s="55" t="s">
        <v>559</v>
      </c>
      <c r="M40" s="55" t="s">
        <v>560</v>
      </c>
      <c r="N40" s="55" t="s">
        <v>561</v>
      </c>
      <c r="O40" s="55" t="s">
        <v>562</v>
      </c>
      <c r="P40" s="53" t="s">
        <v>93</v>
      </c>
      <c r="Q40" s="53" t="s">
        <v>93</v>
      </c>
      <c r="R40" s="76">
        <f>COUNTIFS([1]Fleet!$E:$E,Table1[[#This Row],[Old Assy '#]])+COUNTIFS([1]OnDeck!$E:$E,Table1[[#This Row],[Old Assy '#]])</f>
        <v>1</v>
      </c>
      <c r="S40" s="77">
        <v>42236</v>
      </c>
      <c r="T40" s="78"/>
      <c r="U40" s="78"/>
      <c r="V40" s="78"/>
      <c r="W40" s="56" t="str">
        <f>IF(AND(Table1[[#This Row],[Phase Out]]="Y",Table1[[#This Row],[Zero Inventory]]="Y"),"Y","")</f>
        <v/>
      </c>
      <c r="X40" s="79">
        <v>9.875</v>
      </c>
      <c r="Y40" s="63" t="s">
        <v>527</v>
      </c>
      <c r="Z40" s="59" t="str">
        <f>IF(LEFT(Table1[[#This Row],[Model]],2)="NX","NX",IF(LEFT(Table1[[#This Row],[Model]],2)="CR","CR",""))</f>
        <v>CR</v>
      </c>
      <c r="AA40" s="59" t="str">
        <f>LEFT(SUBSTITUTE(SUBSTITUTE(Table1[[#This Row],[Model]],"NX",""),"CR",""),1)</f>
        <v>6</v>
      </c>
      <c r="AB40" s="59" t="str">
        <f>MID(SUBSTITUTE(SUBSTITUTE(Table1[[#This Row],[Model]],"NX",""),"CR",""),2,2)</f>
        <v>16</v>
      </c>
      <c r="AC40" s="64" t="str">
        <f>IF(ISNUMBER(FIND("M",Table1[[#This Row],[Model]])),"M","")</f>
        <v/>
      </c>
      <c r="AD40" s="64" t="str">
        <f>CONCATENATE(MID(Table1[[#This Row],[Model]],FIND("-",Table1[[#This Row],[Model]])+1,2),IF(RIGHT(MID(Table1[[#This Row],[Model]],FIND("-",Table1[[#This Row],[Model]])+1,3),1)="+","+",""))</f>
        <v>YR</v>
      </c>
      <c r="AE40"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40" s="64" t="str">
        <f>IF(ISNUMBER(SEARCH("(K)",Table1[[#This Row],[Model]])),"(K)","")</f>
        <v>(K)</v>
      </c>
      <c r="AG40" s="64" t="str">
        <f>IF(ISNUMBER(SEARCH("(BR)",Table1[[#This Row],[Model]])),"(BR)","")</f>
        <v/>
      </c>
      <c r="AH40" s="32" t="s">
        <v>103</v>
      </c>
      <c r="AI40" s="32" t="s">
        <v>126</v>
      </c>
      <c r="AJ40" s="114" t="s">
        <v>528</v>
      </c>
      <c r="AK40" s="32"/>
      <c r="AL40" s="32" t="s">
        <v>106</v>
      </c>
      <c r="AM40" s="63" t="s">
        <v>107</v>
      </c>
      <c r="AN40" s="64" t="s">
        <v>127</v>
      </c>
      <c r="AO40" s="65"/>
      <c r="AP40" s="66"/>
      <c r="AQ40" s="67">
        <f>VALUE(SUBSTITUTE(INDEX('[2]M1 App'!$A$2:$R$349,MATCH(VALUE(LEFT(Table1[[#This Row],[Old Assy '#]],4)),'[2]M1 App'!$B$2:$B$349,0),MATCH(Table1[[#Headers],[App Six Three]],'[2]M1 App'!$A$1:$R$1,0))," ",""))</f>
        <v>0</v>
      </c>
      <c r="AR40" s="68" t="s">
        <v>109</v>
      </c>
      <c r="AS40" s="32" t="s">
        <v>128</v>
      </c>
      <c r="AT40" s="32">
        <v>9.6875</v>
      </c>
      <c r="AU40" s="69">
        <f>IF(ISNUMBER(Table1[[#This Row],[Above gauge Ø]]),((Table1[[#This Row],[Size]]-Table1[[#This Row],[Above gauge Ø]])/2)-0.05,"")</f>
        <v>4.3749999999999997E-2</v>
      </c>
      <c r="AV40" s="70">
        <v>0.33</v>
      </c>
      <c r="AW40" s="32" t="s">
        <v>111</v>
      </c>
      <c r="AX40" s="32">
        <v>9.875</v>
      </c>
      <c r="AY40" s="32" t="s">
        <v>243</v>
      </c>
      <c r="AZ40" s="32">
        <v>12.5</v>
      </c>
      <c r="BA40" s="32"/>
      <c r="BB40" s="82">
        <v>0</v>
      </c>
      <c r="BC40" s="82">
        <v>120</v>
      </c>
      <c r="BD40" s="82">
        <v>70</v>
      </c>
      <c r="BE40" s="82">
        <v>80</v>
      </c>
      <c r="BF40" s="32">
        <v>15</v>
      </c>
      <c r="BG40" s="32">
        <v>17.5</v>
      </c>
      <c r="BH40" s="32" t="s">
        <v>183</v>
      </c>
      <c r="BI40" s="32">
        <v>30</v>
      </c>
      <c r="BJ40" s="108" t="e">
        <f>CONCATENATE("► M1 Notes: ",#REF!," •-----► CL-SKF Notes: ",#REF!," •-----► DS Notes: ",#REF!)</f>
        <v>#REF!</v>
      </c>
      <c r="BK40" s="108"/>
      <c r="BL40" s="32">
        <v>6</v>
      </c>
      <c r="BM40" s="32" t="s">
        <v>115</v>
      </c>
      <c r="BN40" s="83">
        <v>61.792999999999999</v>
      </c>
      <c r="BO40" s="31">
        <v>20.8</v>
      </c>
      <c r="BP40" s="32" t="s">
        <v>116</v>
      </c>
      <c r="BQ40" s="32" t="s">
        <v>101</v>
      </c>
      <c r="BR40" s="32" t="s">
        <v>116</v>
      </c>
      <c r="BS40" s="32">
        <v>60</v>
      </c>
      <c r="BT40" s="32" t="s">
        <v>117</v>
      </c>
      <c r="BU40" s="32">
        <v>6</v>
      </c>
      <c r="BV40" s="32" t="s">
        <v>117</v>
      </c>
      <c r="BW40" s="103">
        <v>2.23</v>
      </c>
    </row>
    <row r="41" spans="2:75" x14ac:dyDescent="0.25">
      <c r="B41" s="1">
        <v>2096</v>
      </c>
      <c r="C41" s="2"/>
      <c r="D41" s="146" t="s">
        <v>93</v>
      </c>
      <c r="E41" s="75" t="s">
        <v>93</v>
      </c>
      <c r="F41" s="75" t="s">
        <v>93</v>
      </c>
      <c r="G41" s="55" t="s">
        <v>563</v>
      </c>
      <c r="H41" s="55" t="s">
        <v>564</v>
      </c>
      <c r="I41" s="55" t="s">
        <v>565</v>
      </c>
      <c r="J41" s="55" t="s">
        <v>566</v>
      </c>
      <c r="K41" s="55" t="s">
        <v>567</v>
      </c>
      <c r="L41" s="55" t="s">
        <v>568</v>
      </c>
      <c r="M41" s="55" t="s">
        <v>569</v>
      </c>
      <c r="N41" s="55" t="s">
        <v>570</v>
      </c>
      <c r="O41" s="55" t="s">
        <v>571</v>
      </c>
      <c r="P41" s="53" t="s">
        <v>93</v>
      </c>
      <c r="Q41" s="53" t="s">
        <v>93</v>
      </c>
      <c r="R41" s="76">
        <f>COUNTIFS([1]Fleet!$E:$E,Table1[[#This Row],[Old Assy '#]])+COUNTIFS([1]OnDeck!$E:$E,Table1[[#This Row],[Old Assy '#]])</f>
        <v>1</v>
      </c>
      <c r="S41" s="77">
        <v>42238</v>
      </c>
      <c r="T41" s="78" t="s">
        <v>101</v>
      </c>
      <c r="U41" s="78" t="s">
        <v>101</v>
      </c>
      <c r="V41" s="78" t="s">
        <v>101</v>
      </c>
      <c r="W41" s="56" t="str">
        <f>IF(AND(Table1[[#This Row],[Phase Out]]="Y",Table1[[#This Row],[Zero Inventory]]="Y"),"Y","")</f>
        <v>Y</v>
      </c>
      <c r="X41" s="79">
        <v>6.75</v>
      </c>
      <c r="Y41" s="63" t="s">
        <v>572</v>
      </c>
      <c r="Z41" s="59" t="str">
        <f>IF(LEFT(Table1[[#This Row],[Model]],2)="NX","NX",IF(LEFT(Table1[[#This Row],[Model]],2)="CR","CR",""))</f>
        <v>CR</v>
      </c>
      <c r="AA41" s="59" t="str">
        <f>LEFT(SUBSTITUTE(SUBSTITUTE(Table1[[#This Row],[Model]],"NX",""),"CR",""),1)</f>
        <v>5</v>
      </c>
      <c r="AB41" s="59" t="str">
        <f>MID(SUBSTITUTE(SUBSTITUTE(Table1[[#This Row],[Model]],"NX",""),"CR",""),2,2)</f>
        <v>13</v>
      </c>
      <c r="AC41" s="64" t="str">
        <f>IF(ISNUMBER(FIND("M",Table1[[#This Row],[Model]])),"M","")</f>
        <v/>
      </c>
      <c r="AD41" s="64" t="str">
        <f>CONCATENATE(MID(Table1[[#This Row],[Model]],FIND("-",Table1[[#This Row],[Model]])+1,2),IF(RIGHT(MID(Table1[[#This Row],[Model]],FIND("-",Table1[[#This Row],[Model]])+1,3),1)="+","+",""))</f>
        <v>XR</v>
      </c>
      <c r="AE4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41" s="64" t="str">
        <f>IF(ISNUMBER(SEARCH("(K)",Table1[[#This Row],[Model]])),"(K)","")</f>
        <v>(K)</v>
      </c>
      <c r="AG41" s="64" t="str">
        <f>IF(ISNUMBER(SEARCH("(BR)",Table1[[#This Row],[Model]])),"(BR)","")</f>
        <v/>
      </c>
      <c r="AH41" s="32" t="s">
        <v>103</v>
      </c>
      <c r="AI41" s="32" t="s">
        <v>163</v>
      </c>
      <c r="AJ41" s="114" t="s">
        <v>452</v>
      </c>
      <c r="AK41" s="115" t="s">
        <v>516</v>
      </c>
      <c r="AL41" s="32" t="s">
        <v>182</v>
      </c>
      <c r="AM41" s="63" t="s">
        <v>107</v>
      </c>
      <c r="AN41" s="64" t="s">
        <v>108</v>
      </c>
      <c r="AO41" s="64"/>
      <c r="AP41" s="66"/>
      <c r="AQ41" s="67">
        <f>VALUE(SUBSTITUTE(INDEX('[2]M1 App'!$A$2:$R$349,MATCH(VALUE(LEFT(Table1[[#This Row],[Old Assy '#]],4)),'[2]M1 App'!$B$2:$B$349,0),MATCH(Table1[[#Headers],[App Six Three]],'[2]M1 App'!$A$1:$R$1,0))," ",""))</f>
        <v>0</v>
      </c>
      <c r="AR41" s="68" t="s">
        <v>284</v>
      </c>
      <c r="AS41" s="32">
        <v>15432</v>
      </c>
      <c r="AT41" s="32">
        <v>6.5620000000000003</v>
      </c>
      <c r="AU41" s="69">
        <f>IF(ISNUMBER(Table1[[#This Row],[Above gauge Ø]]),((Table1[[#This Row],[Size]]-Table1[[#This Row],[Above gauge Ø]])/2)-0.05,"")</f>
        <v>4.3999999999999859E-2</v>
      </c>
      <c r="AV41" s="70">
        <v>0.33</v>
      </c>
      <c r="AW41" s="32" t="s">
        <v>111</v>
      </c>
      <c r="AX41" s="32">
        <v>6.6879999999999997</v>
      </c>
      <c r="AY41" s="32" t="s">
        <v>541</v>
      </c>
      <c r="AZ41" s="32">
        <v>15</v>
      </c>
      <c r="BA41" s="32"/>
      <c r="BB41" s="82">
        <v>0</v>
      </c>
      <c r="BC41" s="82">
        <v>80</v>
      </c>
      <c r="BD41" s="82">
        <v>410</v>
      </c>
      <c r="BE41" s="82"/>
      <c r="BF41" s="32">
        <v>15</v>
      </c>
      <c r="BG41" s="32">
        <v>15</v>
      </c>
      <c r="BH41" s="32" t="s">
        <v>573</v>
      </c>
      <c r="BI41" s="32">
        <v>35</v>
      </c>
      <c r="BJ41" s="108" t="e">
        <f>CONCATENATE("► M1 Notes: ",#REF!," •-----► CL-SKF Notes: ",#REF!," •-----► DS Notes: ",#REF!)</f>
        <v>#REF!</v>
      </c>
      <c r="BK41" s="108" t="s">
        <v>574</v>
      </c>
      <c r="BL41" s="32">
        <v>4</v>
      </c>
      <c r="BM41" s="32" t="s">
        <v>115</v>
      </c>
      <c r="BN41" s="83">
        <v>37.587000000000003</v>
      </c>
      <c r="BO41" s="31">
        <v>10.65</v>
      </c>
      <c r="BP41" s="32" t="s">
        <v>116</v>
      </c>
      <c r="BQ41" s="32" t="s">
        <v>101</v>
      </c>
      <c r="BR41" s="32" t="s">
        <v>116</v>
      </c>
      <c r="BS41" s="32">
        <v>55</v>
      </c>
      <c r="BT41" s="32" t="s">
        <v>117</v>
      </c>
      <c r="BU41" s="32">
        <v>5</v>
      </c>
      <c r="BV41" s="32" t="s">
        <v>117</v>
      </c>
      <c r="BW41" s="103">
        <v>0.98</v>
      </c>
    </row>
    <row r="42" spans="2:75" x14ac:dyDescent="0.25">
      <c r="B42" s="1">
        <v>2104</v>
      </c>
      <c r="C42" s="2"/>
      <c r="D42" s="146" t="s">
        <v>93</v>
      </c>
      <c r="E42" s="75" t="s">
        <v>93</v>
      </c>
      <c r="F42" s="75" t="s">
        <v>93</v>
      </c>
      <c r="G42" s="55" t="s">
        <v>575</v>
      </c>
      <c r="H42" s="55" t="s">
        <v>576</v>
      </c>
      <c r="I42" s="55" t="s">
        <v>577</v>
      </c>
      <c r="J42" s="55" t="s">
        <v>578</v>
      </c>
      <c r="K42" s="55" t="s">
        <v>579</v>
      </c>
      <c r="L42" s="55" t="s">
        <v>580</v>
      </c>
      <c r="M42" s="55" t="s">
        <v>581</v>
      </c>
      <c r="N42" s="55" t="s">
        <v>582</v>
      </c>
      <c r="O42" s="55" t="s">
        <v>583</v>
      </c>
      <c r="P42" s="53" t="s">
        <v>93</v>
      </c>
      <c r="Q42" s="53" t="s">
        <v>93</v>
      </c>
      <c r="R42" s="76">
        <f>COUNTIFS([1]Fleet!$E:$E,Table1[[#This Row],[Old Assy '#]])+COUNTIFS([1]OnDeck!$E:$E,Table1[[#This Row],[Old Assy '#]])</f>
        <v>1</v>
      </c>
      <c r="S42" s="77">
        <v>42279</v>
      </c>
      <c r="T42" s="78"/>
      <c r="U42" s="78"/>
      <c r="V42" s="78"/>
      <c r="W42" s="56" t="str">
        <f>IF(AND(Table1[[#This Row],[Phase Out]]="Y",Table1[[#This Row],[Zero Inventory]]="Y"),"Y","")</f>
        <v/>
      </c>
      <c r="X42" s="79">
        <v>9.875</v>
      </c>
      <c r="Y42" s="63" t="s">
        <v>584</v>
      </c>
      <c r="Z42" s="59" t="str">
        <f>IF(LEFT(Table1[[#This Row],[Model]],2)="NX","NX",IF(LEFT(Table1[[#This Row],[Model]],2)="CR","CR",""))</f>
        <v>CR</v>
      </c>
      <c r="AA42" s="59" t="str">
        <f>LEFT(SUBSTITUTE(SUBSTITUTE(Table1[[#This Row],[Model]],"NX",""),"CR",""),1)</f>
        <v>6</v>
      </c>
      <c r="AB42" s="59" t="str">
        <f>MID(SUBSTITUTE(SUBSTITUTE(Table1[[#This Row],[Model]],"NX",""),"CR",""),2,2)</f>
        <v>16</v>
      </c>
      <c r="AC42" s="64" t="str">
        <f>IF(ISNUMBER(FIND("M",Table1[[#This Row],[Model]])),"M","")</f>
        <v/>
      </c>
      <c r="AD42" s="64" t="str">
        <f>CONCATENATE(MID(Table1[[#This Row],[Model]],FIND("-",Table1[[#This Row],[Model]])+1,2),IF(RIGHT(MID(Table1[[#This Row],[Model]],FIND("-",Table1[[#This Row],[Model]])+1,3),1)="+","+",""))</f>
        <v>XR</v>
      </c>
      <c r="AE42"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42" s="64" t="str">
        <f>IF(ISNUMBER(SEARCH("(K)",Table1[[#This Row],[Model]])),"(K)","")</f>
        <v>(K)</v>
      </c>
      <c r="AG42" s="64" t="str">
        <f>IF(ISNUMBER(SEARCH("(BR)",Table1[[#This Row],[Model]])),"(BR)","")</f>
        <v/>
      </c>
      <c r="AH42" s="32" t="s">
        <v>103</v>
      </c>
      <c r="AI42" s="32" t="s">
        <v>126</v>
      </c>
      <c r="AJ42" s="114" t="s">
        <v>452</v>
      </c>
      <c r="AK42" s="32"/>
      <c r="AL42" s="32" t="s">
        <v>106</v>
      </c>
      <c r="AM42" s="63" t="s">
        <v>107</v>
      </c>
      <c r="AN42" s="64" t="s">
        <v>127</v>
      </c>
      <c r="AO42" s="65"/>
      <c r="AP42" s="66"/>
      <c r="AQ42" s="67">
        <f>VALUE(SUBSTITUTE(INDEX('[2]M1 App'!$A$2:$R$349,MATCH(VALUE(LEFT(Table1[[#This Row],[Old Assy '#]],4)),'[2]M1 App'!$B$2:$B$349,0),MATCH(Table1[[#Headers],[App Six Three]],'[2]M1 App'!$A$1:$R$1,0))," ",""))</f>
        <v>0</v>
      </c>
      <c r="AR42" s="68" t="s">
        <v>109</v>
      </c>
      <c r="AS42" s="32" t="s">
        <v>128</v>
      </c>
      <c r="AT42" s="32">
        <v>9.6875</v>
      </c>
      <c r="AU42" s="69">
        <f>IF(ISNUMBER(Table1[[#This Row],[Above gauge Ø]]),((Table1[[#This Row],[Size]]-Table1[[#This Row],[Above gauge Ø]])/2)-0.05,"")</f>
        <v>4.3749999999999997E-2</v>
      </c>
      <c r="AV42" s="70">
        <v>0.33</v>
      </c>
      <c r="AW42" s="32" t="s">
        <v>111</v>
      </c>
      <c r="AX42" s="32">
        <v>9.875</v>
      </c>
      <c r="AY42" s="32" t="s">
        <v>243</v>
      </c>
      <c r="AZ42" s="32">
        <v>12.5</v>
      </c>
      <c r="BA42" s="32"/>
      <c r="BB42" s="82">
        <v>230</v>
      </c>
      <c r="BC42" s="82">
        <v>200</v>
      </c>
      <c r="BD42" s="82">
        <v>330</v>
      </c>
      <c r="BE42" s="82"/>
      <c r="BF42" s="32">
        <v>15</v>
      </c>
      <c r="BG42" s="32">
        <v>15</v>
      </c>
      <c r="BH42" s="32" t="s">
        <v>585</v>
      </c>
      <c r="BI42" s="32">
        <v>30</v>
      </c>
      <c r="BJ42" s="108" t="e">
        <f>CONCATENATE("► M1 Notes: ",#REF!," •-----► CL-SKF Notes: ",#REF!," •-----► DS Notes: ",#REF!)</f>
        <v>#REF!</v>
      </c>
      <c r="BK42" s="108"/>
      <c r="BL42" s="32">
        <v>6</v>
      </c>
      <c r="BM42" s="32" t="s">
        <v>115</v>
      </c>
      <c r="BN42" s="83">
        <v>61.6</v>
      </c>
      <c r="BO42" s="31">
        <v>20.8</v>
      </c>
      <c r="BP42" s="32" t="s">
        <v>116</v>
      </c>
      <c r="BQ42" s="32" t="s">
        <v>101</v>
      </c>
      <c r="BR42" s="32" t="s">
        <v>116</v>
      </c>
      <c r="BS42" s="32">
        <v>60</v>
      </c>
      <c r="BT42" s="32" t="s">
        <v>117</v>
      </c>
      <c r="BU42" s="32">
        <v>6</v>
      </c>
      <c r="BV42" s="32" t="s">
        <v>117</v>
      </c>
      <c r="BW42" s="103">
        <v>2.23</v>
      </c>
    </row>
    <row r="43" spans="2:75" x14ac:dyDescent="0.25">
      <c r="B43" s="1">
        <v>2110</v>
      </c>
      <c r="C43" s="2"/>
      <c r="D43" s="146" t="s">
        <v>93</v>
      </c>
      <c r="E43" s="75" t="s">
        <v>93</v>
      </c>
      <c r="F43" s="75" t="s">
        <v>93</v>
      </c>
      <c r="G43" s="55" t="s">
        <v>586</v>
      </c>
      <c r="H43" s="55" t="s">
        <v>587</v>
      </c>
      <c r="I43" s="55" t="s">
        <v>588</v>
      </c>
      <c r="J43" s="55" t="s">
        <v>589</v>
      </c>
      <c r="K43" s="55" t="s">
        <v>590</v>
      </c>
      <c r="L43" s="55" t="s">
        <v>591</v>
      </c>
      <c r="M43" s="55" t="s">
        <v>592</v>
      </c>
      <c r="N43" s="55" t="s">
        <v>593</v>
      </c>
      <c r="O43" s="55" t="s">
        <v>594</v>
      </c>
      <c r="P43" s="53" t="s">
        <v>93</v>
      </c>
      <c r="Q43" s="53" t="s">
        <v>93</v>
      </c>
      <c r="R43" s="76">
        <f>COUNTIFS([1]Fleet!$E:$E,Table1[[#This Row],[Old Assy '#]])+COUNTIFS([1]OnDeck!$E:$E,Table1[[#This Row],[Old Assy '#]])</f>
        <v>1</v>
      </c>
      <c r="S43" s="77">
        <v>42300</v>
      </c>
      <c r="T43" s="78" t="s">
        <v>101</v>
      </c>
      <c r="U43" s="78" t="s">
        <v>101</v>
      </c>
      <c r="V43" s="78" t="s">
        <v>101</v>
      </c>
      <c r="W43" s="56" t="str">
        <f>IF(AND(Table1[[#This Row],[Phase Out]]="Y",Table1[[#This Row],[Zero Inventory]]="Y"),"Y","")</f>
        <v>Y</v>
      </c>
      <c r="X43" s="79">
        <v>9.875</v>
      </c>
      <c r="Y43" s="63" t="s">
        <v>595</v>
      </c>
      <c r="Z43" s="59" t="str">
        <f>IF(LEFT(Table1[[#This Row],[Model]],2)="NX","NX",IF(LEFT(Table1[[#This Row],[Model]],2)="CR","CR",""))</f>
        <v>CR</v>
      </c>
      <c r="AA43" s="59" t="str">
        <f>LEFT(SUBSTITUTE(SUBSTITUTE(Table1[[#This Row],[Model]],"NX",""),"CR",""),1)</f>
        <v>5</v>
      </c>
      <c r="AB43" s="59" t="str">
        <f>MID(SUBSTITUTE(SUBSTITUTE(Table1[[#This Row],[Model]],"NX",""),"CR",""),2,2)</f>
        <v>16</v>
      </c>
      <c r="AC43" s="64" t="str">
        <f>IF(ISNUMBER(FIND("M",Table1[[#This Row],[Model]])),"M","")</f>
        <v/>
      </c>
      <c r="AD43" s="64" t="str">
        <f>CONCATENATE(MID(Table1[[#This Row],[Model]],FIND("-",Table1[[#This Row],[Model]])+1,2),IF(RIGHT(MID(Table1[[#This Row],[Model]],FIND("-",Table1[[#This Row],[Model]])+1,3),1)="+","+",""))</f>
        <v>XR</v>
      </c>
      <c r="AE4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43" s="64" t="str">
        <f>IF(ISNUMBER(SEARCH("(K)",Table1[[#This Row],[Model]])),"(K)","")</f>
        <v>(K)</v>
      </c>
      <c r="AG43" s="64" t="str">
        <f>IF(ISNUMBER(SEARCH("(BR)",Table1[[#This Row],[Model]])),"(BR)","")</f>
        <v/>
      </c>
      <c r="AH43" s="32" t="s">
        <v>103</v>
      </c>
      <c r="AI43" s="32" t="s">
        <v>126</v>
      </c>
      <c r="AJ43" s="114" t="s">
        <v>452</v>
      </c>
      <c r="AK43" s="115" t="s">
        <v>596</v>
      </c>
      <c r="AL43" s="32" t="s">
        <v>182</v>
      </c>
      <c r="AM43" s="63" t="s">
        <v>107</v>
      </c>
      <c r="AN43" s="64" t="s">
        <v>127</v>
      </c>
      <c r="AO43" s="64"/>
      <c r="AP43" s="66"/>
      <c r="AQ43" s="67">
        <f>VALUE(SUBSTITUTE(INDEX('[2]M1 App'!$A$2:$R$349,MATCH(VALUE(LEFT(Table1[[#This Row],[Old Assy '#]],4)),'[2]M1 App'!$B$2:$B$349,0),MATCH(Table1[[#Headers],[App Six Three]],'[2]M1 App'!$A$1:$R$1,0))," ",""))</f>
        <v>0</v>
      </c>
      <c r="AR43" s="68" t="s">
        <v>284</v>
      </c>
      <c r="AS43" s="32">
        <v>15432</v>
      </c>
      <c r="AT43" s="32">
        <v>9.4380000000000006</v>
      </c>
      <c r="AU43" s="69">
        <f>IF(ISNUMBER(Table1[[#This Row],[Above gauge Ø]]),((Table1[[#This Row],[Size]]-Table1[[#This Row],[Above gauge Ø]])/2)-0.05,"")</f>
        <v>0.16849999999999971</v>
      </c>
      <c r="AV43" s="70">
        <v>0.33</v>
      </c>
      <c r="AW43" s="32" t="s">
        <v>180</v>
      </c>
      <c r="AX43" s="32">
        <v>9.8119999999999994</v>
      </c>
      <c r="AY43" s="32" t="s">
        <v>232</v>
      </c>
      <c r="AZ43" s="32">
        <v>15</v>
      </c>
      <c r="BA43" s="32"/>
      <c r="BB43" s="82">
        <v>0</v>
      </c>
      <c r="BC43" s="82">
        <v>0</v>
      </c>
      <c r="BD43" s="82">
        <v>300</v>
      </c>
      <c r="BE43" s="82"/>
      <c r="BF43" s="32">
        <v>15</v>
      </c>
      <c r="BG43" s="32">
        <v>15</v>
      </c>
      <c r="BH43" s="32" t="s">
        <v>597</v>
      </c>
      <c r="BI43" s="32" t="s">
        <v>598</v>
      </c>
      <c r="BJ43" s="108" t="e">
        <f>CONCATENATE("► M1 Notes: ",#REF!," •-----► CL-SKF Notes: ",#REF!," •-----► DS Notes: ",#REF!)</f>
        <v>#REF!</v>
      </c>
      <c r="BK43" s="108" t="s">
        <v>599</v>
      </c>
      <c r="BL43" s="32">
        <v>4</v>
      </c>
      <c r="BM43" s="32" t="s">
        <v>115</v>
      </c>
      <c r="BN43" s="83">
        <v>42.53</v>
      </c>
      <c r="BO43" s="31">
        <v>20.329999999999998</v>
      </c>
      <c r="BP43" s="32" t="s">
        <v>116</v>
      </c>
      <c r="BQ43" s="32" t="s">
        <v>101</v>
      </c>
      <c r="BR43" s="32" t="s">
        <v>116</v>
      </c>
      <c r="BS43" s="32">
        <v>60</v>
      </c>
      <c r="BT43" s="32" t="s">
        <v>117</v>
      </c>
      <c r="BU43" s="32">
        <v>5</v>
      </c>
      <c r="BV43" s="32" t="s">
        <v>117</v>
      </c>
      <c r="BW43" s="103">
        <v>1.86</v>
      </c>
    </row>
    <row r="44" spans="2:75" x14ac:dyDescent="0.25">
      <c r="B44" s="1">
        <v>2114</v>
      </c>
      <c r="C44" s="2"/>
      <c r="D44" s="146" t="s">
        <v>93</v>
      </c>
      <c r="E44" s="75" t="s">
        <v>93</v>
      </c>
      <c r="F44" s="75" t="s">
        <v>93</v>
      </c>
      <c r="G44" s="55" t="s">
        <v>600</v>
      </c>
      <c r="H44" s="55" t="s">
        <v>601</v>
      </c>
      <c r="I44" s="116" t="s">
        <v>602</v>
      </c>
      <c r="J44" s="116" t="s">
        <v>603</v>
      </c>
      <c r="K44" s="55" t="s">
        <v>604</v>
      </c>
      <c r="L44" s="55" t="s">
        <v>605</v>
      </c>
      <c r="M44" s="55" t="s">
        <v>606</v>
      </c>
      <c r="N44" s="55" t="s">
        <v>607</v>
      </c>
      <c r="O44" s="55" t="s">
        <v>608</v>
      </c>
      <c r="P44" s="53" t="s">
        <v>93</v>
      </c>
      <c r="Q44" s="53" t="s">
        <v>93</v>
      </c>
      <c r="R44" s="76">
        <f>COUNTIFS([1]Fleet!$E:$E,Table1[[#This Row],[Old Assy '#]])+COUNTIFS([1]OnDeck!$E:$E,Table1[[#This Row],[Old Assy '#]])</f>
        <v>1</v>
      </c>
      <c r="S44" s="77">
        <v>42317</v>
      </c>
      <c r="T44" s="78"/>
      <c r="U44" s="78"/>
      <c r="V44" s="78"/>
      <c r="W44" s="56" t="str">
        <f>IF(AND(Table1[[#This Row],[Phase Out]]="Y",Table1[[#This Row],[Zero Inventory]]="Y"),"Y","")</f>
        <v/>
      </c>
      <c r="X44" s="110">
        <v>12.25</v>
      </c>
      <c r="Y44" s="111" t="s">
        <v>609</v>
      </c>
      <c r="Z44" s="59" t="str">
        <f>IF(LEFT(Table1[[#This Row],[Model]],2)="NX","NX",IF(LEFT(Table1[[#This Row],[Model]],2)="CR","CR",""))</f>
        <v>CR</v>
      </c>
      <c r="AA44" s="59" t="str">
        <f>LEFT(SUBSTITUTE(SUBSTITUTE(Table1[[#This Row],[Model]],"NX",""),"CR",""),1)</f>
        <v>6</v>
      </c>
      <c r="AB44" s="59" t="str">
        <f>MID(SUBSTITUTE(SUBSTITUTE(Table1[[#This Row],[Model]],"NX",""),"CR",""),2,2)</f>
        <v>19</v>
      </c>
      <c r="AC44" s="64" t="str">
        <f>IF(ISNUMBER(FIND("M",Table1[[#This Row],[Model]])),"M","")</f>
        <v/>
      </c>
      <c r="AD44" s="64" t="str">
        <f>CONCATENATE(MID(Table1[[#This Row],[Model]],FIND("-",Table1[[#This Row],[Model]])+1,2),IF(RIGHT(MID(Table1[[#This Row],[Model]],FIND("-",Table1[[#This Row],[Model]])+1,3),1)="+","+",""))</f>
        <v>SR</v>
      </c>
      <c r="AE44"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44" s="64" t="str">
        <f>IF(ISNUMBER(SEARCH("(K)",Table1[[#This Row],[Model]])),"(K)","")</f>
        <v>(K)</v>
      </c>
      <c r="AG44" s="64" t="str">
        <f>IF(ISNUMBER(SEARCH("(BR)",Table1[[#This Row],[Model]])),"(BR)","")</f>
        <v/>
      </c>
      <c r="AH44" s="32" t="s">
        <v>103</v>
      </c>
      <c r="AI44" s="32" t="s">
        <v>126</v>
      </c>
      <c r="AJ44" s="32" t="s">
        <v>452</v>
      </c>
      <c r="AK44" s="32"/>
      <c r="AL44" s="32" t="s">
        <v>106</v>
      </c>
      <c r="AM44" s="63" t="s">
        <v>107</v>
      </c>
      <c r="AN44" s="64" t="s">
        <v>127</v>
      </c>
      <c r="AO44" s="65"/>
      <c r="AP44" s="66"/>
      <c r="AQ44" s="67">
        <f>VALUE(SUBSTITUTE(INDEX('[2]M1 App'!$A$2:$R$349,MATCH(VALUE(LEFT(Table1[[#This Row],[Old Assy '#]],4)),'[2]M1 App'!$B$2:$B$349,0),MATCH(Table1[[#Headers],[App Six Three]],'[2]M1 App'!$A$1:$R$1,0))," ",""))</f>
        <v>0</v>
      </c>
      <c r="AR44" s="68" t="s">
        <v>284</v>
      </c>
      <c r="AS44" s="32">
        <v>165432</v>
      </c>
      <c r="AT44" s="102">
        <v>11.875</v>
      </c>
      <c r="AU44" s="69">
        <f>IF(ISNUMBER(Table1[[#This Row],[Above gauge Ø]]),((Table1[[#This Row],[Size]]-Table1[[#This Row],[Above gauge Ø]])/2)-0.05,"")</f>
        <v>0.13750000000000001</v>
      </c>
      <c r="AV44" s="70">
        <v>0.33</v>
      </c>
      <c r="AW44" s="32" t="s">
        <v>111</v>
      </c>
      <c r="AX44" s="32">
        <v>12.1875</v>
      </c>
      <c r="AY44" s="32" t="s">
        <v>140</v>
      </c>
      <c r="AZ44" s="32">
        <v>15</v>
      </c>
      <c r="BA44" s="32"/>
      <c r="BB44" s="82"/>
      <c r="BC44" s="82"/>
      <c r="BD44" s="82"/>
      <c r="BE44" s="82">
        <v>340</v>
      </c>
      <c r="BF44" s="32">
        <v>15</v>
      </c>
      <c r="BG44" s="32">
        <v>15</v>
      </c>
      <c r="BH44" s="32" t="s">
        <v>322</v>
      </c>
      <c r="BI44" s="32">
        <v>35</v>
      </c>
      <c r="BJ44" s="2" t="e">
        <f>CONCATENATE("► M1 Notes: ",#REF!," •-----► CL-SKF Notes: ",#REF!," •-----► DS Notes: ",#REF!)</f>
        <v>#REF!</v>
      </c>
      <c r="BK44" s="108" t="s">
        <v>610</v>
      </c>
      <c r="BL44" s="32">
        <v>3</v>
      </c>
      <c r="BM44" s="32" t="s">
        <v>115</v>
      </c>
      <c r="BN44" s="83">
        <v>47.42</v>
      </c>
      <c r="BO44" s="31">
        <v>33.51</v>
      </c>
      <c r="BP44" s="32" t="s">
        <v>116</v>
      </c>
      <c r="BQ44" s="32" t="s">
        <v>101</v>
      </c>
      <c r="BR44" s="32" t="s">
        <v>116</v>
      </c>
      <c r="BS44" s="32">
        <v>60</v>
      </c>
      <c r="BT44" s="32" t="s">
        <v>117</v>
      </c>
      <c r="BU44" s="32">
        <v>9</v>
      </c>
      <c r="BV44" s="32" t="s">
        <v>117</v>
      </c>
      <c r="BW44" s="103">
        <v>3.34</v>
      </c>
    </row>
    <row r="45" spans="2:75" x14ac:dyDescent="0.25">
      <c r="B45" s="1">
        <v>2115</v>
      </c>
      <c r="C45" s="2"/>
      <c r="D45" s="146" t="s">
        <v>93</v>
      </c>
      <c r="E45" s="75" t="s">
        <v>93</v>
      </c>
      <c r="F45" s="75" t="s">
        <v>93</v>
      </c>
      <c r="G45" s="55" t="s">
        <v>611</v>
      </c>
      <c r="H45" s="55" t="s">
        <v>612</v>
      </c>
      <c r="I45" s="55" t="s">
        <v>613</v>
      </c>
      <c r="J45" s="55" t="s">
        <v>614</v>
      </c>
      <c r="K45" s="55" t="s">
        <v>615</v>
      </c>
      <c r="L45" s="55" t="s">
        <v>616</v>
      </c>
      <c r="M45" s="55" t="s">
        <v>617</v>
      </c>
      <c r="N45" s="55" t="s">
        <v>618</v>
      </c>
      <c r="O45" s="55" t="s">
        <v>619</v>
      </c>
      <c r="P45" s="53" t="s">
        <v>93</v>
      </c>
      <c r="Q45" s="53" t="s">
        <v>93</v>
      </c>
      <c r="R45" s="76">
        <f>COUNTIFS([1]Fleet!$E:$E,Table1[[#This Row],[Old Assy '#]])+COUNTIFS([1]OnDeck!$E:$E,Table1[[#This Row],[Old Assy '#]])</f>
        <v>2</v>
      </c>
      <c r="S45" s="77">
        <v>42312</v>
      </c>
      <c r="T45" s="78"/>
      <c r="U45" s="78" t="s">
        <v>101</v>
      </c>
      <c r="V45" s="78"/>
      <c r="W45" s="56" t="str">
        <f>IF(AND(Table1[[#This Row],[Phase Out]]="Y",Table1[[#This Row],[Zero Inventory]]="Y"),"Y","")</f>
        <v/>
      </c>
      <c r="X45" s="79">
        <v>6.75</v>
      </c>
      <c r="Y45" s="63" t="s">
        <v>620</v>
      </c>
      <c r="Z45" s="59" t="str">
        <f>IF(LEFT(Table1[[#This Row],[Model]],2)="NX","NX",IF(LEFT(Table1[[#This Row],[Model]],2)="CR","CR",""))</f>
        <v>CR</v>
      </c>
      <c r="AA45" s="59" t="str">
        <f>LEFT(SUBSTITUTE(SUBSTITUTE(Table1[[#This Row],[Model]],"NX",""),"CR",""),1)</f>
        <v>5</v>
      </c>
      <c r="AB45" s="59" t="str">
        <f>MID(SUBSTITUTE(SUBSTITUTE(Table1[[#This Row],[Model]],"NX",""),"CR",""),2,2)</f>
        <v>16</v>
      </c>
      <c r="AC45" s="64" t="str">
        <f>IF(ISNUMBER(FIND("M",Table1[[#This Row],[Model]])),"M","")</f>
        <v/>
      </c>
      <c r="AD45" s="64" t="str">
        <f>CONCATENATE(MID(Table1[[#This Row],[Model]],FIND("-",Table1[[#This Row],[Model]])+1,2),IF(RIGHT(MID(Table1[[#This Row],[Model]],FIND("-",Table1[[#This Row],[Model]])+1,3),1)="+","+",""))</f>
        <v>XR</v>
      </c>
      <c r="AE45"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45" s="64" t="str">
        <f>IF(ISNUMBER(SEARCH("(K)",Table1[[#This Row],[Model]])),"(K)","")</f>
        <v/>
      </c>
      <c r="AG45" s="64" t="str">
        <f>IF(ISNUMBER(SEARCH("(BR)",Table1[[#This Row],[Model]])),"(BR)","")</f>
        <v>(BR)</v>
      </c>
      <c r="AH45" s="32" t="s">
        <v>103</v>
      </c>
      <c r="AI45" s="32" t="s">
        <v>163</v>
      </c>
      <c r="AJ45" s="32"/>
      <c r="AK45" s="32"/>
      <c r="AL45" s="32" t="s">
        <v>259</v>
      </c>
      <c r="AM45" s="64" t="str">
        <f>SUBSTITUTE(INDEX('[2]M1 App'!$A$2:$R$349,MATCH(VALUE(LEFT(Table1[[#This Row],[Old Assy '#]],4)),'[2]M1 App'!$B$2:$B$349,0),MATCH(Table1[[#Headers],[App Interval Type]],'[2]M1 App'!$A$1:$R$1,0))," ","")</f>
        <v>Lateral</v>
      </c>
      <c r="AN45" s="64" t="s">
        <v>108</v>
      </c>
      <c r="AO45" s="65"/>
      <c r="AP45" s="66"/>
      <c r="AQ45" s="67">
        <f>VALUE(SUBSTITUTE(INDEX('[2]M1 App'!$A$2:$R$349,MATCH(VALUE(LEFT(Table1[[#This Row],[Old Assy '#]],4)),'[2]M1 App'!$B$2:$B$349,0),MATCH(Table1[[#Headers],[App Six Three]],'[2]M1 App'!$A$1:$R$1,0))," ",""))</f>
        <v>0</v>
      </c>
      <c r="AR45" s="68" t="s">
        <v>284</v>
      </c>
      <c r="AS45" s="32">
        <v>15432</v>
      </c>
      <c r="AT45" s="32">
        <v>6.5620000000000003</v>
      </c>
      <c r="AU45" s="69">
        <f>IF(ISNUMBER(Table1[[#This Row],[Above gauge Ø]]),((Table1[[#This Row],[Size]]-Table1[[#This Row],[Above gauge Ø]])/2)-0.05,"")</f>
        <v>4.3999999999999859E-2</v>
      </c>
      <c r="AV45" s="70">
        <v>0.33</v>
      </c>
      <c r="AW45" s="32" t="s">
        <v>111</v>
      </c>
      <c r="AX45" s="32">
        <v>6.6879999999999997</v>
      </c>
      <c r="AY45" s="32" t="s">
        <v>541</v>
      </c>
      <c r="AZ45" s="32">
        <v>10</v>
      </c>
      <c r="BA45" s="32"/>
      <c r="BB45" s="82">
        <v>190</v>
      </c>
      <c r="BC45" s="82">
        <v>180</v>
      </c>
      <c r="BD45" s="82"/>
      <c r="BE45" s="82"/>
      <c r="BF45" s="32">
        <v>12.5</v>
      </c>
      <c r="BG45" s="32">
        <v>12.5</v>
      </c>
      <c r="BH45" s="32" t="s">
        <v>621</v>
      </c>
      <c r="BI45" s="32">
        <v>35</v>
      </c>
      <c r="BJ45" s="109" t="e">
        <f>CONCATENATE("► M1 Notes: ",#REF!," •-----► CL-SKF Notes: ",#REF!," •-----► DS Notes: ",#REF!)</f>
        <v>#REF!</v>
      </c>
      <c r="BK45" s="108" t="s">
        <v>574</v>
      </c>
      <c r="BL45" s="32">
        <v>3</v>
      </c>
      <c r="BM45" s="32" t="s">
        <v>115</v>
      </c>
      <c r="BN45" s="83">
        <v>29.998000000000001</v>
      </c>
      <c r="BO45" s="31">
        <v>9.64</v>
      </c>
      <c r="BP45" s="32" t="s">
        <v>116</v>
      </c>
      <c r="BQ45" s="32" t="s">
        <v>101</v>
      </c>
      <c r="BR45" s="32" t="s">
        <v>116</v>
      </c>
      <c r="BS45" s="32">
        <v>55</v>
      </c>
      <c r="BT45" s="32" t="s">
        <v>117</v>
      </c>
      <c r="BU45" s="32">
        <v>5</v>
      </c>
      <c r="BV45" s="32" t="s">
        <v>117</v>
      </c>
      <c r="BW45" s="103">
        <v>0.98</v>
      </c>
    </row>
    <row r="46" spans="2:75" x14ac:dyDescent="0.25">
      <c r="B46" s="1">
        <v>2117</v>
      </c>
      <c r="C46" s="2"/>
      <c r="D46" s="146" t="s">
        <v>93</v>
      </c>
      <c r="E46" s="75" t="s">
        <v>93</v>
      </c>
      <c r="F46" s="75" t="s">
        <v>93</v>
      </c>
      <c r="G46" s="55" t="s">
        <v>623</v>
      </c>
      <c r="H46" s="55" t="s">
        <v>624</v>
      </c>
      <c r="I46" s="55" t="s">
        <v>625</v>
      </c>
      <c r="J46" s="55" t="s">
        <v>626</v>
      </c>
      <c r="K46" s="55" t="s">
        <v>627</v>
      </c>
      <c r="L46" s="55" t="s">
        <v>628</v>
      </c>
      <c r="M46" s="55" t="s">
        <v>629</v>
      </c>
      <c r="N46" s="55" t="s">
        <v>630</v>
      </c>
      <c r="O46" s="55" t="s">
        <v>631</v>
      </c>
      <c r="P46" s="53" t="s">
        <v>93</v>
      </c>
      <c r="Q46" s="53" t="s">
        <v>93</v>
      </c>
      <c r="R46" s="76">
        <f>COUNTIFS([1]Fleet!$E:$E,Table1[[#This Row],[Old Assy '#]])+COUNTIFS([1]OnDeck!$E:$E,Table1[[#This Row],[Old Assy '#]])</f>
        <v>1</v>
      </c>
      <c r="S46" s="77">
        <v>42321</v>
      </c>
      <c r="T46" s="78"/>
      <c r="U46" s="78" t="s">
        <v>101</v>
      </c>
      <c r="V46" s="78"/>
      <c r="W46" s="56" t="str">
        <f>IF(AND(Table1[[#This Row],[Phase Out]]="Y",Table1[[#This Row],[Zero Inventory]]="Y"),"Y","")</f>
        <v/>
      </c>
      <c r="X46" s="79">
        <v>6.75</v>
      </c>
      <c r="Y46" s="63" t="s">
        <v>620</v>
      </c>
      <c r="Z46" s="59" t="str">
        <f>IF(LEFT(Table1[[#This Row],[Model]],2)="NX","NX",IF(LEFT(Table1[[#This Row],[Model]],2)="CR","CR",""))</f>
        <v>CR</v>
      </c>
      <c r="AA46" s="59" t="str">
        <f>LEFT(SUBSTITUTE(SUBSTITUTE(Table1[[#This Row],[Model]],"NX",""),"CR",""),1)</f>
        <v>5</v>
      </c>
      <c r="AB46" s="59" t="str">
        <f>MID(SUBSTITUTE(SUBSTITUTE(Table1[[#This Row],[Model]],"NX",""),"CR",""),2,2)</f>
        <v>16</v>
      </c>
      <c r="AC46" s="64" t="str">
        <f>IF(ISNUMBER(FIND("M",Table1[[#This Row],[Model]])),"M","")</f>
        <v/>
      </c>
      <c r="AD46" s="64" t="str">
        <f>CONCATENATE(MID(Table1[[#This Row],[Model]],FIND("-",Table1[[#This Row],[Model]])+1,2),IF(RIGHT(MID(Table1[[#This Row],[Model]],FIND("-",Table1[[#This Row],[Model]])+1,3),1)="+","+",""))</f>
        <v>XR</v>
      </c>
      <c r="AE46"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46" s="64" t="str">
        <f>IF(ISNUMBER(SEARCH("(K)",Table1[[#This Row],[Model]])),"(K)","")</f>
        <v/>
      </c>
      <c r="AG46" s="64" t="str">
        <f>IF(ISNUMBER(SEARCH("(BR)",Table1[[#This Row],[Model]])),"(BR)","")</f>
        <v>(BR)</v>
      </c>
      <c r="AH46" s="32" t="s">
        <v>103</v>
      </c>
      <c r="AI46" s="32" t="s">
        <v>163</v>
      </c>
      <c r="AJ46" s="32"/>
      <c r="AK46" s="32"/>
      <c r="AL46" s="32" t="s">
        <v>259</v>
      </c>
      <c r="AM46" s="64" t="str">
        <f>SUBSTITUTE(INDEX('[2]M1 App'!$A$2:$R$349,MATCH(VALUE(LEFT(Table1[[#This Row],[Old Assy '#]],4)),'[2]M1 App'!$B$2:$B$349,0),MATCH(Table1[[#Headers],[App Interval Type]],'[2]M1 App'!$A$1:$R$1,0))," ","")</f>
        <v>Lateral</v>
      </c>
      <c r="AN46" s="64" t="s">
        <v>108</v>
      </c>
      <c r="AO46" s="65"/>
      <c r="AP46" s="66"/>
      <c r="AQ46" s="67">
        <f>VALUE(SUBSTITUTE(INDEX('[2]M1 App'!$A$2:$R$349,MATCH(VALUE(LEFT(Table1[[#This Row],[Old Assy '#]],4)),'[2]M1 App'!$B$2:$B$349,0),MATCH(Table1[[#Headers],[App Six Three]],'[2]M1 App'!$A$1:$R$1,0))," ",""))</f>
        <v>0</v>
      </c>
      <c r="AR46" s="68" t="s">
        <v>284</v>
      </c>
      <c r="AS46" s="32">
        <v>15432</v>
      </c>
      <c r="AT46" s="32">
        <v>6.5620000000000003</v>
      </c>
      <c r="AU46" s="69">
        <f>IF(ISNUMBER(Table1[[#This Row],[Above gauge Ø]]),((Table1[[#This Row],[Size]]-Table1[[#This Row],[Above gauge Ø]])/2)-0.05,"")</f>
        <v>4.3999999999999859E-2</v>
      </c>
      <c r="AV46" s="70">
        <v>0.33</v>
      </c>
      <c r="AW46" s="32" t="s">
        <v>111</v>
      </c>
      <c r="AX46" s="32">
        <v>6.6879999999999997</v>
      </c>
      <c r="AY46" s="32" t="s">
        <v>541</v>
      </c>
      <c r="AZ46" s="32">
        <v>10</v>
      </c>
      <c r="BA46" s="32"/>
      <c r="BB46" s="82">
        <v>190</v>
      </c>
      <c r="BC46" s="82">
        <v>180</v>
      </c>
      <c r="BD46" s="82"/>
      <c r="BE46" s="82"/>
      <c r="BF46" s="32">
        <v>12.5</v>
      </c>
      <c r="BG46" s="32">
        <v>12.5</v>
      </c>
      <c r="BH46" s="32" t="s">
        <v>621</v>
      </c>
      <c r="BI46" s="32">
        <v>35</v>
      </c>
      <c r="BJ46" s="109" t="e">
        <f>CONCATENATE("► M1 Notes: ",#REF!," •-----► CL-SKF Notes: ",#REF!," •-----► DS Notes: ",#REF!)</f>
        <v>#REF!</v>
      </c>
      <c r="BK46" s="108" t="s">
        <v>574</v>
      </c>
      <c r="BL46" s="32">
        <v>5</v>
      </c>
      <c r="BM46" s="32" t="s">
        <v>115</v>
      </c>
      <c r="BN46" s="83">
        <v>45.941000000000003</v>
      </c>
      <c r="BO46" s="31">
        <v>9.64</v>
      </c>
      <c r="BP46" s="32" t="s">
        <v>116</v>
      </c>
      <c r="BQ46" s="32" t="s">
        <v>101</v>
      </c>
      <c r="BR46" s="32" t="s">
        <v>116</v>
      </c>
      <c r="BS46" s="32">
        <v>55</v>
      </c>
      <c r="BT46" s="32" t="s">
        <v>117</v>
      </c>
      <c r="BU46" s="32">
        <v>5</v>
      </c>
      <c r="BV46" s="32" t="s">
        <v>117</v>
      </c>
      <c r="BW46" s="103">
        <v>0.98</v>
      </c>
    </row>
    <row r="47" spans="2:75" x14ac:dyDescent="0.25">
      <c r="B47" s="1">
        <v>2119</v>
      </c>
      <c r="C47" s="2"/>
      <c r="D47" s="146" t="s">
        <v>93</v>
      </c>
      <c r="E47" s="75" t="s">
        <v>93</v>
      </c>
      <c r="F47" s="75" t="s">
        <v>93</v>
      </c>
      <c r="G47" s="55" t="s">
        <v>632</v>
      </c>
      <c r="H47" s="55" t="s">
        <v>633</v>
      </c>
      <c r="I47" s="55" t="s">
        <v>634</v>
      </c>
      <c r="J47" s="55" t="s">
        <v>635</v>
      </c>
      <c r="K47" s="55" t="s">
        <v>636</v>
      </c>
      <c r="L47" s="55" t="s">
        <v>637</v>
      </c>
      <c r="M47" s="55" t="s">
        <v>638</v>
      </c>
      <c r="N47" s="55" t="s">
        <v>639</v>
      </c>
      <c r="O47" s="55" t="s">
        <v>640</v>
      </c>
      <c r="P47" s="53" t="s">
        <v>93</v>
      </c>
      <c r="Q47" s="53" t="s">
        <v>93</v>
      </c>
      <c r="R47" s="76">
        <f>COUNTIFS([1]Fleet!$E:$E,Table1[[#This Row],[Old Assy '#]])+COUNTIFS([1]OnDeck!$E:$E,Table1[[#This Row],[Old Assy '#]])</f>
        <v>3</v>
      </c>
      <c r="S47" s="77">
        <v>42326</v>
      </c>
      <c r="T47" s="78"/>
      <c r="U47" s="78"/>
      <c r="V47" s="78"/>
      <c r="W47" s="56" t="str">
        <f>IF(AND(Table1[[#This Row],[Phase Out]]="Y",Table1[[#This Row],[Zero Inventory]]="Y"),"Y","")</f>
        <v/>
      </c>
      <c r="X47" s="79">
        <v>12.25</v>
      </c>
      <c r="Y47" s="63" t="s">
        <v>641</v>
      </c>
      <c r="Z47" s="59" t="str">
        <f>IF(LEFT(Table1[[#This Row],[Model]],2)="NX","NX",IF(LEFT(Table1[[#This Row],[Model]],2)="CR","CR",""))</f>
        <v>CR</v>
      </c>
      <c r="AA47" s="59" t="str">
        <f>LEFT(SUBSTITUTE(SUBSTITUTE(Table1[[#This Row],[Model]],"NX",""),"CR",""),1)</f>
        <v>6</v>
      </c>
      <c r="AB47" s="59" t="str">
        <f>MID(SUBSTITUTE(SUBSTITUTE(Table1[[#This Row],[Model]],"NX",""),"CR",""),2,2)</f>
        <v>14</v>
      </c>
      <c r="AC47" s="64" t="str">
        <f>IF(ISNUMBER(FIND("M",Table1[[#This Row],[Model]])),"M","")</f>
        <v/>
      </c>
      <c r="AD47" s="64" t="str">
        <f>CONCATENATE(MID(Table1[[#This Row],[Model]],FIND("-",Table1[[#This Row],[Model]])+1,2),IF(RIGHT(MID(Table1[[#This Row],[Model]],FIND("-",Table1[[#This Row],[Model]])+1,3),1)="+","+",""))</f>
        <v>SR+</v>
      </c>
      <c r="AE47"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47" s="64" t="str">
        <f>IF(ISNUMBER(SEARCH("(K)",Table1[[#This Row],[Model]])),"(K)","")</f>
        <v>(K)</v>
      </c>
      <c r="AG47" s="64" t="str">
        <f>IF(ISNUMBER(SEARCH("(BR)",Table1[[#This Row],[Model]])),"(BR)","")</f>
        <v/>
      </c>
      <c r="AH47" s="32" t="s">
        <v>103</v>
      </c>
      <c r="AI47" s="32" t="s">
        <v>126</v>
      </c>
      <c r="AJ47" s="114" t="s">
        <v>452</v>
      </c>
      <c r="AK47" s="32"/>
      <c r="AL47" s="32" t="s">
        <v>106</v>
      </c>
      <c r="AM47" s="63" t="s">
        <v>107</v>
      </c>
      <c r="AN47" s="64" t="s">
        <v>127</v>
      </c>
      <c r="AO47" s="65"/>
      <c r="AP47" s="66"/>
      <c r="AQ47" s="67">
        <f>VALUE(SUBSTITUTE(INDEX('[2]M1 App'!$A$2:$R$349,MATCH(VALUE(LEFT(Table1[[#This Row],[Old Assy '#]],4)),'[2]M1 App'!$B$2:$B$349,0),MATCH(Table1[[#Headers],[App Six Three]],'[2]M1 App'!$A$1:$R$1,0))," ",""))</f>
        <v>0</v>
      </c>
      <c r="AR47" s="68" t="s">
        <v>284</v>
      </c>
      <c r="AS47" s="32">
        <v>165432</v>
      </c>
      <c r="AT47" s="102">
        <v>11.875</v>
      </c>
      <c r="AU47" s="69">
        <f>IF(ISNUMBER(Table1[[#This Row],[Above gauge Ø]]),((Table1[[#This Row],[Size]]-Table1[[#This Row],[Above gauge Ø]])/2)-0.05,"")</f>
        <v>0.13750000000000001</v>
      </c>
      <c r="AV47" s="70">
        <v>0.33</v>
      </c>
      <c r="AW47" s="32" t="s">
        <v>111</v>
      </c>
      <c r="AX47" s="32">
        <v>12.1875</v>
      </c>
      <c r="AY47" s="32" t="s">
        <v>140</v>
      </c>
      <c r="AZ47" s="32">
        <v>15</v>
      </c>
      <c r="BA47" s="32"/>
      <c r="BB47" s="82">
        <v>60</v>
      </c>
      <c r="BC47" s="82">
        <v>30</v>
      </c>
      <c r="BD47" s="82">
        <v>140</v>
      </c>
      <c r="BE47" s="82">
        <v>50</v>
      </c>
      <c r="BF47" s="32">
        <v>15</v>
      </c>
      <c r="BG47" s="32">
        <v>15</v>
      </c>
      <c r="BH47" s="32" t="s">
        <v>322</v>
      </c>
      <c r="BI47" s="32">
        <v>35</v>
      </c>
      <c r="BJ47" s="109" t="e">
        <f>CONCATENATE("► M1 Notes: ",#REF!," •-----► CL-SKF Notes: ",#REF!," •-----► DS Notes: ",#REF!)</f>
        <v>#REF!</v>
      </c>
      <c r="BK47" s="109" t="s">
        <v>610</v>
      </c>
      <c r="BL47" s="32">
        <v>3</v>
      </c>
      <c r="BM47" s="32" t="s">
        <v>115</v>
      </c>
      <c r="BN47" s="83">
        <v>48.9</v>
      </c>
      <c r="BO47" s="31">
        <v>32.31</v>
      </c>
      <c r="BP47" s="32" t="s">
        <v>116</v>
      </c>
      <c r="BQ47" s="32" t="s">
        <v>101</v>
      </c>
      <c r="BR47" s="32" t="s">
        <v>116</v>
      </c>
      <c r="BS47" s="32">
        <v>60</v>
      </c>
      <c r="BT47" s="32" t="s">
        <v>117</v>
      </c>
      <c r="BU47" s="32">
        <v>9</v>
      </c>
      <c r="BV47" s="32" t="s">
        <v>117</v>
      </c>
      <c r="BW47" s="103">
        <v>3.34</v>
      </c>
    </row>
    <row r="48" spans="2:75" x14ac:dyDescent="0.25">
      <c r="B48" s="1">
        <v>2120</v>
      </c>
      <c r="C48" s="2"/>
      <c r="D48" s="147" t="s">
        <v>642</v>
      </c>
      <c r="E48" s="75" t="s">
        <v>93</v>
      </c>
      <c r="F48" s="75" t="s">
        <v>93</v>
      </c>
      <c r="G48" s="55" t="s">
        <v>643</v>
      </c>
      <c r="H48" s="55" t="s">
        <v>644</v>
      </c>
      <c r="I48" s="55" t="s">
        <v>645</v>
      </c>
      <c r="J48" s="55" t="s">
        <v>646</v>
      </c>
      <c r="K48" s="55" t="s">
        <v>647</v>
      </c>
      <c r="L48" s="55" t="s">
        <v>648</v>
      </c>
      <c r="M48" s="55" t="s">
        <v>649</v>
      </c>
      <c r="N48" s="55" t="s">
        <v>650</v>
      </c>
      <c r="O48" s="55" t="s">
        <v>651</v>
      </c>
      <c r="P48" s="53" t="s">
        <v>93</v>
      </c>
      <c r="Q48" s="53" t="s">
        <v>93</v>
      </c>
      <c r="R48" s="76">
        <f>COUNTIFS([1]Fleet!$E:$E,Table1[[#This Row],[Old Assy '#]])+COUNTIFS([1]OnDeck!$E:$E,Table1[[#This Row],[Old Assy '#]])</f>
        <v>1</v>
      </c>
      <c r="S48" s="77">
        <v>42332</v>
      </c>
      <c r="T48" s="78"/>
      <c r="U48" s="78"/>
      <c r="V48" s="78"/>
      <c r="W48" s="56" t="str">
        <f>IF(AND(Table1[[#This Row],[Phase Out]]="Y",Table1[[#This Row],[Zero Inventory]]="Y"),"Y","")</f>
        <v/>
      </c>
      <c r="X48" s="110">
        <v>8.75</v>
      </c>
      <c r="Y48" s="111" t="s">
        <v>652</v>
      </c>
      <c r="Z48" s="59" t="str">
        <f>IF(LEFT(Table1[[#This Row],[Model]],2)="NX","NX",IF(LEFT(Table1[[#This Row],[Model]],2)="CR","CR",""))</f>
        <v>CR</v>
      </c>
      <c r="AA48" s="59" t="str">
        <f>LEFT(SUBSTITUTE(SUBSTITUTE(Table1[[#This Row],[Model]],"NX",""),"CR",""),1)</f>
        <v>5</v>
      </c>
      <c r="AB48" s="59" t="str">
        <f>MID(SUBSTITUTE(SUBSTITUTE(Table1[[#This Row],[Model]],"NX",""),"CR",""),2,2)</f>
        <v>17</v>
      </c>
      <c r="AC48" s="64" t="str">
        <f>IF(ISNUMBER(FIND("M",Table1[[#This Row],[Model]])),"M","")</f>
        <v/>
      </c>
      <c r="AD48" s="64" t="str">
        <f>CONCATENATE(MID(Table1[[#This Row],[Model]],FIND("-",Table1[[#This Row],[Model]])+1,2),IF(RIGHT(MID(Table1[[#This Row],[Model]],FIND("-",Table1[[#This Row],[Model]])+1,3),1)="+","+",""))</f>
        <v>SR</v>
      </c>
      <c r="AE48"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48" s="64" t="str">
        <f>IF(ISNUMBER(SEARCH("(K)",Table1[[#This Row],[Model]])),"(K)","")</f>
        <v>(K)</v>
      </c>
      <c r="AG48" s="64" t="str">
        <f>IF(ISNUMBER(SEARCH("(BR)",Table1[[#This Row],[Model]])),"(BR)","")</f>
        <v>(BR)</v>
      </c>
      <c r="AH48" s="32" t="s">
        <v>103</v>
      </c>
      <c r="AI48" s="32" t="s">
        <v>104</v>
      </c>
      <c r="AJ48" s="114" t="s">
        <v>452</v>
      </c>
      <c r="AK48" s="32"/>
      <c r="AL48" s="32" t="s">
        <v>259</v>
      </c>
      <c r="AM48" s="63" t="s">
        <v>653</v>
      </c>
      <c r="AN48" s="64" t="s">
        <v>108</v>
      </c>
      <c r="AO48" s="65"/>
      <c r="AP48" s="66"/>
      <c r="AQ48" s="67">
        <f>VALUE(SUBSTITUTE(INDEX('[2]M1 App'!$A$2:$R$349,MATCH(VALUE(LEFT(Table1[[#This Row],[Old Assy '#]],4)),'[2]M1 App'!$B$2:$B$349,0),MATCH(Table1[[#Headers],[App Six Three]],'[2]M1 App'!$A$1:$R$1,0))," ",""))</f>
        <v>0</v>
      </c>
      <c r="AR48" s="68" t="s">
        <v>284</v>
      </c>
      <c r="AS48" s="32">
        <v>15432</v>
      </c>
      <c r="AT48" s="102">
        <v>8.5</v>
      </c>
      <c r="AU48" s="69">
        <f>IF(ISNUMBER(Table1[[#This Row],[Above gauge Ø]]),((Table1[[#This Row],[Size]]-Table1[[#This Row],[Above gauge Ø]])/2)-0.05,"")</f>
        <v>7.4999999999999997E-2</v>
      </c>
      <c r="AV48" s="70">
        <v>0.33</v>
      </c>
      <c r="AW48" s="32" t="s">
        <v>111</v>
      </c>
      <c r="AX48" s="32">
        <v>8.6880000000000006</v>
      </c>
      <c r="AY48" s="32" t="s">
        <v>654</v>
      </c>
      <c r="AZ48" s="32">
        <v>12.5</v>
      </c>
      <c r="BA48" s="32"/>
      <c r="BB48" s="82"/>
      <c r="BC48" s="82"/>
      <c r="BD48" s="82">
        <v>110</v>
      </c>
      <c r="BE48" s="82">
        <v>0</v>
      </c>
      <c r="BF48" s="32">
        <v>15</v>
      </c>
      <c r="BG48" s="32">
        <v>15</v>
      </c>
      <c r="BH48" s="32" t="s">
        <v>322</v>
      </c>
      <c r="BI48" s="32">
        <v>35</v>
      </c>
      <c r="BJ48" s="109" t="e">
        <f>CONCATENATE("► M1 Notes: ",#REF!," •-----► CL-SKF Notes: ",#REF!," •-----► DS Notes: ",#REF!)</f>
        <v>#REF!</v>
      </c>
      <c r="BK48" s="109" t="s">
        <v>655</v>
      </c>
      <c r="BL48" s="32">
        <v>2</v>
      </c>
      <c r="BM48" s="32" t="s">
        <v>115</v>
      </c>
      <c r="BN48" s="83">
        <v>22.765999999999998</v>
      </c>
      <c r="BO48" s="31">
        <v>17.350000000000001</v>
      </c>
      <c r="BP48" s="32" t="s">
        <v>116</v>
      </c>
      <c r="BQ48" s="32" t="s">
        <v>101</v>
      </c>
      <c r="BR48" s="32" t="s">
        <v>116</v>
      </c>
      <c r="BS48" s="32">
        <v>60</v>
      </c>
      <c r="BT48" s="32" t="s">
        <v>117</v>
      </c>
      <c r="BU48" s="32">
        <v>7</v>
      </c>
      <c r="BV48" s="32" t="s">
        <v>117</v>
      </c>
      <c r="BW48" s="103">
        <v>2.6</v>
      </c>
    </row>
    <row r="49" spans="2:75" x14ac:dyDescent="0.25">
      <c r="B49" s="1">
        <v>2121</v>
      </c>
      <c r="C49" s="2"/>
      <c r="D49" s="146" t="s">
        <v>93</v>
      </c>
      <c r="E49" s="75" t="s">
        <v>93</v>
      </c>
      <c r="F49" s="75" t="s">
        <v>93</v>
      </c>
      <c r="G49" s="55" t="s">
        <v>656</v>
      </c>
      <c r="H49" s="55" t="s">
        <v>657</v>
      </c>
      <c r="I49" s="55" t="s">
        <v>658</v>
      </c>
      <c r="J49" s="55" t="s">
        <v>659</v>
      </c>
      <c r="K49" s="55" t="s">
        <v>660</v>
      </c>
      <c r="L49" s="55" t="s">
        <v>661</v>
      </c>
      <c r="M49" s="55" t="s">
        <v>662</v>
      </c>
      <c r="N49" s="55" t="s">
        <v>663</v>
      </c>
      <c r="O49" s="55" t="s">
        <v>664</v>
      </c>
      <c r="P49" s="53" t="s">
        <v>93</v>
      </c>
      <c r="Q49" s="53" t="s">
        <v>93</v>
      </c>
      <c r="R49" s="76">
        <f>COUNTIFS([1]Fleet!$E:$E,Table1[[#This Row],[Old Assy '#]])+COUNTIFS([1]OnDeck!$E:$E,Table1[[#This Row],[Old Assy '#]])</f>
        <v>1</v>
      </c>
      <c r="S49" s="77">
        <v>42339</v>
      </c>
      <c r="T49" s="78" t="s">
        <v>101</v>
      </c>
      <c r="U49" s="78" t="s">
        <v>101</v>
      </c>
      <c r="V49" s="78" t="s">
        <v>101</v>
      </c>
      <c r="W49" s="56" t="str">
        <f>IF(AND(Table1[[#This Row],[Phase Out]]="Y",Table1[[#This Row],[Zero Inventory]]="Y"),"Y","")</f>
        <v>Y</v>
      </c>
      <c r="X49" s="79">
        <v>9.875</v>
      </c>
      <c r="Y49" s="63" t="s">
        <v>620</v>
      </c>
      <c r="Z49" s="59" t="str">
        <f>IF(LEFT(Table1[[#This Row],[Model]],2)="NX","NX",IF(LEFT(Table1[[#This Row],[Model]],2)="CR","CR",""))</f>
        <v>CR</v>
      </c>
      <c r="AA49" s="59" t="str">
        <f>LEFT(SUBSTITUTE(SUBSTITUTE(Table1[[#This Row],[Model]],"NX",""),"CR",""),1)</f>
        <v>5</v>
      </c>
      <c r="AB49" s="59" t="str">
        <f>MID(SUBSTITUTE(SUBSTITUTE(Table1[[#This Row],[Model]],"NX",""),"CR",""),2,2)</f>
        <v>16</v>
      </c>
      <c r="AC49" s="64" t="str">
        <f>IF(ISNUMBER(FIND("M",Table1[[#This Row],[Model]])),"M","")</f>
        <v/>
      </c>
      <c r="AD49" s="64" t="str">
        <f>CONCATENATE(MID(Table1[[#This Row],[Model]],FIND("-",Table1[[#This Row],[Model]])+1,2),IF(RIGHT(MID(Table1[[#This Row],[Model]],FIND("-",Table1[[#This Row],[Model]])+1,3),1)="+","+",""))</f>
        <v>XR</v>
      </c>
      <c r="AE4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49" s="64" t="str">
        <f>IF(ISNUMBER(SEARCH("(K)",Table1[[#This Row],[Model]])),"(K)","")</f>
        <v/>
      </c>
      <c r="AG49" s="64" t="str">
        <f>IF(ISNUMBER(SEARCH("(BR)",Table1[[#This Row],[Model]])),"(BR)","")</f>
        <v>(BR)</v>
      </c>
      <c r="AH49" s="32" t="s">
        <v>103</v>
      </c>
      <c r="AI49" s="32" t="s">
        <v>126</v>
      </c>
      <c r="AJ49" s="32"/>
      <c r="AK49" s="115" t="s">
        <v>516</v>
      </c>
      <c r="AL49" s="32" t="s">
        <v>182</v>
      </c>
      <c r="AM49" s="63" t="s">
        <v>107</v>
      </c>
      <c r="AN49" s="64" t="s">
        <v>127</v>
      </c>
      <c r="AO49" s="64"/>
      <c r="AP49" s="66"/>
      <c r="AQ49" s="67">
        <f>VALUE(SUBSTITUTE(INDEX('[2]M1 App'!$A$2:$R$349,MATCH(VALUE(LEFT(Table1[[#This Row],[Old Assy '#]],4)),'[2]M1 App'!$B$2:$B$349,0),MATCH(Table1[[#Headers],[App Six Three]],'[2]M1 App'!$A$1:$R$1,0))," ",""))</f>
        <v>0</v>
      </c>
      <c r="AR49" s="68" t="s">
        <v>284</v>
      </c>
      <c r="AS49" s="32">
        <v>15432</v>
      </c>
      <c r="AT49" s="32">
        <v>9.625</v>
      </c>
      <c r="AU49" s="69">
        <f>IF(ISNUMBER(Table1[[#This Row],[Above gauge Ø]]),((Table1[[#This Row],[Size]]-Table1[[#This Row],[Above gauge Ø]])/2)-0.05,"")</f>
        <v>7.4999999999999997E-2</v>
      </c>
      <c r="AV49" s="70">
        <v>0.33</v>
      </c>
      <c r="AW49" s="32" t="s">
        <v>111</v>
      </c>
      <c r="AX49" s="32">
        <v>9.8119999999999994</v>
      </c>
      <c r="AY49" s="32" t="s">
        <v>232</v>
      </c>
      <c r="AZ49" s="32">
        <v>15</v>
      </c>
      <c r="BA49" s="32"/>
      <c r="BB49" s="82">
        <v>70</v>
      </c>
      <c r="BC49" s="82">
        <v>50</v>
      </c>
      <c r="BD49" s="82"/>
      <c r="BE49" s="82"/>
      <c r="BF49" s="32">
        <v>15</v>
      </c>
      <c r="BG49" s="32" t="s">
        <v>665</v>
      </c>
      <c r="BH49" s="32" t="s">
        <v>666</v>
      </c>
      <c r="BI49" s="32">
        <v>30</v>
      </c>
      <c r="BJ49" s="108" t="e">
        <f>CONCATENATE("► M1 Notes: ",#REF!," •-----► CL-SKF Notes: ",#REF!," •-----► DS Notes: ",#REF!)</f>
        <v>#REF!</v>
      </c>
      <c r="BK49" s="108" t="s">
        <v>655</v>
      </c>
      <c r="BL49" s="32">
        <v>3</v>
      </c>
      <c r="BM49" s="32" t="s">
        <v>115</v>
      </c>
      <c r="BN49" s="83">
        <v>31.966999999999999</v>
      </c>
      <c r="BO49" s="31">
        <v>20.69</v>
      </c>
      <c r="BP49" s="32" t="s">
        <v>116</v>
      </c>
      <c r="BQ49" s="32" t="s">
        <v>101</v>
      </c>
      <c r="BR49" s="32" t="s">
        <v>116</v>
      </c>
      <c r="BS49" s="32">
        <v>60</v>
      </c>
      <c r="BT49" s="32" t="s">
        <v>117</v>
      </c>
      <c r="BU49" s="32">
        <v>5</v>
      </c>
      <c r="BV49" s="32" t="s">
        <v>117</v>
      </c>
      <c r="BW49" s="103">
        <v>1.86</v>
      </c>
    </row>
    <row r="50" spans="2:75" x14ac:dyDescent="0.25">
      <c r="B50" s="1">
        <v>2122</v>
      </c>
      <c r="C50" s="2"/>
      <c r="D50" s="146" t="s">
        <v>93</v>
      </c>
      <c r="E50" s="55" t="s">
        <v>667</v>
      </c>
      <c r="F50" s="55" t="s">
        <v>668</v>
      </c>
      <c r="G50" s="55" t="s">
        <v>669</v>
      </c>
      <c r="H50" s="55" t="s">
        <v>670</v>
      </c>
      <c r="I50" s="55" t="s">
        <v>671</v>
      </c>
      <c r="J50" s="55" t="s">
        <v>672</v>
      </c>
      <c r="K50" s="55" t="s">
        <v>673</v>
      </c>
      <c r="L50" s="55" t="s">
        <v>674</v>
      </c>
      <c r="M50" s="55" t="s">
        <v>675</v>
      </c>
      <c r="N50" s="55" t="s">
        <v>676</v>
      </c>
      <c r="O50" s="55" t="s">
        <v>677</v>
      </c>
      <c r="P50" s="53" t="s">
        <v>93</v>
      </c>
      <c r="Q50" s="53" t="s">
        <v>93</v>
      </c>
      <c r="R50" s="76">
        <f>COUNTIFS([1]Fleet!$E:$E,Table1[[#This Row],[Old Assy '#]])+COUNTIFS([1]OnDeck!$E:$E,Table1[[#This Row],[Old Assy '#]])</f>
        <v>1</v>
      </c>
      <c r="S50" s="77">
        <v>42346</v>
      </c>
      <c r="T50" s="78"/>
      <c r="U50" s="78"/>
      <c r="V50" s="78"/>
      <c r="W50" s="56" t="str">
        <f>IF(AND(Table1[[#This Row],[Phase Out]]="Y",Table1[[#This Row],[Zero Inventory]]="Y"),"Y","")</f>
        <v/>
      </c>
      <c r="X50" s="79">
        <v>12.25</v>
      </c>
      <c r="Y50" s="63" t="s">
        <v>678</v>
      </c>
      <c r="Z50" s="59" t="str">
        <f>IF(LEFT(Table1[[#This Row],[Model]],2)="NX","NX",IF(LEFT(Table1[[#This Row],[Model]],2)="CR","CR",""))</f>
        <v>CR</v>
      </c>
      <c r="AA50" s="59" t="str">
        <f>LEFT(SUBSTITUTE(SUBSTITUTE(Table1[[#This Row],[Model]],"NX",""),"CR",""),1)</f>
        <v>7</v>
      </c>
      <c r="AB50" s="59" t="str">
        <f>MID(SUBSTITUTE(SUBSTITUTE(Table1[[#This Row],[Model]],"NX",""),"CR",""),2,2)</f>
        <v>13</v>
      </c>
      <c r="AC50" s="64" t="str">
        <f>IF(ISNUMBER(FIND("M",Table1[[#This Row],[Model]])),"M","")</f>
        <v/>
      </c>
      <c r="AD50" s="64" t="str">
        <f>CONCATENATE(MID(Table1[[#This Row],[Model]],FIND("-",Table1[[#This Row],[Model]])+1,2),IF(RIGHT(MID(Table1[[#This Row],[Model]],FIND("-",Table1[[#This Row],[Model]])+1,3),1)="+","+",""))</f>
        <v>SR</v>
      </c>
      <c r="AE50"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50" s="64" t="str">
        <f>IF(ISNUMBER(SEARCH("(K)",Table1[[#This Row],[Model]])),"(K)","")</f>
        <v>(K)</v>
      </c>
      <c r="AG50" s="64" t="str">
        <f>IF(ISNUMBER(SEARCH("(BR)",Table1[[#This Row],[Model]])),"(BR)","")</f>
        <v/>
      </c>
      <c r="AH50" s="32" t="s">
        <v>103</v>
      </c>
      <c r="AI50" s="32" t="s">
        <v>126</v>
      </c>
      <c r="AJ50" s="114" t="s">
        <v>679</v>
      </c>
      <c r="AK50" s="32"/>
      <c r="AL50" s="32" t="s">
        <v>106</v>
      </c>
      <c r="AM50" s="64" t="str">
        <f>SUBSTITUTE(INDEX('[2]M1 App'!$A$2:$R$349,MATCH(VALUE(LEFT(Table1[[#This Row],[Old Assy '#]],4)),'[2]M1 App'!$B$2:$B$349,0),MATCH(Table1[[#Headers],[App Interval Type]],'[2]M1 App'!$A$1:$R$1,0))," ","")</f>
        <v>Vertical</v>
      </c>
      <c r="AN50" s="64" t="s">
        <v>127</v>
      </c>
      <c r="AO50" s="65"/>
      <c r="AP50" s="66"/>
      <c r="AQ50" s="67">
        <f>VALUE(SUBSTITUTE(INDEX('[2]M1 App'!$A$2:$R$349,MATCH(VALUE(LEFT(Table1[[#This Row],[Old Assy '#]],4)),'[2]M1 App'!$B$2:$B$349,0),MATCH(Table1[[#Headers],[App Six Three]],'[2]M1 App'!$A$1:$R$1,0))," ",""))</f>
        <v>0</v>
      </c>
      <c r="AR50" s="68" t="s">
        <v>284</v>
      </c>
      <c r="AS50" s="32">
        <v>1765432</v>
      </c>
      <c r="AT50" s="102">
        <v>11.875</v>
      </c>
      <c r="AU50" s="69">
        <f>IF(ISNUMBER(Table1[[#This Row],[Above gauge Ø]]),((Table1[[#This Row],[Size]]-Table1[[#This Row],[Above gauge Ø]])/2)-0.05,"")</f>
        <v>0.13750000000000001</v>
      </c>
      <c r="AV50" s="70">
        <v>0.33</v>
      </c>
      <c r="AW50" s="32" t="s">
        <v>111</v>
      </c>
      <c r="AX50" s="32">
        <v>12.1875</v>
      </c>
      <c r="AY50" s="32" t="s">
        <v>140</v>
      </c>
      <c r="AZ50" s="32">
        <v>15</v>
      </c>
      <c r="BA50" s="32"/>
      <c r="BB50" s="82"/>
      <c r="BC50" s="82"/>
      <c r="BD50" s="82">
        <v>0</v>
      </c>
      <c r="BE50" s="82">
        <v>0</v>
      </c>
      <c r="BF50" s="32">
        <v>12.5</v>
      </c>
      <c r="BG50" s="32">
        <v>12.5</v>
      </c>
      <c r="BH50" s="32" t="s">
        <v>114</v>
      </c>
      <c r="BI50" s="32">
        <v>30</v>
      </c>
      <c r="BJ50" s="108" t="e">
        <f>CONCATENATE("► M1 Notes: ",#REF!," •-----► CL-SKF Notes: ",#REF!," •-----► DS Notes: ",#REF!)</f>
        <v>#REF!</v>
      </c>
      <c r="BK50" s="108" t="s">
        <v>680</v>
      </c>
      <c r="BL50" s="32">
        <v>3</v>
      </c>
      <c r="BM50" s="32" t="s">
        <v>115</v>
      </c>
      <c r="BN50" s="83">
        <v>37.113999999999997</v>
      </c>
      <c r="BO50" s="31">
        <v>32.92</v>
      </c>
      <c r="BP50" s="32" t="s">
        <v>116</v>
      </c>
      <c r="BQ50" s="32" t="s">
        <v>101</v>
      </c>
      <c r="BR50" s="32" t="s">
        <v>116</v>
      </c>
      <c r="BS50" s="32">
        <v>60</v>
      </c>
      <c r="BT50" s="32" t="s">
        <v>117</v>
      </c>
      <c r="BU50" s="32">
        <v>7</v>
      </c>
      <c r="BV50" s="32" t="s">
        <v>117</v>
      </c>
      <c r="BW50" s="103">
        <v>2.6</v>
      </c>
    </row>
    <row r="51" spans="2:75" x14ac:dyDescent="0.25">
      <c r="B51" s="1">
        <v>2124</v>
      </c>
      <c r="C51" s="2"/>
      <c r="D51" s="146" t="s">
        <v>93</v>
      </c>
      <c r="E51" s="75" t="s">
        <v>93</v>
      </c>
      <c r="F51" s="75" t="s">
        <v>93</v>
      </c>
      <c r="G51" s="55" t="s">
        <v>681</v>
      </c>
      <c r="H51" s="55" t="s">
        <v>682</v>
      </c>
      <c r="I51" s="55" t="s">
        <v>683</v>
      </c>
      <c r="J51" s="55" t="s">
        <v>684</v>
      </c>
      <c r="K51" s="55" t="s">
        <v>685</v>
      </c>
      <c r="L51" s="55" t="s">
        <v>686</v>
      </c>
      <c r="M51" s="55" t="s">
        <v>687</v>
      </c>
      <c r="N51" s="55" t="s">
        <v>688</v>
      </c>
      <c r="O51" s="55" t="s">
        <v>689</v>
      </c>
      <c r="P51" s="53" t="s">
        <v>93</v>
      </c>
      <c r="Q51" s="53" t="s">
        <v>93</v>
      </c>
      <c r="R51" s="76">
        <f>COUNTIFS([1]Fleet!$E:$E,Table1[[#This Row],[Old Assy '#]])+COUNTIFS([1]OnDeck!$E:$E,Table1[[#This Row],[Old Assy '#]])</f>
        <v>4</v>
      </c>
      <c r="S51" s="77">
        <v>42346</v>
      </c>
      <c r="T51" s="78" t="s">
        <v>101</v>
      </c>
      <c r="U51" s="78" t="s">
        <v>101</v>
      </c>
      <c r="V51" s="78" t="s">
        <v>101</v>
      </c>
      <c r="W51" s="56" t="str">
        <f>IF(AND(Table1[[#This Row],[Phase Out]]="Y",Table1[[#This Row],[Zero Inventory]]="Y"),"Y","")</f>
        <v>Y</v>
      </c>
      <c r="X51" s="79">
        <v>12.25</v>
      </c>
      <c r="Y51" s="63" t="s">
        <v>690</v>
      </c>
      <c r="Z51" s="59" t="str">
        <f>IF(LEFT(Table1[[#This Row],[Model]],2)="NX","NX",IF(LEFT(Table1[[#This Row],[Model]],2)="CR","CR",""))</f>
        <v>CR</v>
      </c>
      <c r="AA51" s="59" t="str">
        <f>LEFT(SUBSTITUTE(SUBSTITUTE(Table1[[#This Row],[Model]],"NX",""),"CR",""),1)</f>
        <v>5</v>
      </c>
      <c r="AB51" s="59" t="str">
        <f>MID(SUBSTITUTE(SUBSTITUTE(Table1[[#This Row],[Model]],"NX",""),"CR",""),2,2)</f>
        <v>16</v>
      </c>
      <c r="AC51" s="64" t="str">
        <f>IF(ISNUMBER(FIND("M",Table1[[#This Row],[Model]])),"M","")</f>
        <v/>
      </c>
      <c r="AD51" s="64" t="str">
        <f>CONCATENATE(MID(Table1[[#This Row],[Model]],FIND("-",Table1[[#This Row],[Model]])+1,2),IF(RIGHT(MID(Table1[[#This Row],[Model]],FIND("-",Table1[[#This Row],[Model]])+1,3),1)="+","+",""))</f>
        <v>XR</v>
      </c>
      <c r="AE5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8</v>
      </c>
      <c r="AF51" s="64" t="str">
        <f>IF(ISNUMBER(SEARCH("(K)",Table1[[#This Row],[Model]])),"(K)","")</f>
        <v>(K)</v>
      </c>
      <c r="AG51" s="64" t="str">
        <f>IF(ISNUMBER(SEARCH("(BR)",Table1[[#This Row],[Model]])),"(BR)","")</f>
        <v>(BR)</v>
      </c>
      <c r="AH51" s="32" t="s">
        <v>103</v>
      </c>
      <c r="AI51" s="32" t="s">
        <v>126</v>
      </c>
      <c r="AJ51" s="114" t="s">
        <v>691</v>
      </c>
      <c r="AK51" s="115" t="s">
        <v>516</v>
      </c>
      <c r="AL51" s="32" t="s">
        <v>182</v>
      </c>
      <c r="AM51" s="64" t="str">
        <f>SUBSTITUTE(INDEX('[2]M1 App'!$A$2:$R$349,MATCH(VALUE(LEFT(Table1[[#This Row],[Old Assy '#]],4)),'[2]M1 App'!$B$2:$B$349,0),MATCH(Table1[[#Headers],[App Interval Type]],'[2]M1 App'!$A$1:$R$1,0))," ","")</f>
        <v>Vertical</v>
      </c>
      <c r="AN51" s="64" t="s">
        <v>127</v>
      </c>
      <c r="AO51" s="64"/>
      <c r="AP51" s="66"/>
      <c r="AQ51" s="67">
        <f>VALUE(SUBSTITUTE(INDEX('[2]M1 App'!$A$2:$R$349,MATCH(VALUE(LEFT(Table1[[#This Row],[Old Assy '#]],4)),'[2]M1 App'!$B$2:$B$349,0),MATCH(Table1[[#Headers],[App Six Three]],'[2]M1 App'!$A$1:$R$1,0))," ",""))</f>
        <v>0</v>
      </c>
      <c r="AR51" s="68" t="s">
        <v>284</v>
      </c>
      <c r="AS51" s="32">
        <v>165432</v>
      </c>
      <c r="AT51" s="102">
        <f>5.9688*2</f>
        <v>11.9376</v>
      </c>
      <c r="AU51" s="69">
        <f>IF(ISNUMBER(Table1[[#This Row],[Above gauge Ø]]),((Table1[[#This Row],[Size]]-Table1[[#This Row],[Above gauge Ø]])/2)-0.05,"")</f>
        <v>0.10620000000000011</v>
      </c>
      <c r="AV51" s="70">
        <v>0.33</v>
      </c>
      <c r="AW51" s="32" t="s">
        <v>111</v>
      </c>
      <c r="AX51" s="32">
        <v>12.1876</v>
      </c>
      <c r="AY51" s="32" t="s">
        <v>692</v>
      </c>
      <c r="AZ51" s="32">
        <v>15</v>
      </c>
      <c r="BA51" s="32"/>
      <c r="BB51" s="82">
        <v>170</v>
      </c>
      <c r="BC51" s="82">
        <v>130</v>
      </c>
      <c r="BD51" s="82">
        <v>320</v>
      </c>
      <c r="BE51" s="82"/>
      <c r="BF51" s="32">
        <v>15</v>
      </c>
      <c r="BG51" s="32">
        <v>15</v>
      </c>
      <c r="BH51" s="32" t="s">
        <v>167</v>
      </c>
      <c r="BI51" s="32">
        <v>40</v>
      </c>
      <c r="BJ51" s="109" t="e">
        <f>CONCATENATE("► M1 Notes: ",#REF!," •-----► CL-SKF Notes: ",#REF!," •-----► DS Notes: ",#REF!)</f>
        <v>#REF!</v>
      </c>
      <c r="BK51" s="109" t="s">
        <v>693</v>
      </c>
      <c r="BL51" s="32">
        <v>6</v>
      </c>
      <c r="BM51" s="32" t="s">
        <v>184</v>
      </c>
      <c r="BN51" s="83">
        <v>74.355999999999995</v>
      </c>
      <c r="BO51" s="31">
        <v>42.33</v>
      </c>
      <c r="BP51" s="32" t="s">
        <v>116</v>
      </c>
      <c r="BQ51" s="32" t="s">
        <v>101</v>
      </c>
      <c r="BR51" s="32" t="s">
        <v>116</v>
      </c>
      <c r="BS51" s="32">
        <v>60</v>
      </c>
      <c r="BT51" s="32" t="s">
        <v>117</v>
      </c>
      <c r="BU51" s="32">
        <v>8</v>
      </c>
      <c r="BV51" s="32" t="s">
        <v>117</v>
      </c>
      <c r="BW51" s="103">
        <v>2.97</v>
      </c>
    </row>
    <row r="52" spans="2:75" x14ac:dyDescent="0.25">
      <c r="B52" s="1">
        <v>2126</v>
      </c>
      <c r="C52" s="2"/>
      <c r="D52" s="146" t="s">
        <v>93</v>
      </c>
      <c r="E52" s="75" t="s">
        <v>93</v>
      </c>
      <c r="F52" s="75" t="s">
        <v>93</v>
      </c>
      <c r="G52" s="55" t="s">
        <v>694</v>
      </c>
      <c r="H52" s="55" t="s">
        <v>695</v>
      </c>
      <c r="I52" s="55" t="s">
        <v>696</v>
      </c>
      <c r="J52" s="55" t="s">
        <v>697</v>
      </c>
      <c r="K52" s="55" t="s">
        <v>698</v>
      </c>
      <c r="L52" s="55" t="s">
        <v>699</v>
      </c>
      <c r="M52" s="55" t="s">
        <v>700</v>
      </c>
      <c r="N52" s="55" t="s">
        <v>701</v>
      </c>
      <c r="O52" s="55" t="s">
        <v>702</v>
      </c>
      <c r="P52" s="53" t="s">
        <v>93</v>
      </c>
      <c r="Q52" s="53" t="s">
        <v>93</v>
      </c>
      <c r="R52" s="76">
        <f>COUNTIFS([1]Fleet!$E:$E,Table1[[#This Row],[Old Assy '#]])+COUNTIFS([1]OnDeck!$E:$E,Table1[[#This Row],[Old Assy '#]])</f>
        <v>1</v>
      </c>
      <c r="S52" s="77">
        <v>42359</v>
      </c>
      <c r="T52" s="78"/>
      <c r="U52" s="78" t="s">
        <v>101</v>
      </c>
      <c r="V52" s="78"/>
      <c r="W52" s="56" t="str">
        <f>IF(AND(Table1[[#This Row],[Phase Out]]="Y",Table1[[#This Row],[Zero Inventory]]="Y"),"Y","")</f>
        <v/>
      </c>
      <c r="X52" s="79">
        <v>6.75</v>
      </c>
      <c r="Y52" s="63" t="s">
        <v>703</v>
      </c>
      <c r="Z52" s="59" t="str">
        <f>IF(LEFT(Table1[[#This Row],[Model]],2)="NX","NX",IF(LEFT(Table1[[#This Row],[Model]],2)="CR","CR",""))</f>
        <v>CR</v>
      </c>
      <c r="AA52" s="59" t="str">
        <f>LEFT(SUBSTITUTE(SUBSTITUTE(Table1[[#This Row],[Model]],"NX",""),"CR",""),1)</f>
        <v>5</v>
      </c>
      <c r="AB52" s="59" t="str">
        <f>MID(SUBSTITUTE(SUBSTITUTE(Table1[[#This Row],[Model]],"NX",""),"CR",""),2,2)</f>
        <v>13</v>
      </c>
      <c r="AC52" s="64" t="str">
        <f>IF(ISNUMBER(FIND("M",Table1[[#This Row],[Model]])),"M","")</f>
        <v/>
      </c>
      <c r="AD52" s="64" t="str">
        <f>CONCATENATE(MID(Table1[[#This Row],[Model]],FIND("-",Table1[[#This Row],[Model]])+1,2),IF(RIGHT(MID(Table1[[#This Row],[Model]],FIND("-",Table1[[#This Row],[Model]])+1,3),1)="+","+",""))</f>
        <v>SR</v>
      </c>
      <c r="AE52"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52" s="64" t="str">
        <f>IF(ISNUMBER(SEARCH("(K)",Table1[[#This Row],[Model]])),"(K)","")</f>
        <v/>
      </c>
      <c r="AG52" s="64" t="str">
        <f>IF(ISNUMBER(SEARCH("(BR)",Table1[[#This Row],[Model]])),"(BR)","")</f>
        <v>(BR)</v>
      </c>
      <c r="AH52" s="32" t="s">
        <v>103</v>
      </c>
      <c r="AI52" s="32" t="s">
        <v>163</v>
      </c>
      <c r="AJ52" s="115" t="s">
        <v>704</v>
      </c>
      <c r="AK52" s="32"/>
      <c r="AL52" s="32" t="s">
        <v>259</v>
      </c>
      <c r="AM52" s="64" t="str">
        <f>SUBSTITUTE(INDEX('[2]M1 App'!$A$2:$R$349,MATCH(VALUE(LEFT(Table1[[#This Row],[Old Assy '#]],4)),'[2]M1 App'!$B$2:$B$349,0),MATCH(Table1[[#Headers],[App Interval Type]],'[2]M1 App'!$A$1:$R$1,0))," ","")</f>
        <v>Lateral</v>
      </c>
      <c r="AN52" s="64" t="s">
        <v>321</v>
      </c>
      <c r="AO52" s="65"/>
      <c r="AP52" s="66"/>
      <c r="AQ52" s="67">
        <f>VALUE(SUBSTITUTE(INDEX('[2]M1 App'!$A$2:$R$349,MATCH(VALUE(LEFT(Table1[[#This Row],[Old Assy '#]],4)),'[2]M1 App'!$B$2:$B$349,0),MATCH(Table1[[#Headers],[App Six Three]],'[2]M1 App'!$A$1:$R$1,0))," ",""))</f>
        <v>0</v>
      </c>
      <c r="AR52" s="68" t="s">
        <v>284</v>
      </c>
      <c r="AS52" s="32">
        <v>15432</v>
      </c>
      <c r="AT52" s="32">
        <v>6.5620000000000003</v>
      </c>
      <c r="AU52" s="69">
        <f>IF(ISNUMBER(Table1[[#This Row],[Above gauge Ø]]),((Table1[[#This Row],[Size]]-Table1[[#This Row],[Above gauge Ø]])/2)-0.05,"")</f>
        <v>4.3999999999999859E-2</v>
      </c>
      <c r="AV52" s="70">
        <v>0.33</v>
      </c>
      <c r="AW52" s="32" t="s">
        <v>111</v>
      </c>
      <c r="AX52" s="32">
        <v>6.6879999999999997</v>
      </c>
      <c r="AY52" s="32" t="s">
        <v>541</v>
      </c>
      <c r="AZ52" s="32">
        <v>12.5</v>
      </c>
      <c r="BA52" s="32"/>
      <c r="BB52" s="82"/>
      <c r="BC52" s="82"/>
      <c r="BD52" s="82"/>
      <c r="BE52" s="82"/>
      <c r="BF52" s="32">
        <v>12.5</v>
      </c>
      <c r="BG52" s="32">
        <v>12.5</v>
      </c>
      <c r="BH52" s="32" t="s">
        <v>621</v>
      </c>
      <c r="BI52" s="32">
        <v>35</v>
      </c>
      <c r="BJ52" s="109" t="e">
        <f>CONCATENATE("► M1 Notes: ",#REF!," •-----► CL-SKF Notes: ",#REF!," •-----► DS Notes: ",#REF!)</f>
        <v>#REF!</v>
      </c>
      <c r="BK52" s="109" t="s">
        <v>517</v>
      </c>
      <c r="BL52" s="32">
        <v>6</v>
      </c>
      <c r="BM52" s="32" t="s">
        <v>115</v>
      </c>
      <c r="BN52" s="83">
        <v>50.911999999999999</v>
      </c>
      <c r="BO52" s="31">
        <v>11.17</v>
      </c>
      <c r="BP52" s="32" t="s">
        <v>116</v>
      </c>
      <c r="BQ52" s="32" t="s">
        <v>101</v>
      </c>
      <c r="BR52" s="32" t="s">
        <v>116</v>
      </c>
      <c r="BS52" s="32">
        <v>55</v>
      </c>
      <c r="BT52" s="32" t="s">
        <v>117</v>
      </c>
      <c r="BU52" s="32">
        <v>5</v>
      </c>
      <c r="BV52" s="32" t="s">
        <v>117</v>
      </c>
      <c r="BW52" s="103">
        <v>0.98</v>
      </c>
    </row>
    <row r="53" spans="2:75" x14ac:dyDescent="0.25">
      <c r="B53" s="1">
        <v>2131</v>
      </c>
      <c r="C53" s="2"/>
      <c r="D53" s="146" t="s">
        <v>93</v>
      </c>
      <c r="E53" s="75" t="s">
        <v>93</v>
      </c>
      <c r="F53" s="55" t="s">
        <v>705</v>
      </c>
      <c r="G53" s="55" t="s">
        <v>706</v>
      </c>
      <c r="H53" s="55" t="s">
        <v>707</v>
      </c>
      <c r="I53" s="55" t="s">
        <v>708</v>
      </c>
      <c r="J53" s="55" t="s">
        <v>709</v>
      </c>
      <c r="K53" s="55" t="s">
        <v>710</v>
      </c>
      <c r="L53" s="55" t="s">
        <v>711</v>
      </c>
      <c r="M53" s="55" t="s">
        <v>712</v>
      </c>
      <c r="N53" s="55" t="s">
        <v>713</v>
      </c>
      <c r="O53" s="55" t="s">
        <v>714</v>
      </c>
      <c r="P53" s="55" t="s">
        <v>715</v>
      </c>
      <c r="Q53" s="53" t="s">
        <v>93</v>
      </c>
      <c r="R53" s="76">
        <f>COUNTIFS([1]Fleet!$E:$E,Table1[[#This Row],[Old Assy '#]])+COUNTIFS([1]OnDeck!$E:$E,Table1[[#This Row],[Old Assy '#]])</f>
        <v>2</v>
      </c>
      <c r="S53" s="77">
        <v>42388</v>
      </c>
      <c r="T53" s="78"/>
      <c r="U53" s="78"/>
      <c r="V53" s="78"/>
      <c r="W53" s="56" t="str">
        <f>IF(AND(Table1[[#This Row],[Phase Out]]="Y",Table1[[#This Row],[Zero Inventory]]="Y"),"Y","")</f>
        <v/>
      </c>
      <c r="X53" s="79">
        <v>7.875</v>
      </c>
      <c r="Y53" s="63" t="s">
        <v>166</v>
      </c>
      <c r="Z53" s="59" t="str">
        <f>IF(LEFT(Table1[[#This Row],[Model]],2)="NX","NX",IF(LEFT(Table1[[#This Row],[Model]],2)="CR","CR",""))</f>
        <v>CR</v>
      </c>
      <c r="AA53" s="59" t="str">
        <f>LEFT(SUBSTITUTE(SUBSTITUTE(Table1[[#This Row],[Model]],"NX",""),"CR",""),1)</f>
        <v>6</v>
      </c>
      <c r="AB53" s="59" t="str">
        <f>MID(SUBSTITUTE(SUBSTITUTE(Table1[[#This Row],[Model]],"NX",""),"CR",""),2,2)</f>
        <v>16</v>
      </c>
      <c r="AC53" s="64" t="str">
        <f>IF(ISNUMBER(FIND("M",Table1[[#This Row],[Model]])),"M","")</f>
        <v/>
      </c>
      <c r="AD53" s="64" t="str">
        <f>CONCATENATE(MID(Table1[[#This Row],[Model]],FIND("-",Table1[[#This Row],[Model]])+1,2),IF(RIGHT(MID(Table1[[#This Row],[Model]],FIND("-",Table1[[#This Row],[Model]])+1,3),1)="+","+",""))</f>
        <v>SR</v>
      </c>
      <c r="AE5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53" s="64" t="str">
        <f>IF(ISNUMBER(SEARCH("(K)",Table1[[#This Row],[Model]])),"(K)","")</f>
        <v/>
      </c>
      <c r="AG53" s="64" t="str">
        <f>IF(ISNUMBER(SEARCH("(BR)",Table1[[#This Row],[Model]])),"(BR)","")</f>
        <v/>
      </c>
      <c r="AH53" s="32" t="s">
        <v>103</v>
      </c>
      <c r="AI53" s="32" t="s">
        <v>104</v>
      </c>
      <c r="AJ53" s="114" t="s">
        <v>452</v>
      </c>
      <c r="AK53" s="32"/>
      <c r="AL53" s="32" t="s">
        <v>106</v>
      </c>
      <c r="AM53" s="64" t="str">
        <f>SUBSTITUTE(INDEX('[2]M1 App'!$A$2:$R$349,MATCH(VALUE(LEFT(Table1[[#This Row],[Old Assy '#]],4)),'[2]M1 App'!$B$2:$B$349,0),MATCH(Table1[[#Headers],[App Interval Type]],'[2]M1 App'!$A$1:$R$1,0))," ","")</f>
        <v>Vertical</v>
      </c>
      <c r="AN53" s="64" t="s">
        <v>108</v>
      </c>
      <c r="AO53" s="65"/>
      <c r="AP53" s="66"/>
      <c r="AQ53" s="67">
        <f>VALUE(SUBSTITUTE(INDEX('[2]M1 App'!$A$2:$R$349,MATCH(VALUE(LEFT(Table1[[#This Row],[Old Assy '#]],4)),'[2]M1 App'!$B$2:$B$349,0),MATCH(Table1[[#Headers],[App Six Three]],'[2]M1 App'!$A$1:$R$1,0))," ",""))</f>
        <v>0</v>
      </c>
      <c r="AR53" s="68" t="s">
        <v>284</v>
      </c>
      <c r="AS53" s="32">
        <v>165432</v>
      </c>
      <c r="AT53" s="32">
        <v>7.6875</v>
      </c>
      <c r="AU53" s="69">
        <f>IF(ISNUMBER(Table1[[#This Row],[Above gauge Ø]]),((Table1[[#This Row],[Size]]-Table1[[#This Row],[Above gauge Ø]])/2)-0.05,"")</f>
        <v>4.3749999999999997E-2</v>
      </c>
      <c r="AV53" s="70">
        <v>0.33</v>
      </c>
      <c r="AW53" s="32" t="s">
        <v>111</v>
      </c>
      <c r="AX53" s="32">
        <v>7.8125</v>
      </c>
      <c r="AY53" s="32" t="s">
        <v>112</v>
      </c>
      <c r="AZ53" s="32">
        <v>15</v>
      </c>
      <c r="BA53" s="32"/>
      <c r="BB53" s="82"/>
      <c r="BC53" s="82"/>
      <c r="BD53" s="82"/>
      <c r="BE53" s="82"/>
      <c r="BF53" s="32">
        <v>15</v>
      </c>
      <c r="BG53" s="32">
        <v>15</v>
      </c>
      <c r="BH53" s="32" t="s">
        <v>322</v>
      </c>
      <c r="BI53" s="32">
        <v>35</v>
      </c>
      <c r="BJ53" s="108" t="e">
        <f>CONCATENATE("► M1 Notes: ",#REF!," •-----► CL-SKF Notes: ",#REF!," •-----► DS Notes: ",#REF!)</f>
        <v>#REF!</v>
      </c>
      <c r="BK53" s="108" t="s">
        <v>716</v>
      </c>
      <c r="BL53" s="32">
        <v>2</v>
      </c>
      <c r="BM53" s="32" t="s">
        <v>115</v>
      </c>
      <c r="BN53" s="83">
        <v>19.535</v>
      </c>
      <c r="BO53" s="31">
        <v>9.85</v>
      </c>
      <c r="BP53" s="32" t="s">
        <v>116</v>
      </c>
      <c r="BQ53" s="32" t="s">
        <v>101</v>
      </c>
      <c r="BR53" s="32" t="s">
        <v>116</v>
      </c>
      <c r="BS53" s="32">
        <v>60</v>
      </c>
      <c r="BT53" s="32" t="s">
        <v>117</v>
      </c>
      <c r="BU53" s="32">
        <v>6</v>
      </c>
      <c r="BV53" s="32" t="s">
        <v>117</v>
      </c>
      <c r="BW53" s="103">
        <v>2.23</v>
      </c>
    </row>
    <row r="54" spans="2:75" x14ac:dyDescent="0.25">
      <c r="B54" s="1">
        <v>2137</v>
      </c>
      <c r="C54" s="2"/>
      <c r="D54" s="146" t="s">
        <v>93</v>
      </c>
      <c r="E54" s="55" t="s">
        <v>717</v>
      </c>
      <c r="F54" s="55" t="s">
        <v>718</v>
      </c>
      <c r="G54" s="55" t="s">
        <v>719</v>
      </c>
      <c r="H54" s="75" t="s">
        <v>93</v>
      </c>
      <c r="I54" s="55" t="s">
        <v>720</v>
      </c>
      <c r="J54" s="55" t="s">
        <v>721</v>
      </c>
      <c r="K54" s="55" t="s">
        <v>722</v>
      </c>
      <c r="L54" s="55" t="s">
        <v>723</v>
      </c>
      <c r="M54" s="55" t="s">
        <v>724</v>
      </c>
      <c r="N54" s="55" t="s">
        <v>725</v>
      </c>
      <c r="O54" s="55" t="s">
        <v>726</v>
      </c>
      <c r="P54" s="53" t="s">
        <v>93</v>
      </c>
      <c r="Q54" s="53" t="s">
        <v>93</v>
      </c>
      <c r="R54" s="76">
        <f>COUNTIFS([1]Fleet!$E:$E,Table1[[#This Row],[Old Assy '#]])+COUNTIFS([1]OnDeck!$E:$E,Table1[[#This Row],[Old Assy '#]])</f>
        <v>5</v>
      </c>
      <c r="S54" s="77">
        <v>42562</v>
      </c>
      <c r="T54" s="78"/>
      <c r="U54" s="78"/>
      <c r="V54" s="78"/>
      <c r="W54" s="56" t="str">
        <f>IF(AND(Table1[[#This Row],[Phase Out]]="Y",Table1[[#This Row],[Zero Inventory]]="Y"),"Y","")</f>
        <v/>
      </c>
      <c r="X54" s="79">
        <v>11</v>
      </c>
      <c r="Y54" s="63" t="s">
        <v>727</v>
      </c>
      <c r="Z54" s="59" t="str">
        <f>IF(LEFT(Table1[[#This Row],[Model]],2)="NX","NX",IF(LEFT(Table1[[#This Row],[Model]],2)="CR","CR",""))</f>
        <v>CR</v>
      </c>
      <c r="AA54" s="59" t="str">
        <f>LEFT(SUBSTITUTE(SUBSTITUTE(Table1[[#This Row],[Model]],"NX",""),"CR",""),1)</f>
        <v>5</v>
      </c>
      <c r="AB54" s="59" t="str">
        <f>MID(SUBSTITUTE(SUBSTITUTE(Table1[[#This Row],[Model]],"NX",""),"CR",""),2,2)</f>
        <v>19</v>
      </c>
      <c r="AC54" s="64" t="str">
        <f>IF(ISNUMBER(FIND("M",Table1[[#This Row],[Model]])),"M","")</f>
        <v/>
      </c>
      <c r="AD54" s="64" t="str">
        <f>CONCATENATE(MID(Table1[[#This Row],[Model]],FIND("-",Table1[[#This Row],[Model]])+1,2),IF(RIGHT(MID(Table1[[#This Row],[Model]],FIND("-",Table1[[#This Row],[Model]])+1,3),1)="+","+",""))</f>
        <v>SR</v>
      </c>
      <c r="AE5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8</v>
      </c>
      <c r="AF54" s="64" t="str">
        <f>IF(ISNUMBER(SEARCH("(K)",Table1[[#This Row],[Model]])),"(K)","")</f>
        <v/>
      </c>
      <c r="AG54" s="64" t="str">
        <f>IF(ISNUMBER(SEARCH("(BR)",Table1[[#This Row],[Model]])),"(BR)","")</f>
        <v/>
      </c>
      <c r="AH54" s="32" t="s">
        <v>103</v>
      </c>
      <c r="AI54" s="32" t="s">
        <v>126</v>
      </c>
      <c r="AJ54" s="32"/>
      <c r="AK54" s="32"/>
      <c r="AL54" s="32" t="s">
        <v>106</v>
      </c>
      <c r="AM54" s="64" t="str">
        <f>SUBSTITUTE(INDEX('[2]M1 App'!$A$2:$R$349,MATCH(VALUE(LEFT(Table1[[#This Row],[Old Assy '#]],4)),'[2]M1 App'!$B$2:$B$349,0),MATCH(Table1[[#Headers],[App Interval Type]],'[2]M1 App'!$A$1:$R$1,0))," ","")</f>
        <v>Vertical</v>
      </c>
      <c r="AN54" s="64" t="s">
        <v>127</v>
      </c>
      <c r="AO54" s="65"/>
      <c r="AP54" s="66"/>
      <c r="AQ54" s="67">
        <f>VALUE(SUBSTITUTE(INDEX('[2]M1 App'!$A$2:$R$349,MATCH(VALUE(LEFT(Table1[[#This Row],[Old Assy '#]],4)),'[2]M1 App'!$B$2:$B$349,0),MATCH(Table1[[#Headers],[App Six Three]],'[2]M1 App'!$A$1:$R$1,0))," ",""))</f>
        <v>0</v>
      </c>
      <c r="AR54" s="68" t="s">
        <v>284</v>
      </c>
      <c r="AS54" s="32">
        <v>15432</v>
      </c>
      <c r="AT54" s="32">
        <v>10.75</v>
      </c>
      <c r="AU54" s="69">
        <f>IF(ISNUMBER(Table1[[#This Row],[Above gauge Ø]]),((Table1[[#This Row],[Size]]-Table1[[#This Row],[Above gauge Ø]])/2)-0.05,"")</f>
        <v>7.4999999999999997E-2</v>
      </c>
      <c r="AV54" s="70">
        <v>0.33</v>
      </c>
      <c r="AW54" s="32" t="s">
        <v>111</v>
      </c>
      <c r="AX54" s="32">
        <v>10.9375</v>
      </c>
      <c r="AY54" s="32" t="s">
        <v>140</v>
      </c>
      <c r="AZ54" s="32">
        <v>15</v>
      </c>
      <c r="BA54" s="32"/>
      <c r="BB54" s="82"/>
      <c r="BC54" s="82"/>
      <c r="BD54" s="82"/>
      <c r="BE54" s="82"/>
      <c r="BF54" s="32">
        <v>15</v>
      </c>
      <c r="BG54" s="32">
        <v>15</v>
      </c>
      <c r="BH54" s="32" t="s">
        <v>167</v>
      </c>
      <c r="BI54" s="32">
        <v>35</v>
      </c>
      <c r="BJ54" s="2" t="e">
        <f>CONCATENATE("► M1 Notes: ",#REF!," •-----► CL-SKF Notes: ",#REF!," •-----► DS Notes: ",#REF!)</f>
        <v>#REF!</v>
      </c>
      <c r="BK54" s="2"/>
      <c r="BL54" s="32">
        <v>3</v>
      </c>
      <c r="BM54" s="32" t="s">
        <v>115</v>
      </c>
      <c r="BN54" s="83">
        <v>26.67</v>
      </c>
      <c r="BO54" s="31">
        <v>30.08</v>
      </c>
      <c r="BP54" s="32" t="s">
        <v>116</v>
      </c>
      <c r="BQ54" s="32" t="s">
        <v>101</v>
      </c>
      <c r="BR54" s="32" t="s">
        <v>116</v>
      </c>
      <c r="BS54" s="32">
        <v>60</v>
      </c>
      <c r="BT54" s="32" t="s">
        <v>117</v>
      </c>
      <c r="BU54" s="32">
        <v>8</v>
      </c>
      <c r="BV54" s="32" t="s">
        <v>117</v>
      </c>
      <c r="BW54" s="103">
        <v>2.97</v>
      </c>
    </row>
    <row r="55" spans="2:75" x14ac:dyDescent="0.25">
      <c r="B55" s="104">
        <v>2140</v>
      </c>
      <c r="C55" s="2"/>
      <c r="D55" s="146" t="s">
        <v>93</v>
      </c>
      <c r="E55" s="75" t="s">
        <v>93</v>
      </c>
      <c r="F55" s="75" t="s">
        <v>93</v>
      </c>
      <c r="G55" s="55" t="s">
        <v>730</v>
      </c>
      <c r="H55" s="75" t="s">
        <v>93</v>
      </c>
      <c r="I55" s="55" t="s">
        <v>731</v>
      </c>
      <c r="J55" s="55" t="s">
        <v>732</v>
      </c>
      <c r="K55" s="55" t="s">
        <v>733</v>
      </c>
      <c r="L55" s="55" t="s">
        <v>734</v>
      </c>
      <c r="M55" s="55" t="s">
        <v>735</v>
      </c>
      <c r="N55" s="55" t="s">
        <v>736</v>
      </c>
      <c r="O55" s="55" t="s">
        <v>737</v>
      </c>
      <c r="P55" s="55" t="s">
        <v>738</v>
      </c>
      <c r="Q55" s="53" t="s">
        <v>93</v>
      </c>
      <c r="R55" s="33">
        <f>COUNTIFS([1]Fleet!$E:$E,Table1[[#This Row],[Old Assy '#]])+COUNTIFS([1]OnDeck!$E:$E,Table1[[#This Row],[Old Assy '#]])</f>
        <v>3</v>
      </c>
      <c r="S55" s="88">
        <v>42586</v>
      </c>
      <c r="T55" s="89"/>
      <c r="U55" s="89"/>
      <c r="V55" s="89"/>
      <c r="W55" s="56" t="str">
        <f>IF(AND(Table1[[#This Row],[Phase Out]]="Y",Table1[[#This Row],[Zero Inventory]]="Y"),"Y","")</f>
        <v/>
      </c>
      <c r="X55" s="79">
        <v>7.875</v>
      </c>
      <c r="Y55" s="63" t="s">
        <v>166</v>
      </c>
      <c r="Z55" s="59" t="str">
        <f>IF(LEFT(Table1[[#This Row],[Model]],2)="NX","NX",IF(LEFT(Table1[[#This Row],[Model]],2)="CR","CR",""))</f>
        <v>CR</v>
      </c>
      <c r="AA55" s="59" t="str">
        <f>LEFT(SUBSTITUTE(SUBSTITUTE(Table1[[#This Row],[Model]],"NX",""),"CR",""),1)</f>
        <v>6</v>
      </c>
      <c r="AB55" s="59" t="str">
        <f>MID(SUBSTITUTE(SUBSTITUTE(Table1[[#This Row],[Model]],"NX",""),"CR",""),2,2)</f>
        <v>16</v>
      </c>
      <c r="AC55" s="64" t="str">
        <f>IF(ISNUMBER(FIND("M",Table1[[#This Row],[Model]])),"M","")</f>
        <v/>
      </c>
      <c r="AD55" s="64" t="str">
        <f>CONCATENATE(MID(Table1[[#This Row],[Model]],FIND("-",Table1[[#This Row],[Model]])+1,2),IF(RIGHT(MID(Table1[[#This Row],[Model]],FIND("-",Table1[[#This Row],[Model]])+1,3),1)="+","+",""))</f>
        <v>SR</v>
      </c>
      <c r="AE55"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55" s="64" t="str">
        <f>IF(ISNUMBER(SEARCH("(K)",Table1[[#This Row],[Model]])),"(K)","")</f>
        <v/>
      </c>
      <c r="AG55" s="64" t="str">
        <f>IF(ISNUMBER(SEARCH("(BR)",Table1[[#This Row],[Model]])),"(BR)","")</f>
        <v/>
      </c>
      <c r="AH55" s="32" t="s">
        <v>103</v>
      </c>
      <c r="AI55" s="32" t="s">
        <v>104</v>
      </c>
      <c r="AJ55" s="114" t="s">
        <v>452</v>
      </c>
      <c r="AK55" s="32"/>
      <c r="AL55" s="32" t="s">
        <v>106</v>
      </c>
      <c r="AM55" s="64" t="str">
        <f>SUBSTITUTE(INDEX('[2]M1 App'!$A$2:$R$349,MATCH(VALUE(LEFT(Table1[[#This Row],[Old Assy '#]],4)),'[2]M1 App'!$B$2:$B$349,0),MATCH(Table1[[#Headers],[App Interval Type]],'[2]M1 App'!$A$1:$R$1,0))," ","")</f>
        <v>Vertical</v>
      </c>
      <c r="AN55" s="64" t="s">
        <v>108</v>
      </c>
      <c r="AO55" s="65"/>
      <c r="AP55" s="66"/>
      <c r="AQ55" s="67">
        <f>VALUE(SUBSTITUTE(INDEX('[2]M1 App'!$A$2:$R$349,MATCH(VALUE(LEFT(Table1[[#This Row],[Old Assy '#]],4)),'[2]M1 App'!$B$2:$B$349,0),MATCH(Table1[[#Headers],[App Six Three]],'[2]M1 App'!$A$1:$R$1,0))," ",""))</f>
        <v>0</v>
      </c>
      <c r="AR55" s="68" t="s">
        <v>284</v>
      </c>
      <c r="AS55" s="32">
        <v>165432</v>
      </c>
      <c r="AT55" s="32">
        <v>7.6875</v>
      </c>
      <c r="AU55" s="69">
        <f>IF(ISNUMBER(Table1[[#This Row],[Above gauge Ø]]),((Table1[[#This Row],[Size]]-Table1[[#This Row],[Above gauge Ø]])/2)-0.05,"")</f>
        <v>4.3749999999999997E-2</v>
      </c>
      <c r="AV55" s="70">
        <v>0.33</v>
      </c>
      <c r="AW55" s="32" t="s">
        <v>111</v>
      </c>
      <c r="AX55" s="32">
        <v>7.8125</v>
      </c>
      <c r="AY55" s="32" t="s">
        <v>112</v>
      </c>
      <c r="AZ55" s="32">
        <v>15</v>
      </c>
      <c r="BA55" s="32"/>
      <c r="BB55" s="82"/>
      <c r="BC55" s="82"/>
      <c r="BD55" s="82"/>
      <c r="BE55" s="82"/>
      <c r="BF55" s="32" t="s">
        <v>113</v>
      </c>
      <c r="BG55" s="32">
        <v>15</v>
      </c>
      <c r="BH55" s="32" t="s">
        <v>622</v>
      </c>
      <c r="BI55" s="32">
        <v>31.2</v>
      </c>
      <c r="BJ55" s="2" t="e">
        <f>CONCATENATE("► M1 Notes: ",#REF!," •-----► CL-SKF Notes: ",#REF!," •-----► DS Notes: ",#REF!)</f>
        <v>#REF!</v>
      </c>
      <c r="BK55" s="2"/>
      <c r="BL55" s="32">
        <v>3</v>
      </c>
      <c r="BM55" s="32" t="s">
        <v>115</v>
      </c>
      <c r="BN55" s="83">
        <v>20.152000000000001</v>
      </c>
      <c r="BO55" s="31">
        <v>9.7899999999999991</v>
      </c>
      <c r="BP55" s="32" t="s">
        <v>116</v>
      </c>
      <c r="BQ55" s="32" t="s">
        <v>116</v>
      </c>
      <c r="BR55" s="32" t="s">
        <v>116</v>
      </c>
      <c r="BS55" s="32">
        <v>60</v>
      </c>
      <c r="BT55" s="32" t="s">
        <v>117</v>
      </c>
      <c r="BU55" s="32">
        <v>6</v>
      </c>
      <c r="BV55" s="32" t="s">
        <v>117</v>
      </c>
      <c r="BW55" s="103">
        <v>2.23</v>
      </c>
    </row>
    <row r="56" spans="2:75" x14ac:dyDescent="0.25">
      <c r="B56" s="1">
        <v>2141</v>
      </c>
      <c r="C56" s="2"/>
      <c r="D56" s="146" t="s">
        <v>93</v>
      </c>
      <c r="E56" s="55" t="s">
        <v>739</v>
      </c>
      <c r="F56" s="55" t="s">
        <v>740</v>
      </c>
      <c r="G56" s="55" t="s">
        <v>741</v>
      </c>
      <c r="H56" s="55" t="s">
        <v>742</v>
      </c>
      <c r="I56" s="55" t="s">
        <v>743</v>
      </c>
      <c r="J56" s="55" t="s">
        <v>744</v>
      </c>
      <c r="K56" s="55" t="s">
        <v>745</v>
      </c>
      <c r="L56" s="55" t="s">
        <v>746</v>
      </c>
      <c r="M56" s="55" t="s">
        <v>747</v>
      </c>
      <c r="N56" s="55" t="s">
        <v>748</v>
      </c>
      <c r="O56" s="55" t="s">
        <v>749</v>
      </c>
      <c r="P56" s="75" t="s">
        <v>93</v>
      </c>
      <c r="Q56" s="53" t="s">
        <v>93</v>
      </c>
      <c r="R56" s="76">
        <f>COUNTIFS([1]Fleet!$E:$E,Table1[[#This Row],[Old Assy '#]])+COUNTIFS([1]OnDeck!$E:$E,Table1[[#This Row],[Old Assy '#]])</f>
        <v>1</v>
      </c>
      <c r="S56" s="77">
        <v>42656</v>
      </c>
      <c r="T56" s="78"/>
      <c r="U56" s="78"/>
      <c r="V56" s="78"/>
      <c r="W56" s="56" t="str">
        <f>IF(AND(Table1[[#This Row],[Phase Out]]="Y",Table1[[#This Row],[Zero Inventory]]="Y"),"Y","")</f>
        <v/>
      </c>
      <c r="X56" s="110">
        <v>12.25</v>
      </c>
      <c r="Y56" s="111" t="s">
        <v>728</v>
      </c>
      <c r="Z56" s="59" t="str">
        <f>IF(LEFT(Table1[[#This Row],[Model]],2)="NX","NX",IF(LEFT(Table1[[#This Row],[Model]],2)="CR","CR",""))</f>
        <v>CR</v>
      </c>
      <c r="AA56" s="59" t="str">
        <f>LEFT(SUBSTITUTE(SUBSTITUTE(Table1[[#This Row],[Model]],"NX",""),"CR",""),1)</f>
        <v>6</v>
      </c>
      <c r="AB56" s="59" t="str">
        <f>MID(SUBSTITUTE(SUBSTITUTE(Table1[[#This Row],[Model]],"NX",""),"CR",""),2,2)</f>
        <v>16</v>
      </c>
      <c r="AC56" s="64" t="str">
        <f>IF(ISNUMBER(FIND("M",Table1[[#This Row],[Model]])),"M","")</f>
        <v/>
      </c>
      <c r="AD56" s="64" t="str">
        <f>CONCATENATE(MID(Table1[[#This Row],[Model]],FIND("-",Table1[[#This Row],[Model]])+1,2),IF(RIGHT(MID(Table1[[#This Row],[Model]],FIND("-",Table1[[#This Row],[Model]])+1,3),1)="+","+",""))</f>
        <v>XR</v>
      </c>
      <c r="AE56"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56" s="64" t="str">
        <f>IF(ISNUMBER(SEARCH("(K)",Table1[[#This Row],[Model]])),"(K)","")</f>
        <v>(K)</v>
      </c>
      <c r="AG56" s="64" t="str">
        <f>IF(ISNUMBER(SEARCH("(BR)",Table1[[#This Row],[Model]])),"(BR)","")</f>
        <v>(BR)</v>
      </c>
      <c r="AH56" s="32" t="s">
        <v>103</v>
      </c>
      <c r="AI56" s="32" t="s">
        <v>126</v>
      </c>
      <c r="AJ56" s="114" t="s">
        <v>452</v>
      </c>
      <c r="AK56" s="32"/>
      <c r="AL56" s="32" t="s">
        <v>106</v>
      </c>
      <c r="AM56" s="64" t="str">
        <f>SUBSTITUTE(INDEX('[2]M1 App'!$A$2:$R$349,MATCH(VALUE(LEFT(Table1[[#This Row],[Old Assy '#]],4)),'[2]M1 App'!$B$2:$B$349,0),MATCH(Table1[[#Headers],[App Interval Type]],'[2]M1 App'!$A$1:$R$1,0))," ","")</f>
        <v>Vertical</v>
      </c>
      <c r="AN56" s="64" t="s">
        <v>127</v>
      </c>
      <c r="AO56" s="65"/>
      <c r="AP56" s="66"/>
      <c r="AQ56" s="67">
        <f>VALUE(SUBSTITUTE(INDEX('[2]M1 App'!$A$2:$R$349,MATCH(VALUE(LEFT(Table1[[#This Row],[Old Assy '#]],4)),'[2]M1 App'!$B$2:$B$349,0),MATCH(Table1[[#Headers],[App Six Three]],'[2]M1 App'!$A$1:$R$1,0))," ",""))</f>
        <v>0</v>
      </c>
      <c r="AR56" s="68" t="s">
        <v>284</v>
      </c>
      <c r="AS56" s="32">
        <v>165432</v>
      </c>
      <c r="AT56" s="102">
        <f>5.9063*2</f>
        <v>11.8126</v>
      </c>
      <c r="AU56" s="69">
        <f>IF(ISNUMBER(Table1[[#This Row],[Above gauge Ø]]),((Table1[[#This Row],[Size]]-Table1[[#This Row],[Above gauge Ø]])/2)-0.05,"")</f>
        <v>0.16870000000000013</v>
      </c>
      <c r="AV56" s="70">
        <v>0.33</v>
      </c>
      <c r="AW56" s="32" t="s">
        <v>111</v>
      </c>
      <c r="AX56" s="32">
        <v>12.1876</v>
      </c>
      <c r="AY56" s="32" t="s">
        <v>750</v>
      </c>
      <c r="AZ56" s="32">
        <v>15</v>
      </c>
      <c r="BA56" s="32"/>
      <c r="BB56" s="82">
        <v>100</v>
      </c>
      <c r="BC56" s="82">
        <v>120</v>
      </c>
      <c r="BD56" s="82">
        <v>80</v>
      </c>
      <c r="BE56" s="82"/>
      <c r="BF56" s="32">
        <v>17.5</v>
      </c>
      <c r="BG56" s="32">
        <v>15</v>
      </c>
      <c r="BH56" s="32" t="s">
        <v>114</v>
      </c>
      <c r="BI56" s="32">
        <v>30</v>
      </c>
      <c r="BJ56" s="109" t="e">
        <f>CONCATENATE("► M1 Notes: ",#REF!," •-----► CL-SKF Notes: ",#REF!," •-----► DS Notes: ",#REF!)</f>
        <v>#REF!</v>
      </c>
      <c r="BK56" s="109" t="s">
        <v>751</v>
      </c>
      <c r="BL56" s="32">
        <v>3</v>
      </c>
      <c r="BM56" s="32" t="s">
        <v>115</v>
      </c>
      <c r="BN56" s="83">
        <v>42.49</v>
      </c>
      <c r="BO56" s="31">
        <v>33.229999999999997</v>
      </c>
      <c r="BP56" s="32" t="s">
        <v>116</v>
      </c>
      <c r="BQ56" s="32" t="s">
        <v>101</v>
      </c>
      <c r="BR56" s="32" t="s">
        <v>116</v>
      </c>
      <c r="BS56" s="32">
        <v>60</v>
      </c>
      <c r="BT56" s="32" t="s">
        <v>117</v>
      </c>
      <c r="BU56" s="32">
        <v>9</v>
      </c>
      <c r="BV56" s="32" t="s">
        <v>117</v>
      </c>
      <c r="BW56" s="103">
        <v>3.34</v>
      </c>
    </row>
    <row r="57" spans="2:75" x14ac:dyDescent="0.25">
      <c r="B57" s="1">
        <v>2142</v>
      </c>
      <c r="C57" s="2"/>
      <c r="D57" s="146" t="s">
        <v>93</v>
      </c>
      <c r="E57" s="55" t="s">
        <v>752</v>
      </c>
      <c r="F57" s="55" t="s">
        <v>753</v>
      </c>
      <c r="G57" s="55" t="s">
        <v>754</v>
      </c>
      <c r="H57" s="55" t="s">
        <v>755</v>
      </c>
      <c r="I57" s="55" t="s">
        <v>756</v>
      </c>
      <c r="J57" s="55" t="s">
        <v>757</v>
      </c>
      <c r="K57" s="55" t="s">
        <v>758</v>
      </c>
      <c r="L57" s="55" t="s">
        <v>759</v>
      </c>
      <c r="M57" s="55" t="s">
        <v>760</v>
      </c>
      <c r="N57" s="55" t="s">
        <v>761</v>
      </c>
      <c r="O57" s="55" t="s">
        <v>762</v>
      </c>
      <c r="P57" s="53" t="s">
        <v>93</v>
      </c>
      <c r="Q57" s="53" t="s">
        <v>93</v>
      </c>
      <c r="R57" s="76">
        <f>COUNTIFS([1]Fleet!$E:$E,Table1[[#This Row],[Old Assy '#]])+COUNTIFS([1]OnDeck!$E:$E,Table1[[#This Row],[Old Assy '#]])</f>
        <v>1</v>
      </c>
      <c r="S57" s="77">
        <v>42696</v>
      </c>
      <c r="T57" s="78"/>
      <c r="U57" s="78"/>
      <c r="V57" s="78"/>
      <c r="W57" s="56" t="str">
        <f>IF(AND(Table1[[#This Row],[Phase Out]]="Y",Table1[[#This Row],[Zero Inventory]]="Y"),"Y","")</f>
        <v/>
      </c>
      <c r="X57" s="79">
        <v>8.75</v>
      </c>
      <c r="Y57" s="63" t="s">
        <v>763</v>
      </c>
      <c r="Z57" s="59" t="str">
        <f>IF(LEFT(Table1[[#This Row],[Model]],2)="NX","NX",IF(LEFT(Table1[[#This Row],[Model]],2)="CR","CR",""))</f>
        <v>CR</v>
      </c>
      <c r="AA57" s="59" t="str">
        <f>LEFT(SUBSTITUTE(SUBSTITUTE(Table1[[#This Row],[Model]],"NX",""),"CR",""),1)</f>
        <v>6</v>
      </c>
      <c r="AB57" s="59" t="str">
        <f>MID(SUBSTITUTE(SUBSTITUTE(Table1[[#This Row],[Model]],"NX",""),"CR",""),2,2)</f>
        <v>16</v>
      </c>
      <c r="AC57" s="64" t="str">
        <f>IF(ISNUMBER(FIND("M",Table1[[#This Row],[Model]])),"M","")</f>
        <v/>
      </c>
      <c r="AD57" s="64" t="str">
        <f>CONCATENATE(MID(Table1[[#This Row],[Model]],FIND("-",Table1[[#This Row],[Model]])+1,2),IF(RIGHT(MID(Table1[[#This Row],[Model]],FIND("-",Table1[[#This Row],[Model]])+1,3),1)="+","+",""))</f>
        <v>SR</v>
      </c>
      <c r="AE57"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57" s="64" t="str">
        <f>IF(ISNUMBER(SEARCH("(K)",Table1[[#This Row],[Model]])),"(K)","")</f>
        <v>(K)</v>
      </c>
      <c r="AG57" s="64" t="str">
        <f>IF(ISNUMBER(SEARCH("(BR)",Table1[[#This Row],[Model]])),"(BR)","")</f>
        <v/>
      </c>
      <c r="AH57" s="32" t="s">
        <v>103</v>
      </c>
      <c r="AI57" s="32" t="s">
        <v>104</v>
      </c>
      <c r="AJ57" s="114" t="s">
        <v>452</v>
      </c>
      <c r="AK57" s="32"/>
      <c r="AL57" s="32" t="s">
        <v>106</v>
      </c>
      <c r="AM57" s="64" t="str">
        <f>SUBSTITUTE(INDEX('[2]M1 App'!$A$2:$R$349,MATCH(VALUE(LEFT(Table1[[#This Row],[Old Assy '#]],4)),'[2]M1 App'!$B$2:$B$349,0),MATCH(Table1[[#Headers],[App Interval Type]],'[2]M1 App'!$A$1:$R$1,0))," ","")</f>
        <v>Vertical</v>
      </c>
      <c r="AN57" s="64" t="s">
        <v>108</v>
      </c>
      <c r="AO57" s="65"/>
      <c r="AP57" s="66"/>
      <c r="AQ57" s="67">
        <f>VALUE(SUBSTITUTE(INDEX('[2]M1 App'!$A$2:$R$349,MATCH(VALUE(LEFT(Table1[[#This Row],[Old Assy '#]],4)),'[2]M1 App'!$B$2:$B$349,0),MATCH(Table1[[#Headers],[App Six Three]],'[2]M1 App'!$A$1:$R$1,0))," ",""))</f>
        <v>0</v>
      </c>
      <c r="AR57" s="68" t="s">
        <v>284</v>
      </c>
      <c r="AS57" s="32">
        <v>165432</v>
      </c>
      <c r="AT57" s="102">
        <v>8.5625</v>
      </c>
      <c r="AU57" s="69">
        <f>IF(ISNUMBER(Table1[[#This Row],[Above gauge Ø]]),((Table1[[#This Row],[Size]]-Table1[[#This Row],[Above gauge Ø]])/2)-0.05,"")</f>
        <v>4.3749999999999997E-2</v>
      </c>
      <c r="AV57" s="70">
        <v>0.33</v>
      </c>
      <c r="AW57" s="32" t="s">
        <v>111</v>
      </c>
      <c r="AX57" s="32">
        <v>8.6875</v>
      </c>
      <c r="AY57" s="32" t="s">
        <v>112</v>
      </c>
      <c r="AZ57" s="32">
        <v>15</v>
      </c>
      <c r="BA57" s="32"/>
      <c r="BB57" s="82"/>
      <c r="BC57" s="82"/>
      <c r="BD57" s="82">
        <v>30</v>
      </c>
      <c r="BE57" s="82"/>
      <c r="BF57" s="32">
        <v>18</v>
      </c>
      <c r="BG57" s="32">
        <v>15</v>
      </c>
      <c r="BH57" s="32" t="s">
        <v>622</v>
      </c>
      <c r="BI57" s="32">
        <v>30</v>
      </c>
      <c r="BJ57" s="17" t="e">
        <f>CONCATENATE("► M1 Notes: ",#REF!," •-----► CL-SKF Notes: ",#REF!," •-----► DS Notes: ",#REF!)</f>
        <v>#REF!</v>
      </c>
      <c r="BK57" s="17" t="s">
        <v>716</v>
      </c>
      <c r="BL57" s="32">
        <v>3</v>
      </c>
      <c r="BM57" s="32" t="s">
        <v>115</v>
      </c>
      <c r="BN57" s="83">
        <v>30.23</v>
      </c>
      <c r="BO57" s="31">
        <v>14.8</v>
      </c>
      <c r="BP57" s="32" t="s">
        <v>116</v>
      </c>
      <c r="BQ57" s="32" t="s">
        <v>116</v>
      </c>
      <c r="BR57" s="32" t="s">
        <v>116</v>
      </c>
      <c r="BS57" s="32">
        <v>60</v>
      </c>
      <c r="BT57" s="32" t="s">
        <v>117</v>
      </c>
      <c r="BU57" s="32">
        <v>6</v>
      </c>
      <c r="BV57" s="32" t="s">
        <v>117</v>
      </c>
      <c r="BW57" s="103">
        <v>2.23</v>
      </c>
    </row>
    <row r="58" spans="2:75" x14ac:dyDescent="0.25">
      <c r="B58" s="1">
        <v>2143</v>
      </c>
      <c r="C58" s="2"/>
      <c r="D58" s="146" t="s">
        <v>93</v>
      </c>
      <c r="E58" s="55" t="s">
        <v>764</v>
      </c>
      <c r="F58" s="55" t="s">
        <v>765</v>
      </c>
      <c r="G58" s="55" t="s">
        <v>766</v>
      </c>
      <c r="H58" s="75" t="s">
        <v>93</v>
      </c>
      <c r="I58" s="55" t="s">
        <v>767</v>
      </c>
      <c r="J58" s="55" t="s">
        <v>768</v>
      </c>
      <c r="K58" s="55" t="s">
        <v>769</v>
      </c>
      <c r="L58" s="55" t="s">
        <v>770</v>
      </c>
      <c r="M58" s="55" t="s">
        <v>771</v>
      </c>
      <c r="N58" s="55" t="s">
        <v>772</v>
      </c>
      <c r="O58" s="55" t="s">
        <v>773</v>
      </c>
      <c r="P58" s="53" t="s">
        <v>93</v>
      </c>
      <c r="Q58" s="53" t="s">
        <v>93</v>
      </c>
      <c r="R58" s="76">
        <f>COUNTIFS([1]Fleet!$E:$E,Table1[[#This Row],[Old Assy '#]])+COUNTIFS([1]OnDeck!$E:$E,Table1[[#This Row],[Old Assy '#]])</f>
        <v>1</v>
      </c>
      <c r="S58" s="77">
        <v>42732</v>
      </c>
      <c r="T58" s="78"/>
      <c r="U58" s="78"/>
      <c r="V58" s="78"/>
      <c r="W58" s="56" t="str">
        <f>IF(AND(Table1[[#This Row],[Phase Out]]="Y",Table1[[#This Row],[Zero Inventory]]="Y"),"Y","")</f>
        <v/>
      </c>
      <c r="X58" s="79">
        <v>8.5</v>
      </c>
      <c r="Y58" s="63" t="s">
        <v>538</v>
      </c>
      <c r="Z58" s="59" t="str">
        <f>IF(LEFT(Table1[[#This Row],[Model]],2)="NX","NX",IF(LEFT(Table1[[#This Row],[Model]],2)="CR","CR",""))</f>
        <v>CR</v>
      </c>
      <c r="AA58" s="59" t="str">
        <f>LEFT(SUBSTITUTE(SUBSTITUTE(Table1[[#This Row],[Model]],"NX",""),"CR",""),1)</f>
        <v>6</v>
      </c>
      <c r="AB58" s="59" t="str">
        <f>MID(SUBSTITUTE(SUBSTITUTE(Table1[[#This Row],[Model]],"NX",""),"CR",""),2,2)</f>
        <v>13</v>
      </c>
      <c r="AC58" s="64" t="str">
        <f>IF(ISNUMBER(FIND("M",Table1[[#This Row],[Model]])),"M","")</f>
        <v/>
      </c>
      <c r="AD58" s="64" t="str">
        <f>CONCATENATE(MID(Table1[[#This Row],[Model]],FIND("-",Table1[[#This Row],[Model]])+1,2),IF(RIGHT(MID(Table1[[#This Row],[Model]],FIND("-",Table1[[#This Row],[Model]])+1,3),1)="+","+",""))</f>
        <v>XR</v>
      </c>
      <c r="AE58"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58" s="64" t="str">
        <f>IF(ISNUMBER(SEARCH("(K)",Table1[[#This Row],[Model]])),"(K)","")</f>
        <v/>
      </c>
      <c r="AG58" s="64" t="str">
        <f>IF(ISNUMBER(SEARCH("(BR)",Table1[[#This Row],[Model]])),"(BR)","")</f>
        <v>(BR)</v>
      </c>
      <c r="AH58" s="32" t="s">
        <v>103</v>
      </c>
      <c r="AI58" s="32" t="s">
        <v>104</v>
      </c>
      <c r="AJ58" s="32"/>
      <c r="AK58" s="32" t="s">
        <v>774</v>
      </c>
      <c r="AL58" s="32" t="s">
        <v>259</v>
      </c>
      <c r="AM58" s="64" t="str">
        <f>SUBSTITUTE(INDEX('[2]M1 App'!$A$2:$R$349,MATCH(VALUE(LEFT(Table1[[#This Row],[Old Assy '#]],4)),'[2]M1 App'!$B$2:$B$349,0),MATCH(Table1[[#Headers],[App Interval Type]],'[2]M1 App'!$A$1:$R$1,0))," ","")</f>
        <v>Lateral</v>
      </c>
      <c r="AN58" s="64" t="s">
        <v>108</v>
      </c>
      <c r="AO58" s="65"/>
      <c r="AP58" s="66"/>
      <c r="AQ58" s="67">
        <f>VALUE(SUBSTITUTE(INDEX('[2]M1 App'!$A$2:$R$349,MATCH(VALUE(LEFT(Table1[[#This Row],[Old Assy '#]],4)),'[2]M1 App'!$B$2:$B$349,0),MATCH(Table1[[#Headers],[App Six Three]],'[2]M1 App'!$A$1:$R$1,0))," ",""))</f>
        <v>0</v>
      </c>
      <c r="AR58" s="68" t="s">
        <v>284</v>
      </c>
      <c r="AS58" s="32">
        <v>165432</v>
      </c>
      <c r="AT58" s="102">
        <v>8.125</v>
      </c>
      <c r="AU58" s="69">
        <f>IF(ISNUMBER(Table1[[#This Row],[Above gauge Ø]]),((Table1[[#This Row],[Size]]-Table1[[#This Row],[Above gauge Ø]])/2)-0.05,"")</f>
        <v>0.13750000000000001</v>
      </c>
      <c r="AV58" s="70">
        <v>0.33</v>
      </c>
      <c r="AW58" s="32" t="s">
        <v>180</v>
      </c>
      <c r="AX58" s="32">
        <v>8.375</v>
      </c>
      <c r="AY58" s="32" t="s">
        <v>307</v>
      </c>
      <c r="AZ58" s="32">
        <v>7.5</v>
      </c>
      <c r="BA58" s="32"/>
      <c r="BB58" s="82">
        <v>0</v>
      </c>
      <c r="BC58" s="82">
        <v>0</v>
      </c>
      <c r="BD58" s="82"/>
      <c r="BE58" s="82"/>
      <c r="BF58" s="32">
        <v>17.5</v>
      </c>
      <c r="BG58" s="32">
        <v>12.5</v>
      </c>
      <c r="BH58" s="32" t="s">
        <v>775</v>
      </c>
      <c r="BI58" s="32">
        <v>30</v>
      </c>
      <c r="BJ58" s="17" t="e">
        <f>CONCATENATE("► M1 Notes: ",#REF!," •-----► CL-SKF Notes: ",#REF!," •-----► DS Notes: ",#REF!)</f>
        <v>#REF!</v>
      </c>
      <c r="BK58" s="17"/>
      <c r="BL58" s="32">
        <v>6</v>
      </c>
      <c r="BM58" s="32" t="s">
        <v>115</v>
      </c>
      <c r="BN58" s="83">
        <v>54.15</v>
      </c>
      <c r="BO58" s="31">
        <v>15.47</v>
      </c>
      <c r="BP58" s="32" t="s">
        <v>116</v>
      </c>
      <c r="BQ58" s="32" t="s">
        <v>101</v>
      </c>
      <c r="BR58" s="32" t="s">
        <v>116</v>
      </c>
      <c r="BS58" s="32">
        <v>60</v>
      </c>
      <c r="BT58" s="32" t="s">
        <v>117</v>
      </c>
      <c r="BU58" s="32">
        <v>6</v>
      </c>
      <c r="BV58" s="32" t="s">
        <v>117</v>
      </c>
      <c r="BW58" s="103">
        <v>2.23</v>
      </c>
    </row>
    <row r="59" spans="2:75" x14ac:dyDescent="0.25">
      <c r="B59" s="1">
        <v>2145</v>
      </c>
      <c r="C59" s="2"/>
      <c r="D59" s="146" t="s">
        <v>93</v>
      </c>
      <c r="E59" s="75" t="s">
        <v>93</v>
      </c>
      <c r="F59" s="75" t="s">
        <v>93</v>
      </c>
      <c r="G59" s="55" t="s">
        <v>776</v>
      </c>
      <c r="H59" s="75" t="s">
        <v>93</v>
      </c>
      <c r="I59" s="55" t="s">
        <v>777</v>
      </c>
      <c r="J59" s="55" t="s">
        <v>778</v>
      </c>
      <c r="K59" s="55" t="s">
        <v>779</v>
      </c>
      <c r="L59" s="55" t="s">
        <v>780</v>
      </c>
      <c r="M59" s="55" t="s">
        <v>781</v>
      </c>
      <c r="N59" s="55" t="s">
        <v>782</v>
      </c>
      <c r="O59" s="55" t="s">
        <v>783</v>
      </c>
      <c r="P59" s="54" t="s">
        <v>784</v>
      </c>
      <c r="Q59" s="53" t="s">
        <v>93</v>
      </c>
      <c r="R59" s="76">
        <f>COUNTIFS([1]Fleet!$E:$E,Table1[[#This Row],[Old Assy '#]])+COUNTIFS([1]OnDeck!$E:$E,Table1[[#This Row],[Old Assy '#]])</f>
        <v>1</v>
      </c>
      <c r="S59" s="77">
        <v>42758</v>
      </c>
      <c r="T59" s="78"/>
      <c r="U59" s="78"/>
      <c r="V59" s="78"/>
      <c r="W59" s="56" t="str">
        <f>IF(AND(Table1[[#This Row],[Phase Out]]="Y",Table1[[#This Row],[Zero Inventory]]="Y"),"Y","")</f>
        <v/>
      </c>
      <c r="X59" s="79">
        <v>10.625</v>
      </c>
      <c r="Y59" s="63" t="s">
        <v>785</v>
      </c>
      <c r="Z59" s="59" t="str">
        <f>IF(LEFT(Table1[[#This Row],[Model]],2)="NX","NX",IF(LEFT(Table1[[#This Row],[Model]],2)="CR","CR",""))</f>
        <v>CR</v>
      </c>
      <c r="AA59" s="59" t="str">
        <f>LEFT(SUBSTITUTE(SUBSTITUTE(Table1[[#This Row],[Model]],"NX",""),"CR",""),1)</f>
        <v>7</v>
      </c>
      <c r="AB59" s="59" t="str">
        <f>MID(SUBSTITUTE(SUBSTITUTE(Table1[[#This Row],[Model]],"NX",""),"CR",""),2,2)</f>
        <v>16</v>
      </c>
      <c r="AC59" s="64" t="str">
        <f>IF(ISNUMBER(FIND("M",Table1[[#This Row],[Model]])),"M","")</f>
        <v/>
      </c>
      <c r="AD59" s="64" t="str">
        <f>CONCATENATE(MID(Table1[[#This Row],[Model]],FIND("-",Table1[[#This Row],[Model]])+1,2),IF(RIGHT(MID(Table1[[#This Row],[Model]],FIND("-",Table1[[#This Row],[Model]])+1,3),1)="+","+",""))</f>
        <v>XR</v>
      </c>
      <c r="AE5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59" s="64" t="str">
        <f>IF(ISNUMBER(SEARCH("(K)",Table1[[#This Row],[Model]])),"(K)","")</f>
        <v>(K)</v>
      </c>
      <c r="AG59" s="64" t="str">
        <f>IF(ISNUMBER(SEARCH("(BR)",Table1[[#This Row],[Model]])),"(BR)","")</f>
        <v>(BR)</v>
      </c>
      <c r="AH59" s="32" t="s">
        <v>103</v>
      </c>
      <c r="AI59" s="32" t="s">
        <v>126</v>
      </c>
      <c r="AJ59" s="114" t="s">
        <v>452</v>
      </c>
      <c r="AK59" s="32"/>
      <c r="AL59" s="32" t="s">
        <v>106</v>
      </c>
      <c r="AM59" s="64" t="str">
        <f>SUBSTITUTE(INDEX('[2]M1 App'!$A$2:$R$349,MATCH(VALUE(LEFT(Table1[[#This Row],[Old Assy '#]],4)),'[2]M1 App'!$B$2:$B$349,0),MATCH(Table1[[#Headers],[App Interval Type]],'[2]M1 App'!$A$1:$R$1,0))," ","")</f>
        <v>Vertical</v>
      </c>
      <c r="AN59" s="64" t="s">
        <v>127</v>
      </c>
      <c r="AO59" s="65"/>
      <c r="AP59" s="66"/>
      <c r="AQ59" s="67">
        <f>VALUE(SUBSTITUTE(INDEX('[2]M1 App'!$A$2:$R$349,MATCH(VALUE(LEFT(Table1[[#This Row],[Old Assy '#]],4)),'[2]M1 App'!$B$2:$B$349,0),MATCH(Table1[[#Headers],[App Six Three]],'[2]M1 App'!$A$1:$R$1,0))," ",""))</f>
        <v>0</v>
      </c>
      <c r="AR59" s="68" t="s">
        <v>284</v>
      </c>
      <c r="AS59" s="32">
        <v>1765432</v>
      </c>
      <c r="AT59" s="32">
        <v>10.3125</v>
      </c>
      <c r="AU59" s="69">
        <f>IF(ISNUMBER(Table1[[#This Row],[Above gauge Ø]]),((Table1[[#This Row],[Size]]-Table1[[#This Row],[Above gauge Ø]])/2)-0.05,"")</f>
        <v>0.10625</v>
      </c>
      <c r="AV59" s="70">
        <v>0.33</v>
      </c>
      <c r="AW59" s="32" t="s">
        <v>180</v>
      </c>
      <c r="AX59" s="32">
        <v>10.5625</v>
      </c>
      <c r="AY59" s="32" t="s">
        <v>232</v>
      </c>
      <c r="AZ59" s="32">
        <v>15</v>
      </c>
      <c r="BA59" s="32"/>
      <c r="BB59" s="82">
        <v>90</v>
      </c>
      <c r="BC59" s="82">
        <v>90</v>
      </c>
      <c r="BD59" s="82">
        <v>110</v>
      </c>
      <c r="BE59" s="82"/>
      <c r="BF59" s="32" t="s">
        <v>786</v>
      </c>
      <c r="BG59" s="32">
        <v>17</v>
      </c>
      <c r="BH59" s="32" t="s">
        <v>787</v>
      </c>
      <c r="BI59" s="32">
        <v>32.200000000000003</v>
      </c>
      <c r="BJ59" s="2" t="e">
        <f>CONCATENATE("► M1 Notes: ",#REF!," •-----► CL-SKF Notes: ",#REF!," •-----► DS Notes: ",#REF!)</f>
        <v>#REF!</v>
      </c>
      <c r="BK59" s="2"/>
      <c r="BL59" s="32">
        <v>6</v>
      </c>
      <c r="BM59" s="32" t="s">
        <v>115</v>
      </c>
      <c r="BN59" s="83">
        <v>73.436999999999998</v>
      </c>
      <c r="BO59" s="31">
        <v>19.89</v>
      </c>
      <c r="BP59" s="32" t="s">
        <v>116</v>
      </c>
      <c r="BQ59" s="32" t="s">
        <v>101</v>
      </c>
      <c r="BR59" s="32" t="s">
        <v>116</v>
      </c>
      <c r="BS59" s="32">
        <v>60</v>
      </c>
      <c r="BT59" s="32" t="s">
        <v>117</v>
      </c>
      <c r="BU59" s="32">
        <v>7</v>
      </c>
      <c r="BV59" s="32" t="s">
        <v>117</v>
      </c>
      <c r="BW59" s="103">
        <v>2.6</v>
      </c>
    </row>
    <row r="60" spans="2:75" x14ac:dyDescent="0.25">
      <c r="B60" s="1">
        <v>2148</v>
      </c>
      <c r="C60" s="2"/>
      <c r="D60" s="146" t="s">
        <v>93</v>
      </c>
      <c r="E60" s="75" t="s">
        <v>93</v>
      </c>
      <c r="F60" s="55" t="s">
        <v>788</v>
      </c>
      <c r="G60" s="55" t="s">
        <v>789</v>
      </c>
      <c r="H60" s="55" t="s">
        <v>790</v>
      </c>
      <c r="I60" s="55" t="s">
        <v>791</v>
      </c>
      <c r="J60" s="55" t="s">
        <v>792</v>
      </c>
      <c r="K60" s="55" t="s">
        <v>793</v>
      </c>
      <c r="L60" s="55" t="s">
        <v>794</v>
      </c>
      <c r="M60" s="55" t="s">
        <v>795</v>
      </c>
      <c r="N60" s="55" t="s">
        <v>796</v>
      </c>
      <c r="O60" s="55" t="s">
        <v>797</v>
      </c>
      <c r="P60" s="75" t="s">
        <v>93</v>
      </c>
      <c r="Q60" s="53" t="s">
        <v>93</v>
      </c>
      <c r="R60" s="76">
        <f>COUNTIFS([1]Fleet!$E:$E,Table1[[#This Row],[Old Assy '#]])+COUNTIFS([1]OnDeck!$E:$E,Table1[[#This Row],[Old Assy '#]])</f>
        <v>3</v>
      </c>
      <c r="S60" s="77">
        <v>42776</v>
      </c>
      <c r="T60" s="78"/>
      <c r="U60" s="78"/>
      <c r="V60" s="78"/>
      <c r="W60" s="56" t="str">
        <f>IF(AND(Table1[[#This Row],[Phase Out]]="Y",Table1[[#This Row],[Zero Inventory]]="Y"),"Y","")</f>
        <v/>
      </c>
      <c r="X60" s="79">
        <v>12.25</v>
      </c>
      <c r="Y60" s="63" t="s">
        <v>728</v>
      </c>
      <c r="Z60" s="59" t="str">
        <f>IF(LEFT(Table1[[#This Row],[Model]],2)="NX","NX",IF(LEFT(Table1[[#This Row],[Model]],2)="CR","CR",""))</f>
        <v>CR</v>
      </c>
      <c r="AA60" s="59" t="str">
        <f>LEFT(SUBSTITUTE(SUBSTITUTE(Table1[[#This Row],[Model]],"NX",""),"CR",""),1)</f>
        <v>6</v>
      </c>
      <c r="AB60" s="59" t="str">
        <f>MID(SUBSTITUTE(SUBSTITUTE(Table1[[#This Row],[Model]],"NX",""),"CR",""),2,2)</f>
        <v>16</v>
      </c>
      <c r="AC60" s="64" t="str">
        <f>IF(ISNUMBER(FIND("M",Table1[[#This Row],[Model]])),"M","")</f>
        <v/>
      </c>
      <c r="AD60" s="64" t="str">
        <f>CONCATENATE(MID(Table1[[#This Row],[Model]],FIND("-",Table1[[#This Row],[Model]])+1,2),IF(RIGHT(MID(Table1[[#This Row],[Model]],FIND("-",Table1[[#This Row],[Model]])+1,3),1)="+","+",""))</f>
        <v>XR</v>
      </c>
      <c r="AE60"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60" s="64" t="str">
        <f>IF(ISNUMBER(SEARCH("(K)",Table1[[#This Row],[Model]])),"(K)","")</f>
        <v>(K)</v>
      </c>
      <c r="AG60" s="64" t="str">
        <f>IF(ISNUMBER(SEARCH("(BR)",Table1[[#This Row],[Model]])),"(BR)","")</f>
        <v>(BR)</v>
      </c>
      <c r="AH60" s="32" t="s">
        <v>103</v>
      </c>
      <c r="AI60" s="32" t="s">
        <v>126</v>
      </c>
      <c r="AJ60" s="114" t="s">
        <v>452</v>
      </c>
      <c r="AK60" s="32"/>
      <c r="AL60" s="32" t="s">
        <v>106</v>
      </c>
      <c r="AM60" s="64" t="str">
        <f>SUBSTITUTE(INDEX('[2]M1 App'!$A$2:$R$349,MATCH(VALUE(LEFT(Table1[[#This Row],[Old Assy '#]],4)),'[2]M1 App'!$B$2:$B$349,0),MATCH(Table1[[#Headers],[App Interval Type]],'[2]M1 App'!$A$1:$R$1,0))," ","")</f>
        <v>Vertical</v>
      </c>
      <c r="AN60" s="64" t="s">
        <v>127</v>
      </c>
      <c r="AO60" s="65"/>
      <c r="AP60" s="66"/>
      <c r="AQ60" s="67">
        <f>VALUE(SUBSTITUTE(INDEX('[2]M1 App'!$A$2:$R$349,MATCH(VALUE(LEFT(Table1[[#This Row],[Old Assy '#]],4)),'[2]M1 App'!$B$2:$B$349,0),MATCH(Table1[[#Headers],[App Six Three]],'[2]M1 App'!$A$1:$R$1,0))," ",""))</f>
        <v>0</v>
      </c>
      <c r="AR60" s="68" t="s">
        <v>284</v>
      </c>
      <c r="AS60" s="32">
        <v>165432</v>
      </c>
      <c r="AT60" s="102">
        <f>5.9688*2</f>
        <v>11.9376</v>
      </c>
      <c r="AU60" s="69">
        <f>IF(ISNUMBER(Table1[[#This Row],[Above gauge Ø]]),((Table1[[#This Row],[Size]]-Table1[[#This Row],[Above gauge Ø]])/2)-0.05,"")</f>
        <v>0.10620000000000011</v>
      </c>
      <c r="AV60" s="70">
        <v>0.33</v>
      </c>
      <c r="AW60" s="32" t="s">
        <v>111</v>
      </c>
      <c r="AX60" s="32">
        <v>12.1876</v>
      </c>
      <c r="AY60" s="32" t="s">
        <v>692</v>
      </c>
      <c r="AZ60" s="32">
        <v>15</v>
      </c>
      <c r="BA60" s="32"/>
      <c r="BB60" s="82">
        <v>200</v>
      </c>
      <c r="BC60" s="82">
        <v>250</v>
      </c>
      <c r="BD60" s="82">
        <v>330</v>
      </c>
      <c r="BE60" s="82"/>
      <c r="BF60" s="32">
        <v>15</v>
      </c>
      <c r="BG60" s="32">
        <v>15</v>
      </c>
      <c r="BH60" s="32" t="s">
        <v>167</v>
      </c>
      <c r="BI60" s="32">
        <v>40</v>
      </c>
      <c r="BJ60" s="108" t="e">
        <f>CONCATENATE("► M1 Notes: ",#REF!," •-----► CL-SKF Notes: ",#REF!," •-----► DS Notes: ",#REF!)</f>
        <v>#REF!</v>
      </c>
      <c r="BK60" s="108" t="s">
        <v>729</v>
      </c>
      <c r="BL60" s="32">
        <v>8.5</v>
      </c>
      <c r="BM60" s="32" t="s">
        <v>115</v>
      </c>
      <c r="BN60" s="83">
        <v>100.3</v>
      </c>
      <c r="BO60" s="31">
        <v>40.770000000000003</v>
      </c>
      <c r="BP60" s="32" t="s">
        <v>116</v>
      </c>
      <c r="BQ60" s="32" t="s">
        <v>101</v>
      </c>
      <c r="BR60" s="32" t="s">
        <v>116</v>
      </c>
      <c r="BS60" s="32">
        <v>60</v>
      </c>
      <c r="BT60" s="32" t="s">
        <v>117</v>
      </c>
      <c r="BU60" s="32">
        <v>9</v>
      </c>
      <c r="BV60" s="32" t="s">
        <v>117</v>
      </c>
      <c r="BW60" s="103">
        <v>3.34</v>
      </c>
    </row>
    <row r="61" spans="2:75" x14ac:dyDescent="0.25">
      <c r="B61" s="1">
        <v>2152</v>
      </c>
      <c r="C61" s="2"/>
      <c r="D61" s="146" t="s">
        <v>93</v>
      </c>
      <c r="E61" s="75" t="s">
        <v>93</v>
      </c>
      <c r="F61" s="55" t="s">
        <v>799</v>
      </c>
      <c r="G61" s="55" t="s">
        <v>800</v>
      </c>
      <c r="H61" s="55" t="s">
        <v>801</v>
      </c>
      <c r="I61" s="55" t="s">
        <v>802</v>
      </c>
      <c r="J61" s="55" t="s">
        <v>803</v>
      </c>
      <c r="K61" s="55" t="s">
        <v>804</v>
      </c>
      <c r="L61" s="55" t="s">
        <v>805</v>
      </c>
      <c r="M61" s="55" t="s">
        <v>806</v>
      </c>
      <c r="N61" s="55" t="s">
        <v>807</v>
      </c>
      <c r="O61" s="55" t="s">
        <v>808</v>
      </c>
      <c r="P61" s="53" t="s">
        <v>93</v>
      </c>
      <c r="Q61" s="53" t="s">
        <v>93</v>
      </c>
      <c r="R61" s="76">
        <f>COUNTIFS([1]Fleet!$E:$E,Table1[[#This Row],[Old Assy '#]])+COUNTIFS([1]OnDeck!$E:$E,Table1[[#This Row],[Old Assy '#]])</f>
        <v>2</v>
      </c>
      <c r="S61" s="77">
        <v>42866</v>
      </c>
      <c r="T61" s="78"/>
      <c r="U61" s="78" t="s">
        <v>101</v>
      </c>
      <c r="V61" s="78"/>
      <c r="W61" s="56" t="str">
        <f>IF(AND(Table1[[#This Row],[Phase Out]]="Y",Table1[[#This Row],[Zero Inventory]]="Y"),"Y","")</f>
        <v/>
      </c>
      <c r="X61" s="79">
        <v>6.75</v>
      </c>
      <c r="Y61" s="63" t="s">
        <v>620</v>
      </c>
      <c r="Z61" s="59" t="str">
        <f>IF(LEFT(Table1[[#This Row],[Model]],2)="NX","NX",IF(LEFT(Table1[[#This Row],[Model]],2)="CR","CR",""))</f>
        <v>CR</v>
      </c>
      <c r="AA61" s="59" t="str">
        <f>LEFT(SUBSTITUTE(SUBSTITUTE(Table1[[#This Row],[Model]],"NX",""),"CR",""),1)</f>
        <v>5</v>
      </c>
      <c r="AB61" s="59" t="str">
        <f>MID(SUBSTITUTE(SUBSTITUTE(Table1[[#This Row],[Model]],"NX",""),"CR",""),2,2)</f>
        <v>16</v>
      </c>
      <c r="AC61" s="64" t="str">
        <f>IF(ISNUMBER(FIND("M",Table1[[#This Row],[Model]])),"M","")</f>
        <v/>
      </c>
      <c r="AD61" s="64" t="str">
        <f>CONCATENATE(MID(Table1[[#This Row],[Model]],FIND("-",Table1[[#This Row],[Model]])+1,2),IF(RIGHT(MID(Table1[[#This Row],[Model]],FIND("-",Table1[[#This Row],[Model]])+1,3),1)="+","+",""))</f>
        <v>XR</v>
      </c>
      <c r="AE6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61" s="64" t="str">
        <f>IF(ISNUMBER(SEARCH("(K)",Table1[[#This Row],[Model]])),"(K)","")</f>
        <v/>
      </c>
      <c r="AG61" s="64" t="str">
        <f>IF(ISNUMBER(SEARCH("(BR)",Table1[[#This Row],[Model]])),"(BR)","")</f>
        <v>(BR)</v>
      </c>
      <c r="AH61" s="32" t="s">
        <v>103</v>
      </c>
      <c r="AI61" s="32" t="s">
        <v>163</v>
      </c>
      <c r="AJ61" s="32"/>
      <c r="AK61" s="32"/>
      <c r="AL61" s="32" t="s">
        <v>259</v>
      </c>
      <c r="AM61" s="64" t="str">
        <f>SUBSTITUTE(INDEX('[2]M1 App'!$A$2:$R$349,MATCH(VALUE(LEFT(Table1[[#This Row],[Old Assy '#]],4)),'[2]M1 App'!$B$2:$B$349,0),MATCH(Table1[[#Headers],[App Interval Type]],'[2]M1 App'!$A$1:$R$1,0))," ","")</f>
        <v>Lateral</v>
      </c>
      <c r="AN61" s="64" t="s">
        <v>108</v>
      </c>
      <c r="AO61" s="65"/>
      <c r="AP61" s="66"/>
      <c r="AQ61" s="67">
        <f>VALUE(SUBSTITUTE(INDEX('[2]M1 App'!$A$2:$R$349,MATCH(VALUE(LEFT(Table1[[#This Row],[Old Assy '#]],4)),'[2]M1 App'!$B$2:$B$349,0),MATCH(Table1[[#Headers],[App Six Three]],'[2]M1 App'!$A$1:$R$1,0))," ",""))</f>
        <v>0</v>
      </c>
      <c r="AR61" s="68" t="s">
        <v>284</v>
      </c>
      <c r="AS61" s="32">
        <v>15432</v>
      </c>
      <c r="AT61" s="32">
        <v>6.5620000000000003</v>
      </c>
      <c r="AU61" s="69">
        <f>IF(ISNUMBER(Table1[[#This Row],[Above gauge Ø]]),((Table1[[#This Row],[Size]]-Table1[[#This Row],[Above gauge Ø]])/2)-0.05,"")</f>
        <v>4.3999999999999859E-2</v>
      </c>
      <c r="AV61" s="70">
        <v>0.33</v>
      </c>
      <c r="AW61" s="32" t="s">
        <v>111</v>
      </c>
      <c r="AX61" s="32">
        <v>6.6879999999999997</v>
      </c>
      <c r="AY61" s="32" t="s">
        <v>541</v>
      </c>
      <c r="AZ61" s="32">
        <v>10</v>
      </c>
      <c r="BA61" s="32"/>
      <c r="BB61" s="82">
        <v>190</v>
      </c>
      <c r="BC61" s="82">
        <v>180</v>
      </c>
      <c r="BD61" s="82"/>
      <c r="BE61" s="82"/>
      <c r="BF61" s="32">
        <v>12.5</v>
      </c>
      <c r="BG61" s="32">
        <v>12.5</v>
      </c>
      <c r="BH61" s="32" t="s">
        <v>621</v>
      </c>
      <c r="BI61" s="32">
        <v>35</v>
      </c>
      <c r="BJ61" s="108" t="e">
        <f>CONCATENATE("► M1 Notes: ",#REF!," •-----► CL-SKF Notes: ",#REF!," •-----► DS Notes: ",#REF!)</f>
        <v>#REF!</v>
      </c>
      <c r="BK61" s="108" t="s">
        <v>574</v>
      </c>
      <c r="BL61" s="32">
        <v>4</v>
      </c>
      <c r="BM61" s="32" t="s">
        <v>184</v>
      </c>
      <c r="BN61" s="83">
        <v>39.097999999999999</v>
      </c>
      <c r="BO61" s="31">
        <v>9.64</v>
      </c>
      <c r="BP61" s="32" t="s">
        <v>116</v>
      </c>
      <c r="BQ61" s="32" t="s">
        <v>101</v>
      </c>
      <c r="BR61" s="32" t="s">
        <v>116</v>
      </c>
      <c r="BS61" s="32">
        <v>55</v>
      </c>
      <c r="BT61" s="32" t="s">
        <v>117</v>
      </c>
      <c r="BU61" s="32">
        <v>5</v>
      </c>
      <c r="BV61" s="32" t="s">
        <v>117</v>
      </c>
      <c r="BW61" s="103">
        <v>0.98</v>
      </c>
    </row>
    <row r="62" spans="2:75" x14ac:dyDescent="0.25">
      <c r="B62" s="1">
        <v>2153</v>
      </c>
      <c r="C62" s="2"/>
      <c r="D62" s="146" t="s">
        <v>93</v>
      </c>
      <c r="E62" s="55" t="s">
        <v>809</v>
      </c>
      <c r="F62" s="55" t="s">
        <v>810</v>
      </c>
      <c r="G62" s="55" t="s">
        <v>811</v>
      </c>
      <c r="H62" s="55" t="s">
        <v>812</v>
      </c>
      <c r="I62" s="55" t="s">
        <v>813</v>
      </c>
      <c r="J62" s="55" t="s">
        <v>814</v>
      </c>
      <c r="K62" s="117" t="s">
        <v>815</v>
      </c>
      <c r="L62" s="55" t="s">
        <v>816</v>
      </c>
      <c r="M62" s="55" t="s">
        <v>817</v>
      </c>
      <c r="N62" s="55" t="s">
        <v>818</v>
      </c>
      <c r="O62" s="55" t="s">
        <v>819</v>
      </c>
      <c r="P62" s="53" t="s">
        <v>93</v>
      </c>
      <c r="Q62" s="53" t="s">
        <v>93</v>
      </c>
      <c r="R62" s="76">
        <f>COUNTIFS([1]Fleet!$E:$E,Table1[[#This Row],[Old Assy '#]])+COUNTIFS([1]OnDeck!$E:$E,Table1[[#This Row],[Old Assy '#]])</f>
        <v>1</v>
      </c>
      <c r="S62" s="77">
        <v>42871</v>
      </c>
      <c r="T62" s="78"/>
      <c r="U62" s="78"/>
      <c r="V62" s="78"/>
      <c r="W62" s="56" t="str">
        <f>IF(AND(Table1[[#This Row],[Phase Out]]="Y",Table1[[#This Row],[Zero Inventory]]="Y"),"Y","")</f>
        <v/>
      </c>
      <c r="X62" s="79">
        <v>12.25</v>
      </c>
      <c r="Y62" s="118" t="s">
        <v>820</v>
      </c>
      <c r="Z62" s="59" t="str">
        <f>IF(LEFT(Table1[[#This Row],[Model]],2)="NX","NX",IF(LEFT(Table1[[#This Row],[Model]],2)="CR","CR",""))</f>
        <v>CR</v>
      </c>
      <c r="AA62" s="59" t="str">
        <f>LEFT(SUBSTITUTE(SUBSTITUTE(Table1[[#This Row],[Model]],"NX",""),"CR",""),1)</f>
        <v>7</v>
      </c>
      <c r="AB62" s="59" t="str">
        <f>MID(SUBSTITUTE(SUBSTITUTE(Table1[[#This Row],[Model]],"NX",""),"CR",""),2,2)</f>
        <v>13</v>
      </c>
      <c r="AC62" s="64" t="str">
        <f>IF(ISNUMBER(FIND("M",Table1[[#This Row],[Model]])),"M","")</f>
        <v/>
      </c>
      <c r="AD62" s="64" t="str">
        <f>CONCATENATE(MID(Table1[[#This Row],[Model]],FIND("-",Table1[[#This Row],[Model]])+1,2),IF(RIGHT(MID(Table1[[#This Row],[Model]],FIND("-",Table1[[#This Row],[Model]])+1,3),1)="+","+",""))</f>
        <v>SR+</v>
      </c>
      <c r="AE62"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62" s="64" t="str">
        <f>IF(ISNUMBER(SEARCH("(K)",Table1[[#This Row],[Model]])),"(K)","")</f>
        <v>(K)</v>
      </c>
      <c r="AG62" s="64" t="str">
        <f>IF(ISNUMBER(SEARCH("(BR)",Table1[[#This Row],[Model]])),"(BR)","")</f>
        <v>(BR)</v>
      </c>
      <c r="AH62" s="32" t="s">
        <v>103</v>
      </c>
      <c r="AI62" s="32" t="s">
        <v>126</v>
      </c>
      <c r="AJ62" s="114" t="s">
        <v>821</v>
      </c>
      <c r="AK62" s="32"/>
      <c r="AL62" s="32" t="s">
        <v>320</v>
      </c>
      <c r="AM62" s="64" t="str">
        <f>SUBSTITUTE(INDEX('[2]M1 App'!$A$2:$R$349,MATCH(VALUE(LEFT(Table1[[#This Row],[Old Assy '#]],4)),'[2]M1 App'!$B$2:$B$349,0),MATCH(Table1[[#Headers],[App Interval Type]],'[2]M1 App'!$A$1:$R$1,0))," ","")</f>
        <v>Curve</v>
      </c>
      <c r="AN62" s="64" t="s">
        <v>127</v>
      </c>
      <c r="AO62" s="65"/>
      <c r="AP62" s="66"/>
      <c r="AQ62" s="67">
        <f>VALUE(SUBSTITUTE(INDEX('[2]M1 App'!$A$2:$R$349,MATCH(VALUE(LEFT(Table1[[#This Row],[Old Assy '#]],4)),'[2]M1 App'!$B$2:$B$349,0),MATCH(Table1[[#Headers],[App Six Three]],'[2]M1 App'!$A$1:$R$1,0))," ",""))</f>
        <v>0</v>
      </c>
      <c r="AR62" s="68" t="s">
        <v>284</v>
      </c>
      <c r="AS62" s="32">
        <v>1765432</v>
      </c>
      <c r="AT62" s="102">
        <f>5.9375*2</f>
        <v>11.875</v>
      </c>
      <c r="AU62" s="69">
        <f>IF(ISNUMBER(Table1[[#This Row],[Above gauge Ø]]),((Table1[[#This Row],[Size]]-Table1[[#This Row],[Above gauge Ø]])/2)-0.05,"")</f>
        <v>0.13750000000000001</v>
      </c>
      <c r="AV62" s="70">
        <v>0.33</v>
      </c>
      <c r="AW62" s="32" t="s">
        <v>180</v>
      </c>
      <c r="AX62" s="32">
        <v>12.25</v>
      </c>
      <c r="AY62" s="32" t="s">
        <v>822</v>
      </c>
      <c r="AZ62" s="32">
        <v>7</v>
      </c>
      <c r="BA62" s="32"/>
      <c r="BB62" s="82"/>
      <c r="BC62" s="82">
        <v>0</v>
      </c>
      <c r="BD62" s="82"/>
      <c r="BE62" s="82"/>
      <c r="BF62" s="32">
        <v>17.5</v>
      </c>
      <c r="BG62" s="32">
        <v>15</v>
      </c>
      <c r="BH62" s="32" t="s">
        <v>322</v>
      </c>
      <c r="BI62" s="32">
        <v>40</v>
      </c>
      <c r="BJ62" s="2" t="e">
        <f>CONCATENATE("► M1 Notes: ",#REF!," •-----► CL-SKF Notes: ",#REF!," •-----► DS Notes: ",#REF!)</f>
        <v>#REF!</v>
      </c>
      <c r="BK62" s="2" t="s">
        <v>823</v>
      </c>
      <c r="BL62" s="32">
        <v>3</v>
      </c>
      <c r="BM62" s="32" t="s">
        <v>184</v>
      </c>
      <c r="BN62" s="83">
        <v>39.826000000000001</v>
      </c>
      <c r="BO62" s="31">
        <v>32.92</v>
      </c>
      <c r="BP62" s="32" t="s">
        <v>116</v>
      </c>
      <c r="BQ62" s="32" t="s">
        <v>101</v>
      </c>
      <c r="BR62" s="32" t="s">
        <v>116</v>
      </c>
      <c r="BS62" s="32">
        <v>60</v>
      </c>
      <c r="BT62" s="32" t="s">
        <v>117</v>
      </c>
      <c r="BU62" s="32">
        <v>7</v>
      </c>
      <c r="BV62" s="32" t="s">
        <v>117</v>
      </c>
      <c r="BW62" s="103">
        <v>2.6</v>
      </c>
    </row>
    <row r="63" spans="2:75" x14ac:dyDescent="0.25">
      <c r="B63" s="1">
        <v>2154</v>
      </c>
      <c r="C63" s="2"/>
      <c r="D63" s="146" t="s">
        <v>93</v>
      </c>
      <c r="E63" s="55" t="s">
        <v>824</v>
      </c>
      <c r="F63" s="55" t="s">
        <v>825</v>
      </c>
      <c r="G63" s="55" t="s">
        <v>826</v>
      </c>
      <c r="H63" s="55" t="s">
        <v>827</v>
      </c>
      <c r="I63" s="55" t="s">
        <v>828</v>
      </c>
      <c r="J63" s="55" t="s">
        <v>829</v>
      </c>
      <c r="K63" s="55" t="s">
        <v>830</v>
      </c>
      <c r="L63" s="55" t="s">
        <v>831</v>
      </c>
      <c r="M63" s="55" t="s">
        <v>832</v>
      </c>
      <c r="N63" s="55" t="s">
        <v>833</v>
      </c>
      <c r="O63" s="55" t="s">
        <v>834</v>
      </c>
      <c r="P63" s="53" t="s">
        <v>93</v>
      </c>
      <c r="Q63" s="53" t="s">
        <v>93</v>
      </c>
      <c r="R63" s="76">
        <f>COUNTIFS([1]Fleet!$E:$E,Table1[[#This Row],[Old Assy '#]])+COUNTIFS([1]OnDeck!$E:$E,Table1[[#This Row],[Old Assy '#]])</f>
        <v>1</v>
      </c>
      <c r="S63" s="77">
        <v>42878</v>
      </c>
      <c r="T63" s="78"/>
      <c r="U63" s="78"/>
      <c r="V63" s="78"/>
      <c r="W63" s="56" t="str">
        <f>IF(AND(Table1[[#This Row],[Phase Out]]="Y",Table1[[#This Row],[Zero Inventory]]="Y"),"Y","")</f>
        <v/>
      </c>
      <c r="X63" s="110">
        <v>7.875</v>
      </c>
      <c r="Y63" s="111" t="s">
        <v>835</v>
      </c>
      <c r="Z63" s="59" t="str">
        <f>IF(LEFT(Table1[[#This Row],[Model]],2)="NX","NX",IF(LEFT(Table1[[#This Row],[Model]],2)="CR","CR",""))</f>
        <v>CR</v>
      </c>
      <c r="AA63" s="59" t="str">
        <f>LEFT(SUBSTITUTE(SUBSTITUTE(Table1[[#This Row],[Model]],"NX",""),"CR",""),1)</f>
        <v>5</v>
      </c>
      <c r="AB63" s="59" t="str">
        <f>MID(SUBSTITUTE(SUBSTITUTE(Table1[[#This Row],[Model]],"NX",""),"CR",""),2,2)</f>
        <v>16</v>
      </c>
      <c r="AC63" s="64" t="str">
        <f>IF(ISNUMBER(FIND("M",Table1[[#This Row],[Model]])),"M","")</f>
        <v/>
      </c>
      <c r="AD63" s="64" t="str">
        <f>CONCATENATE(MID(Table1[[#This Row],[Model]],FIND("-",Table1[[#This Row],[Model]])+1,2),IF(RIGHT(MID(Table1[[#This Row],[Model]],FIND("-",Table1[[#This Row],[Model]])+1,3),1)="+","+",""))</f>
        <v>SR</v>
      </c>
      <c r="AE6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63" s="64" t="str">
        <f>IF(ISNUMBER(SEARCH("(K)",Table1[[#This Row],[Model]])),"(K)","")</f>
        <v>(K)</v>
      </c>
      <c r="AG63" s="64" t="str">
        <f>IF(ISNUMBER(SEARCH("(BR)",Table1[[#This Row],[Model]])),"(BR)","")</f>
        <v/>
      </c>
      <c r="AH63" s="32" t="s">
        <v>103</v>
      </c>
      <c r="AI63" s="32" t="s">
        <v>104</v>
      </c>
      <c r="AJ63" s="114" t="s">
        <v>452</v>
      </c>
      <c r="AK63" s="32"/>
      <c r="AL63" s="32" t="s">
        <v>106</v>
      </c>
      <c r="AM63" s="64" t="str">
        <f>SUBSTITUTE(INDEX('[2]M1 App'!$A$2:$R$349,MATCH(VALUE(LEFT(Table1[[#This Row],[Old Assy '#]],4)),'[2]M1 App'!$B$2:$B$349,0),MATCH(Table1[[#Headers],[App Interval Type]],'[2]M1 App'!$A$1:$R$1,0))," ","")</f>
        <v>Vertical</v>
      </c>
      <c r="AN63" s="64" t="s">
        <v>108</v>
      </c>
      <c r="AO63" s="65"/>
      <c r="AP63" s="66"/>
      <c r="AQ63" s="67">
        <f>VALUE(SUBSTITUTE(INDEX('[2]M1 App'!$A$2:$R$349,MATCH(VALUE(LEFT(Table1[[#This Row],[Old Assy '#]],4)),'[2]M1 App'!$B$2:$B$349,0),MATCH(Table1[[#Headers],[App Six Three]],'[2]M1 App'!$A$1:$R$1,0))," ",""))</f>
        <v>0</v>
      </c>
      <c r="AR63" s="68" t="s">
        <v>284</v>
      </c>
      <c r="AS63" s="32">
        <v>15432</v>
      </c>
      <c r="AT63" s="32">
        <v>7.6875</v>
      </c>
      <c r="AU63" s="69">
        <f>IF(ISNUMBER(Table1[[#This Row],[Above gauge Ø]]),((Table1[[#This Row],[Size]]-Table1[[#This Row],[Above gauge Ø]])/2)-0.05,"")</f>
        <v>4.3749999999999997E-2</v>
      </c>
      <c r="AV63" s="70">
        <v>0.33</v>
      </c>
      <c r="AW63" s="32" t="s">
        <v>111</v>
      </c>
      <c r="AX63" s="32">
        <v>7.8125</v>
      </c>
      <c r="AY63" s="32" t="s">
        <v>112</v>
      </c>
      <c r="AZ63" s="32">
        <v>12.5</v>
      </c>
      <c r="BA63" s="32"/>
      <c r="BB63" s="82"/>
      <c r="BC63" s="82"/>
      <c r="BD63" s="82">
        <v>350</v>
      </c>
      <c r="BE63" s="82"/>
      <c r="BF63" s="32">
        <v>12.5</v>
      </c>
      <c r="BG63" s="32">
        <v>15</v>
      </c>
      <c r="BH63" s="32" t="s">
        <v>322</v>
      </c>
      <c r="BI63" s="32">
        <v>35</v>
      </c>
      <c r="BJ63" s="108" t="e">
        <f>CONCATENATE("► M1 Notes: ",#REF!," •-----► CL-SKF Notes: ",#REF!," •-----► DS Notes: ",#REF!)</f>
        <v>#REF!</v>
      </c>
      <c r="BK63" s="108" t="s">
        <v>716</v>
      </c>
      <c r="BL63" s="32">
        <v>3</v>
      </c>
      <c r="BM63" s="32" t="s">
        <v>115</v>
      </c>
      <c r="BN63" s="83">
        <v>25.552</v>
      </c>
      <c r="BO63" s="31">
        <v>10.84</v>
      </c>
      <c r="BP63" s="32" t="s">
        <v>116</v>
      </c>
      <c r="BQ63" s="32" t="s">
        <v>101</v>
      </c>
      <c r="BR63" s="32" t="s">
        <v>116</v>
      </c>
      <c r="BS63" s="32">
        <v>60</v>
      </c>
      <c r="BT63" s="32" t="s">
        <v>117</v>
      </c>
      <c r="BU63" s="32">
        <v>5</v>
      </c>
      <c r="BV63" s="32" t="s">
        <v>117</v>
      </c>
      <c r="BW63" s="103">
        <v>1.86</v>
      </c>
    </row>
    <row r="64" spans="2:75" x14ac:dyDescent="0.25">
      <c r="B64" s="1">
        <v>2157</v>
      </c>
      <c r="C64" s="2"/>
      <c r="D64" s="146" t="s">
        <v>93</v>
      </c>
      <c r="E64" s="55" t="s">
        <v>836</v>
      </c>
      <c r="F64" s="55" t="s">
        <v>837</v>
      </c>
      <c r="G64" s="55" t="s">
        <v>838</v>
      </c>
      <c r="H64" s="55" t="s">
        <v>839</v>
      </c>
      <c r="I64" s="55" t="s">
        <v>840</v>
      </c>
      <c r="J64" s="55" t="s">
        <v>841</v>
      </c>
      <c r="K64" s="55" t="s">
        <v>842</v>
      </c>
      <c r="L64" s="55" t="s">
        <v>843</v>
      </c>
      <c r="M64" s="55" t="s">
        <v>844</v>
      </c>
      <c r="N64" s="55" t="s">
        <v>845</v>
      </c>
      <c r="O64" s="55" t="s">
        <v>846</v>
      </c>
      <c r="P64" s="53" t="s">
        <v>93</v>
      </c>
      <c r="Q64" s="53" t="s">
        <v>93</v>
      </c>
      <c r="R64" s="76">
        <f>COUNTIFS([1]Fleet!$E:$E,Table1[[#This Row],[Old Assy '#]])+COUNTIFS([1]OnDeck!$E:$E,Table1[[#This Row],[Old Assy '#]])</f>
        <v>1</v>
      </c>
      <c r="S64" s="77">
        <v>42912</v>
      </c>
      <c r="T64" s="78"/>
      <c r="U64" s="78"/>
      <c r="V64" s="78"/>
      <c r="W64" s="56" t="str">
        <f>IF(AND(Table1[[#This Row],[Phase Out]]="Y",Table1[[#This Row],[Zero Inventory]]="Y"),"Y","")</f>
        <v/>
      </c>
      <c r="X64" s="79">
        <v>12.25</v>
      </c>
      <c r="Y64" s="63" t="s">
        <v>728</v>
      </c>
      <c r="Z64" s="59" t="str">
        <f>IF(LEFT(Table1[[#This Row],[Model]],2)="NX","NX",IF(LEFT(Table1[[#This Row],[Model]],2)="CR","CR",""))</f>
        <v>CR</v>
      </c>
      <c r="AA64" s="59" t="str">
        <f>LEFT(SUBSTITUTE(SUBSTITUTE(Table1[[#This Row],[Model]],"NX",""),"CR",""),1)</f>
        <v>6</v>
      </c>
      <c r="AB64" s="59" t="str">
        <f>MID(SUBSTITUTE(SUBSTITUTE(Table1[[#This Row],[Model]],"NX",""),"CR",""),2,2)</f>
        <v>16</v>
      </c>
      <c r="AC64" s="64" t="str">
        <f>IF(ISNUMBER(FIND("M",Table1[[#This Row],[Model]])),"M","")</f>
        <v/>
      </c>
      <c r="AD64" s="64" t="str">
        <f>CONCATENATE(MID(Table1[[#This Row],[Model]],FIND("-",Table1[[#This Row],[Model]])+1,2),IF(RIGHT(MID(Table1[[#This Row],[Model]],FIND("-",Table1[[#This Row],[Model]])+1,3),1)="+","+",""))</f>
        <v>XR</v>
      </c>
      <c r="AE6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64" s="64" t="str">
        <f>IF(ISNUMBER(SEARCH("(K)",Table1[[#This Row],[Model]])),"(K)","")</f>
        <v>(K)</v>
      </c>
      <c r="AG64" s="64" t="str">
        <f>IF(ISNUMBER(SEARCH("(BR)",Table1[[#This Row],[Model]])),"(BR)","")</f>
        <v>(BR)</v>
      </c>
      <c r="AH64" s="32" t="s">
        <v>103</v>
      </c>
      <c r="AI64" s="32" t="s">
        <v>126</v>
      </c>
      <c r="AJ64" s="114" t="s">
        <v>452</v>
      </c>
      <c r="AK64" s="32"/>
      <c r="AL64" s="32" t="s">
        <v>106</v>
      </c>
      <c r="AM64" s="64" t="str">
        <f>SUBSTITUTE(INDEX('[2]M1 App'!$A$2:$R$349,MATCH(VALUE(LEFT(Table1[[#This Row],[Old Assy '#]],4)),'[2]M1 App'!$B$2:$B$349,0),MATCH(Table1[[#Headers],[App Interval Type]],'[2]M1 App'!$A$1:$R$1,0))," ","")</f>
        <v>Vertical</v>
      </c>
      <c r="AN64" s="64" t="s">
        <v>127</v>
      </c>
      <c r="AO64" s="65"/>
      <c r="AP64" s="66"/>
      <c r="AQ64" s="67">
        <f>VALUE(SUBSTITUTE(INDEX('[2]M1 App'!$A$2:$R$349,MATCH(VALUE(LEFT(Table1[[#This Row],[Old Assy '#]],4)),'[2]M1 App'!$B$2:$B$349,0),MATCH(Table1[[#Headers],[App Six Three]],'[2]M1 App'!$A$1:$R$1,0))," ",""))</f>
        <v>0</v>
      </c>
      <c r="AR64" s="68" t="s">
        <v>284</v>
      </c>
      <c r="AS64" s="32">
        <v>165432</v>
      </c>
      <c r="AT64" s="102">
        <f>5.9688*2</f>
        <v>11.9376</v>
      </c>
      <c r="AU64" s="69">
        <f>IF(ISNUMBER(Table1[[#This Row],[Above gauge Ø]]),((Table1[[#This Row],[Size]]-Table1[[#This Row],[Above gauge Ø]])/2)-0.05,"")</f>
        <v>0.10620000000000011</v>
      </c>
      <c r="AV64" s="70">
        <v>0.33</v>
      </c>
      <c r="AW64" s="32" t="s">
        <v>111</v>
      </c>
      <c r="AX64" s="32">
        <f>6.0938*2</f>
        <v>12.1876</v>
      </c>
      <c r="AY64" s="32" t="s">
        <v>692</v>
      </c>
      <c r="AZ64" s="32">
        <v>15</v>
      </c>
      <c r="BA64" s="32"/>
      <c r="BB64" s="82">
        <v>170</v>
      </c>
      <c r="BC64" s="82">
        <v>140</v>
      </c>
      <c r="BD64" s="82">
        <v>0</v>
      </c>
      <c r="BE64" s="82"/>
      <c r="BF64" s="32">
        <v>15</v>
      </c>
      <c r="BG64" s="32">
        <v>15</v>
      </c>
      <c r="BH64" s="32" t="s">
        <v>167</v>
      </c>
      <c r="BI64" s="32">
        <v>40</v>
      </c>
      <c r="BJ64" s="109" t="e">
        <f>CONCATENATE("► M1 Notes: ",#REF!," •-----► CL-SKF Notes: ",#REF!," •-----► DS Notes: ",#REF!)</f>
        <v>#REF!</v>
      </c>
      <c r="BK64" s="109" t="s">
        <v>729</v>
      </c>
      <c r="BL64" s="32">
        <v>4</v>
      </c>
      <c r="BM64" s="32" t="s">
        <v>115</v>
      </c>
      <c r="BN64" s="83">
        <v>56.88</v>
      </c>
      <c r="BO64" s="31">
        <v>40.770000000000003</v>
      </c>
      <c r="BP64" s="32" t="s">
        <v>116</v>
      </c>
      <c r="BQ64" s="32" t="s">
        <v>101</v>
      </c>
      <c r="BR64" s="32" t="s">
        <v>116</v>
      </c>
      <c r="BS64" s="32">
        <v>60</v>
      </c>
      <c r="BT64" s="32" t="s">
        <v>117</v>
      </c>
      <c r="BU64" s="32">
        <v>9</v>
      </c>
      <c r="BV64" s="32" t="s">
        <v>117</v>
      </c>
      <c r="BW64" s="103">
        <v>3.34</v>
      </c>
    </row>
    <row r="65" spans="2:75" x14ac:dyDescent="0.25">
      <c r="B65" s="1">
        <v>2158</v>
      </c>
      <c r="C65" s="2"/>
      <c r="D65" s="146" t="s">
        <v>93</v>
      </c>
      <c r="E65" s="55" t="s">
        <v>847</v>
      </c>
      <c r="F65" s="75" t="s">
        <v>93</v>
      </c>
      <c r="G65" s="55" t="s">
        <v>848</v>
      </c>
      <c r="H65" s="55" t="s">
        <v>849</v>
      </c>
      <c r="I65" s="55" t="s">
        <v>850</v>
      </c>
      <c r="J65" s="55" t="s">
        <v>851</v>
      </c>
      <c r="K65" s="55" t="s">
        <v>852</v>
      </c>
      <c r="L65" s="55" t="s">
        <v>853</v>
      </c>
      <c r="M65" s="75" t="s">
        <v>93</v>
      </c>
      <c r="N65" s="55" t="s">
        <v>854</v>
      </c>
      <c r="O65" s="55" t="s">
        <v>855</v>
      </c>
      <c r="P65" s="53" t="s">
        <v>93</v>
      </c>
      <c r="Q65" s="53" t="s">
        <v>93</v>
      </c>
      <c r="R65" s="76">
        <f>COUNTIFS([1]Fleet!$E:$E,Table1[[#This Row],[Old Assy '#]])+COUNTIFS([1]OnDeck!$E:$E,Table1[[#This Row],[Old Assy '#]])</f>
        <v>1</v>
      </c>
      <c r="S65" s="77">
        <v>42926</v>
      </c>
      <c r="T65" s="78"/>
      <c r="U65" s="78"/>
      <c r="V65" s="78"/>
      <c r="W65" s="56" t="str">
        <f>IF(AND(Table1[[#This Row],[Phase Out]]="Y",Table1[[#This Row],[Zero Inventory]]="Y"),"Y","")</f>
        <v/>
      </c>
      <c r="X65" s="79">
        <v>11</v>
      </c>
      <c r="Y65" s="63" t="s">
        <v>856</v>
      </c>
      <c r="Z65" s="59" t="str">
        <f>IF(LEFT(Table1[[#This Row],[Model]],2)="NX","NX",IF(LEFT(Table1[[#This Row],[Model]],2)="CR","CR",""))</f>
        <v>CR</v>
      </c>
      <c r="AA65" s="59" t="str">
        <f>LEFT(SUBSTITUTE(SUBSTITUTE(Table1[[#This Row],[Model]],"NX",""),"CR",""),1)</f>
        <v>6</v>
      </c>
      <c r="AB65" s="59" t="str">
        <f>MID(SUBSTITUTE(SUBSTITUTE(Table1[[#This Row],[Model]],"NX",""),"CR",""),2,2)</f>
        <v>16</v>
      </c>
      <c r="AC65" s="64" t="str">
        <f>IF(ISNUMBER(FIND("M",Table1[[#This Row],[Model]])),"M","")</f>
        <v/>
      </c>
      <c r="AD65" s="64" t="str">
        <f>CONCATENATE(MID(Table1[[#This Row],[Model]],FIND("-",Table1[[#This Row],[Model]])+1,2),IF(RIGHT(MID(Table1[[#This Row],[Model]],FIND("-",Table1[[#This Row],[Model]])+1,3),1)="+","+",""))</f>
        <v>SR</v>
      </c>
      <c r="AE65"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65" s="64" t="str">
        <f>IF(ISNUMBER(SEARCH("(K)",Table1[[#This Row],[Model]])),"(K)","")</f>
        <v>(K)</v>
      </c>
      <c r="AG65" s="64" t="str">
        <f>IF(ISNUMBER(SEARCH("(BR)",Table1[[#This Row],[Model]])),"(BR)","")</f>
        <v/>
      </c>
      <c r="AH65" s="32" t="s">
        <v>103</v>
      </c>
      <c r="AI65" s="32" t="s">
        <v>126</v>
      </c>
      <c r="AJ65" s="114" t="s">
        <v>452</v>
      </c>
      <c r="AK65" s="32"/>
      <c r="AL65" s="32" t="s">
        <v>106</v>
      </c>
      <c r="AM65" s="64" t="str">
        <f>SUBSTITUTE(INDEX('[2]M1 App'!$A$2:$R$349,MATCH(VALUE(LEFT(Table1[[#This Row],[Old Assy '#]],4)),'[2]M1 App'!$B$2:$B$349,0),MATCH(Table1[[#Headers],[App Interval Type]],'[2]M1 App'!$A$1:$R$1,0))," ","")</f>
        <v>Vertical</v>
      </c>
      <c r="AN65" s="64" t="s">
        <v>127</v>
      </c>
      <c r="AO65" s="65"/>
      <c r="AP65" s="66"/>
      <c r="AQ65" s="67">
        <f>VALUE(SUBSTITUTE(INDEX('[2]M1 App'!$A$2:$R$349,MATCH(VALUE(LEFT(Table1[[#This Row],[Old Assy '#]],4)),'[2]M1 App'!$B$2:$B$349,0),MATCH(Table1[[#Headers],[App Six Three]],'[2]M1 App'!$A$1:$R$1,0))," ",""))</f>
        <v>8.3000000000000004E-2</v>
      </c>
      <c r="AR65" s="69" t="str">
        <f>SUBSTITUTE(INDEX('[2]M1 App'!$A$2:$R$349,MATCH(VALUE(LEFT(Table1[[#This Row],[Old Assy '#]],4)),'[2]M1 App'!$B$2:$B$349,0),MATCH(Table1[[#Headers],[App Cutter Layout]],'[2]M1 App'!$A$1:$R$1,0))," ","")</f>
        <v>Redundant</v>
      </c>
      <c r="AS65" s="32" t="s">
        <v>128</v>
      </c>
      <c r="AT65" s="32">
        <v>10.75</v>
      </c>
      <c r="AU65" s="69">
        <f>IF(ISNUMBER(Table1[[#This Row],[Above gauge Ø]]),((Table1[[#This Row],[Size]]-Table1[[#This Row],[Above gauge Ø]])/2)-0.05,"")</f>
        <v>7.4999999999999997E-2</v>
      </c>
      <c r="AV65" s="70">
        <v>0.33</v>
      </c>
      <c r="AW65" s="32" t="s">
        <v>111</v>
      </c>
      <c r="AX65" s="32">
        <v>10.906000000000001</v>
      </c>
      <c r="AY65" s="32" t="s">
        <v>857</v>
      </c>
      <c r="AZ65" s="32">
        <v>15</v>
      </c>
      <c r="BA65" s="32">
        <v>83</v>
      </c>
      <c r="BB65" s="82"/>
      <c r="BC65" s="82"/>
      <c r="BD65" s="82">
        <v>500</v>
      </c>
      <c r="BE65" s="82"/>
      <c r="BF65" s="32" t="s">
        <v>665</v>
      </c>
      <c r="BG65" s="32">
        <v>12.5</v>
      </c>
      <c r="BH65" s="32" t="s">
        <v>858</v>
      </c>
      <c r="BI65" s="32">
        <v>30</v>
      </c>
      <c r="BJ65" s="109" t="e">
        <f>CONCATENATE("► M1 Notes: ",#REF!," •-----► CL-SKF Notes: ",#REF!," •-----► DS Notes: ",#REF!)</f>
        <v>#REF!</v>
      </c>
      <c r="BK65" s="109" t="s">
        <v>859</v>
      </c>
      <c r="BL65" s="32">
        <v>4</v>
      </c>
      <c r="BM65" s="32" t="s">
        <v>115</v>
      </c>
      <c r="BN65" s="83">
        <v>47.1</v>
      </c>
      <c r="BO65" s="31">
        <v>26.02</v>
      </c>
      <c r="BP65" s="32" t="s">
        <v>116</v>
      </c>
      <c r="BQ65" s="32" t="s">
        <v>101</v>
      </c>
      <c r="BR65" s="32" t="s">
        <v>116</v>
      </c>
      <c r="BS65" s="32">
        <v>60</v>
      </c>
      <c r="BT65" s="32" t="s">
        <v>117</v>
      </c>
      <c r="BU65" s="32">
        <v>9</v>
      </c>
      <c r="BV65" s="32" t="s">
        <v>117</v>
      </c>
      <c r="BW65" s="103">
        <v>3.34</v>
      </c>
    </row>
    <row r="66" spans="2:75" x14ac:dyDescent="0.25">
      <c r="B66" s="1">
        <v>2160</v>
      </c>
      <c r="C66" s="2"/>
      <c r="D66" s="146" t="s">
        <v>93</v>
      </c>
      <c r="E66" s="75" t="s">
        <v>93</v>
      </c>
      <c r="F66" s="75" t="s">
        <v>93</v>
      </c>
      <c r="G66" s="55" t="s">
        <v>860</v>
      </c>
      <c r="H66" s="55" t="s">
        <v>861</v>
      </c>
      <c r="I66" s="55" t="s">
        <v>862</v>
      </c>
      <c r="J66" s="55" t="s">
        <v>863</v>
      </c>
      <c r="K66" s="55" t="s">
        <v>864</v>
      </c>
      <c r="L66" s="55" t="s">
        <v>865</v>
      </c>
      <c r="M66" s="75" t="s">
        <v>93</v>
      </c>
      <c r="N66" s="55" t="s">
        <v>866</v>
      </c>
      <c r="O66" s="55" t="s">
        <v>867</v>
      </c>
      <c r="P66" s="53" t="s">
        <v>93</v>
      </c>
      <c r="Q66" s="53" t="s">
        <v>93</v>
      </c>
      <c r="R66" s="76">
        <f>COUNTIFS([1]Fleet!$E:$E,Table1[[#This Row],[Old Assy '#]])+COUNTIFS([1]OnDeck!$E:$E,Table1[[#This Row],[Old Assy '#]])</f>
        <v>1</v>
      </c>
      <c r="S66" s="77">
        <v>42914</v>
      </c>
      <c r="T66" s="78"/>
      <c r="U66" s="78"/>
      <c r="V66" s="78"/>
      <c r="W66" s="56" t="str">
        <f>IF(AND(Table1[[#This Row],[Phase Out]]="Y",Table1[[#This Row],[Zero Inventory]]="Y"),"Y","")</f>
        <v/>
      </c>
      <c r="X66" s="79">
        <v>17.5</v>
      </c>
      <c r="Y66" s="63" t="s">
        <v>868</v>
      </c>
      <c r="Z66" s="59" t="str">
        <f>IF(LEFT(Table1[[#This Row],[Model]],2)="NX","NX",IF(LEFT(Table1[[#This Row],[Model]],2)="CR","CR",""))</f>
        <v>CR</v>
      </c>
      <c r="AA66" s="59" t="str">
        <f>LEFT(SUBSTITUTE(SUBSTITUTE(Table1[[#This Row],[Model]],"NX",""),"CR",""),1)</f>
        <v>6</v>
      </c>
      <c r="AB66" s="59" t="str">
        <f>MID(SUBSTITUTE(SUBSTITUTE(Table1[[#This Row],[Model]],"NX",""),"CR",""),2,2)</f>
        <v>16</v>
      </c>
      <c r="AC66" s="64" t="str">
        <f>IF(ISNUMBER(FIND("M",Table1[[#This Row],[Model]])),"M","")</f>
        <v/>
      </c>
      <c r="AD66" s="64" t="str">
        <f>CONCATENATE(MID(Table1[[#This Row],[Model]],FIND("-",Table1[[#This Row],[Model]])+1,2),IF(RIGHT(MID(Table1[[#This Row],[Model]],FIND("-",Table1[[#This Row],[Model]])+1,3),1)="+","+",""))</f>
        <v>SR+</v>
      </c>
      <c r="AE66"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66" s="64" t="str">
        <f>IF(ISNUMBER(SEARCH("(K)",Table1[[#This Row],[Model]])),"(K)","")</f>
        <v>(K)</v>
      </c>
      <c r="AG66" s="64" t="str">
        <f>IF(ISNUMBER(SEARCH("(BR)",Table1[[#This Row],[Model]])),"(BR)","")</f>
        <v/>
      </c>
      <c r="AH66" s="32" t="s">
        <v>103</v>
      </c>
      <c r="AI66" s="32" t="s">
        <v>126</v>
      </c>
      <c r="AJ66" s="114" t="s">
        <v>452</v>
      </c>
      <c r="AK66" s="32"/>
      <c r="AL66" s="32" t="s">
        <v>106</v>
      </c>
      <c r="AM66" s="64" t="str">
        <f>SUBSTITUTE(INDEX('[2]M1 App'!$A$2:$R$349,MATCH(VALUE(LEFT(Table1[[#This Row],[Old Assy '#]],4)),'[2]M1 App'!$B$2:$B$349,0),MATCH(Table1[[#Headers],[App Interval Type]],'[2]M1 App'!$A$1:$R$1,0))," ","")</f>
        <v>Vertical</v>
      </c>
      <c r="AN66" s="63" t="s">
        <v>139</v>
      </c>
      <c r="AO66" s="65"/>
      <c r="AP66" s="66"/>
      <c r="AQ66" s="67">
        <f>VALUE(SUBSTITUTE(INDEX('[2]M1 App'!$A$2:$R$349,MATCH(VALUE(LEFT(Table1[[#This Row],[Old Assy '#]],4)),'[2]M1 App'!$B$2:$B$349,0),MATCH(Table1[[#Headers],[App Six Three]],'[2]M1 App'!$A$1:$R$1,0))," ",""))</f>
        <v>0</v>
      </c>
      <c r="AR66" s="69" t="str">
        <f>SUBSTITUTE(INDEX('[2]M1 App'!$A$2:$R$349,MATCH(VALUE(LEFT(Table1[[#This Row],[Old Assy '#]],4)),'[2]M1 App'!$B$2:$B$349,0),MATCH(Table1[[#Headers],[App Cutter Layout]],'[2]M1 App'!$A$1:$R$1,0))," ","")</f>
        <v>Redundant</v>
      </c>
      <c r="AS66" s="32" t="s">
        <v>348</v>
      </c>
      <c r="AT66" s="32">
        <v>17.125</v>
      </c>
      <c r="AU66" s="69">
        <f>IF(ISNUMBER(Table1[[#This Row],[Above gauge Ø]]),((Table1[[#This Row],[Size]]-Table1[[#This Row],[Above gauge Ø]])/2)-0.05,"")</f>
        <v>0.13750000000000001</v>
      </c>
      <c r="AV66" s="70">
        <v>0.33</v>
      </c>
      <c r="AW66" s="32" t="s">
        <v>180</v>
      </c>
      <c r="AX66" s="32">
        <v>17.343</v>
      </c>
      <c r="AY66" s="32" t="s">
        <v>349</v>
      </c>
      <c r="AZ66" s="32">
        <v>15</v>
      </c>
      <c r="BA66" s="32"/>
      <c r="BB66" s="82">
        <v>110</v>
      </c>
      <c r="BC66" s="82">
        <v>110</v>
      </c>
      <c r="BD66" s="82">
        <v>80</v>
      </c>
      <c r="BE66" s="82">
        <v>130</v>
      </c>
      <c r="BF66" s="32">
        <v>15</v>
      </c>
      <c r="BG66" s="32">
        <v>15</v>
      </c>
      <c r="BH66" s="32" t="s">
        <v>167</v>
      </c>
      <c r="BI66" s="32">
        <v>30</v>
      </c>
      <c r="BJ66" s="2" t="e">
        <f>CONCATENATE("► M1 Notes: ",#REF!," •-----► CL-SKF Notes: ",#REF!," •-----► DS Notes: ",#REF!)</f>
        <v>#REF!</v>
      </c>
      <c r="BK66" s="2" t="s">
        <v>869</v>
      </c>
      <c r="BL66" s="32">
        <v>9</v>
      </c>
      <c r="BM66" s="32" t="s">
        <v>115</v>
      </c>
      <c r="BN66" s="83">
        <v>135.1</v>
      </c>
      <c r="BO66" s="31">
        <v>83.93</v>
      </c>
      <c r="BP66" s="32" t="s">
        <v>116</v>
      </c>
      <c r="BQ66" s="32" t="s">
        <v>101</v>
      </c>
      <c r="BR66" s="32" t="s">
        <v>116</v>
      </c>
      <c r="BS66" s="32">
        <v>60</v>
      </c>
      <c r="BT66" s="32" t="s">
        <v>117</v>
      </c>
      <c r="BU66" s="32">
        <v>9</v>
      </c>
      <c r="BV66" s="32" t="s">
        <v>117</v>
      </c>
      <c r="BW66" s="103">
        <v>3.34</v>
      </c>
    </row>
    <row r="67" spans="2:75" x14ac:dyDescent="0.25">
      <c r="B67" s="1">
        <v>2164</v>
      </c>
      <c r="C67" s="2"/>
      <c r="D67" s="147" t="s">
        <v>870</v>
      </c>
      <c r="E67" s="55" t="s">
        <v>871</v>
      </c>
      <c r="F67" s="55" t="s">
        <v>872</v>
      </c>
      <c r="G67" s="55" t="s">
        <v>873</v>
      </c>
      <c r="H67" s="55" t="s">
        <v>874</v>
      </c>
      <c r="I67" s="55" t="s">
        <v>875</v>
      </c>
      <c r="J67" s="55" t="s">
        <v>876</v>
      </c>
      <c r="K67" s="55" t="s">
        <v>877</v>
      </c>
      <c r="L67" s="55" t="s">
        <v>878</v>
      </c>
      <c r="M67" s="55" t="s">
        <v>879</v>
      </c>
      <c r="N67" s="55" t="s">
        <v>880</v>
      </c>
      <c r="O67" s="55" t="s">
        <v>881</v>
      </c>
      <c r="P67" s="53" t="s">
        <v>93</v>
      </c>
      <c r="Q67" s="53" t="s">
        <v>93</v>
      </c>
      <c r="R67" s="76">
        <f>COUNTIFS([1]Fleet!$E:$E,Table1[[#This Row],[Old Assy '#]])+COUNTIFS([1]OnDeck!$E:$E,Table1[[#This Row],[Old Assy '#]])</f>
        <v>1</v>
      </c>
      <c r="S67" s="77">
        <v>43014</v>
      </c>
      <c r="T67" s="78"/>
      <c r="U67" s="78"/>
      <c r="V67" s="78"/>
      <c r="W67" s="56" t="str">
        <f>IF(AND(Table1[[#This Row],[Phase Out]]="Y",Table1[[#This Row],[Zero Inventory]]="Y"),"Y","")</f>
        <v/>
      </c>
      <c r="X67" s="79">
        <v>9.875</v>
      </c>
      <c r="Y67" s="63" t="s">
        <v>690</v>
      </c>
      <c r="Z67" s="59" t="str">
        <f>IF(LEFT(Table1[[#This Row],[Model]],2)="NX","NX",IF(LEFT(Table1[[#This Row],[Model]],2)="CR","CR",""))</f>
        <v>CR</v>
      </c>
      <c r="AA67" s="59" t="str">
        <f>LEFT(SUBSTITUTE(SUBSTITUTE(Table1[[#This Row],[Model]],"NX",""),"CR",""),1)</f>
        <v>5</v>
      </c>
      <c r="AB67" s="59" t="str">
        <f>MID(SUBSTITUTE(SUBSTITUTE(Table1[[#This Row],[Model]],"NX",""),"CR",""),2,2)</f>
        <v>16</v>
      </c>
      <c r="AC67" s="64" t="str">
        <f>IF(ISNUMBER(FIND("M",Table1[[#This Row],[Model]])),"M","")</f>
        <v/>
      </c>
      <c r="AD67" s="64" t="str">
        <f>CONCATENATE(MID(Table1[[#This Row],[Model]],FIND("-",Table1[[#This Row],[Model]])+1,2),IF(RIGHT(MID(Table1[[#This Row],[Model]],FIND("-",Table1[[#This Row],[Model]])+1,3),1)="+","+",""))</f>
        <v>XR</v>
      </c>
      <c r="AE67"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8</v>
      </c>
      <c r="AF67" s="64" t="str">
        <f>IF(ISNUMBER(SEARCH("(K)",Table1[[#This Row],[Model]])),"(K)","")</f>
        <v>(K)</v>
      </c>
      <c r="AG67" s="64" t="str">
        <f>IF(ISNUMBER(SEARCH("(BR)",Table1[[#This Row],[Model]])),"(BR)","")</f>
        <v>(BR)</v>
      </c>
      <c r="AH67" s="32" t="s">
        <v>103</v>
      </c>
      <c r="AI67" s="32" t="s">
        <v>126</v>
      </c>
      <c r="AJ67" s="114" t="s">
        <v>452</v>
      </c>
      <c r="AK67" s="32"/>
      <c r="AL67" s="32" t="s">
        <v>320</v>
      </c>
      <c r="AM67" s="64" t="str">
        <f>SUBSTITUTE(INDEX('[2]M1 App'!$A$2:$R$349,MATCH(VALUE(LEFT(Table1[[#This Row],[Old Assy '#]],4)),'[2]M1 App'!$B$2:$B$349,0),MATCH(Table1[[#Headers],[App Interval Type]],'[2]M1 App'!$A$1:$R$1,0))," ","")</f>
        <v>Curve</v>
      </c>
      <c r="AN67" s="64" t="s">
        <v>127</v>
      </c>
      <c r="AO67" s="65"/>
      <c r="AP67" s="66"/>
      <c r="AQ67" s="67">
        <f>VALUE(SUBSTITUTE(INDEX('[2]M1 App'!$A$2:$R$349,MATCH(VALUE(LEFT(Table1[[#This Row],[Old Assy '#]],4)),'[2]M1 App'!$B$2:$B$349,0),MATCH(Table1[[#Headers],[App Six Three]],'[2]M1 App'!$A$1:$R$1,0))," ",""))</f>
        <v>0</v>
      </c>
      <c r="AR67" s="68" t="s">
        <v>284</v>
      </c>
      <c r="AS67" s="32">
        <v>15432</v>
      </c>
      <c r="AT67" s="32">
        <v>9.4380000000000006</v>
      </c>
      <c r="AU67" s="69">
        <f>IF(ISNUMBER(Table1[[#This Row],[Above gauge Ø]]),((Table1[[#This Row],[Size]]-Table1[[#This Row],[Above gauge Ø]])/2)-0.05,"")</f>
        <v>0.16849999999999971</v>
      </c>
      <c r="AV67" s="70">
        <v>0.33</v>
      </c>
      <c r="AW67" s="32" t="s">
        <v>180</v>
      </c>
      <c r="AX67" s="32">
        <v>9.8119999999999994</v>
      </c>
      <c r="AY67" s="32" t="s">
        <v>232</v>
      </c>
      <c r="AZ67" s="32">
        <v>5</v>
      </c>
      <c r="BA67" s="32"/>
      <c r="BB67" s="82">
        <v>20</v>
      </c>
      <c r="BC67" s="82">
        <v>0</v>
      </c>
      <c r="BD67" s="82">
        <v>140</v>
      </c>
      <c r="BE67" s="82"/>
      <c r="BF67" s="32">
        <v>20</v>
      </c>
      <c r="BG67" s="32">
        <v>20</v>
      </c>
      <c r="BH67" s="32">
        <v>20</v>
      </c>
      <c r="BI67" s="32">
        <v>35</v>
      </c>
      <c r="BJ67" s="108" t="e">
        <f>CONCATENATE("► M1 Notes: ",#REF!," •-----► CL-SKF Notes: ",#REF!," •-----► DS Notes: ",#REF!)</f>
        <v>#REF!</v>
      </c>
      <c r="BK67" s="108" t="s">
        <v>716</v>
      </c>
      <c r="BL67" s="32">
        <v>3</v>
      </c>
      <c r="BM67" s="32" t="s">
        <v>184</v>
      </c>
      <c r="BN67" s="83">
        <v>25.163</v>
      </c>
      <c r="BO67" s="31">
        <v>26.58</v>
      </c>
      <c r="BP67" s="32" t="s">
        <v>116</v>
      </c>
      <c r="BQ67" s="32" t="s">
        <v>101</v>
      </c>
      <c r="BR67" s="32" t="s">
        <v>116</v>
      </c>
      <c r="BS67" s="32">
        <v>60</v>
      </c>
      <c r="BT67" s="32" t="s">
        <v>117</v>
      </c>
      <c r="BU67" s="32">
        <v>8</v>
      </c>
      <c r="BV67" s="32" t="s">
        <v>117</v>
      </c>
      <c r="BW67" s="103">
        <v>2.97</v>
      </c>
    </row>
    <row r="68" spans="2:75" x14ac:dyDescent="0.25">
      <c r="B68" s="1">
        <v>2169</v>
      </c>
      <c r="C68" s="2"/>
      <c r="D68" s="147" t="s">
        <v>884</v>
      </c>
      <c r="E68" s="55" t="s">
        <v>885</v>
      </c>
      <c r="F68" s="55" t="s">
        <v>886</v>
      </c>
      <c r="G68" s="55" t="s">
        <v>887</v>
      </c>
      <c r="H68" s="55" t="s">
        <v>888</v>
      </c>
      <c r="I68" s="55" t="s">
        <v>889</v>
      </c>
      <c r="J68" s="55" t="s">
        <v>890</v>
      </c>
      <c r="K68" s="55" t="s">
        <v>891</v>
      </c>
      <c r="L68" s="55" t="s">
        <v>892</v>
      </c>
      <c r="M68" s="55" t="s">
        <v>893</v>
      </c>
      <c r="N68" s="55" t="s">
        <v>893</v>
      </c>
      <c r="O68" s="55" t="s">
        <v>894</v>
      </c>
      <c r="P68" s="53" t="s">
        <v>93</v>
      </c>
      <c r="Q68" s="53" t="s">
        <v>93</v>
      </c>
      <c r="R68" s="76">
        <f>COUNTIFS([1]Fleet!$E:$E,Table1[[#This Row],[Old Assy '#]])+COUNTIFS([1]OnDeck!$E:$E,Table1[[#This Row],[Old Assy '#]])</f>
        <v>1</v>
      </c>
      <c r="S68" s="77">
        <v>43038</v>
      </c>
      <c r="T68" s="78"/>
      <c r="U68" s="78" t="s">
        <v>101</v>
      </c>
      <c r="V68" s="78" t="s">
        <v>101</v>
      </c>
      <c r="W68" s="56" t="str">
        <f>IF(AND(Table1[[#This Row],[Phase Out]]="Y",Table1[[#This Row],[Zero Inventory]]="Y"),"Y","")</f>
        <v>Y</v>
      </c>
      <c r="X68" s="79">
        <v>14.75</v>
      </c>
      <c r="Y68" s="63" t="s">
        <v>868</v>
      </c>
      <c r="Z68" s="59" t="str">
        <f>IF(LEFT(Table1[[#This Row],[Model]],2)="NX","NX",IF(LEFT(Table1[[#This Row],[Model]],2)="CR","CR",""))</f>
        <v>CR</v>
      </c>
      <c r="AA68" s="59" t="str">
        <f>LEFT(SUBSTITUTE(SUBSTITUTE(Table1[[#This Row],[Model]],"NX",""),"CR",""),1)</f>
        <v>6</v>
      </c>
      <c r="AB68" s="59" t="str">
        <f>MID(SUBSTITUTE(SUBSTITUTE(Table1[[#This Row],[Model]],"NX",""),"CR",""),2,2)</f>
        <v>16</v>
      </c>
      <c r="AC68" s="64" t="str">
        <f>IF(ISNUMBER(FIND("M",Table1[[#This Row],[Model]])),"M","")</f>
        <v/>
      </c>
      <c r="AD68" s="64" t="str">
        <f>CONCATENATE(MID(Table1[[#This Row],[Model]],FIND("-",Table1[[#This Row],[Model]])+1,2),IF(RIGHT(MID(Table1[[#This Row],[Model]],FIND("-",Table1[[#This Row],[Model]])+1,3),1)="+","+",""))</f>
        <v>SR+</v>
      </c>
      <c r="AE68" s="60">
        <f>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68" s="64" t="str">
        <f>IF(ISNUMBER(SEARCH("(K)",Table1[[#This Row],[Model]])),"(K)","")</f>
        <v>(K)</v>
      </c>
      <c r="AG68" s="64" t="str">
        <f>IF(ISNUMBER(SEARCH("(BR)",Table1[[#This Row],[Model]])),"(BR)","")</f>
        <v/>
      </c>
      <c r="AH68" s="32" t="s">
        <v>103</v>
      </c>
      <c r="AI68" s="32" t="s">
        <v>126</v>
      </c>
      <c r="AJ68" s="114"/>
      <c r="AK68" s="32"/>
      <c r="AL68" s="32" t="s">
        <v>106</v>
      </c>
      <c r="AM68" s="64" t="str">
        <f>SUBSTITUTE(INDEX('[2]M1 App'!$A$2:$R$349,MATCH(VALUE(LEFT(Table1[[#This Row],[Old Assy '#]],4)),'[2]M1 App'!$B$2:$B$349,0),MATCH(Table1[[#Headers],[App Interval Type]],'[2]M1 App'!$A$1:$R$1,0))," ","")</f>
        <v>Vertical</v>
      </c>
      <c r="AN68" s="64" t="s">
        <v>139</v>
      </c>
      <c r="AO68" s="65"/>
      <c r="AP68" s="66"/>
      <c r="AQ68" s="67">
        <f>VALUE(SUBSTITUTE(INDEX('[2]M1 App'!$A$2:$R$349,MATCH(VALUE(LEFT(Table1[[#This Row],[Old Assy '#]],4)),'[2]M1 App'!$B$2:$B$349,0),MATCH(Table1[[#Headers],[App Six Three]],'[2]M1 App'!$A$1:$R$1,0))," ",""))</f>
        <v>0</v>
      </c>
      <c r="AR68" s="69" t="str">
        <f>SUBSTITUTE(INDEX('[2]M1 App'!$A$2:$R$349,MATCH(VALUE(LEFT(Table1[[#This Row],[Old Assy '#]],4)),'[2]M1 App'!$B$2:$B$349,0),MATCH(Table1[[#Headers],[App Cutter Layout]],'[2]M1 App'!$A$1:$R$1,0))," ","")</f>
        <v>Redundant</v>
      </c>
      <c r="AS68" s="32" t="s">
        <v>128</v>
      </c>
      <c r="AT68" s="32">
        <v>14.25</v>
      </c>
      <c r="AU68" s="107">
        <f>IF(ISNUMBER(Table1[[#This Row],[Above gauge Ø]]),((Table1[[#This Row],[Size]]-Table1[[#This Row],[Above gauge Ø]])/2)-0.05,"")</f>
        <v>0.2</v>
      </c>
      <c r="AV68" s="70">
        <v>0.33</v>
      </c>
      <c r="AW68" s="32" t="s">
        <v>895</v>
      </c>
      <c r="AX68" s="32">
        <v>14.5625</v>
      </c>
      <c r="AY68" s="32" t="s">
        <v>411</v>
      </c>
      <c r="AZ68" s="32">
        <v>15</v>
      </c>
      <c r="BA68" s="32"/>
      <c r="BB68" s="82">
        <v>220</v>
      </c>
      <c r="BC68" s="82">
        <v>210</v>
      </c>
      <c r="BD68" s="82">
        <v>570</v>
      </c>
      <c r="BE68" s="82">
        <v>730</v>
      </c>
      <c r="BF68" s="32">
        <v>15</v>
      </c>
      <c r="BG68" s="32">
        <v>15</v>
      </c>
      <c r="BH68" s="32" t="s">
        <v>167</v>
      </c>
      <c r="BI68" s="32">
        <v>30</v>
      </c>
      <c r="BJ68" s="108" t="e">
        <f>CONCATENATE("► M1 Notes: ",#REF!," •-----► CL-SKF Notes: ",#REF!," •-----► DS Notes: ",#REF!)</f>
        <v>#REF!</v>
      </c>
      <c r="BK68" s="2" t="s">
        <v>896</v>
      </c>
      <c r="BL68" s="32">
        <v>6.5</v>
      </c>
      <c r="BM68" s="32" t="s">
        <v>115</v>
      </c>
      <c r="BN68" s="83">
        <v>96.1</v>
      </c>
      <c r="BO68" s="31">
        <v>56.22</v>
      </c>
      <c r="BP68" s="32" t="s">
        <v>116</v>
      </c>
      <c r="BQ68" s="32" t="s">
        <v>101</v>
      </c>
      <c r="BR68" s="32" t="s">
        <v>116</v>
      </c>
      <c r="BS68" s="32">
        <v>60</v>
      </c>
      <c r="BT68" s="32" t="s">
        <v>117</v>
      </c>
      <c r="BU68" s="32">
        <v>9</v>
      </c>
      <c r="BV68" s="32" t="s">
        <v>117</v>
      </c>
      <c r="BW68" s="103">
        <v>3.34</v>
      </c>
    </row>
    <row r="69" spans="2:75" x14ac:dyDescent="0.25">
      <c r="B69" s="1">
        <v>2172</v>
      </c>
      <c r="C69" s="2"/>
      <c r="D69" s="147" t="s">
        <v>898</v>
      </c>
      <c r="E69" s="55" t="s">
        <v>899</v>
      </c>
      <c r="F69" s="55" t="s">
        <v>900</v>
      </c>
      <c r="G69" s="55" t="s">
        <v>901</v>
      </c>
      <c r="H69" s="75" t="s">
        <v>93</v>
      </c>
      <c r="I69" s="55" t="s">
        <v>902</v>
      </c>
      <c r="J69" s="55" t="s">
        <v>903</v>
      </c>
      <c r="K69" s="55" t="s">
        <v>904</v>
      </c>
      <c r="L69" s="55" t="s">
        <v>905</v>
      </c>
      <c r="M69" s="55" t="s">
        <v>906</v>
      </c>
      <c r="N69" s="55" t="s">
        <v>907</v>
      </c>
      <c r="O69" s="55" t="s">
        <v>908</v>
      </c>
      <c r="P69" s="55" t="s">
        <v>909</v>
      </c>
      <c r="Q69" s="53" t="s">
        <v>93</v>
      </c>
      <c r="R69" s="76">
        <f>COUNTIFS([1]Fleet!$E:$E,Table1[[#This Row],[Old Assy '#]])+COUNTIFS([1]OnDeck!$E:$E,Table1[[#This Row],[Old Assy '#]])</f>
        <v>1</v>
      </c>
      <c r="S69" s="77">
        <v>43082</v>
      </c>
      <c r="T69" s="78"/>
      <c r="U69" s="78" t="s">
        <v>101</v>
      </c>
      <c r="V69" s="78"/>
      <c r="W69" s="56" t="str">
        <f>IF(AND(Table1[[#This Row],[Phase Out]]="Y",Table1[[#This Row],[Zero Inventory]]="Y"),"Y","")</f>
        <v/>
      </c>
      <c r="X69" s="79">
        <v>9.875</v>
      </c>
      <c r="Y69" s="63" t="s">
        <v>785</v>
      </c>
      <c r="Z69" s="59" t="str">
        <f>IF(LEFT(Table1[[#This Row],[Model]],2)="NX","NX",IF(LEFT(Table1[[#This Row],[Model]],2)="CR","CR",""))</f>
        <v>CR</v>
      </c>
      <c r="AA69" s="59" t="str">
        <f>LEFT(SUBSTITUTE(SUBSTITUTE(Table1[[#This Row],[Model]],"NX",""),"CR",""),1)</f>
        <v>7</v>
      </c>
      <c r="AB69" s="59" t="str">
        <f>MID(SUBSTITUTE(SUBSTITUTE(Table1[[#This Row],[Model]],"NX",""),"CR",""),2,2)</f>
        <v>16</v>
      </c>
      <c r="AC69" s="64" t="str">
        <f>IF(ISNUMBER(FIND("M",Table1[[#This Row],[Model]])),"M","")</f>
        <v/>
      </c>
      <c r="AD69" s="64" t="str">
        <f>CONCATENATE(MID(Table1[[#This Row],[Model]],FIND("-",Table1[[#This Row],[Model]])+1,2),IF(RIGHT(MID(Table1[[#This Row],[Model]],FIND("-",Table1[[#This Row],[Model]])+1,3),1)="+","+",""))</f>
        <v>XR</v>
      </c>
      <c r="AE6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69" s="64" t="str">
        <f>IF(ISNUMBER(SEARCH("(K)",Table1[[#This Row],[Model]])),"(K)","")</f>
        <v>(K)</v>
      </c>
      <c r="AG69" s="64" t="str">
        <f>IF(ISNUMBER(SEARCH("(BR)",Table1[[#This Row],[Model]])),"(BR)","")</f>
        <v>(BR)</v>
      </c>
      <c r="AH69" s="32" t="s">
        <v>103</v>
      </c>
      <c r="AI69" s="32" t="s">
        <v>126</v>
      </c>
      <c r="AJ69" s="114" t="s">
        <v>910</v>
      </c>
      <c r="AK69" s="32" t="s">
        <v>911</v>
      </c>
      <c r="AL69" s="32" t="s">
        <v>106</v>
      </c>
      <c r="AM69" s="64" t="str">
        <f>SUBSTITUTE(INDEX('[2]M1 App'!$A$2:$R$349,MATCH(VALUE(LEFT(Table1[[#This Row],[Old Assy '#]],4)),'[2]M1 App'!$B$2:$B$349,0),MATCH(Table1[[#Headers],[App Interval Type]],'[2]M1 App'!$A$1:$R$1,0))," ","")</f>
        <v>Vertical</v>
      </c>
      <c r="AN69" s="64" t="s">
        <v>127</v>
      </c>
      <c r="AO69" s="65"/>
      <c r="AP69" s="66"/>
      <c r="AQ69" s="67">
        <f>VALUE(SUBSTITUTE(INDEX('[2]M1 App'!$A$2:$R$349,MATCH(VALUE(LEFT(Table1[[#This Row],[Old Assy '#]],4)),'[2]M1 App'!$B$2:$B$349,0),MATCH(Table1[[#Headers],[App Six Three]],'[2]M1 App'!$A$1:$R$1,0))," ",""))</f>
        <v>0</v>
      </c>
      <c r="AR69" s="68" t="s">
        <v>284</v>
      </c>
      <c r="AS69" s="32">
        <v>1765432</v>
      </c>
      <c r="AT69" s="32">
        <v>9.6231000000000009</v>
      </c>
      <c r="AU69" s="69">
        <f>IF(ISNUMBER(Table1[[#This Row],[Above gauge Ø]]),((Table1[[#This Row],[Size]]-Table1[[#This Row],[Above gauge Ø]])/2)-0.05,"")</f>
        <v>7.594999999999956E-2</v>
      </c>
      <c r="AV69" s="70">
        <v>0.33</v>
      </c>
      <c r="AW69" s="32" t="s">
        <v>111</v>
      </c>
      <c r="AX69" s="32">
        <f>4.8438*2</f>
        <v>9.6875999999999998</v>
      </c>
      <c r="AY69" s="32" t="s">
        <v>692</v>
      </c>
      <c r="AZ69" s="32">
        <v>15</v>
      </c>
      <c r="BA69" s="32"/>
      <c r="BB69" s="82">
        <v>130</v>
      </c>
      <c r="BC69" s="82">
        <v>0</v>
      </c>
      <c r="BD69" s="82">
        <v>310</v>
      </c>
      <c r="BE69" s="82"/>
      <c r="BF69" s="32">
        <v>15</v>
      </c>
      <c r="BG69" s="32">
        <v>15</v>
      </c>
      <c r="BH69" s="32" t="s">
        <v>883</v>
      </c>
      <c r="BI69" s="32">
        <v>40</v>
      </c>
      <c r="BJ69" s="17" t="e">
        <f>CONCATENATE("► M1 Notes: ",#REF!," •-----► CL-SKF Notes: ",#REF!," •-----► DS Notes: ",#REF!)</f>
        <v>#REF!</v>
      </c>
      <c r="BK69" s="17"/>
      <c r="BL69" s="32">
        <v>4</v>
      </c>
      <c r="BM69" s="32" t="s">
        <v>115</v>
      </c>
      <c r="BN69" s="83">
        <v>54.058999999999997</v>
      </c>
      <c r="BO69" s="31">
        <v>17.690000000000001</v>
      </c>
      <c r="BP69" s="32" t="s">
        <v>116</v>
      </c>
      <c r="BQ69" s="32" t="s">
        <v>101</v>
      </c>
      <c r="BR69" s="32" t="s">
        <v>116</v>
      </c>
      <c r="BS69" s="32">
        <v>60</v>
      </c>
      <c r="BT69" s="32" t="s">
        <v>117</v>
      </c>
      <c r="BU69" s="32">
        <v>7</v>
      </c>
      <c r="BV69" s="32" t="s">
        <v>117</v>
      </c>
      <c r="BW69" s="103">
        <v>2.6</v>
      </c>
    </row>
    <row r="70" spans="2:75" x14ac:dyDescent="0.25">
      <c r="B70" s="1">
        <v>2173</v>
      </c>
      <c r="C70" s="2"/>
      <c r="D70" s="147" t="s">
        <v>912</v>
      </c>
      <c r="E70" s="75" t="s">
        <v>93</v>
      </c>
      <c r="F70" s="75" t="s">
        <v>93</v>
      </c>
      <c r="G70" s="55" t="s">
        <v>913</v>
      </c>
      <c r="H70" s="55" t="s">
        <v>912</v>
      </c>
      <c r="I70" s="55" t="s">
        <v>914</v>
      </c>
      <c r="J70" s="55" t="s">
        <v>915</v>
      </c>
      <c r="K70" s="55" t="s">
        <v>916</v>
      </c>
      <c r="L70" s="55" t="s">
        <v>917</v>
      </c>
      <c r="M70" s="75" t="s">
        <v>93</v>
      </c>
      <c r="N70" s="55" t="s">
        <v>918</v>
      </c>
      <c r="O70" s="55" t="s">
        <v>919</v>
      </c>
      <c r="P70" s="75" t="s">
        <v>93</v>
      </c>
      <c r="Q70" s="53" t="s">
        <v>93</v>
      </c>
      <c r="R70" s="76">
        <f>COUNTIFS([1]Fleet!$E:$E,Table1[[#This Row],[Old Assy '#]])+COUNTIFS([1]OnDeck!$E:$E,Table1[[#This Row],[Old Assy '#]])</f>
        <v>1</v>
      </c>
      <c r="S70" s="77">
        <v>43109</v>
      </c>
      <c r="T70" s="78"/>
      <c r="U70" s="78"/>
      <c r="V70" s="78"/>
      <c r="W70" s="56" t="str">
        <f>IF(AND(Table1[[#This Row],[Phase Out]]="Y",Table1[[#This Row],[Zero Inventory]]="Y"),"Y","")</f>
        <v/>
      </c>
      <c r="X70" s="79">
        <v>7.875</v>
      </c>
      <c r="Y70" s="63" t="s">
        <v>920</v>
      </c>
      <c r="Z70" s="59" t="str">
        <f>IF(LEFT(Table1[[#This Row],[Model]],2)="NX","NX",IF(LEFT(Table1[[#This Row],[Model]],2)="CR","CR",""))</f>
        <v>CR</v>
      </c>
      <c r="AA70" s="59" t="str">
        <f>LEFT(SUBSTITUTE(SUBSTITUTE(Table1[[#This Row],[Model]],"NX",""),"CR",""),1)</f>
        <v>6</v>
      </c>
      <c r="AB70" s="59" t="str">
        <f>MID(SUBSTITUTE(SUBSTITUTE(Table1[[#This Row],[Model]],"NX",""),"CR",""),2,2)</f>
        <v>16</v>
      </c>
      <c r="AC70" s="64" t="str">
        <f>IF(ISNUMBER(FIND("M",Table1[[#This Row],[Model]])),"M","")</f>
        <v/>
      </c>
      <c r="AD70" s="64" t="str">
        <f>CONCATENATE(MID(Table1[[#This Row],[Model]],FIND("-",Table1[[#This Row],[Model]])+1,2),IF(RIGHT(MID(Table1[[#This Row],[Model]],FIND("-",Table1[[#This Row],[Model]])+1,3),1)="+","+",""))</f>
        <v>SR+</v>
      </c>
      <c r="AE70"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70" s="64" t="str">
        <f>IF(ISNUMBER(SEARCH("(K)",Table1[[#This Row],[Model]])),"(K)","")</f>
        <v>(K)</v>
      </c>
      <c r="AG70" s="64" t="str">
        <f>IF(ISNUMBER(SEARCH("(BR)",Table1[[#This Row],[Model]])),"(BR)","")</f>
        <v/>
      </c>
      <c r="AH70" s="32" t="s">
        <v>103</v>
      </c>
      <c r="AI70" s="32" t="s">
        <v>104</v>
      </c>
      <c r="AJ70" s="32"/>
      <c r="AK70" s="32"/>
      <c r="AL70" s="32" t="s">
        <v>106</v>
      </c>
      <c r="AM70" s="64" t="str">
        <f>SUBSTITUTE(INDEX('[2]M1 App'!$A$2:$R$349,MATCH(VALUE(LEFT(Table1[[#This Row],[Old Assy '#]],4)),'[2]M1 App'!$B$2:$B$349,0),MATCH(Table1[[#Headers],[App Interval Type]],'[2]M1 App'!$A$1:$R$1,0))," ","")</f>
        <v>Vertical</v>
      </c>
      <c r="AN70" s="64" t="s">
        <v>108</v>
      </c>
      <c r="AO70" s="65"/>
      <c r="AP70" s="66"/>
      <c r="AQ70" s="67">
        <f>VALUE(SUBSTITUTE(INDEX('[2]M1 App'!$A$2:$R$349,MATCH(VALUE(LEFT(Table1[[#This Row],[Old Assy '#]],4)),'[2]M1 App'!$B$2:$B$349,0),MATCH(Table1[[#Headers],[App Six Three]],'[2]M1 App'!$A$1:$R$1,0))," ",""))</f>
        <v>0</v>
      </c>
      <c r="AR70" s="68" t="s">
        <v>284</v>
      </c>
      <c r="AS70" s="32">
        <v>165432</v>
      </c>
      <c r="AT70" s="32">
        <v>7.5625</v>
      </c>
      <c r="AU70" s="69">
        <f>IF(ISNUMBER(Table1[[#This Row],[Above gauge Ø]]),((Table1[[#This Row],[Size]]-Table1[[#This Row],[Above gauge Ø]])/2)-0.05,"")</f>
        <v>0.10625</v>
      </c>
      <c r="AV70" s="70">
        <v>0.33</v>
      </c>
      <c r="AW70" s="32" t="s">
        <v>180</v>
      </c>
      <c r="AX70" s="32">
        <v>7.6890000000000001</v>
      </c>
      <c r="AY70" s="32" t="s">
        <v>921</v>
      </c>
      <c r="AZ70" s="32">
        <v>9</v>
      </c>
      <c r="BA70" s="32"/>
      <c r="BB70" s="82">
        <v>140</v>
      </c>
      <c r="BC70" s="82">
        <v>130</v>
      </c>
      <c r="BD70" s="82"/>
      <c r="BE70" s="82">
        <v>520</v>
      </c>
      <c r="BF70" s="32">
        <v>15</v>
      </c>
      <c r="BG70" s="32">
        <v>15</v>
      </c>
      <c r="BH70" s="32" t="s">
        <v>114</v>
      </c>
      <c r="BI70" s="32">
        <v>30</v>
      </c>
      <c r="BJ70" s="108" t="e">
        <f>CONCATENATE("► M1 Notes: ",#REF!," •-----► CL-SKF Notes: ",#REF!," •-----► DS Notes: ",#REF!)</f>
        <v>#REF!</v>
      </c>
      <c r="BK70" s="2" t="s">
        <v>922</v>
      </c>
      <c r="BL70" s="32">
        <v>3</v>
      </c>
      <c r="BM70" s="32" t="s">
        <v>115</v>
      </c>
      <c r="BN70" s="83">
        <v>34.487000000000002</v>
      </c>
      <c r="BO70" s="31">
        <v>10.23</v>
      </c>
      <c r="BP70" s="32" t="s">
        <v>116</v>
      </c>
      <c r="BQ70" s="32" t="s">
        <v>101</v>
      </c>
      <c r="BR70" s="32" t="s">
        <v>116</v>
      </c>
      <c r="BS70" s="32">
        <v>60</v>
      </c>
      <c r="BT70" s="32" t="s">
        <v>117</v>
      </c>
      <c r="BU70" s="32">
        <v>6</v>
      </c>
      <c r="BV70" s="32" t="s">
        <v>117</v>
      </c>
      <c r="BW70" s="103">
        <v>2.23</v>
      </c>
    </row>
    <row r="71" spans="2:75" x14ac:dyDescent="0.25">
      <c r="B71" s="1">
        <v>2174</v>
      </c>
      <c r="C71" s="2"/>
      <c r="D71" s="147" t="s">
        <v>923</v>
      </c>
      <c r="E71" s="55" t="s">
        <v>924</v>
      </c>
      <c r="F71" s="55" t="s">
        <v>925</v>
      </c>
      <c r="G71" s="55" t="s">
        <v>926</v>
      </c>
      <c r="H71" s="75" t="s">
        <v>93</v>
      </c>
      <c r="I71" s="55" t="s">
        <v>927</v>
      </c>
      <c r="J71" s="55" t="s">
        <v>928</v>
      </c>
      <c r="K71" s="55" t="s">
        <v>929</v>
      </c>
      <c r="L71" s="55" t="s">
        <v>930</v>
      </c>
      <c r="M71" s="75" t="s">
        <v>93</v>
      </c>
      <c r="N71" s="55" t="s">
        <v>931</v>
      </c>
      <c r="O71" s="55" t="s">
        <v>932</v>
      </c>
      <c r="P71" s="53" t="s">
        <v>93</v>
      </c>
      <c r="Q71" s="53" t="s">
        <v>93</v>
      </c>
      <c r="R71" s="76">
        <f>COUNTIFS([1]Fleet!$E:$E,Table1[[#This Row],[Old Assy '#]])+COUNTIFS([1]OnDeck!$E:$E,Table1[[#This Row],[Old Assy '#]])</f>
        <v>2</v>
      </c>
      <c r="S71" s="77">
        <v>43096</v>
      </c>
      <c r="T71" s="78"/>
      <c r="U71" s="78"/>
      <c r="V71" s="78"/>
      <c r="W71" s="56" t="str">
        <f>IF(AND(Table1[[#This Row],[Phase Out]]="Y",Table1[[#This Row],[Zero Inventory]]="Y"),"Y","")</f>
        <v/>
      </c>
      <c r="X71" s="79">
        <v>8.75</v>
      </c>
      <c r="Y71" s="63" t="s">
        <v>933</v>
      </c>
      <c r="Z71" s="59" t="str">
        <f>IF(LEFT(Table1[[#This Row],[Model]],2)="NX","NX",IF(LEFT(Table1[[#This Row],[Model]],2)="CR","CR",""))</f>
        <v>CR</v>
      </c>
      <c r="AA71" s="59" t="str">
        <f>LEFT(SUBSTITUTE(SUBSTITUTE(Table1[[#This Row],[Model]],"NX",""),"CR",""),1)</f>
        <v>5</v>
      </c>
      <c r="AB71" s="59" t="str">
        <f>MID(SUBSTITUTE(SUBSTITUTE(Table1[[#This Row],[Model]],"NX",""),"CR",""),2,2)</f>
        <v>16</v>
      </c>
      <c r="AC71" s="64" t="str">
        <f>IF(ISNUMBER(FIND("M",Table1[[#This Row],[Model]])),"M","")</f>
        <v/>
      </c>
      <c r="AD71" s="64" t="str">
        <f>CONCATENATE(MID(Table1[[#This Row],[Model]],FIND("-",Table1[[#This Row],[Model]])+1,2),IF(RIGHT(MID(Table1[[#This Row],[Model]],FIND("-",Table1[[#This Row],[Model]])+1,3),1)="+","+",""))</f>
        <v>XR</v>
      </c>
      <c r="AE7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71" s="64" t="str">
        <f>IF(ISNUMBER(SEARCH("(K)",Table1[[#This Row],[Model]])),"(K)","")</f>
        <v>(K)</v>
      </c>
      <c r="AG71" s="64" t="str">
        <f>IF(ISNUMBER(SEARCH("(BR)",Table1[[#This Row],[Model]])),"(BR)","")</f>
        <v>(BR)</v>
      </c>
      <c r="AH71" s="32" t="s">
        <v>103</v>
      </c>
      <c r="AI71" s="32" t="s">
        <v>104</v>
      </c>
      <c r="AJ71" s="114" t="s">
        <v>452</v>
      </c>
      <c r="AK71" s="32"/>
      <c r="AL71" s="32" t="s">
        <v>320</v>
      </c>
      <c r="AM71" s="64" t="str">
        <f>SUBSTITUTE(INDEX('[2]M1 App'!$A$2:$R$349,MATCH(VALUE(LEFT(Table1[[#This Row],[Old Assy '#]],4)),'[2]M1 App'!$B$2:$B$349,0),MATCH(Table1[[#Headers],[App Interval Type]],'[2]M1 App'!$A$1:$R$1,0))," ","")</f>
        <v>Curve</v>
      </c>
      <c r="AN71" s="64" t="s">
        <v>108</v>
      </c>
      <c r="AO71" s="65"/>
      <c r="AP71" s="66"/>
      <c r="AQ71" s="67">
        <f>VALUE(SUBSTITUTE(INDEX('[2]M1 App'!$A$2:$R$349,MATCH(VALUE(LEFT(Table1[[#This Row],[Old Assy '#]],4)),'[2]M1 App'!$B$2:$B$349,0),MATCH(Table1[[#Headers],[App Six Three]],'[2]M1 App'!$A$1:$R$1,0))," ",""))</f>
        <v>0</v>
      </c>
      <c r="AR71" s="68" t="s">
        <v>284</v>
      </c>
      <c r="AS71" s="32">
        <v>15432</v>
      </c>
      <c r="AT71" s="102">
        <v>8.375</v>
      </c>
      <c r="AU71" s="69">
        <f>IF(ISNUMBER(Table1[[#This Row],[Above gauge Ø]]),((Table1[[#This Row],[Size]]-Table1[[#This Row],[Above gauge Ø]])/2)-0.05,"")</f>
        <v>0.13750000000000001</v>
      </c>
      <c r="AV71" s="70">
        <v>0.33</v>
      </c>
      <c r="AW71" s="32" t="s">
        <v>180</v>
      </c>
      <c r="AX71" s="32">
        <v>8.6880000000000006</v>
      </c>
      <c r="AY71" s="32" t="s">
        <v>934</v>
      </c>
      <c r="AZ71" s="32">
        <v>5</v>
      </c>
      <c r="BA71" s="32"/>
      <c r="BB71" s="82">
        <v>140</v>
      </c>
      <c r="BC71" s="82">
        <v>120</v>
      </c>
      <c r="BD71" s="82">
        <v>270</v>
      </c>
      <c r="BE71" s="82"/>
      <c r="BF71" s="32">
        <v>20</v>
      </c>
      <c r="BG71" s="32">
        <v>20</v>
      </c>
      <c r="BH71" s="32" t="s">
        <v>258</v>
      </c>
      <c r="BI71" s="32">
        <v>35</v>
      </c>
      <c r="BJ71" s="2" t="e">
        <f>CONCATENATE("► M1 Notes: ",#REF!," •-----► CL-SKF Notes: ",#REF!," •-----► DS Notes: ",#REF!)</f>
        <v>#REF!</v>
      </c>
      <c r="BK71" s="2"/>
      <c r="BL71" s="32">
        <v>3</v>
      </c>
      <c r="BM71" s="32" t="s">
        <v>115</v>
      </c>
      <c r="BN71" s="83">
        <v>23.64</v>
      </c>
      <c r="BO71" s="31">
        <v>19.04</v>
      </c>
      <c r="BP71" s="32" t="s">
        <v>116</v>
      </c>
      <c r="BQ71" s="32" t="s">
        <v>101</v>
      </c>
      <c r="BR71" s="32" t="s">
        <v>116</v>
      </c>
      <c r="BS71" s="32">
        <v>60</v>
      </c>
      <c r="BT71" s="32" t="s">
        <v>117</v>
      </c>
      <c r="BU71" s="32">
        <v>5</v>
      </c>
      <c r="BV71" s="32" t="s">
        <v>117</v>
      </c>
      <c r="BW71" s="103">
        <v>1.86</v>
      </c>
    </row>
    <row r="72" spans="2:75" x14ac:dyDescent="0.25">
      <c r="B72" s="1">
        <v>2177</v>
      </c>
      <c r="C72" s="2"/>
      <c r="D72" s="146" t="s">
        <v>93</v>
      </c>
      <c r="E72" s="75" t="s">
        <v>93</v>
      </c>
      <c r="F72" s="75" t="s">
        <v>93</v>
      </c>
      <c r="G72" s="55" t="s">
        <v>935</v>
      </c>
      <c r="H72" s="55" t="s">
        <v>936</v>
      </c>
      <c r="I72" s="55" t="s">
        <v>937</v>
      </c>
      <c r="J72" s="55" t="s">
        <v>938</v>
      </c>
      <c r="K72" s="55" t="s">
        <v>939</v>
      </c>
      <c r="L72" s="55" t="s">
        <v>940</v>
      </c>
      <c r="M72" s="75" t="s">
        <v>93</v>
      </c>
      <c r="N72" s="55" t="s">
        <v>941</v>
      </c>
      <c r="O72" s="55" t="s">
        <v>942</v>
      </c>
      <c r="P72" s="53" t="s">
        <v>93</v>
      </c>
      <c r="Q72" s="53" t="s">
        <v>93</v>
      </c>
      <c r="R72" s="76">
        <f>COUNTIFS([1]Fleet!$E:$E,Table1[[#This Row],[Old Assy '#]])+COUNTIFS([1]OnDeck!$E:$E,Table1[[#This Row],[Old Assy '#]])</f>
        <v>4</v>
      </c>
      <c r="S72" s="77">
        <v>43131</v>
      </c>
      <c r="T72" s="78"/>
      <c r="U72" s="78"/>
      <c r="V72" s="78"/>
      <c r="W72" s="56" t="str">
        <f>IF(AND(Table1[[#This Row],[Phase Out]]="Y",Table1[[#This Row],[Zero Inventory]]="Y"),"Y","")</f>
        <v/>
      </c>
      <c r="X72" s="79">
        <v>12.25</v>
      </c>
      <c r="Y72" s="63" t="s">
        <v>728</v>
      </c>
      <c r="Z72" s="59" t="str">
        <f>IF(LEFT(Table1[[#This Row],[Model]],2)="NX","NX",IF(LEFT(Table1[[#This Row],[Model]],2)="CR","CR",""))</f>
        <v>CR</v>
      </c>
      <c r="AA72" s="59" t="str">
        <f>LEFT(SUBSTITUTE(SUBSTITUTE(Table1[[#This Row],[Model]],"NX",""),"CR",""),1)</f>
        <v>6</v>
      </c>
      <c r="AB72" s="59" t="str">
        <f>MID(SUBSTITUTE(SUBSTITUTE(Table1[[#This Row],[Model]],"NX",""),"CR",""),2,2)</f>
        <v>16</v>
      </c>
      <c r="AC72" s="64" t="str">
        <f>IF(ISNUMBER(FIND("M",Table1[[#This Row],[Model]])),"M","")</f>
        <v/>
      </c>
      <c r="AD72" s="64" t="str">
        <f>CONCATENATE(MID(Table1[[#This Row],[Model]],FIND("-",Table1[[#This Row],[Model]])+1,2),IF(RIGHT(MID(Table1[[#This Row],[Model]],FIND("-",Table1[[#This Row],[Model]])+1,3),1)="+","+",""))</f>
        <v>XR</v>
      </c>
      <c r="AE72"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72" s="64" t="str">
        <f>IF(ISNUMBER(SEARCH("(K)",Table1[[#This Row],[Model]])),"(K)","")</f>
        <v>(K)</v>
      </c>
      <c r="AG72" s="64" t="str">
        <f>IF(ISNUMBER(SEARCH("(BR)",Table1[[#This Row],[Model]])),"(BR)","")</f>
        <v>(BR)</v>
      </c>
      <c r="AH72" s="32" t="s">
        <v>103</v>
      </c>
      <c r="AI72" s="32" t="s">
        <v>126</v>
      </c>
      <c r="AJ72" s="114" t="s">
        <v>452</v>
      </c>
      <c r="AK72" s="32"/>
      <c r="AL72" s="32" t="s">
        <v>106</v>
      </c>
      <c r="AM72" s="64" t="str">
        <f>SUBSTITUTE(INDEX('[2]M1 App'!$A$2:$R$349,MATCH(VALUE(LEFT(Table1[[#This Row],[Old Assy '#]],4)),'[2]M1 App'!$B$2:$B$349,0),MATCH(Table1[[#Headers],[App Interval Type]],'[2]M1 App'!$A$1:$R$1,0))," ","")</f>
        <v>Vertical</v>
      </c>
      <c r="AN72" s="64" t="s">
        <v>127</v>
      </c>
      <c r="AO72" s="65"/>
      <c r="AP72" s="66"/>
      <c r="AQ72" s="67">
        <f>VALUE(SUBSTITUTE(INDEX('[2]M1 App'!$A$2:$R$349,MATCH(VALUE(LEFT(Table1[[#This Row],[Old Assy '#]],4)),'[2]M1 App'!$B$2:$B$349,0),MATCH(Table1[[#Headers],[App Six Three]],'[2]M1 App'!$A$1:$R$1,0))," ",""))</f>
        <v>0</v>
      </c>
      <c r="AR72" s="68" t="s">
        <v>943</v>
      </c>
      <c r="AS72" s="32">
        <v>143652</v>
      </c>
      <c r="AT72" s="102">
        <v>11.875</v>
      </c>
      <c r="AU72" s="69">
        <f>IF(ISNUMBER(Table1[[#This Row],[Above gauge Ø]]),((Table1[[#This Row],[Size]]-Table1[[#This Row],[Above gauge Ø]])/2)-0.05,"")</f>
        <v>0.13750000000000001</v>
      </c>
      <c r="AV72" s="70">
        <v>0.33</v>
      </c>
      <c r="AW72" s="32" t="s">
        <v>111</v>
      </c>
      <c r="AX72" s="32">
        <v>12.07</v>
      </c>
      <c r="AY72" s="32" t="s">
        <v>944</v>
      </c>
      <c r="AZ72" s="32">
        <v>15</v>
      </c>
      <c r="BA72" s="32"/>
      <c r="BB72" s="82">
        <v>170</v>
      </c>
      <c r="BC72" s="82">
        <v>140</v>
      </c>
      <c r="BD72" s="82">
        <v>360</v>
      </c>
      <c r="BE72" s="82"/>
      <c r="BF72" s="32" t="s">
        <v>113</v>
      </c>
      <c r="BG72" s="32">
        <v>15</v>
      </c>
      <c r="BH72" s="32" t="s">
        <v>945</v>
      </c>
      <c r="BI72" s="32">
        <v>35</v>
      </c>
      <c r="BJ72" s="2" t="e">
        <f>CONCATENATE("► M1 Notes: ",#REF!," •-----► CL-SKF Notes: ",#REF!," •-----► DS Notes: ",#REF!)</f>
        <v>#REF!</v>
      </c>
      <c r="BK72" s="108"/>
      <c r="BL72" s="32">
        <v>6</v>
      </c>
      <c r="BM72" s="32" t="s">
        <v>115</v>
      </c>
      <c r="BN72" s="83">
        <v>64.459000000000003</v>
      </c>
      <c r="BO72" s="31">
        <v>33.840000000000003</v>
      </c>
      <c r="BP72" s="32" t="s">
        <v>116</v>
      </c>
      <c r="BQ72" s="32" t="s">
        <v>101</v>
      </c>
      <c r="BR72" s="32" t="s">
        <v>116</v>
      </c>
      <c r="BS72" s="32">
        <v>60</v>
      </c>
      <c r="BT72" s="32" t="s">
        <v>117</v>
      </c>
      <c r="BU72" s="32">
        <v>9</v>
      </c>
      <c r="BV72" s="32" t="s">
        <v>117</v>
      </c>
      <c r="BW72" s="103">
        <v>3.34</v>
      </c>
    </row>
    <row r="73" spans="2:75" x14ac:dyDescent="0.25">
      <c r="B73" s="1">
        <v>2179</v>
      </c>
      <c r="C73" s="2"/>
      <c r="D73" s="147" t="s">
        <v>946</v>
      </c>
      <c r="E73" s="75" t="s">
        <v>93</v>
      </c>
      <c r="F73" s="75" t="s">
        <v>93</v>
      </c>
      <c r="G73" s="55" t="s">
        <v>947</v>
      </c>
      <c r="H73" s="55" t="s">
        <v>948</v>
      </c>
      <c r="I73" s="55" t="s">
        <v>949</v>
      </c>
      <c r="J73" s="55" t="s">
        <v>950</v>
      </c>
      <c r="K73" s="55" t="s">
        <v>951</v>
      </c>
      <c r="L73" s="55" t="s">
        <v>952</v>
      </c>
      <c r="M73" s="75" t="s">
        <v>93</v>
      </c>
      <c r="N73" s="55" t="s">
        <v>953</v>
      </c>
      <c r="O73" s="55" t="s">
        <v>954</v>
      </c>
      <c r="P73" s="53" t="s">
        <v>93</v>
      </c>
      <c r="Q73" s="53" t="s">
        <v>93</v>
      </c>
      <c r="R73" s="76">
        <f>COUNTIFS([1]Fleet!$E:$E,Table1[[#This Row],[Old Assy '#]])+COUNTIFS([1]OnDeck!$E:$E,Table1[[#This Row],[Old Assy '#]])</f>
        <v>2</v>
      </c>
      <c r="S73" s="77">
        <v>43151</v>
      </c>
      <c r="T73" s="78"/>
      <c r="U73" s="78"/>
      <c r="V73" s="78"/>
      <c r="W73" s="56" t="str">
        <f>IF(AND(Table1[[#This Row],[Phase Out]]="Y",Table1[[#This Row],[Zero Inventory]]="Y"),"Y","")</f>
        <v/>
      </c>
      <c r="X73" s="79">
        <v>12.25</v>
      </c>
      <c r="Y73" s="63" t="s">
        <v>785</v>
      </c>
      <c r="Z73" s="59" t="str">
        <f>IF(LEFT(Table1[[#This Row],[Model]],2)="NX","NX",IF(LEFT(Table1[[#This Row],[Model]],2)="CR","CR",""))</f>
        <v>CR</v>
      </c>
      <c r="AA73" s="59" t="str">
        <f>LEFT(SUBSTITUTE(SUBSTITUTE(Table1[[#This Row],[Model]],"NX",""),"CR",""),1)</f>
        <v>7</v>
      </c>
      <c r="AB73" s="59" t="str">
        <f>MID(SUBSTITUTE(SUBSTITUTE(Table1[[#This Row],[Model]],"NX",""),"CR",""),2,2)</f>
        <v>16</v>
      </c>
      <c r="AC73" s="64" t="str">
        <f>IF(ISNUMBER(FIND("M",Table1[[#This Row],[Model]])),"M","")</f>
        <v/>
      </c>
      <c r="AD73" s="64" t="str">
        <f>CONCATENATE(MID(Table1[[#This Row],[Model]],FIND("-",Table1[[#This Row],[Model]])+1,2),IF(RIGHT(MID(Table1[[#This Row],[Model]],FIND("-",Table1[[#This Row],[Model]])+1,3),1)="+","+",""))</f>
        <v>XR</v>
      </c>
      <c r="AE7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73" s="64" t="str">
        <f>IF(ISNUMBER(SEARCH("(K)",Table1[[#This Row],[Model]])),"(K)","")</f>
        <v>(K)</v>
      </c>
      <c r="AG73" s="64" t="str">
        <f>IF(ISNUMBER(SEARCH("(BR)",Table1[[#This Row],[Model]])),"(BR)","")</f>
        <v>(BR)</v>
      </c>
      <c r="AH73" s="32" t="s">
        <v>103</v>
      </c>
      <c r="AI73" s="32" t="s">
        <v>126</v>
      </c>
      <c r="AJ73" s="32"/>
      <c r="AK73" s="32"/>
      <c r="AL73" s="32" t="s">
        <v>106</v>
      </c>
      <c r="AM73" s="64" t="str">
        <f>SUBSTITUTE(INDEX('[2]M1 App'!$A$2:$R$349,MATCH(VALUE(LEFT(Table1[[#This Row],[Old Assy '#]],4)),'[2]M1 App'!$B$2:$B$349,0),MATCH(Table1[[#Headers],[App Interval Type]],'[2]M1 App'!$A$1:$R$1,0))," ","")</f>
        <v>Vertical</v>
      </c>
      <c r="AN73" s="64" t="s">
        <v>127</v>
      </c>
      <c r="AO73" s="65"/>
      <c r="AP73" s="66"/>
      <c r="AQ73" s="67">
        <f>VALUE(SUBSTITUTE(INDEX('[2]M1 App'!$A$2:$R$349,MATCH(VALUE(LEFT(Table1[[#This Row],[Old Assy '#]],4)),'[2]M1 App'!$B$2:$B$349,0),MATCH(Table1[[#Headers],[App Six Three]],'[2]M1 App'!$A$1:$R$1,0))," ",""))</f>
        <v>0</v>
      </c>
      <c r="AR73" s="68" t="s">
        <v>284</v>
      </c>
      <c r="AS73" s="32">
        <v>1765432</v>
      </c>
      <c r="AT73" s="102">
        <v>11.875</v>
      </c>
      <c r="AU73" s="69">
        <f>IF(ISNUMBER(Table1[[#This Row],[Above gauge Ø]]),((Table1[[#This Row],[Size]]-Table1[[#This Row],[Above gauge Ø]])/2)-0.05,"")</f>
        <v>0.13750000000000001</v>
      </c>
      <c r="AV73" s="70">
        <v>0.33</v>
      </c>
      <c r="AW73" s="32" t="s">
        <v>111</v>
      </c>
      <c r="AX73" s="32">
        <v>12.07</v>
      </c>
      <c r="AY73" s="32" t="s">
        <v>944</v>
      </c>
      <c r="AZ73" s="32">
        <v>15</v>
      </c>
      <c r="BA73" s="32"/>
      <c r="BB73" s="82">
        <v>170</v>
      </c>
      <c r="BC73" s="82">
        <v>130</v>
      </c>
      <c r="BD73" s="82"/>
      <c r="BE73" s="82"/>
      <c r="BF73" s="32">
        <v>15</v>
      </c>
      <c r="BG73" s="32">
        <v>15</v>
      </c>
      <c r="BH73" s="32" t="s">
        <v>597</v>
      </c>
      <c r="BI73" s="32">
        <v>35</v>
      </c>
      <c r="BJ73" s="108" t="e">
        <f>CONCATENATE("► M1 Notes: ",#REF!," •-----► CL-SKF Notes: ",#REF!," •-----► DS Notes: ",#REF!)</f>
        <v>#REF!</v>
      </c>
      <c r="BK73" s="109" t="s">
        <v>955</v>
      </c>
      <c r="BL73" s="32">
        <v>6</v>
      </c>
      <c r="BM73" s="32" t="s">
        <v>115</v>
      </c>
      <c r="BN73" s="83">
        <v>79.415000000000006</v>
      </c>
      <c r="BO73" s="31">
        <v>30.18</v>
      </c>
      <c r="BP73" s="32" t="s">
        <v>116</v>
      </c>
      <c r="BQ73" s="32" t="s">
        <v>101</v>
      </c>
      <c r="BR73" s="32" t="s">
        <v>116</v>
      </c>
      <c r="BS73" s="32">
        <v>60</v>
      </c>
      <c r="BT73" s="32" t="s">
        <v>117</v>
      </c>
      <c r="BU73" s="32">
        <v>7</v>
      </c>
      <c r="BV73" s="32" t="s">
        <v>117</v>
      </c>
      <c r="BW73" s="103">
        <v>2.6</v>
      </c>
    </row>
    <row r="74" spans="2:75" x14ac:dyDescent="0.25">
      <c r="B74" s="1">
        <v>2180</v>
      </c>
      <c r="C74" s="2"/>
      <c r="D74" s="146" t="s">
        <v>93</v>
      </c>
      <c r="E74" s="75" t="s">
        <v>93</v>
      </c>
      <c r="F74" s="75" t="s">
        <v>93</v>
      </c>
      <c r="G74" s="55" t="s">
        <v>956</v>
      </c>
      <c r="H74" s="55" t="s">
        <v>957</v>
      </c>
      <c r="I74" s="55" t="s">
        <v>958</v>
      </c>
      <c r="J74" s="55" t="s">
        <v>959</v>
      </c>
      <c r="K74" s="55" t="s">
        <v>960</v>
      </c>
      <c r="L74" s="55" t="s">
        <v>961</v>
      </c>
      <c r="M74" s="75" t="s">
        <v>93</v>
      </c>
      <c r="N74" s="55" t="s">
        <v>962</v>
      </c>
      <c r="O74" s="55" t="s">
        <v>963</v>
      </c>
      <c r="P74" s="53" t="s">
        <v>93</v>
      </c>
      <c r="Q74" s="53" t="s">
        <v>93</v>
      </c>
      <c r="R74" s="76">
        <f>COUNTIFS([1]Fleet!$E:$E,Table1[[#This Row],[Old Assy '#]])+COUNTIFS([1]OnDeck!$E:$E,Table1[[#This Row],[Old Assy '#]])</f>
        <v>2</v>
      </c>
      <c r="S74" s="77">
        <v>43161</v>
      </c>
      <c r="T74" s="78"/>
      <c r="U74" s="78"/>
      <c r="V74" s="78"/>
      <c r="W74" s="56" t="str">
        <f>IF(AND(Table1[[#This Row],[Phase Out]]="Y",Table1[[#This Row],[Zero Inventory]]="Y"),"Y","")</f>
        <v/>
      </c>
      <c r="X74" s="79">
        <v>10.625</v>
      </c>
      <c r="Y74" s="63" t="s">
        <v>785</v>
      </c>
      <c r="Z74" s="59" t="str">
        <f>IF(LEFT(Table1[[#This Row],[Model]],2)="NX","NX",IF(LEFT(Table1[[#This Row],[Model]],2)="CR","CR",""))</f>
        <v>CR</v>
      </c>
      <c r="AA74" s="59" t="str">
        <f>LEFT(SUBSTITUTE(SUBSTITUTE(Table1[[#This Row],[Model]],"NX",""),"CR",""),1)</f>
        <v>7</v>
      </c>
      <c r="AB74" s="59" t="str">
        <f>MID(SUBSTITUTE(SUBSTITUTE(Table1[[#This Row],[Model]],"NX",""),"CR",""),2,2)</f>
        <v>16</v>
      </c>
      <c r="AC74" s="64" t="str">
        <f>IF(ISNUMBER(FIND("M",Table1[[#This Row],[Model]])),"M","")</f>
        <v/>
      </c>
      <c r="AD74" s="64" t="str">
        <f>CONCATENATE(MID(Table1[[#This Row],[Model]],FIND("-",Table1[[#This Row],[Model]])+1,2),IF(RIGHT(MID(Table1[[#This Row],[Model]],FIND("-",Table1[[#This Row],[Model]])+1,3),1)="+","+",""))</f>
        <v>XR</v>
      </c>
      <c r="AE7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74" s="64" t="str">
        <f>IF(ISNUMBER(SEARCH("(K)",Table1[[#This Row],[Model]])),"(K)","")</f>
        <v>(K)</v>
      </c>
      <c r="AG74" s="64" t="str">
        <f>IF(ISNUMBER(SEARCH("(BR)",Table1[[#This Row],[Model]])),"(BR)","")</f>
        <v>(BR)</v>
      </c>
      <c r="AH74" s="32" t="s">
        <v>103</v>
      </c>
      <c r="AI74" s="32" t="s">
        <v>126</v>
      </c>
      <c r="AJ74" s="32"/>
      <c r="AK74" s="32"/>
      <c r="AL74" s="32" t="s">
        <v>106</v>
      </c>
      <c r="AM74" s="64" t="str">
        <f>SUBSTITUTE(INDEX('[2]M1 App'!$A$2:$R$349,MATCH(VALUE(LEFT(Table1[[#This Row],[Old Assy '#]],4)),'[2]M1 App'!$B$2:$B$349,0),MATCH(Table1[[#Headers],[App Interval Type]],'[2]M1 App'!$A$1:$R$1,0))," ","")</f>
        <v>Vertical</v>
      </c>
      <c r="AN74" s="64" t="s">
        <v>127</v>
      </c>
      <c r="AO74" s="65"/>
      <c r="AP74" s="66"/>
      <c r="AQ74" s="67">
        <f>VALUE(SUBSTITUTE(INDEX('[2]M1 App'!$A$2:$R$349,MATCH(VALUE(LEFT(Table1[[#This Row],[Old Assy '#]],4)),'[2]M1 App'!$B$2:$B$349,0),MATCH(Table1[[#Headers],[App Six Three]],'[2]M1 App'!$A$1:$R$1,0))," ",""))</f>
        <v>0</v>
      </c>
      <c r="AR74" s="68" t="s">
        <v>284</v>
      </c>
      <c r="AS74" s="32">
        <v>1765432</v>
      </c>
      <c r="AT74" s="32">
        <v>10.3125</v>
      </c>
      <c r="AU74" s="69">
        <f>IF(ISNUMBER(Table1[[#This Row],[Above gauge Ø]]),((Table1[[#This Row],[Size]]-Table1[[#This Row],[Above gauge Ø]])/2)-0.05,"")</f>
        <v>0.10625</v>
      </c>
      <c r="AV74" s="70">
        <v>0.33</v>
      </c>
      <c r="AW74" s="32" t="s">
        <v>111</v>
      </c>
      <c r="AX74" s="32">
        <v>10.439</v>
      </c>
      <c r="AY74" s="32" t="s">
        <v>232</v>
      </c>
      <c r="AZ74" s="32">
        <v>15</v>
      </c>
      <c r="BA74" s="32"/>
      <c r="BB74" s="82">
        <v>280</v>
      </c>
      <c r="BC74" s="82">
        <v>260</v>
      </c>
      <c r="BD74" s="82"/>
      <c r="BE74" s="82">
        <v>110</v>
      </c>
      <c r="BF74" s="32">
        <v>17.5</v>
      </c>
      <c r="BG74" s="32">
        <v>16</v>
      </c>
      <c r="BH74" s="32" t="s">
        <v>597</v>
      </c>
      <c r="BI74" s="32">
        <v>30</v>
      </c>
      <c r="BJ74" s="108" t="e">
        <f>CONCATENATE("► M1 Notes: ",#REF!," •-----► CL-SKF Notes: ",#REF!," •-----► DS Notes: ",#REF!)</f>
        <v>#REF!</v>
      </c>
      <c r="BK74" s="108" t="s">
        <v>716</v>
      </c>
      <c r="BL74" s="32">
        <v>6</v>
      </c>
      <c r="BM74" s="32" t="s">
        <v>115</v>
      </c>
      <c r="BN74" s="83">
        <v>73.935000000000002</v>
      </c>
      <c r="BO74" s="31">
        <v>19.8</v>
      </c>
      <c r="BP74" s="32" t="s">
        <v>116</v>
      </c>
      <c r="BQ74" s="32" t="s">
        <v>101</v>
      </c>
      <c r="BR74" s="32" t="s">
        <v>116</v>
      </c>
      <c r="BS74" s="32">
        <v>60</v>
      </c>
      <c r="BT74" s="32" t="s">
        <v>117</v>
      </c>
      <c r="BU74" s="32">
        <v>7</v>
      </c>
      <c r="BV74" s="32" t="s">
        <v>117</v>
      </c>
      <c r="BW74" s="103">
        <v>2.6</v>
      </c>
    </row>
    <row r="75" spans="2:75" x14ac:dyDescent="0.25">
      <c r="B75" s="1">
        <v>2181</v>
      </c>
      <c r="C75" s="2"/>
      <c r="D75" s="147" t="s">
        <v>964</v>
      </c>
      <c r="E75" s="75" t="s">
        <v>93</v>
      </c>
      <c r="F75" s="75" t="s">
        <v>93</v>
      </c>
      <c r="G75" s="55" t="s">
        <v>965</v>
      </c>
      <c r="H75" s="55" t="s">
        <v>966</v>
      </c>
      <c r="I75" s="55" t="s">
        <v>967</v>
      </c>
      <c r="J75" s="55" t="s">
        <v>968</v>
      </c>
      <c r="K75" s="55" t="s">
        <v>969</v>
      </c>
      <c r="L75" s="55" t="s">
        <v>970</v>
      </c>
      <c r="M75" s="75" t="s">
        <v>93</v>
      </c>
      <c r="N75" s="55" t="s">
        <v>971</v>
      </c>
      <c r="O75" s="55" t="s">
        <v>972</v>
      </c>
      <c r="P75" s="53" t="s">
        <v>93</v>
      </c>
      <c r="Q75" s="53" t="s">
        <v>93</v>
      </c>
      <c r="R75" s="76">
        <f>COUNTIFS([1]Fleet!$E:$E,Table1[[#This Row],[Old Assy '#]])+COUNTIFS([1]OnDeck!$E:$E,Table1[[#This Row],[Old Assy '#]])</f>
        <v>1</v>
      </c>
      <c r="S75" s="77">
        <v>43168</v>
      </c>
      <c r="T75" s="78"/>
      <c r="U75" s="78"/>
      <c r="V75" s="78"/>
      <c r="W75" s="56" t="str">
        <f>IF(AND(Table1[[#This Row],[Phase Out]]="Y",Table1[[#This Row],[Zero Inventory]]="Y"),"Y","")</f>
        <v/>
      </c>
      <c r="X75" s="79">
        <v>7.875</v>
      </c>
      <c r="Y75" s="63" t="s">
        <v>882</v>
      </c>
      <c r="Z75" s="59" t="str">
        <f>IF(LEFT(Table1[[#This Row],[Model]],2)="NX","NX",IF(LEFT(Table1[[#This Row],[Model]],2)="CR","CR",""))</f>
        <v>CR</v>
      </c>
      <c r="AA75" s="59" t="str">
        <f>LEFT(SUBSTITUTE(SUBSTITUTE(Table1[[#This Row],[Model]],"NX",""),"CR",""),1)</f>
        <v>6</v>
      </c>
      <c r="AB75" s="59" t="str">
        <f>MID(SUBSTITUTE(SUBSTITUTE(Table1[[#This Row],[Model]],"NX",""),"CR",""),2,2)</f>
        <v>16</v>
      </c>
      <c r="AC75" s="64" t="str">
        <f>IF(ISNUMBER(FIND("M",Table1[[#This Row],[Model]])),"M","")</f>
        <v/>
      </c>
      <c r="AD75" s="64" t="str">
        <f>CONCATENATE(MID(Table1[[#This Row],[Model]],FIND("-",Table1[[#This Row],[Model]])+1,2),IF(RIGHT(MID(Table1[[#This Row],[Model]],FIND("-",Table1[[#This Row],[Model]])+1,3),1)="+","+",""))</f>
        <v>XR</v>
      </c>
      <c r="AE75"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75" s="64" t="str">
        <f>IF(ISNUMBER(SEARCH("(K)",Table1[[#This Row],[Model]])),"(K)","")</f>
        <v>(K)</v>
      </c>
      <c r="AG75" s="64" t="str">
        <f>IF(ISNUMBER(SEARCH("(BR)",Table1[[#This Row],[Model]])),"(BR)","")</f>
        <v>(BR)</v>
      </c>
      <c r="AH75" s="32" t="s">
        <v>103</v>
      </c>
      <c r="AI75" s="32" t="s">
        <v>104</v>
      </c>
      <c r="AJ75" s="32"/>
      <c r="AK75" s="95"/>
      <c r="AL75" s="32" t="s">
        <v>259</v>
      </c>
      <c r="AM75" s="64" t="str">
        <f>SUBSTITUTE(INDEX('[2]M1 App'!$A$2:$R$349,MATCH(VALUE(LEFT(Table1[[#This Row],[Old Assy '#]],4)),'[2]M1 App'!$B$2:$B$349,0),MATCH(Table1[[#Headers],[App Interval Type]],'[2]M1 App'!$A$1:$R$1,0))," ","")</f>
        <v>Lateral</v>
      </c>
      <c r="AN75" s="64" t="s">
        <v>108</v>
      </c>
      <c r="AO75" s="65"/>
      <c r="AP75" s="66"/>
      <c r="AQ75" s="67">
        <f>VALUE(SUBSTITUTE(INDEX('[2]M1 App'!$A$2:$R$349,MATCH(VALUE(LEFT(Table1[[#This Row],[Old Assy '#]],4)),'[2]M1 App'!$B$2:$B$349,0),MATCH(Table1[[#Headers],[App Six Three]],'[2]M1 App'!$A$1:$R$1,0))," ",""))</f>
        <v>0</v>
      </c>
      <c r="AR75" s="68" t="s">
        <v>284</v>
      </c>
      <c r="AS75" s="32">
        <v>165432</v>
      </c>
      <c r="AT75" s="32">
        <v>7.5</v>
      </c>
      <c r="AU75" s="69">
        <f>IF(ISNUMBER(Table1[[#This Row],[Above gauge Ø]]),((Table1[[#This Row],[Size]]-Table1[[#This Row],[Above gauge Ø]])/2)-0.05,"")</f>
        <v>0.13750000000000001</v>
      </c>
      <c r="AV75" s="70">
        <v>0.33</v>
      </c>
      <c r="AW75" s="32" t="s">
        <v>111</v>
      </c>
      <c r="AX75" s="32">
        <v>7.6890000000000001</v>
      </c>
      <c r="AY75" s="32" t="s">
        <v>112</v>
      </c>
      <c r="AZ75" s="32">
        <v>12.5</v>
      </c>
      <c r="BA75" s="32"/>
      <c r="BB75" s="82">
        <v>110</v>
      </c>
      <c r="BC75" s="82">
        <v>100</v>
      </c>
      <c r="BD75" s="82"/>
      <c r="BE75" s="82">
        <v>340</v>
      </c>
      <c r="BF75" s="32">
        <v>15</v>
      </c>
      <c r="BG75" s="32">
        <v>15</v>
      </c>
      <c r="BH75" s="32" t="s">
        <v>322</v>
      </c>
      <c r="BI75" s="32">
        <v>35</v>
      </c>
      <c r="BJ75" s="108" t="e">
        <f>CONCATENATE("► M1 Notes: ",#REF!," •-----► CL-SKF Notes: ",#REF!," •-----► DS Notes: ",#REF!)</f>
        <v>#REF!</v>
      </c>
      <c r="BK75" s="109" t="s">
        <v>716</v>
      </c>
      <c r="BL75" s="32">
        <v>4</v>
      </c>
      <c r="BM75" s="32" t="s">
        <v>184</v>
      </c>
      <c r="BN75" s="83">
        <v>41.195</v>
      </c>
      <c r="BO75" s="31">
        <v>8.81</v>
      </c>
      <c r="BP75" s="32" t="s">
        <v>116</v>
      </c>
      <c r="BQ75" s="32" t="s">
        <v>101</v>
      </c>
      <c r="BR75" s="32" t="s">
        <v>116</v>
      </c>
      <c r="BS75" s="32">
        <v>60</v>
      </c>
      <c r="BT75" s="32" t="s">
        <v>117</v>
      </c>
      <c r="BU75" s="32">
        <v>6</v>
      </c>
      <c r="BV75" s="32" t="s">
        <v>117</v>
      </c>
      <c r="BW75" s="103">
        <v>2.23</v>
      </c>
    </row>
    <row r="76" spans="2:75" x14ac:dyDescent="0.25">
      <c r="B76" s="1">
        <v>2184</v>
      </c>
      <c r="C76" s="2"/>
      <c r="D76" s="146" t="s">
        <v>93</v>
      </c>
      <c r="E76" s="75" t="s">
        <v>93</v>
      </c>
      <c r="F76" s="75" t="s">
        <v>93</v>
      </c>
      <c r="G76" s="75" t="s">
        <v>93</v>
      </c>
      <c r="H76" s="75" t="s">
        <v>93</v>
      </c>
      <c r="I76" s="75" t="s">
        <v>93</v>
      </c>
      <c r="J76" s="75" t="s">
        <v>93</v>
      </c>
      <c r="K76" s="75" t="s">
        <v>93</v>
      </c>
      <c r="L76" s="75" t="s">
        <v>93</v>
      </c>
      <c r="M76" s="75" t="s">
        <v>93</v>
      </c>
      <c r="N76" s="75" t="s">
        <v>93</v>
      </c>
      <c r="O76" s="75" t="s">
        <v>93</v>
      </c>
      <c r="P76" s="53" t="s">
        <v>93</v>
      </c>
      <c r="Q76" s="53" t="s">
        <v>93</v>
      </c>
      <c r="R76" s="76">
        <f>COUNTIFS([1]Fleet!$E:$E,Table1[[#This Row],[Old Assy '#]])+COUNTIFS([1]OnDeck!$E:$E,Table1[[#This Row],[Old Assy '#]])</f>
        <v>1</v>
      </c>
      <c r="S76" s="77">
        <v>43318</v>
      </c>
      <c r="T76" s="78"/>
      <c r="U76" s="78"/>
      <c r="V76" s="78"/>
      <c r="W76" s="56" t="str">
        <f>IF(AND(Table1[[#This Row],[Phase Out]]="Y",Table1[[#This Row],[Zero Inventory]]="Y"),"Y","")</f>
        <v/>
      </c>
      <c r="X76" s="79">
        <v>8.5</v>
      </c>
      <c r="Y76" s="63" t="s">
        <v>973</v>
      </c>
      <c r="Z76" s="59" t="str">
        <f>IF(LEFT(Table1[[#This Row],[Model]],2)="NX","NX",IF(LEFT(Table1[[#This Row],[Model]],2)="CR","CR",""))</f>
        <v>CR</v>
      </c>
      <c r="AA76" s="59" t="str">
        <f>LEFT(SUBSTITUTE(SUBSTITUTE(Table1[[#This Row],[Model]],"NX",""),"CR",""),1)</f>
        <v>6</v>
      </c>
      <c r="AB76" s="59" t="str">
        <f>MID(SUBSTITUTE(SUBSTITUTE(Table1[[#This Row],[Model]],"NX",""),"CR",""),2,2)</f>
        <v>16</v>
      </c>
      <c r="AC76" s="64" t="str">
        <f>IF(ISNUMBER(FIND("M",Table1[[#This Row],[Model]])),"M","")</f>
        <v/>
      </c>
      <c r="AD76" s="64" t="str">
        <f>CONCATENATE(MID(Table1[[#This Row],[Model]],FIND("-",Table1[[#This Row],[Model]])+1,2),IF(RIGHT(MID(Table1[[#This Row],[Model]],FIND("-",Table1[[#This Row],[Model]])+1,3),1)="+","+",""))</f>
        <v>XR</v>
      </c>
      <c r="AE76"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76" s="64" t="str">
        <f>IF(ISNUMBER(SEARCH("(K)",Table1[[#This Row],[Model]])),"(K)","")</f>
        <v/>
      </c>
      <c r="AG76" s="64" t="str">
        <f>IF(ISNUMBER(SEARCH("(BR)",Table1[[#This Row],[Model]])),"(BR)","")</f>
        <v>(BR)</v>
      </c>
      <c r="AH76" s="32" t="s">
        <v>974</v>
      </c>
      <c r="AI76" s="32" t="s">
        <v>104</v>
      </c>
      <c r="AJ76" s="32"/>
      <c r="AK76" s="32"/>
      <c r="AL76" s="32" t="s">
        <v>259</v>
      </c>
      <c r="AM76" s="64" t="str">
        <f>SUBSTITUTE(INDEX('[2]M1 App'!$A$2:$R$349,MATCH(VALUE(LEFT(Table1[[#This Row],[Old Assy '#]],4)),'[2]M1 App'!$B$2:$B$349,0),MATCH(Table1[[#Headers],[App Interval Type]],'[2]M1 App'!$A$1:$R$1,0))," ","")</f>
        <v>Lateral</v>
      </c>
      <c r="AN76" s="64" t="s">
        <v>108</v>
      </c>
      <c r="AO76" s="65"/>
      <c r="AP76" s="66"/>
      <c r="AQ76" s="67">
        <f>VALUE(SUBSTITUTE(INDEX('[2]M1 App'!$A$2:$R$349,MATCH(VALUE(LEFT(Table1[[#This Row],[Old Assy '#]],4)),'[2]M1 App'!$B$2:$B$349,0),MATCH(Table1[[#Headers],[App Six Three]],'[2]M1 App'!$A$1:$R$1,0))," ",""))</f>
        <v>0</v>
      </c>
      <c r="AR76" s="69" t="str">
        <f>SUBSTITUTE(INDEX('[2]M1 App'!$A$2:$R$349,MATCH(VALUE(LEFT(Table1[[#This Row],[Old Assy '#]],4)),'[2]M1 App'!$B$2:$B$349,0),MATCH(Table1[[#Headers],[App Cutter Layout]],'[2]M1 App'!$A$1:$R$1,0))," ","")</f>
        <v>SingleSet</v>
      </c>
      <c r="AS76" s="32"/>
      <c r="AT76" s="102"/>
      <c r="AU76" s="69" t="str">
        <f>IF(ISNUMBER(Table1[[#This Row],[Above gauge Ø]]),((Table1[[#This Row],[Size]]-Table1[[#This Row],[Above gauge Ø]])/2)-0.05,"")</f>
        <v/>
      </c>
      <c r="AV76" s="70">
        <f>0.248/0.625</f>
        <v>0.39679999999999999</v>
      </c>
      <c r="AW76" s="32"/>
      <c r="AX76" s="32"/>
      <c r="AY76" s="32"/>
      <c r="AZ76" s="32"/>
      <c r="BA76" s="32"/>
      <c r="BB76" s="82">
        <v>180</v>
      </c>
      <c r="BC76" s="82">
        <v>160</v>
      </c>
      <c r="BD76" s="82"/>
      <c r="BE76" s="82"/>
      <c r="BF76" s="32"/>
      <c r="BG76" s="32"/>
      <c r="BH76" s="32"/>
      <c r="BI76" s="32"/>
      <c r="BJ76" s="17" t="e">
        <f>CONCATENATE("► M1 Notes: ",#REF!," •-----► CL-SKF Notes: ",#REF!," •-----► DS Notes: ",#REF!)</f>
        <v>#REF!</v>
      </c>
      <c r="BK76" s="17"/>
      <c r="BL76" s="32"/>
      <c r="BM76" s="32"/>
      <c r="BN76" s="83"/>
      <c r="BO76" s="31"/>
      <c r="BP76" s="32"/>
      <c r="BQ76" s="32"/>
      <c r="BR76" s="32"/>
      <c r="BS76" s="32">
        <v>60</v>
      </c>
      <c r="BT76" s="32" t="s">
        <v>117</v>
      </c>
      <c r="BU76" s="32">
        <v>6</v>
      </c>
      <c r="BV76" s="32" t="s">
        <v>117</v>
      </c>
      <c r="BW76" s="103">
        <v>2.23</v>
      </c>
    </row>
    <row r="77" spans="2:75" x14ac:dyDescent="0.25">
      <c r="B77" s="1">
        <v>2185</v>
      </c>
      <c r="C77" s="2"/>
      <c r="D77" s="146" t="s">
        <v>93</v>
      </c>
      <c r="E77" s="75" t="s">
        <v>93</v>
      </c>
      <c r="F77" s="75" t="s">
        <v>93</v>
      </c>
      <c r="G77" s="55" t="s">
        <v>975</v>
      </c>
      <c r="H77" s="55" t="s">
        <v>976</v>
      </c>
      <c r="I77" s="55" t="s">
        <v>977</v>
      </c>
      <c r="J77" s="55" t="s">
        <v>978</v>
      </c>
      <c r="K77" s="55" t="s">
        <v>979</v>
      </c>
      <c r="L77" s="55" t="s">
        <v>980</v>
      </c>
      <c r="M77" s="75" t="s">
        <v>93</v>
      </c>
      <c r="N77" s="55" t="s">
        <v>981</v>
      </c>
      <c r="O77" s="55" t="s">
        <v>982</v>
      </c>
      <c r="P77" s="53" t="s">
        <v>93</v>
      </c>
      <c r="Q77" s="53" t="s">
        <v>93</v>
      </c>
      <c r="R77" s="76">
        <f>COUNTIFS([1]Fleet!$E:$E,Table1[[#This Row],[Old Assy '#]])+COUNTIFS([1]OnDeck!$E:$E,Table1[[#This Row],[Old Assy '#]])</f>
        <v>4</v>
      </c>
      <c r="S77" s="77">
        <v>43193</v>
      </c>
      <c r="T77" s="78"/>
      <c r="U77" s="78"/>
      <c r="V77" s="78"/>
      <c r="W77" s="56" t="str">
        <f>IF(AND(Table1[[#This Row],[Phase Out]]="Y",Table1[[#This Row],[Zero Inventory]]="Y"),"Y","")</f>
        <v/>
      </c>
      <c r="X77" s="79">
        <v>13.5</v>
      </c>
      <c r="Y77" s="63" t="s">
        <v>868</v>
      </c>
      <c r="Z77" s="59" t="str">
        <f>IF(LEFT(Table1[[#This Row],[Model]],2)="NX","NX",IF(LEFT(Table1[[#This Row],[Model]],2)="CR","CR",""))</f>
        <v>CR</v>
      </c>
      <c r="AA77" s="59" t="str">
        <f>LEFT(SUBSTITUTE(SUBSTITUTE(Table1[[#This Row],[Model]],"NX",""),"CR",""),1)</f>
        <v>6</v>
      </c>
      <c r="AB77" s="59" t="str">
        <f>MID(SUBSTITUTE(SUBSTITUTE(Table1[[#This Row],[Model]],"NX",""),"CR",""),2,2)</f>
        <v>16</v>
      </c>
      <c r="AC77" s="64" t="str">
        <f>IF(ISNUMBER(FIND("M",Table1[[#This Row],[Model]])),"M","")</f>
        <v/>
      </c>
      <c r="AD77" s="64" t="str">
        <f>CONCATENATE(MID(Table1[[#This Row],[Model]],FIND("-",Table1[[#This Row],[Model]])+1,2),IF(RIGHT(MID(Table1[[#This Row],[Model]],FIND("-",Table1[[#This Row],[Model]])+1,3),1)="+","+",""))</f>
        <v>SR+</v>
      </c>
      <c r="AE77"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77" s="64" t="str">
        <f>IF(ISNUMBER(SEARCH("(K)",Table1[[#This Row],[Model]])),"(K)","")</f>
        <v>(K)</v>
      </c>
      <c r="AG77" s="64" t="str">
        <f>IF(ISNUMBER(SEARCH("(BR)",Table1[[#This Row],[Model]])),"(BR)","")</f>
        <v/>
      </c>
      <c r="AH77" s="32" t="s">
        <v>103</v>
      </c>
      <c r="AI77" s="32" t="s">
        <v>126</v>
      </c>
      <c r="AJ77" s="32"/>
      <c r="AK77" s="32"/>
      <c r="AL77" s="32" t="s">
        <v>106</v>
      </c>
      <c r="AM77" s="64" t="str">
        <f>SUBSTITUTE(INDEX('[2]M1 App'!$A$2:$R$349,MATCH(VALUE(LEFT(Table1[[#This Row],[Old Assy '#]],4)),'[2]M1 App'!$B$2:$B$349,0),MATCH(Table1[[#Headers],[App Interval Type]],'[2]M1 App'!$A$1:$R$1,0))," ","")</f>
        <v>Vertical</v>
      </c>
      <c r="AN77" s="64" t="s">
        <v>139</v>
      </c>
      <c r="AO77" s="65"/>
      <c r="AP77" s="66"/>
      <c r="AQ77" s="67">
        <f>VALUE(SUBSTITUTE(INDEX('[2]M1 App'!$A$2:$R$349,MATCH(VALUE(LEFT(Table1[[#This Row],[Old Assy '#]],4)),'[2]M1 App'!$B$2:$B$349,0),MATCH(Table1[[#Headers],[App Six Three]],'[2]M1 App'!$A$1:$R$1,0))," ",""))</f>
        <v>0</v>
      </c>
      <c r="AR77" s="69" t="str">
        <f>SUBSTITUTE(INDEX('[2]M1 App'!$A$2:$R$349,MATCH(VALUE(LEFT(Table1[[#This Row],[Old Assy '#]],4)),'[2]M1 App'!$B$2:$B$349,0),MATCH(Table1[[#Headers],[App Cutter Layout]],'[2]M1 App'!$A$1:$R$1,0))," ","")</f>
        <v>Redundant</v>
      </c>
      <c r="AS77" s="32" t="s">
        <v>128</v>
      </c>
      <c r="AT77" s="32">
        <f>6.5625*2</f>
        <v>13.125</v>
      </c>
      <c r="AU77" s="69">
        <f>IF(ISNUMBER(Table1[[#This Row],[Above gauge Ø]]),((Table1[[#This Row],[Size]]-Table1[[#This Row],[Above gauge Ø]])/2)-0.05,"")</f>
        <v>0.13750000000000001</v>
      </c>
      <c r="AV77" s="70">
        <v>0.33</v>
      </c>
      <c r="AW77" s="32" t="s">
        <v>111</v>
      </c>
      <c r="AX77" s="32">
        <v>13.314</v>
      </c>
      <c r="AY77" s="32" t="s">
        <v>270</v>
      </c>
      <c r="AZ77" s="32">
        <v>15</v>
      </c>
      <c r="BA77" s="32"/>
      <c r="BB77" s="82">
        <v>670</v>
      </c>
      <c r="BC77" s="82">
        <v>730</v>
      </c>
      <c r="BD77" s="82">
        <v>510</v>
      </c>
      <c r="BE77" s="82">
        <v>0</v>
      </c>
      <c r="BF77" s="32">
        <v>15</v>
      </c>
      <c r="BG77" s="32">
        <v>15</v>
      </c>
      <c r="BH77" s="32" t="s">
        <v>322</v>
      </c>
      <c r="BI77" s="32">
        <v>35</v>
      </c>
      <c r="BJ77" s="108" t="e">
        <f>CONCATENATE("► M1 Notes: ",#REF!," •-----► CL-SKF Notes: ",#REF!," •-----► DS Notes: ",#REF!)</f>
        <v>#REF!</v>
      </c>
      <c r="BK77" s="108" t="s">
        <v>983</v>
      </c>
      <c r="BL77" s="32">
        <v>7</v>
      </c>
      <c r="BM77" s="32" t="s">
        <v>115</v>
      </c>
      <c r="BN77" s="83">
        <v>92.7</v>
      </c>
      <c r="BO77" s="31">
        <v>37.83</v>
      </c>
      <c r="BP77" s="32" t="s">
        <v>116</v>
      </c>
      <c r="BQ77" s="32" t="s">
        <v>101</v>
      </c>
      <c r="BR77" s="32" t="s">
        <v>116</v>
      </c>
      <c r="BS77" s="32">
        <v>60</v>
      </c>
      <c r="BT77" s="32" t="s">
        <v>117</v>
      </c>
      <c r="BU77" s="32">
        <v>9</v>
      </c>
      <c r="BV77" s="32" t="s">
        <v>117</v>
      </c>
      <c r="BW77" s="103">
        <v>3.34</v>
      </c>
    </row>
    <row r="78" spans="2:75" x14ac:dyDescent="0.25">
      <c r="B78" s="1">
        <v>2186</v>
      </c>
      <c r="C78" s="2"/>
      <c r="D78" s="147" t="s">
        <v>984</v>
      </c>
      <c r="E78" s="75" t="s">
        <v>93</v>
      </c>
      <c r="F78" s="75" t="s">
        <v>93</v>
      </c>
      <c r="G78" s="55" t="s">
        <v>985</v>
      </c>
      <c r="H78" s="55" t="s">
        <v>986</v>
      </c>
      <c r="I78" s="55" t="s">
        <v>987</v>
      </c>
      <c r="J78" s="55" t="s">
        <v>988</v>
      </c>
      <c r="K78" s="55" t="s">
        <v>989</v>
      </c>
      <c r="L78" s="55" t="s">
        <v>990</v>
      </c>
      <c r="M78" s="75" t="s">
        <v>93</v>
      </c>
      <c r="N78" s="55" t="s">
        <v>991</v>
      </c>
      <c r="O78" s="55" t="s">
        <v>992</v>
      </c>
      <c r="P78" s="53" t="s">
        <v>93</v>
      </c>
      <c r="Q78" s="53" t="s">
        <v>93</v>
      </c>
      <c r="R78" s="76">
        <f>COUNTIFS([1]Fleet!$E:$E,Table1[[#This Row],[Old Assy '#]])+COUNTIFS([1]OnDeck!$E:$E,Table1[[#This Row],[Old Assy '#]])</f>
        <v>1</v>
      </c>
      <c r="S78" s="77">
        <v>43216</v>
      </c>
      <c r="T78" s="78"/>
      <c r="U78" s="78"/>
      <c r="V78" s="78"/>
      <c r="W78" s="56" t="str">
        <f>IF(AND(Table1[[#This Row],[Phase Out]]="Y",Table1[[#This Row],[Zero Inventory]]="Y"),"Y","")</f>
        <v/>
      </c>
      <c r="X78" s="79">
        <v>8.75</v>
      </c>
      <c r="Y78" s="63" t="s">
        <v>882</v>
      </c>
      <c r="Z78" s="59" t="str">
        <f>IF(LEFT(Table1[[#This Row],[Model]],2)="NX","NX",IF(LEFT(Table1[[#This Row],[Model]],2)="CR","CR",""))</f>
        <v>CR</v>
      </c>
      <c r="AA78" s="59" t="str">
        <f>LEFT(SUBSTITUTE(SUBSTITUTE(Table1[[#This Row],[Model]],"NX",""),"CR",""),1)</f>
        <v>6</v>
      </c>
      <c r="AB78" s="59" t="str">
        <f>MID(SUBSTITUTE(SUBSTITUTE(Table1[[#This Row],[Model]],"NX",""),"CR",""),2,2)</f>
        <v>16</v>
      </c>
      <c r="AC78" s="64" t="str">
        <f>IF(ISNUMBER(FIND("M",Table1[[#This Row],[Model]])),"M","")</f>
        <v/>
      </c>
      <c r="AD78" s="64" t="str">
        <f>CONCATENATE(MID(Table1[[#This Row],[Model]],FIND("-",Table1[[#This Row],[Model]])+1,2),IF(RIGHT(MID(Table1[[#This Row],[Model]],FIND("-",Table1[[#This Row],[Model]])+1,3),1)="+","+",""))</f>
        <v>XR</v>
      </c>
      <c r="AE78"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78" s="64" t="str">
        <f>IF(ISNUMBER(SEARCH("(K)",Table1[[#This Row],[Model]])),"(K)","")</f>
        <v>(K)</v>
      </c>
      <c r="AG78" s="64" t="str">
        <f>IF(ISNUMBER(SEARCH("(BR)",Table1[[#This Row],[Model]])),"(BR)","")</f>
        <v>(BR)</v>
      </c>
      <c r="AH78" s="32" t="s">
        <v>103</v>
      </c>
      <c r="AI78" s="32" t="s">
        <v>104</v>
      </c>
      <c r="AJ78" s="114" t="s">
        <v>452</v>
      </c>
      <c r="AK78" s="32"/>
      <c r="AL78" s="32" t="s">
        <v>320</v>
      </c>
      <c r="AM78" s="64" t="str">
        <f>SUBSTITUTE(INDEX('[2]M1 App'!$A$2:$R$349,MATCH(VALUE(LEFT(Table1[[#This Row],[Old Assy '#]],4)),'[2]M1 App'!$B$2:$B$349,0),MATCH(Table1[[#Headers],[App Interval Type]],'[2]M1 App'!$A$1:$R$1,0))," ","")</f>
        <v>Curve</v>
      </c>
      <c r="AN78" s="64" t="s">
        <v>108</v>
      </c>
      <c r="AO78" s="65"/>
      <c r="AP78" s="66"/>
      <c r="AQ78" s="67">
        <f>VALUE(SUBSTITUTE(INDEX('[2]M1 App'!$A$2:$R$349,MATCH(VALUE(LEFT(Table1[[#This Row],[Old Assy '#]],4)),'[2]M1 App'!$B$2:$B$349,0),MATCH(Table1[[#Headers],[App Six Three]],'[2]M1 App'!$A$1:$R$1,0))," ",""))</f>
        <v>0</v>
      </c>
      <c r="AR78" s="68" t="s">
        <v>284</v>
      </c>
      <c r="AS78" s="32">
        <v>165432</v>
      </c>
      <c r="AT78" s="102">
        <v>8.3276000000000003</v>
      </c>
      <c r="AU78" s="69">
        <f>IF(ISNUMBER(Table1[[#This Row],[Above gauge Ø]]),((Table1[[#This Row],[Size]]-Table1[[#This Row],[Above gauge Ø]])/2)-0.05,"")</f>
        <v>0.16119999999999984</v>
      </c>
      <c r="AV78" s="70">
        <v>0.33</v>
      </c>
      <c r="AW78" s="32" t="s">
        <v>180</v>
      </c>
      <c r="AX78" s="32">
        <v>8.5640000000000001</v>
      </c>
      <c r="AY78" s="32" t="s">
        <v>112</v>
      </c>
      <c r="AZ78" s="32">
        <v>9</v>
      </c>
      <c r="BA78" s="32"/>
      <c r="BB78" s="82"/>
      <c r="BC78" s="82">
        <v>70</v>
      </c>
      <c r="BD78" s="82">
        <v>290</v>
      </c>
      <c r="BE78" s="82">
        <v>320</v>
      </c>
      <c r="BF78" s="32">
        <v>18</v>
      </c>
      <c r="BG78" s="32">
        <v>16</v>
      </c>
      <c r="BH78" s="32" t="s">
        <v>993</v>
      </c>
      <c r="BI78" s="32">
        <v>35</v>
      </c>
      <c r="BJ78" s="108" t="e">
        <f>CONCATENATE("► M1 Notes: ",#REF!," •-----► CL-SKF Notes: ",#REF!," •-----► DS Notes: ",#REF!)</f>
        <v>#REF!</v>
      </c>
      <c r="BK78" s="108" t="s">
        <v>716</v>
      </c>
      <c r="BL78" s="32">
        <v>3</v>
      </c>
      <c r="BM78" s="32" t="s">
        <v>184</v>
      </c>
      <c r="BN78" s="83">
        <v>27.87</v>
      </c>
      <c r="BO78" s="31">
        <v>16.87</v>
      </c>
      <c r="BP78" s="32" t="s">
        <v>116</v>
      </c>
      <c r="BQ78" s="32" t="s">
        <v>101</v>
      </c>
      <c r="BR78" s="32" t="s">
        <v>116</v>
      </c>
      <c r="BS78" s="32">
        <v>60</v>
      </c>
      <c r="BT78" s="32" t="s">
        <v>117</v>
      </c>
      <c r="BU78" s="32">
        <v>6</v>
      </c>
      <c r="BV78" s="32" t="s">
        <v>117</v>
      </c>
      <c r="BW78" s="103">
        <v>2.23</v>
      </c>
    </row>
    <row r="79" spans="2:75" x14ac:dyDescent="0.25">
      <c r="B79" s="1">
        <v>2188</v>
      </c>
      <c r="C79" s="2"/>
      <c r="D79" s="147" t="s">
        <v>994</v>
      </c>
      <c r="E79" s="75" t="s">
        <v>93</v>
      </c>
      <c r="F79" s="75" t="s">
        <v>93</v>
      </c>
      <c r="G79" s="55" t="s">
        <v>995</v>
      </c>
      <c r="H79" s="55" t="s">
        <v>996</v>
      </c>
      <c r="I79" s="55" t="s">
        <v>997</v>
      </c>
      <c r="J79" s="55" t="s">
        <v>998</v>
      </c>
      <c r="K79" s="55" t="s">
        <v>999</v>
      </c>
      <c r="L79" s="55" t="s">
        <v>1000</v>
      </c>
      <c r="M79" s="75" t="s">
        <v>93</v>
      </c>
      <c r="N79" s="55" t="s">
        <v>1001</v>
      </c>
      <c r="O79" s="55" t="s">
        <v>1002</v>
      </c>
      <c r="P79" s="53" t="s">
        <v>93</v>
      </c>
      <c r="Q79" s="53" t="s">
        <v>93</v>
      </c>
      <c r="R79" s="76">
        <f>COUNTIFS([1]Fleet!$E:$E,Table1[[#This Row],[Old Assy '#]])+COUNTIFS([1]OnDeck!$E:$E,Table1[[#This Row],[Old Assy '#]])</f>
        <v>2</v>
      </c>
      <c r="S79" s="77">
        <v>43231</v>
      </c>
      <c r="T79" s="78"/>
      <c r="U79" s="78" t="s">
        <v>101</v>
      </c>
      <c r="V79" s="78"/>
      <c r="W79" s="56" t="str">
        <f>IF(AND(Table1[[#This Row],[Phase Out]]="Y",Table1[[#This Row],[Zero Inventory]]="Y"),"Y","")</f>
        <v/>
      </c>
      <c r="X79" s="79">
        <v>6.75</v>
      </c>
      <c r="Y79" s="63" t="s">
        <v>1003</v>
      </c>
      <c r="Z79" s="59" t="str">
        <f>IF(LEFT(Table1[[#This Row],[Model]],2)="NX","NX",IF(LEFT(Table1[[#This Row],[Model]],2)="CR","CR",""))</f>
        <v>CR</v>
      </c>
      <c r="AA79" s="59" t="str">
        <f>LEFT(SUBSTITUTE(SUBSTITUTE(Table1[[#This Row],[Model]],"NX",""),"CR",""),1)</f>
        <v>5</v>
      </c>
      <c r="AB79" s="59" t="str">
        <f>MID(SUBSTITUTE(SUBSTITUTE(Table1[[#This Row],[Model]],"NX",""),"CR",""),2,2)</f>
        <v>13</v>
      </c>
      <c r="AC79" s="64" t="str">
        <f>IF(ISNUMBER(FIND("M",Table1[[#This Row],[Model]])),"M","")</f>
        <v/>
      </c>
      <c r="AD79" s="64" t="str">
        <f>CONCATENATE(MID(Table1[[#This Row],[Model]],FIND("-",Table1[[#This Row],[Model]])+1,2),IF(RIGHT(MID(Table1[[#This Row],[Model]],FIND("-",Table1[[#This Row],[Model]])+1,3),1)="+","+",""))</f>
        <v>XR</v>
      </c>
      <c r="AE7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79" s="64" t="str">
        <f>IF(ISNUMBER(SEARCH("(K)",Table1[[#This Row],[Model]])),"(K)","")</f>
        <v>(K)</v>
      </c>
      <c r="AG79" s="64" t="str">
        <f>IF(ISNUMBER(SEARCH("(BR)",Table1[[#This Row],[Model]])),"(BR)","")</f>
        <v>(BR)</v>
      </c>
      <c r="AH79" s="32" t="s">
        <v>103</v>
      </c>
      <c r="AI79" s="32" t="s">
        <v>163</v>
      </c>
      <c r="AJ79" s="114" t="s">
        <v>452</v>
      </c>
      <c r="AK79" s="32"/>
      <c r="AL79" s="32" t="s">
        <v>259</v>
      </c>
      <c r="AM79" s="64" t="str">
        <f>SUBSTITUTE(INDEX('[2]M1 App'!$A$2:$R$349,MATCH(VALUE(LEFT(Table1[[#This Row],[Old Assy '#]],4)),'[2]M1 App'!$B$2:$B$349,0),MATCH(Table1[[#Headers],[App Interval Type]],'[2]M1 App'!$A$1:$R$1,0))," ","")</f>
        <v>Lateral</v>
      </c>
      <c r="AN79" s="64" t="s">
        <v>108</v>
      </c>
      <c r="AO79" s="65"/>
      <c r="AP79" s="66"/>
      <c r="AQ79" s="67">
        <f>VALUE(SUBSTITUTE(INDEX('[2]M1 App'!$A$2:$R$349,MATCH(VALUE(LEFT(Table1[[#This Row],[Old Assy '#]],4)),'[2]M1 App'!$B$2:$B$349,0),MATCH(Table1[[#Headers],[App Six Three]],'[2]M1 App'!$A$1:$R$1,0))," ",""))</f>
        <v>0</v>
      </c>
      <c r="AR79" s="68" t="s">
        <v>284</v>
      </c>
      <c r="AS79" s="32">
        <v>15432</v>
      </c>
      <c r="AT79" s="32">
        <v>6.375</v>
      </c>
      <c r="AU79" s="69">
        <f>IF(ISNUMBER(Table1[[#This Row],[Above gauge Ø]]),((Table1[[#This Row],[Size]]-Table1[[#This Row],[Above gauge Ø]])/2)-0.05,"")</f>
        <v>0.13750000000000001</v>
      </c>
      <c r="AV79" s="70">
        <v>0.33</v>
      </c>
      <c r="AW79" s="32" t="s">
        <v>180</v>
      </c>
      <c r="AX79" s="32">
        <v>6.57</v>
      </c>
      <c r="AY79" s="32" t="s">
        <v>541</v>
      </c>
      <c r="AZ79" s="32">
        <v>12.5</v>
      </c>
      <c r="BA79" s="32"/>
      <c r="BB79" s="82">
        <v>70</v>
      </c>
      <c r="BC79" s="82">
        <v>60</v>
      </c>
      <c r="BD79" s="82">
        <v>250</v>
      </c>
      <c r="BE79" s="82"/>
      <c r="BF79" s="32">
        <v>12.5</v>
      </c>
      <c r="BG79" s="32">
        <v>12.5</v>
      </c>
      <c r="BH79" s="32" t="s">
        <v>621</v>
      </c>
      <c r="BI79" s="32">
        <v>35</v>
      </c>
      <c r="BJ79" s="108" t="e">
        <f>CONCATENATE("► M1 Notes: ",#REF!," •-----► CL-SKF Notes: ",#REF!," •-----► DS Notes: ",#REF!)</f>
        <v>#REF!</v>
      </c>
      <c r="BK79" s="108" t="s">
        <v>517</v>
      </c>
      <c r="BL79" s="32">
        <v>4</v>
      </c>
      <c r="BM79" s="32" t="s">
        <v>184</v>
      </c>
      <c r="BN79" s="83">
        <v>33.965000000000003</v>
      </c>
      <c r="BO79" s="31">
        <v>9.57</v>
      </c>
      <c r="BP79" s="32" t="s">
        <v>116</v>
      </c>
      <c r="BQ79" s="32" t="s">
        <v>101</v>
      </c>
      <c r="BR79" s="32" t="s">
        <v>116</v>
      </c>
      <c r="BS79" s="32">
        <v>55</v>
      </c>
      <c r="BT79" s="32" t="s">
        <v>117</v>
      </c>
      <c r="BU79" s="32">
        <v>5</v>
      </c>
      <c r="BV79" s="32" t="s">
        <v>117</v>
      </c>
      <c r="BW79" s="103">
        <v>0.98</v>
      </c>
    </row>
    <row r="80" spans="2:75" x14ac:dyDescent="0.25">
      <c r="B80" s="104">
        <v>2190</v>
      </c>
      <c r="C80" s="2"/>
      <c r="D80" s="147" t="s">
        <v>1004</v>
      </c>
      <c r="E80" s="75" t="s">
        <v>93</v>
      </c>
      <c r="F80" s="75" t="s">
        <v>93</v>
      </c>
      <c r="G80" s="55" t="s">
        <v>1005</v>
      </c>
      <c r="H80" s="55" t="s">
        <v>1006</v>
      </c>
      <c r="I80" s="55" t="s">
        <v>1007</v>
      </c>
      <c r="J80" s="55" t="s">
        <v>1008</v>
      </c>
      <c r="K80" s="55" t="s">
        <v>1009</v>
      </c>
      <c r="L80" s="55" t="s">
        <v>1010</v>
      </c>
      <c r="M80" s="75" t="s">
        <v>93</v>
      </c>
      <c r="N80" s="55" t="s">
        <v>1011</v>
      </c>
      <c r="O80" s="55" t="s">
        <v>1012</v>
      </c>
      <c r="P80" s="75" t="s">
        <v>93</v>
      </c>
      <c r="Q80" s="75" t="s">
        <v>93</v>
      </c>
      <c r="R80" s="76">
        <f>COUNTIFS([1]Fleet!$E:$E,Table1[[#This Row],[Old Assy '#]])+COUNTIFS([1]OnDeck!$E:$E,Table1[[#This Row],[Old Assy '#]])</f>
        <v>5</v>
      </c>
      <c r="S80" s="88">
        <v>43249</v>
      </c>
      <c r="T80" s="89"/>
      <c r="U80" s="89" t="s">
        <v>101</v>
      </c>
      <c r="V80" s="89"/>
      <c r="W80" s="56" t="str">
        <f>IF(AND(Table1[[#This Row],[Phase Out]]="Y",Table1[[#This Row],[Zero Inventory]]="Y"),"Y","")</f>
        <v/>
      </c>
      <c r="X80" s="79">
        <v>6.125</v>
      </c>
      <c r="Y80" s="63" t="s">
        <v>1013</v>
      </c>
      <c r="Z80" s="59" t="str">
        <f>IF(LEFT(Table1[[#This Row],[Model]],2)="NX","NX",IF(LEFT(Table1[[#This Row],[Model]],2)="CR","CR",""))</f>
        <v>CR</v>
      </c>
      <c r="AA80" s="59" t="str">
        <f>LEFT(SUBSTITUTE(SUBSTITUTE(Table1[[#This Row],[Model]],"NX",""),"CR",""),1)</f>
        <v>5</v>
      </c>
      <c r="AB80" s="59" t="str">
        <f>MID(SUBSTITUTE(SUBSTITUTE(Table1[[#This Row],[Model]],"NX",""),"CR",""),2,2)</f>
        <v>16</v>
      </c>
      <c r="AC80" s="64" t="str">
        <f>IF(ISNUMBER(FIND("M",Table1[[#This Row],[Model]])),"M","")</f>
        <v/>
      </c>
      <c r="AD80" s="64" t="str">
        <f>CONCATENATE(MID(Table1[[#This Row],[Model]],FIND("-",Table1[[#This Row],[Model]])+1,2),IF(RIGHT(MID(Table1[[#This Row],[Model]],FIND("-",Table1[[#This Row],[Model]])+1,3),1)="+","+",""))</f>
        <v>SR</v>
      </c>
      <c r="AE80"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80" s="64" t="str">
        <f>IF(ISNUMBER(SEARCH("(K)",Table1[[#This Row],[Model]])),"(K)","")</f>
        <v>(K)</v>
      </c>
      <c r="AG80" s="64" t="str">
        <f>IF(ISNUMBER(SEARCH("(BR)",Table1[[#This Row],[Model]])),"(BR)","")</f>
        <v>(BR)</v>
      </c>
      <c r="AH80" s="32" t="s">
        <v>103</v>
      </c>
      <c r="AI80" s="32" t="s">
        <v>163</v>
      </c>
      <c r="AJ80" s="114" t="s">
        <v>452</v>
      </c>
      <c r="AK80" s="32"/>
      <c r="AL80" s="32" t="s">
        <v>259</v>
      </c>
      <c r="AM80" s="64" t="str">
        <f>SUBSTITUTE(INDEX('[2]M1 App'!$A$2:$R$349,MATCH(VALUE(LEFT(Table1[[#This Row],[Old Assy '#]],4)),'[2]M1 App'!$B$2:$B$349,0),MATCH(Table1[[#Headers],[App Interval Type]],'[2]M1 App'!$A$1:$R$1,0))," ","")</f>
        <v>Lateral</v>
      </c>
      <c r="AN80" s="64" t="s">
        <v>108</v>
      </c>
      <c r="AO80" s="65"/>
      <c r="AP80" s="66"/>
      <c r="AQ80" s="67">
        <f>VALUE(SUBSTITUTE(INDEX('[2]M1 App'!$A$2:$R$349,MATCH(VALUE(LEFT(Table1[[#This Row],[Old Assy '#]],4)),'[2]M1 App'!$B$2:$B$349,0),MATCH(Table1[[#Headers],[App Six Three]],'[2]M1 App'!$A$1:$R$1,0))," ",""))</f>
        <v>0</v>
      </c>
      <c r="AR80" s="68" t="s">
        <v>284</v>
      </c>
      <c r="AS80" s="32">
        <v>15432</v>
      </c>
      <c r="AT80" s="32">
        <f>2.907*2</f>
        <v>5.8140000000000001</v>
      </c>
      <c r="AU80" s="69">
        <f>IF(ISNUMBER(Table1[[#This Row],[Above gauge Ø]]),((Table1[[#This Row],[Size]]-Table1[[#This Row],[Above gauge Ø]])/2)-0.05,"")</f>
        <v>0.10549999999999997</v>
      </c>
      <c r="AV80" s="70">
        <v>0.33</v>
      </c>
      <c r="AW80" s="32" t="s">
        <v>180</v>
      </c>
      <c r="AX80" s="32">
        <f>2.97*2</f>
        <v>5.94</v>
      </c>
      <c r="AY80" s="32" t="s">
        <v>219</v>
      </c>
      <c r="AZ80" s="32">
        <v>12.5</v>
      </c>
      <c r="BA80" s="32"/>
      <c r="BB80" s="82"/>
      <c r="BC80" s="82"/>
      <c r="BD80" s="82">
        <v>230</v>
      </c>
      <c r="BE80" s="82">
        <v>450</v>
      </c>
      <c r="BF80" s="32">
        <v>17.5</v>
      </c>
      <c r="BG80" s="32">
        <v>20</v>
      </c>
      <c r="BH80" s="32" t="s">
        <v>1014</v>
      </c>
      <c r="BI80" s="32">
        <v>35</v>
      </c>
      <c r="BJ80" s="108" t="e">
        <f>CONCATENATE("► M1 Notes: ",#REF!," •-----► CL-SKF Notes: ",#REF!," •-----► DS Notes: ",#REF!)</f>
        <v>#REF!</v>
      </c>
      <c r="BK80" s="108" t="s">
        <v>517</v>
      </c>
      <c r="BL80" s="32">
        <v>3</v>
      </c>
      <c r="BM80" s="32" t="s">
        <v>184</v>
      </c>
      <c r="BN80" s="83">
        <v>18.526</v>
      </c>
      <c r="BO80" s="31">
        <v>8.3800000000000008</v>
      </c>
      <c r="BP80" s="32" t="s">
        <v>116</v>
      </c>
      <c r="BQ80" s="32" t="s">
        <v>101</v>
      </c>
      <c r="BR80" s="32" t="s">
        <v>116</v>
      </c>
      <c r="BS80" s="32">
        <v>55</v>
      </c>
      <c r="BT80" s="32" t="s">
        <v>117</v>
      </c>
      <c r="BU80" s="32">
        <v>5</v>
      </c>
      <c r="BV80" s="32" t="s">
        <v>117</v>
      </c>
      <c r="BW80" s="103">
        <v>0.98</v>
      </c>
    </row>
    <row r="81" spans="2:75" x14ac:dyDescent="0.25">
      <c r="B81" s="1">
        <v>2192</v>
      </c>
      <c r="C81" s="2"/>
      <c r="D81" s="147" t="s">
        <v>1015</v>
      </c>
      <c r="E81" s="55" t="s">
        <v>1016</v>
      </c>
      <c r="F81" s="55" t="s">
        <v>1017</v>
      </c>
      <c r="G81" s="55" t="s">
        <v>1018</v>
      </c>
      <c r="H81" s="55" t="s">
        <v>1019</v>
      </c>
      <c r="I81" s="55" t="s">
        <v>1020</v>
      </c>
      <c r="J81" s="55" t="s">
        <v>1021</v>
      </c>
      <c r="K81" s="55" t="s">
        <v>1022</v>
      </c>
      <c r="L81" s="55" t="s">
        <v>1023</v>
      </c>
      <c r="M81" s="55" t="s">
        <v>1024</v>
      </c>
      <c r="N81" s="55" t="s">
        <v>1025</v>
      </c>
      <c r="O81" s="55" t="s">
        <v>1026</v>
      </c>
      <c r="P81" s="53" t="s">
        <v>93</v>
      </c>
      <c r="Q81" s="53" t="s">
        <v>93</v>
      </c>
      <c r="R81" s="76">
        <f>COUNTIFS([1]Fleet!$E:$E,Table1[[#This Row],[Old Assy '#]])+COUNTIFS([1]OnDeck!$E:$E,Table1[[#This Row],[Old Assy '#]])</f>
        <v>3</v>
      </c>
      <c r="S81" s="77">
        <v>43292</v>
      </c>
      <c r="T81" s="78"/>
      <c r="U81" s="78"/>
      <c r="V81" s="78"/>
      <c r="W81" s="56" t="str">
        <f>IF(AND(Table1[[#This Row],[Phase Out]]="Y",Table1[[#This Row],[Zero Inventory]]="Y"),"Y","")</f>
        <v/>
      </c>
      <c r="X81" s="79">
        <v>8.75</v>
      </c>
      <c r="Y81" s="63" t="s">
        <v>166</v>
      </c>
      <c r="Z81" s="59" t="str">
        <f>IF(LEFT(Table1[[#This Row],[Model]],2)="NX","NX",IF(LEFT(Table1[[#This Row],[Model]],2)="CR","CR",""))</f>
        <v>CR</v>
      </c>
      <c r="AA81" s="59" t="str">
        <f>LEFT(SUBSTITUTE(SUBSTITUTE(Table1[[#This Row],[Model]],"NX",""),"CR",""),1)</f>
        <v>6</v>
      </c>
      <c r="AB81" s="59" t="str">
        <f>MID(SUBSTITUTE(SUBSTITUTE(Table1[[#This Row],[Model]],"NX",""),"CR",""),2,2)</f>
        <v>16</v>
      </c>
      <c r="AC81" s="64" t="str">
        <f>IF(ISNUMBER(FIND("M",Table1[[#This Row],[Model]])),"M","")</f>
        <v/>
      </c>
      <c r="AD81" s="64" t="str">
        <f>CONCATENATE(MID(Table1[[#This Row],[Model]],FIND("-",Table1[[#This Row],[Model]])+1,2),IF(RIGHT(MID(Table1[[#This Row],[Model]],FIND("-",Table1[[#This Row],[Model]])+1,3),1)="+","+",""))</f>
        <v>SR</v>
      </c>
      <c r="AE8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81" s="64" t="str">
        <f>IF(ISNUMBER(SEARCH("(K)",Table1[[#This Row],[Model]])),"(K)","")</f>
        <v/>
      </c>
      <c r="AG81" s="64" t="str">
        <f>IF(ISNUMBER(SEARCH("(BR)",Table1[[#This Row],[Model]])),"(BR)","")</f>
        <v/>
      </c>
      <c r="AH81" s="32" t="s">
        <v>103</v>
      </c>
      <c r="AI81" s="32" t="s">
        <v>104</v>
      </c>
      <c r="AJ81" s="32"/>
      <c r="AK81" s="32"/>
      <c r="AL81" s="32" t="s">
        <v>106</v>
      </c>
      <c r="AM81" s="64" t="str">
        <f>SUBSTITUTE(INDEX('[2]M1 App'!$A$2:$R$349,MATCH(VALUE(LEFT(Table1[[#This Row],[Old Assy '#]],4)),'[2]M1 App'!$B$2:$B$349,0),MATCH(Table1[[#Headers],[App Interval Type]],'[2]M1 App'!$A$1:$R$1,0))," ","")</f>
        <v>Vertical</v>
      </c>
      <c r="AN81" s="64" t="s">
        <v>108</v>
      </c>
      <c r="AO81" s="65"/>
      <c r="AP81" s="66"/>
      <c r="AQ81" s="67">
        <f>VALUE(SUBSTITUTE(INDEX('[2]M1 App'!$A$2:$R$349,MATCH(VALUE(LEFT(Table1[[#This Row],[Old Assy '#]],4)),'[2]M1 App'!$B$2:$B$349,0),MATCH(Table1[[#Headers],[App Six Three]],'[2]M1 App'!$A$1:$R$1,0))," ",""))</f>
        <v>0</v>
      </c>
      <c r="AR81" s="68" t="s">
        <v>284</v>
      </c>
      <c r="AS81" s="32">
        <v>165432</v>
      </c>
      <c r="AT81" s="102">
        <v>8.5625</v>
      </c>
      <c r="AU81" s="69">
        <f>IF(ISNUMBER(Table1[[#This Row],[Above gauge Ø]]),((Table1[[#This Row],[Size]]-Table1[[#This Row],[Above gauge Ø]])/2)-0.05,"")</f>
        <v>4.3749999999999997E-2</v>
      </c>
      <c r="AV81" s="70">
        <v>0.33</v>
      </c>
      <c r="AW81" s="32" t="s">
        <v>111</v>
      </c>
      <c r="AX81" s="32">
        <v>8.6875</v>
      </c>
      <c r="AY81" s="32" t="s">
        <v>112</v>
      </c>
      <c r="AZ81" s="32">
        <v>15</v>
      </c>
      <c r="BA81" s="32"/>
      <c r="BB81" s="82"/>
      <c r="BC81" s="82"/>
      <c r="BD81" s="82"/>
      <c r="BE81" s="82"/>
      <c r="BF81" s="32">
        <v>15</v>
      </c>
      <c r="BG81" s="32">
        <v>15</v>
      </c>
      <c r="BH81" s="32" t="s">
        <v>114</v>
      </c>
      <c r="BI81" s="32">
        <v>30</v>
      </c>
      <c r="BJ81" s="109" t="e">
        <f>CONCATENATE("► M1 Notes: ",#REF!," •-----► CL-SKF Notes: ",#REF!," •-----► DS Notes: ",#REF!)</f>
        <v>#REF!</v>
      </c>
      <c r="BK81" s="17" t="s">
        <v>716</v>
      </c>
      <c r="BL81" s="32">
        <v>3</v>
      </c>
      <c r="BM81" s="32" t="s">
        <v>115</v>
      </c>
      <c r="BN81" s="83">
        <v>30.23</v>
      </c>
      <c r="BO81" s="31">
        <v>14.8</v>
      </c>
      <c r="BP81" s="32" t="s">
        <v>116</v>
      </c>
      <c r="BQ81" s="32" t="s">
        <v>116</v>
      </c>
      <c r="BR81" s="32" t="s">
        <v>116</v>
      </c>
      <c r="BS81" s="32">
        <v>60</v>
      </c>
      <c r="BT81" s="32" t="s">
        <v>117</v>
      </c>
      <c r="BU81" s="32">
        <v>6</v>
      </c>
      <c r="BV81" s="32" t="s">
        <v>117</v>
      </c>
      <c r="BW81" s="103">
        <v>2.23</v>
      </c>
    </row>
    <row r="82" spans="2:75" x14ac:dyDescent="0.25">
      <c r="B82" s="1">
        <v>2193</v>
      </c>
      <c r="C82" s="2"/>
      <c r="D82" s="147" t="s">
        <v>1027</v>
      </c>
      <c r="E82" s="75" t="s">
        <v>93</v>
      </c>
      <c r="F82" s="75" t="s">
        <v>93</v>
      </c>
      <c r="G82" s="55" t="s">
        <v>1028</v>
      </c>
      <c r="H82" s="55" t="s">
        <v>1029</v>
      </c>
      <c r="I82" s="55" t="s">
        <v>1030</v>
      </c>
      <c r="J82" s="55" t="s">
        <v>1031</v>
      </c>
      <c r="K82" s="55" t="s">
        <v>1032</v>
      </c>
      <c r="L82" s="55" t="s">
        <v>1033</v>
      </c>
      <c r="M82" s="75" t="s">
        <v>93</v>
      </c>
      <c r="N82" s="55" t="s">
        <v>1034</v>
      </c>
      <c r="O82" s="55" t="s">
        <v>1035</v>
      </c>
      <c r="P82" s="53" t="s">
        <v>93</v>
      </c>
      <c r="Q82" s="53" t="s">
        <v>93</v>
      </c>
      <c r="R82" s="76">
        <f>COUNTIFS([1]Fleet!$E:$E,Table1[[#This Row],[Old Assy '#]])+COUNTIFS([1]OnDeck!$E:$E,Table1[[#This Row],[Old Assy '#]])</f>
        <v>2</v>
      </c>
      <c r="S82" s="77">
        <v>43286</v>
      </c>
      <c r="T82" s="78"/>
      <c r="U82" s="78"/>
      <c r="V82" s="78"/>
      <c r="W82" s="56" t="str">
        <f>IF(AND(Table1[[#This Row],[Phase Out]]="Y",Table1[[#This Row],[Zero Inventory]]="Y"),"Y","")</f>
        <v/>
      </c>
      <c r="X82" s="79">
        <v>8.5</v>
      </c>
      <c r="Y82" s="63" t="s">
        <v>1036</v>
      </c>
      <c r="Z82" s="59" t="str">
        <f>IF(LEFT(Table1[[#This Row],[Model]],2)="NX","NX",IF(LEFT(Table1[[#This Row],[Model]],2)="CR","CR",""))</f>
        <v>CR</v>
      </c>
      <c r="AA82" s="59" t="str">
        <f>LEFT(SUBSTITUTE(SUBSTITUTE(Table1[[#This Row],[Model]],"NX",""),"CR",""),1)</f>
        <v>7</v>
      </c>
      <c r="AB82" s="59" t="str">
        <f>MID(SUBSTITUTE(SUBSTITUTE(Table1[[#This Row],[Model]],"NX",""),"CR",""),2,2)</f>
        <v>13</v>
      </c>
      <c r="AC82" s="64" t="str">
        <f>IF(ISNUMBER(FIND("M",Table1[[#This Row],[Model]])),"M","")</f>
        <v/>
      </c>
      <c r="AD82" s="64" t="str">
        <f>CONCATENATE(MID(Table1[[#This Row],[Model]],FIND("-",Table1[[#This Row],[Model]])+1,2),IF(RIGHT(MID(Table1[[#This Row],[Model]],FIND("-",Table1[[#This Row],[Model]])+1,3),1)="+","+",""))</f>
        <v>SR+</v>
      </c>
      <c r="AE82"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82" s="64" t="str">
        <f>IF(ISNUMBER(SEARCH("(K)",Table1[[#This Row],[Model]])),"(K)","")</f>
        <v>(K)</v>
      </c>
      <c r="AG82" s="64" t="str">
        <f>IF(ISNUMBER(SEARCH("(BR)",Table1[[#This Row],[Model]])),"(BR)","")</f>
        <v/>
      </c>
      <c r="AH82" s="32" t="s">
        <v>103</v>
      </c>
      <c r="AI82" s="32" t="s">
        <v>104</v>
      </c>
      <c r="AJ82" s="114" t="s">
        <v>452</v>
      </c>
      <c r="AK82" s="32"/>
      <c r="AL82" s="32" t="s">
        <v>106</v>
      </c>
      <c r="AM82" s="64" t="str">
        <f>SUBSTITUTE(INDEX('[2]M1 App'!$A$2:$R$349,MATCH(VALUE(LEFT(Table1[[#This Row],[Old Assy '#]],4)),'[2]M1 App'!$B$2:$B$349,0),MATCH(Table1[[#Headers],[App Interval Type]],'[2]M1 App'!$A$1:$R$1,0))," ","")</f>
        <v>Vertical</v>
      </c>
      <c r="AN82" s="64" t="s">
        <v>321</v>
      </c>
      <c r="AO82" s="65"/>
      <c r="AP82" s="66"/>
      <c r="AQ82" s="67">
        <f>VALUE(SUBSTITUTE(INDEX('[2]M1 App'!$A$2:$R$349,MATCH(VALUE(LEFT(Table1[[#This Row],[Old Assy '#]],4)),'[2]M1 App'!$B$2:$B$349,0),MATCH(Table1[[#Headers],[App Six Three]],'[2]M1 App'!$A$1:$R$1,0))," ",""))</f>
        <v>0</v>
      </c>
      <c r="AR82" s="68" t="s">
        <v>284</v>
      </c>
      <c r="AS82" s="32">
        <v>1765432</v>
      </c>
      <c r="AT82" s="102">
        <v>8.25</v>
      </c>
      <c r="AU82" s="69">
        <f>IF(ISNUMBER(Table1[[#This Row],[Above gauge Ø]]),((Table1[[#This Row],[Size]]-Table1[[#This Row],[Above gauge Ø]])/2)-0.05,"")</f>
        <v>7.4999999999999997E-2</v>
      </c>
      <c r="AV82" s="70">
        <v>0.33</v>
      </c>
      <c r="AW82" s="32" t="s">
        <v>111</v>
      </c>
      <c r="AX82" s="32">
        <v>8.3140000000000001</v>
      </c>
      <c r="AY82" s="32" t="s">
        <v>934</v>
      </c>
      <c r="AZ82" s="32">
        <v>15</v>
      </c>
      <c r="BA82" s="32"/>
      <c r="BB82" s="82">
        <v>20</v>
      </c>
      <c r="BC82" s="82">
        <v>0</v>
      </c>
      <c r="BD82" s="82">
        <v>20</v>
      </c>
      <c r="BE82" s="82"/>
      <c r="BF82" s="32">
        <v>20</v>
      </c>
      <c r="BG82" s="32">
        <v>20</v>
      </c>
      <c r="BH82" s="32" t="s">
        <v>183</v>
      </c>
      <c r="BI82" s="32">
        <v>35</v>
      </c>
      <c r="BJ82" s="109" t="e">
        <f>CONCATENATE("► M1 Notes: ",#REF!," •-----► CL-SKF Notes: ",#REF!," •-----► DS Notes: ",#REF!)</f>
        <v>#REF!</v>
      </c>
      <c r="BK82" s="109" t="s">
        <v>716</v>
      </c>
      <c r="BL82" s="32">
        <v>4</v>
      </c>
      <c r="BM82" s="32" t="s">
        <v>184</v>
      </c>
      <c r="BN82" s="83">
        <v>36.86</v>
      </c>
      <c r="BO82" s="31">
        <v>12.41</v>
      </c>
      <c r="BP82" s="32" t="s">
        <v>116</v>
      </c>
      <c r="BQ82" s="32" t="s">
        <v>101</v>
      </c>
      <c r="BR82" s="32" t="s">
        <v>116</v>
      </c>
      <c r="BS82" s="32">
        <v>60</v>
      </c>
      <c r="BT82" s="32" t="s">
        <v>117</v>
      </c>
      <c r="BU82" s="32">
        <v>7</v>
      </c>
      <c r="BV82" s="32" t="s">
        <v>117</v>
      </c>
      <c r="BW82" s="103">
        <v>2.6</v>
      </c>
    </row>
    <row r="83" spans="2:75" x14ac:dyDescent="0.25">
      <c r="B83" s="1">
        <v>2194</v>
      </c>
      <c r="C83" s="2"/>
      <c r="D83" s="146" t="s">
        <v>93</v>
      </c>
      <c r="E83" s="75" t="s">
        <v>93</v>
      </c>
      <c r="F83" s="75" t="s">
        <v>93</v>
      </c>
      <c r="G83" s="55" t="s">
        <v>1037</v>
      </c>
      <c r="H83" s="75" t="s">
        <v>93</v>
      </c>
      <c r="I83" s="55" t="s">
        <v>1038</v>
      </c>
      <c r="J83" s="55" t="s">
        <v>1039</v>
      </c>
      <c r="K83" s="55" t="s">
        <v>1040</v>
      </c>
      <c r="L83" s="55" t="s">
        <v>1041</v>
      </c>
      <c r="M83" s="55" t="s">
        <v>1042</v>
      </c>
      <c r="N83" s="55" t="s">
        <v>1042</v>
      </c>
      <c r="O83" s="55" t="s">
        <v>1043</v>
      </c>
      <c r="P83" s="53" t="s">
        <v>93</v>
      </c>
      <c r="Q83" s="53" t="s">
        <v>93</v>
      </c>
      <c r="R83" s="76">
        <f>COUNTIFS([1]Fleet!$E:$E,Table1[[#This Row],[Old Assy '#]])+COUNTIFS([1]OnDeck!$E:$E,Table1[[#This Row],[Old Assy '#]])</f>
        <v>1</v>
      </c>
      <c r="S83" s="77">
        <v>43326</v>
      </c>
      <c r="T83" s="78"/>
      <c r="U83" s="78" t="s">
        <v>101</v>
      </c>
      <c r="V83" s="78" t="s">
        <v>101</v>
      </c>
      <c r="W83" s="56" t="str">
        <f>IF(AND(Table1[[#This Row],[Phase Out]]="Y",Table1[[#This Row],[Zero Inventory]]="Y"),"Y","")</f>
        <v>Y</v>
      </c>
      <c r="X83" s="79">
        <v>17.5</v>
      </c>
      <c r="Y83" s="63" t="s">
        <v>868</v>
      </c>
      <c r="Z83" s="59" t="str">
        <f>IF(LEFT(Table1[[#This Row],[Model]],2)="NX","NX",IF(LEFT(Table1[[#This Row],[Model]],2)="CR","CR",""))</f>
        <v>CR</v>
      </c>
      <c r="AA83" s="59" t="str">
        <f>LEFT(SUBSTITUTE(SUBSTITUTE(Table1[[#This Row],[Model]],"NX",""),"CR",""),1)</f>
        <v>6</v>
      </c>
      <c r="AB83" s="59" t="str">
        <f>MID(SUBSTITUTE(SUBSTITUTE(Table1[[#This Row],[Model]],"NX",""),"CR",""),2,2)</f>
        <v>16</v>
      </c>
      <c r="AC83" s="64" t="str">
        <f>IF(ISNUMBER(FIND("M",Table1[[#This Row],[Model]])),"M","")</f>
        <v/>
      </c>
      <c r="AD83" s="64" t="str">
        <f>CONCATENATE(MID(Table1[[#This Row],[Model]],FIND("-",Table1[[#This Row],[Model]])+1,2),IF(RIGHT(MID(Table1[[#This Row],[Model]],FIND("-",Table1[[#This Row],[Model]])+1,3),1)="+","+",""))</f>
        <v>SR+</v>
      </c>
      <c r="AE83" s="60">
        <f>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83" s="64" t="str">
        <f>IF(ISNUMBER(SEARCH("(K)",Table1[[#This Row],[Model]])),"(K)","")</f>
        <v>(K)</v>
      </c>
      <c r="AG83" s="64" t="str">
        <f>IF(ISNUMBER(SEARCH("(BR)",Table1[[#This Row],[Model]])),"(BR)","")</f>
        <v/>
      </c>
      <c r="AH83" s="32" t="s">
        <v>103</v>
      </c>
      <c r="AI83" s="32" t="s">
        <v>126</v>
      </c>
      <c r="AJ83" s="114" t="s">
        <v>452</v>
      </c>
      <c r="AK83" s="32"/>
      <c r="AL83" s="32" t="s">
        <v>106</v>
      </c>
      <c r="AM83" s="64" t="str">
        <f>SUBSTITUTE(INDEX('[2]M1 App'!$A$2:$R$349,MATCH(VALUE(LEFT(Table1[[#This Row],[Old Assy '#]],4)),'[2]M1 App'!$B$2:$B$349,0),MATCH(Table1[[#Headers],[App Interval Type]],'[2]M1 App'!$A$1:$R$1,0))," ","")</f>
        <v>Vertical</v>
      </c>
      <c r="AN83" s="63" t="s">
        <v>139</v>
      </c>
      <c r="AO83" s="65"/>
      <c r="AP83" s="66"/>
      <c r="AQ83" s="67">
        <f>VALUE(SUBSTITUTE(INDEX('[2]M1 App'!$A$2:$R$349,MATCH(VALUE(LEFT(Table1[[#This Row],[Old Assy '#]],4)),'[2]M1 App'!$B$2:$B$349,0),MATCH(Table1[[#Headers],[App Six Three]],'[2]M1 App'!$A$1:$R$1,0))," ",""))</f>
        <v>0</v>
      </c>
      <c r="AR83" s="69" t="str">
        <f>SUBSTITUTE(INDEX('[2]M1 App'!$A$2:$R$349,MATCH(VALUE(LEFT(Table1[[#This Row],[Old Assy '#]],4)),'[2]M1 App'!$B$2:$B$349,0),MATCH(Table1[[#Headers],[App Cutter Layout]],'[2]M1 App'!$A$1:$R$1,0))," ","")</f>
        <v>Redundant</v>
      </c>
      <c r="AS83" s="32" t="s">
        <v>348</v>
      </c>
      <c r="AT83" s="32">
        <v>17.125</v>
      </c>
      <c r="AU83" s="107">
        <f>IF(ISNUMBER(Table1[[#This Row],[Above gauge Ø]]),((Table1[[#This Row],[Size]]-Table1[[#This Row],[Above gauge Ø]])/2)-0.05,"")</f>
        <v>0.13750000000000001</v>
      </c>
      <c r="AV83" s="70">
        <v>0.33</v>
      </c>
      <c r="AW83" s="32" t="s">
        <v>180</v>
      </c>
      <c r="AX83" s="32">
        <v>17.25</v>
      </c>
      <c r="AY83" s="32" t="s">
        <v>349</v>
      </c>
      <c r="AZ83" s="32">
        <v>15</v>
      </c>
      <c r="BA83" s="32"/>
      <c r="BB83" s="82">
        <v>110</v>
      </c>
      <c r="BC83" s="82">
        <v>110</v>
      </c>
      <c r="BD83" s="82">
        <v>80</v>
      </c>
      <c r="BE83" s="82">
        <v>130</v>
      </c>
      <c r="BF83" s="32" t="s">
        <v>113</v>
      </c>
      <c r="BG83" s="32">
        <v>15</v>
      </c>
      <c r="BH83" s="32" t="s">
        <v>1044</v>
      </c>
      <c r="BI83" s="32">
        <v>32.4</v>
      </c>
      <c r="BJ83" s="17" t="e">
        <f>CONCATENATE("► M1 Notes: ",#REF!," •-----► CL-SKF Notes: ",#REF!," •-----► DS Notes: ",#REF!)</f>
        <v>#REF!</v>
      </c>
      <c r="BK83" s="17"/>
      <c r="BL83" s="32">
        <v>7</v>
      </c>
      <c r="BM83" s="32" t="s">
        <v>115</v>
      </c>
      <c r="BN83" s="83">
        <v>100.7</v>
      </c>
      <c r="BO83" s="31">
        <v>83.93</v>
      </c>
      <c r="BP83" s="32" t="s">
        <v>116</v>
      </c>
      <c r="BQ83" s="32" t="s">
        <v>101</v>
      </c>
      <c r="BR83" s="32" t="s">
        <v>116</v>
      </c>
      <c r="BS83" s="32">
        <v>60</v>
      </c>
      <c r="BT83" s="32" t="s">
        <v>117</v>
      </c>
      <c r="BU83" s="32">
        <v>9</v>
      </c>
      <c r="BV83" s="32" t="s">
        <v>117</v>
      </c>
      <c r="BW83" s="103">
        <v>3.34</v>
      </c>
    </row>
    <row r="84" spans="2:75" x14ac:dyDescent="0.25">
      <c r="B84" s="1">
        <v>2195</v>
      </c>
      <c r="C84" s="2"/>
      <c r="D84" s="147" t="s">
        <v>1045</v>
      </c>
      <c r="E84" s="75" t="s">
        <v>93</v>
      </c>
      <c r="F84" s="75" t="s">
        <v>93</v>
      </c>
      <c r="G84" s="55" t="s">
        <v>1046</v>
      </c>
      <c r="H84" s="55" t="s">
        <v>1047</v>
      </c>
      <c r="I84" s="55" t="s">
        <v>1048</v>
      </c>
      <c r="J84" s="55" t="s">
        <v>1049</v>
      </c>
      <c r="K84" s="55" t="s">
        <v>1050</v>
      </c>
      <c r="L84" s="55" t="s">
        <v>1051</v>
      </c>
      <c r="M84" s="75" t="s">
        <v>93</v>
      </c>
      <c r="N84" s="55" t="s">
        <v>1052</v>
      </c>
      <c r="O84" s="55" t="s">
        <v>1053</v>
      </c>
      <c r="P84" s="53" t="s">
        <v>93</v>
      </c>
      <c r="Q84" s="53" t="s">
        <v>93</v>
      </c>
      <c r="R84" s="76">
        <f>COUNTIFS([1]Fleet!$E:$E,Table1[[#This Row],[Old Assy '#]])+COUNTIFS([1]OnDeck!$E:$E,Table1[[#This Row],[Old Assy '#]])</f>
        <v>4</v>
      </c>
      <c r="S84" s="77">
        <v>43326</v>
      </c>
      <c r="T84" s="78"/>
      <c r="U84" s="78"/>
      <c r="V84" s="78"/>
      <c r="W84" s="56" t="str">
        <f>IF(AND(Table1[[#This Row],[Phase Out]]="Y",Table1[[#This Row],[Zero Inventory]]="Y"),"Y","")</f>
        <v/>
      </c>
      <c r="X84" s="79">
        <v>8.75</v>
      </c>
      <c r="Y84" s="63" t="s">
        <v>1054</v>
      </c>
      <c r="Z84" s="59" t="str">
        <f>IF(LEFT(Table1[[#This Row],[Model]],2)="NX","NX",IF(LEFT(Table1[[#This Row],[Model]],2)="CR","CR",""))</f>
        <v>CR</v>
      </c>
      <c r="AA84" s="59" t="str">
        <f>LEFT(SUBSTITUTE(SUBSTITUTE(Table1[[#This Row],[Model]],"NX",""),"CR",""),1)</f>
        <v>6</v>
      </c>
      <c r="AB84" s="59" t="str">
        <f>MID(SUBSTITUTE(SUBSTITUTE(Table1[[#This Row],[Model]],"NX",""),"CR",""),2,2)</f>
        <v>13</v>
      </c>
      <c r="AC84" s="64" t="str">
        <f>IF(ISNUMBER(FIND("M",Table1[[#This Row],[Model]])),"M","")</f>
        <v/>
      </c>
      <c r="AD84" s="64" t="str">
        <f>CONCATENATE(MID(Table1[[#This Row],[Model]],FIND("-",Table1[[#This Row],[Model]])+1,2),IF(RIGHT(MID(Table1[[#This Row],[Model]],FIND("-",Table1[[#This Row],[Model]])+1,3),1)="+","+",""))</f>
        <v>SR+</v>
      </c>
      <c r="AE8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84" s="64" t="str">
        <f>IF(ISNUMBER(SEARCH("(K)",Table1[[#This Row],[Model]])),"(K)","")</f>
        <v>(K)</v>
      </c>
      <c r="AG84" s="64" t="str">
        <f>IF(ISNUMBER(SEARCH("(BR)",Table1[[#This Row],[Model]])),"(BR)","")</f>
        <v>(BR)</v>
      </c>
      <c r="AH84" s="32" t="s">
        <v>103</v>
      </c>
      <c r="AI84" s="32" t="s">
        <v>104</v>
      </c>
      <c r="AJ84" s="114" t="s">
        <v>452</v>
      </c>
      <c r="AK84" s="32"/>
      <c r="AL84" s="32" t="s">
        <v>320</v>
      </c>
      <c r="AM84" s="64" t="str">
        <f>SUBSTITUTE(INDEX('[2]M1 App'!$A$2:$R$349,MATCH(VALUE(LEFT(Table1[[#This Row],[Old Assy '#]],4)),'[2]M1 App'!$B$2:$B$349,0),MATCH(Table1[[#Headers],[App Interval Type]],'[2]M1 App'!$A$1:$R$1,0))," ","")</f>
        <v>Curve</v>
      </c>
      <c r="AN84" s="64" t="s">
        <v>321</v>
      </c>
      <c r="AO84" s="65"/>
      <c r="AP84" s="66"/>
      <c r="AQ84" s="67">
        <f>VALUE(SUBSTITUTE(INDEX('[2]M1 App'!$A$2:$R$349,MATCH(VALUE(LEFT(Table1[[#This Row],[Old Assy '#]],4)),'[2]M1 App'!$B$2:$B$349,0),MATCH(Table1[[#Headers],[App Six Three]],'[2]M1 App'!$A$1:$R$1,0))," ",""))</f>
        <v>0</v>
      </c>
      <c r="AR84" s="68" t="s">
        <v>284</v>
      </c>
      <c r="AS84" s="32">
        <v>165432</v>
      </c>
      <c r="AT84" s="102">
        <v>8.4</v>
      </c>
      <c r="AU84" s="69">
        <f>IF(ISNUMBER(Table1[[#This Row],[Above gauge Ø]]),((Table1[[#This Row],[Size]]-Table1[[#This Row],[Above gauge Ø]])/2)-0.05,"")</f>
        <v>0.12499999999999982</v>
      </c>
      <c r="AV84" s="70">
        <v>0.33</v>
      </c>
      <c r="AW84" s="32" t="s">
        <v>180</v>
      </c>
      <c r="AX84" s="32">
        <v>8.57</v>
      </c>
      <c r="AY84" s="32" t="s">
        <v>112</v>
      </c>
      <c r="AZ84" s="32">
        <v>5</v>
      </c>
      <c r="BA84" s="32"/>
      <c r="BB84" s="82"/>
      <c r="BC84" s="82">
        <v>0</v>
      </c>
      <c r="BD84" s="82">
        <v>40</v>
      </c>
      <c r="BE84" s="82"/>
      <c r="BF84" s="32">
        <v>15</v>
      </c>
      <c r="BG84" s="32">
        <v>15</v>
      </c>
      <c r="BH84" s="32" t="s">
        <v>1055</v>
      </c>
      <c r="BI84" s="32" t="s">
        <v>1056</v>
      </c>
      <c r="BJ84" s="109" t="e">
        <f>CONCATENATE("► M1 Notes: ",#REF!," •-----► CL-SKF Notes: ",#REF!," •-----► DS Notes: ",#REF!)</f>
        <v>#REF!</v>
      </c>
      <c r="BK84" s="109" t="s">
        <v>716</v>
      </c>
      <c r="BL84" s="32">
        <v>2</v>
      </c>
      <c r="BM84" s="32" t="s">
        <v>184</v>
      </c>
      <c r="BN84" s="83">
        <v>16.899999999999999</v>
      </c>
      <c r="BO84" s="31">
        <v>16.45</v>
      </c>
      <c r="BP84" s="32" t="s">
        <v>116</v>
      </c>
      <c r="BQ84" s="32" t="s">
        <v>101</v>
      </c>
      <c r="BR84" s="32" t="s">
        <v>116</v>
      </c>
      <c r="BS84" s="32">
        <v>60</v>
      </c>
      <c r="BT84" s="32" t="s">
        <v>117</v>
      </c>
      <c r="BU84" s="32">
        <v>6</v>
      </c>
      <c r="BV84" s="32" t="s">
        <v>117</v>
      </c>
      <c r="BW84" s="103">
        <v>2.23</v>
      </c>
    </row>
    <row r="85" spans="2:75" x14ac:dyDescent="0.25">
      <c r="B85" s="1">
        <v>2196</v>
      </c>
      <c r="C85" s="2"/>
      <c r="D85" s="147" t="s">
        <v>1057</v>
      </c>
      <c r="E85" s="75" t="s">
        <v>93</v>
      </c>
      <c r="F85" s="75" t="s">
        <v>93</v>
      </c>
      <c r="G85" s="55" t="s">
        <v>1058</v>
      </c>
      <c r="H85" s="55" t="s">
        <v>1059</v>
      </c>
      <c r="I85" s="55" t="s">
        <v>1060</v>
      </c>
      <c r="J85" s="55" t="s">
        <v>1061</v>
      </c>
      <c r="K85" s="55" t="s">
        <v>1062</v>
      </c>
      <c r="L85" s="55" t="s">
        <v>1063</v>
      </c>
      <c r="M85" s="75" t="s">
        <v>93</v>
      </c>
      <c r="N85" s="55" t="s">
        <v>1064</v>
      </c>
      <c r="O85" s="55" t="s">
        <v>1065</v>
      </c>
      <c r="P85" s="53" t="s">
        <v>93</v>
      </c>
      <c r="Q85" s="53" t="s">
        <v>93</v>
      </c>
      <c r="R85" s="76">
        <f>COUNTIFS([1]Fleet!$E:$E,Table1[[#This Row],[Old Assy '#]])+COUNTIFS([1]OnDeck!$E:$E,Table1[[#This Row],[Old Assy '#]])</f>
        <v>2</v>
      </c>
      <c r="S85" s="77">
        <v>43336</v>
      </c>
      <c r="T85" s="78"/>
      <c r="U85" s="78"/>
      <c r="V85" s="78"/>
      <c r="W85" s="56" t="str">
        <f>IF(AND(Table1[[#This Row],[Phase Out]]="Y",Table1[[#This Row],[Zero Inventory]]="Y"),"Y","")</f>
        <v/>
      </c>
      <c r="X85" s="79">
        <v>8.75</v>
      </c>
      <c r="Y85" s="63" t="s">
        <v>1013</v>
      </c>
      <c r="Z85" s="59" t="str">
        <f>IF(LEFT(Table1[[#This Row],[Model]],2)="NX","NX",IF(LEFT(Table1[[#This Row],[Model]],2)="CR","CR",""))</f>
        <v>CR</v>
      </c>
      <c r="AA85" s="59" t="str">
        <f>LEFT(SUBSTITUTE(SUBSTITUTE(Table1[[#This Row],[Model]],"NX",""),"CR",""),1)</f>
        <v>5</v>
      </c>
      <c r="AB85" s="59" t="str">
        <f>MID(SUBSTITUTE(SUBSTITUTE(Table1[[#This Row],[Model]],"NX",""),"CR",""),2,2)</f>
        <v>16</v>
      </c>
      <c r="AC85" s="64" t="str">
        <f>IF(ISNUMBER(FIND("M",Table1[[#This Row],[Model]])),"M","")</f>
        <v/>
      </c>
      <c r="AD85" s="64" t="str">
        <f>CONCATENATE(MID(Table1[[#This Row],[Model]],FIND("-",Table1[[#This Row],[Model]])+1,2),IF(RIGHT(MID(Table1[[#This Row],[Model]],FIND("-",Table1[[#This Row],[Model]])+1,3),1)="+","+",""))</f>
        <v>SR</v>
      </c>
      <c r="AE85"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85" s="64" t="str">
        <f>IF(ISNUMBER(SEARCH("(K)",Table1[[#This Row],[Model]])),"(K)","")</f>
        <v>(K)</v>
      </c>
      <c r="AG85" s="64" t="str">
        <f>IF(ISNUMBER(SEARCH("(BR)",Table1[[#This Row],[Model]])),"(BR)","")</f>
        <v>(BR)</v>
      </c>
      <c r="AH85" s="32" t="s">
        <v>103</v>
      </c>
      <c r="AI85" s="32" t="s">
        <v>104</v>
      </c>
      <c r="AJ85" s="114" t="s">
        <v>452</v>
      </c>
      <c r="AK85" s="95"/>
      <c r="AL85" s="32" t="s">
        <v>320</v>
      </c>
      <c r="AM85" s="64" t="str">
        <f>SUBSTITUTE(INDEX('[2]M1 App'!$A$2:$R$349,MATCH(VALUE(LEFT(Table1[[#This Row],[Old Assy '#]],4)),'[2]M1 App'!$B$2:$B$349,0),MATCH(Table1[[#Headers],[App Interval Type]],'[2]M1 App'!$A$1:$R$1,0))," ","")</f>
        <v>Curve</v>
      </c>
      <c r="AN85" s="64" t="s">
        <v>108</v>
      </c>
      <c r="AO85" s="65"/>
      <c r="AP85" s="66"/>
      <c r="AQ85" s="67">
        <f>VALUE(SUBSTITUTE(INDEX('[2]M1 App'!$A$2:$R$349,MATCH(VALUE(LEFT(Table1[[#This Row],[Old Assy '#]],4)),'[2]M1 App'!$B$2:$B$349,0),MATCH(Table1[[#Headers],[App Six Three]],'[2]M1 App'!$A$1:$R$1,0))," ",""))</f>
        <v>0</v>
      </c>
      <c r="AR85" s="68" t="s">
        <v>284</v>
      </c>
      <c r="AS85" s="32">
        <v>15432</v>
      </c>
      <c r="AT85" s="102">
        <v>8.4</v>
      </c>
      <c r="AU85" s="69">
        <f>IF(ISNUMBER(Table1[[#This Row],[Above gauge Ø]]),((Table1[[#This Row],[Size]]-Table1[[#This Row],[Above gauge Ø]])/2)-0.05,"")</f>
        <v>0.12499999999999982</v>
      </c>
      <c r="AV85" s="70">
        <v>0.33</v>
      </c>
      <c r="AW85" s="32" t="s">
        <v>180</v>
      </c>
      <c r="AX85" s="32">
        <v>8.57</v>
      </c>
      <c r="AY85" s="32" t="s">
        <v>112</v>
      </c>
      <c r="AZ85" s="32">
        <v>5</v>
      </c>
      <c r="BA85" s="32"/>
      <c r="BB85" s="82"/>
      <c r="BC85" s="82">
        <v>0</v>
      </c>
      <c r="BD85" s="82">
        <v>20</v>
      </c>
      <c r="BE85" s="82"/>
      <c r="BF85" s="32">
        <v>15</v>
      </c>
      <c r="BG85" s="32">
        <v>15</v>
      </c>
      <c r="BH85" s="32" t="s">
        <v>1055</v>
      </c>
      <c r="BI85" s="32" t="s">
        <v>1056</v>
      </c>
      <c r="BJ85" s="109" t="e">
        <f>CONCATENATE("► M1 Notes: ",#REF!," •-----► CL-SKF Notes: ",#REF!," •-----► DS Notes: ",#REF!)</f>
        <v>#REF!</v>
      </c>
      <c r="BK85" s="109" t="s">
        <v>716</v>
      </c>
      <c r="BL85" s="32">
        <v>2</v>
      </c>
      <c r="BM85" s="32" t="s">
        <v>184</v>
      </c>
      <c r="BN85" s="83">
        <v>17.37</v>
      </c>
      <c r="BO85" s="31">
        <v>17.57</v>
      </c>
      <c r="BP85" s="32" t="s">
        <v>116</v>
      </c>
      <c r="BQ85" s="32" t="s">
        <v>101</v>
      </c>
      <c r="BR85" s="32" t="s">
        <v>116</v>
      </c>
      <c r="BS85" s="32">
        <v>60</v>
      </c>
      <c r="BT85" s="32" t="s">
        <v>117</v>
      </c>
      <c r="BU85" s="32">
        <v>5</v>
      </c>
      <c r="BV85" s="32" t="s">
        <v>117</v>
      </c>
      <c r="BW85" s="103">
        <v>1.86</v>
      </c>
    </row>
    <row r="86" spans="2:75" x14ac:dyDescent="0.25">
      <c r="B86" s="1">
        <v>2198</v>
      </c>
      <c r="C86" s="2"/>
      <c r="D86" s="146" t="s">
        <v>93</v>
      </c>
      <c r="E86" s="75" t="s">
        <v>93</v>
      </c>
      <c r="F86" s="75" t="s">
        <v>93</v>
      </c>
      <c r="G86" s="55" t="s">
        <v>1066</v>
      </c>
      <c r="H86" s="55" t="s">
        <v>1067</v>
      </c>
      <c r="I86" s="55" t="s">
        <v>1068</v>
      </c>
      <c r="J86" s="55" t="s">
        <v>1069</v>
      </c>
      <c r="K86" s="55" t="s">
        <v>1070</v>
      </c>
      <c r="L86" s="55" t="s">
        <v>1071</v>
      </c>
      <c r="M86" s="75" t="s">
        <v>93</v>
      </c>
      <c r="N86" s="55" t="s">
        <v>1072</v>
      </c>
      <c r="O86" s="55" t="s">
        <v>1073</v>
      </c>
      <c r="P86" s="53" t="s">
        <v>93</v>
      </c>
      <c r="Q86" s="53" t="s">
        <v>93</v>
      </c>
      <c r="R86" s="76">
        <f>COUNTIFS([1]Fleet!$E:$E,Table1[[#This Row],[Old Assy '#]])+COUNTIFS([1]OnDeck!$E:$E,Table1[[#This Row],[Old Assy '#]])</f>
        <v>2</v>
      </c>
      <c r="S86" s="77">
        <v>43371</v>
      </c>
      <c r="T86" s="78"/>
      <c r="U86" s="78"/>
      <c r="V86" s="78"/>
      <c r="W86" s="56" t="str">
        <f>IF(AND(Table1[[#This Row],[Phase Out]]="Y",Table1[[#This Row],[Zero Inventory]]="Y"),"Y","")</f>
        <v/>
      </c>
      <c r="X86" s="79">
        <v>8.75</v>
      </c>
      <c r="Y86" s="63" t="s">
        <v>1074</v>
      </c>
      <c r="Z86" s="59" t="str">
        <f>IF(LEFT(Table1[[#This Row],[Model]],2)="NX","NX",IF(LEFT(Table1[[#This Row],[Model]],2)="CR","CR",""))</f>
        <v>CR</v>
      </c>
      <c r="AA86" s="59" t="str">
        <f>LEFT(SUBSTITUTE(SUBSTITUTE(Table1[[#This Row],[Model]],"NX",""),"CR",""),1)</f>
        <v>6</v>
      </c>
      <c r="AB86" s="59" t="str">
        <f>MID(SUBSTITUTE(SUBSTITUTE(Table1[[#This Row],[Model]],"NX",""),"CR",""),2,2)</f>
        <v>16</v>
      </c>
      <c r="AC86" s="64" t="str">
        <f>IF(ISNUMBER(FIND("M",Table1[[#This Row],[Model]])),"M","")</f>
        <v/>
      </c>
      <c r="AD86" s="64" t="str">
        <f>CONCATENATE(MID(Table1[[#This Row],[Model]],FIND("-",Table1[[#This Row],[Model]])+1,2),IF(RIGHT(MID(Table1[[#This Row],[Model]],FIND("-",Table1[[#This Row],[Model]])+1,3),1)="+","+",""))</f>
        <v>SR</v>
      </c>
      <c r="AE86"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86" s="64" t="str">
        <f>IF(ISNUMBER(SEARCH("(K)",Table1[[#This Row],[Model]])),"(K)","")</f>
        <v>(K)</v>
      </c>
      <c r="AG86" s="64" t="str">
        <f>IF(ISNUMBER(SEARCH("(BR)",Table1[[#This Row],[Model]])),"(BR)","")</f>
        <v>(BR)</v>
      </c>
      <c r="AH86" s="32" t="s">
        <v>103</v>
      </c>
      <c r="AI86" s="32" t="s">
        <v>104</v>
      </c>
      <c r="AJ86" s="32" t="s">
        <v>1075</v>
      </c>
      <c r="AK86" s="32"/>
      <c r="AL86" s="32" t="s">
        <v>320</v>
      </c>
      <c r="AM86" s="64" t="str">
        <f>SUBSTITUTE(INDEX('[2]M1 App'!$A$2:$R$349,MATCH(VALUE(LEFT(Table1[[#This Row],[Old Assy '#]],4)),'[2]M1 App'!$B$2:$B$349,0),MATCH(Table1[[#Headers],[App Interval Type]],'[2]M1 App'!$A$1:$R$1,0))," ","")</f>
        <v>Curve</v>
      </c>
      <c r="AN86" s="64" t="s">
        <v>321</v>
      </c>
      <c r="AO86" s="65"/>
      <c r="AP86" s="66"/>
      <c r="AQ86" s="67">
        <f>VALUE(SUBSTITUTE(INDEX('[2]M1 App'!$A$2:$R$349,MATCH(VALUE(LEFT(Table1[[#This Row],[Old Assy '#]],4)),'[2]M1 App'!$B$2:$B$349,0),MATCH(Table1[[#Headers],[App Six Three]],'[2]M1 App'!$A$1:$R$1,0))," ",""))</f>
        <v>0</v>
      </c>
      <c r="AR86" s="68" t="s">
        <v>284</v>
      </c>
      <c r="AS86" s="32">
        <v>165432</v>
      </c>
      <c r="AT86" s="102">
        <v>8.4</v>
      </c>
      <c r="AU86" s="69">
        <f>IF(ISNUMBER(Table1[[#This Row],[Above gauge Ø]]),((Table1[[#This Row],[Size]]-Table1[[#This Row],[Above gauge Ø]])/2)-0.05,"")</f>
        <v>0.12499999999999982</v>
      </c>
      <c r="AV86" s="70">
        <v>0.33</v>
      </c>
      <c r="AW86" s="32" t="s">
        <v>180</v>
      </c>
      <c r="AX86" s="32">
        <v>8.57</v>
      </c>
      <c r="AY86" s="32" t="s">
        <v>112</v>
      </c>
      <c r="AZ86" s="32">
        <v>5</v>
      </c>
      <c r="BA86" s="32"/>
      <c r="BB86" s="82"/>
      <c r="BC86" s="82"/>
      <c r="BD86" s="82">
        <v>30</v>
      </c>
      <c r="BE86" s="82"/>
      <c r="BF86" s="32">
        <v>15</v>
      </c>
      <c r="BG86" s="32">
        <v>15</v>
      </c>
      <c r="BH86" s="32" t="s">
        <v>1076</v>
      </c>
      <c r="BI86" s="32">
        <v>30</v>
      </c>
      <c r="BJ86" s="108" t="e">
        <f>CONCATENATE("► M1 Notes: ",#REF!," •-----► CL-SKF Notes: ",#REF!," •-----► DS Notes: ",#REF!)</f>
        <v>#REF!</v>
      </c>
      <c r="BK86" s="108" t="s">
        <v>716</v>
      </c>
      <c r="BL86" s="32">
        <v>3</v>
      </c>
      <c r="BM86" s="32" t="s">
        <v>184</v>
      </c>
      <c r="BN86" s="83">
        <v>25.71</v>
      </c>
      <c r="BO86" s="31">
        <v>16.45</v>
      </c>
      <c r="BP86" s="32" t="s">
        <v>116</v>
      </c>
      <c r="BQ86" s="32" t="s">
        <v>101</v>
      </c>
      <c r="BR86" s="32" t="s">
        <v>116</v>
      </c>
      <c r="BS86" s="32">
        <v>60</v>
      </c>
      <c r="BT86" s="32" t="s">
        <v>117</v>
      </c>
      <c r="BU86" s="32">
        <v>6</v>
      </c>
      <c r="BV86" s="32" t="s">
        <v>117</v>
      </c>
      <c r="BW86" s="103">
        <v>2.23</v>
      </c>
    </row>
    <row r="87" spans="2:75" x14ac:dyDescent="0.25">
      <c r="B87" s="1">
        <v>2205</v>
      </c>
      <c r="C87" s="2"/>
      <c r="D87" s="146" t="s">
        <v>93</v>
      </c>
      <c r="E87" s="75" t="s">
        <v>93</v>
      </c>
      <c r="F87" s="75" t="s">
        <v>93</v>
      </c>
      <c r="G87" s="55" t="s">
        <v>1077</v>
      </c>
      <c r="H87" s="75" t="s">
        <v>93</v>
      </c>
      <c r="I87" s="55" t="s">
        <v>1078</v>
      </c>
      <c r="J87" s="55" t="s">
        <v>1079</v>
      </c>
      <c r="K87" s="55" t="s">
        <v>1080</v>
      </c>
      <c r="L87" s="55" t="s">
        <v>1081</v>
      </c>
      <c r="M87" s="75" t="s">
        <v>93</v>
      </c>
      <c r="N87" s="55" t="s">
        <v>1082</v>
      </c>
      <c r="O87" s="55" t="s">
        <v>1083</v>
      </c>
      <c r="P87" s="53" t="s">
        <v>93</v>
      </c>
      <c r="Q87" s="53" t="s">
        <v>93</v>
      </c>
      <c r="R87" s="76">
        <f>COUNTIFS([1]Fleet!$E:$E,Table1[[#This Row],[Old Assy '#]])+COUNTIFS([1]OnDeck!$E:$E,Table1[[#This Row],[Old Assy '#]])</f>
        <v>1</v>
      </c>
      <c r="S87" s="77">
        <v>43474</v>
      </c>
      <c r="T87" s="78"/>
      <c r="U87" s="78"/>
      <c r="V87" s="78"/>
      <c r="W87" s="56" t="str">
        <f>IF(AND(Table1[[#This Row],[Phase Out]]="Y",Table1[[#This Row],[Zero Inventory]]="Y"),"Y","")</f>
        <v/>
      </c>
      <c r="X87" s="79">
        <v>17.5</v>
      </c>
      <c r="Y87" s="63" t="s">
        <v>868</v>
      </c>
      <c r="Z87" s="59" t="str">
        <f>IF(LEFT(Table1[[#This Row],[Model]],2)="NX","NX",IF(LEFT(Table1[[#This Row],[Model]],2)="CR","CR",""))</f>
        <v>CR</v>
      </c>
      <c r="AA87" s="59" t="str">
        <f>LEFT(SUBSTITUTE(SUBSTITUTE(Table1[[#This Row],[Model]],"NX",""),"CR",""),1)</f>
        <v>6</v>
      </c>
      <c r="AB87" s="59" t="str">
        <f>MID(SUBSTITUTE(SUBSTITUTE(Table1[[#This Row],[Model]],"NX",""),"CR",""),2,2)</f>
        <v>16</v>
      </c>
      <c r="AC87" s="64" t="str">
        <f>IF(ISNUMBER(FIND("M",Table1[[#This Row],[Model]])),"M","")</f>
        <v/>
      </c>
      <c r="AD87" s="64" t="str">
        <f>CONCATENATE(MID(Table1[[#This Row],[Model]],FIND("-",Table1[[#This Row],[Model]])+1,2),IF(RIGHT(MID(Table1[[#This Row],[Model]],FIND("-",Table1[[#This Row],[Model]])+1,3),1)="+","+",""))</f>
        <v>SR+</v>
      </c>
      <c r="AE87"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87" s="64" t="str">
        <f>IF(ISNUMBER(SEARCH("(K)",Table1[[#This Row],[Model]])),"(K)","")</f>
        <v>(K)</v>
      </c>
      <c r="AG87" s="64" t="str">
        <f>IF(ISNUMBER(SEARCH("(BR)",Table1[[#This Row],[Model]])),"(BR)","")</f>
        <v/>
      </c>
      <c r="AH87" s="32" t="s">
        <v>103</v>
      </c>
      <c r="AI87" s="32" t="s">
        <v>126</v>
      </c>
      <c r="AJ87" s="114" t="s">
        <v>452</v>
      </c>
      <c r="AK87" s="32"/>
      <c r="AL87" s="32" t="s">
        <v>106</v>
      </c>
      <c r="AM87" s="64" t="str">
        <f>SUBSTITUTE(INDEX('[2]M1 App'!$A$2:$R$349,MATCH(VALUE(LEFT(Table1[[#This Row],[Old Assy '#]],4)),'[2]M1 App'!$B$2:$B$349,0),MATCH(Table1[[#Headers],[App Interval Type]],'[2]M1 App'!$A$1:$R$1,0))," ","")</f>
        <v>Vertical</v>
      </c>
      <c r="AN87" s="63" t="s">
        <v>139</v>
      </c>
      <c r="AO87" s="65"/>
      <c r="AP87" s="66"/>
      <c r="AQ87" s="67">
        <f>VALUE(SUBSTITUTE(INDEX('[2]M1 App'!$A$2:$R$349,MATCH(VALUE(LEFT(Table1[[#This Row],[Old Assy '#]],4)),'[2]M1 App'!$B$2:$B$349,0),MATCH(Table1[[#Headers],[App Six Three]],'[2]M1 App'!$A$1:$R$1,0))," ",""))</f>
        <v>0</v>
      </c>
      <c r="AR87" s="69" t="str">
        <f>SUBSTITUTE(INDEX('[2]M1 App'!$A$2:$R$349,MATCH(VALUE(LEFT(Table1[[#This Row],[Old Assy '#]],4)),'[2]M1 App'!$B$2:$B$349,0),MATCH(Table1[[#Headers],[App Cutter Layout]],'[2]M1 App'!$A$1:$R$1,0))," ","")</f>
        <v>Redundant</v>
      </c>
      <c r="AS87" s="32" t="s">
        <v>348</v>
      </c>
      <c r="AT87" s="32">
        <v>17.125</v>
      </c>
      <c r="AU87" s="69">
        <f>IF(ISNUMBER(Table1[[#This Row],[Above gauge Ø]]),((Table1[[#This Row],[Size]]-Table1[[#This Row],[Above gauge Ø]])/2)-0.05,"")</f>
        <v>0.13750000000000001</v>
      </c>
      <c r="AV87" s="70">
        <v>0.33</v>
      </c>
      <c r="AW87" s="32" t="s">
        <v>180</v>
      </c>
      <c r="AX87" s="32">
        <v>17.25</v>
      </c>
      <c r="AY87" s="32" t="s">
        <v>349</v>
      </c>
      <c r="AZ87" s="32">
        <v>15</v>
      </c>
      <c r="BA87" s="32"/>
      <c r="BB87" s="82">
        <v>110</v>
      </c>
      <c r="BC87" s="82">
        <v>110</v>
      </c>
      <c r="BD87" s="82">
        <v>80</v>
      </c>
      <c r="BE87" s="82">
        <v>130</v>
      </c>
      <c r="BF87" s="32" t="s">
        <v>113</v>
      </c>
      <c r="BG87" s="32">
        <v>15</v>
      </c>
      <c r="BH87" s="32" t="s">
        <v>1084</v>
      </c>
      <c r="BI87" s="32">
        <v>32.4</v>
      </c>
      <c r="BJ87" s="2" t="e">
        <f>CONCATENATE("► M1 Notes: ",#REF!," •-----► CL-SKF Notes: ",#REF!," •-----► DS Notes: ",#REF!)</f>
        <v>#REF!</v>
      </c>
      <c r="BK87" s="2"/>
      <c r="BL87" s="32">
        <v>7</v>
      </c>
      <c r="BM87" s="32" t="s">
        <v>115</v>
      </c>
      <c r="BN87" s="83">
        <v>104</v>
      </c>
      <c r="BO87" s="31">
        <v>83.93</v>
      </c>
      <c r="BP87" s="32" t="s">
        <v>116</v>
      </c>
      <c r="BQ87" s="32" t="s">
        <v>101</v>
      </c>
      <c r="BR87" s="32" t="s">
        <v>116</v>
      </c>
      <c r="BS87" s="32">
        <v>60</v>
      </c>
      <c r="BT87" s="32" t="s">
        <v>117</v>
      </c>
      <c r="BU87" s="32">
        <v>9</v>
      </c>
      <c r="BV87" s="32" t="s">
        <v>117</v>
      </c>
      <c r="BW87" s="103">
        <v>3.34</v>
      </c>
    </row>
    <row r="88" spans="2:75" x14ac:dyDescent="0.25">
      <c r="B88" s="1">
        <v>2206</v>
      </c>
      <c r="C88" s="2"/>
      <c r="D88" s="147" t="s">
        <v>1085</v>
      </c>
      <c r="E88" s="75" t="s">
        <v>93</v>
      </c>
      <c r="F88" s="75" t="s">
        <v>93</v>
      </c>
      <c r="G88" s="55" t="s">
        <v>1086</v>
      </c>
      <c r="H88" s="55" t="s">
        <v>1087</v>
      </c>
      <c r="I88" s="55" t="s">
        <v>1088</v>
      </c>
      <c r="J88" s="55" t="s">
        <v>1089</v>
      </c>
      <c r="K88" s="55" t="s">
        <v>1090</v>
      </c>
      <c r="L88" s="55" t="s">
        <v>1091</v>
      </c>
      <c r="M88" s="75" t="s">
        <v>93</v>
      </c>
      <c r="N88" s="55" t="s">
        <v>1092</v>
      </c>
      <c r="O88" s="55" t="s">
        <v>1093</v>
      </c>
      <c r="P88" s="53" t="s">
        <v>93</v>
      </c>
      <c r="Q88" s="53" t="s">
        <v>93</v>
      </c>
      <c r="R88" s="76">
        <f>COUNTIFS([1]Fleet!$E:$E,Table1[[#This Row],[Old Assy '#]])+COUNTIFS([1]OnDeck!$E:$E,Table1[[#This Row],[Old Assy '#]])</f>
        <v>1</v>
      </c>
      <c r="S88" s="77">
        <v>43452</v>
      </c>
      <c r="T88" s="78"/>
      <c r="U88" s="78"/>
      <c r="V88" s="78"/>
      <c r="W88" s="56" t="str">
        <f>IF(AND(Table1[[#This Row],[Phase Out]]="Y",Table1[[#This Row],[Zero Inventory]]="Y"),"Y","")</f>
        <v/>
      </c>
      <c r="X88" s="79">
        <v>12.25</v>
      </c>
      <c r="Y88" s="63" t="s">
        <v>1094</v>
      </c>
      <c r="Z88" s="59" t="str">
        <f>IF(LEFT(Table1[[#This Row],[Model]],2)="NX","NX",IF(LEFT(Table1[[#This Row],[Model]],2)="CR","CR",""))</f>
        <v>CR</v>
      </c>
      <c r="AA88" s="91">
        <v>9</v>
      </c>
      <c r="AB88" s="91">
        <v>16</v>
      </c>
      <c r="AC88" s="64" t="str">
        <f>IF(ISNUMBER(FIND("M",Table1[[#This Row],[Model]])),"M","")</f>
        <v/>
      </c>
      <c r="AD88" s="63" t="s">
        <v>1095</v>
      </c>
      <c r="AE88" s="63">
        <v>12</v>
      </c>
      <c r="AF88" s="64" t="str">
        <f>IF(ISNUMBER(SEARCH("(K)",Table1[[#This Row],[Model]])),"(K)","")</f>
        <v>(K)</v>
      </c>
      <c r="AG88" s="64" t="str">
        <f>IF(ISNUMBER(SEARCH("(BR)",Table1[[#This Row],[Model]])),"(BR)","")</f>
        <v>(BR)</v>
      </c>
      <c r="AH88" s="32" t="s">
        <v>103</v>
      </c>
      <c r="AI88" s="32" t="s">
        <v>126</v>
      </c>
      <c r="AJ88" s="32"/>
      <c r="AK88" s="32"/>
      <c r="AL88" s="32" t="s">
        <v>106</v>
      </c>
      <c r="AM88" s="64" t="str">
        <f>SUBSTITUTE(INDEX('[2]M1 App'!$A$2:$R$349,MATCH(VALUE(LEFT(Table1[[#This Row],[Old Assy '#]],4)),'[2]M1 App'!$B$2:$B$349,0),MATCH(Table1[[#Headers],[App Interval Type]],'[2]M1 App'!$A$1:$R$1,0))," ","")</f>
        <v>Vertical</v>
      </c>
      <c r="AN88" s="64" t="s">
        <v>127</v>
      </c>
      <c r="AO88" s="65"/>
      <c r="AP88" s="66"/>
      <c r="AQ88" s="67">
        <f>VALUE(SUBSTITUTE(INDEX('[2]M1 App'!$A$2:$R$349,MATCH(VALUE(LEFT(Table1[[#This Row],[Old Assy '#]],4)),'[2]M1 App'!$B$2:$B$349,0),MATCH(Table1[[#Headers],[App Six Three]],'[2]M1 App'!$A$1:$R$1,0))," ",""))</f>
        <v>0</v>
      </c>
      <c r="AR88" s="68" t="s">
        <v>284</v>
      </c>
      <c r="AS88" s="32">
        <v>165432</v>
      </c>
      <c r="AT88" s="102">
        <v>12</v>
      </c>
      <c r="AU88" s="69">
        <f>IF(ISNUMBER(Table1[[#This Row],[Above gauge Ø]]),((Table1[[#This Row],[Size]]-Table1[[#This Row],[Above gauge Ø]])/2)-0.05,"")</f>
        <v>7.4999999999999997E-2</v>
      </c>
      <c r="AV88" s="70">
        <v>0.33</v>
      </c>
      <c r="AW88" s="32" t="s">
        <v>111</v>
      </c>
      <c r="AX88" s="32">
        <v>12.07</v>
      </c>
      <c r="AY88" s="32" t="s">
        <v>1096</v>
      </c>
      <c r="AZ88" s="32">
        <v>15</v>
      </c>
      <c r="BA88" s="32"/>
      <c r="BB88" s="82">
        <v>0</v>
      </c>
      <c r="BC88" s="82">
        <v>0</v>
      </c>
      <c r="BD88" s="82">
        <v>280</v>
      </c>
      <c r="BE88" s="82"/>
      <c r="BF88" s="32">
        <v>15</v>
      </c>
      <c r="BG88" s="32">
        <v>15</v>
      </c>
      <c r="BH88" s="32" t="s">
        <v>322</v>
      </c>
      <c r="BI88" s="32">
        <v>35</v>
      </c>
      <c r="BJ88" s="108" t="e">
        <f>CONCATENATE("► M1 Notes: ",#REF!," •-----► CL-SKF Notes: ",#REF!," •-----► DS Notes: ",#REF!)</f>
        <v>#REF!</v>
      </c>
      <c r="BK88" s="108" t="s">
        <v>1097</v>
      </c>
      <c r="BL88" s="32">
        <v>6</v>
      </c>
      <c r="BM88" s="32" t="s">
        <v>115</v>
      </c>
      <c r="BN88" s="83">
        <v>83.42</v>
      </c>
      <c r="BO88" s="31">
        <v>25.23</v>
      </c>
      <c r="BP88" s="32" t="s">
        <v>116</v>
      </c>
      <c r="BQ88" s="32" t="s">
        <v>101</v>
      </c>
      <c r="BR88" s="32" t="s">
        <v>116</v>
      </c>
      <c r="BS88" s="32">
        <v>60</v>
      </c>
      <c r="BT88" s="32">
        <v>45</v>
      </c>
      <c r="BU88" s="32">
        <v>9</v>
      </c>
      <c r="BV88" s="32">
        <v>3</v>
      </c>
      <c r="BW88" s="103">
        <v>3.93</v>
      </c>
    </row>
    <row r="89" spans="2:75" x14ac:dyDescent="0.25">
      <c r="B89" s="1">
        <v>2207</v>
      </c>
      <c r="C89" s="2"/>
      <c r="D89" s="146" t="s">
        <v>93</v>
      </c>
      <c r="E89" s="55" t="s">
        <v>1098</v>
      </c>
      <c r="F89" s="55" t="s">
        <v>1099</v>
      </c>
      <c r="G89" s="55" t="s">
        <v>1100</v>
      </c>
      <c r="H89" s="55" t="s">
        <v>1101</v>
      </c>
      <c r="I89" s="55" t="s">
        <v>1102</v>
      </c>
      <c r="J89" s="55" t="s">
        <v>1103</v>
      </c>
      <c r="K89" s="55" t="s">
        <v>1104</v>
      </c>
      <c r="L89" s="55" t="s">
        <v>1105</v>
      </c>
      <c r="M89" s="75" t="s">
        <v>93</v>
      </c>
      <c r="N89" s="55" t="s">
        <v>1106</v>
      </c>
      <c r="O89" s="55" t="s">
        <v>1107</v>
      </c>
      <c r="P89" s="53" t="s">
        <v>93</v>
      </c>
      <c r="Q89" s="53" t="s">
        <v>93</v>
      </c>
      <c r="R89" s="76">
        <f>COUNTIFS([1]Fleet!$E:$E,Table1[[#This Row],[Old Assy '#]])+COUNTIFS([1]OnDeck!$E:$E,Table1[[#This Row],[Old Assy '#]])</f>
        <v>4</v>
      </c>
      <c r="S89" s="77">
        <v>43453</v>
      </c>
      <c r="T89" s="78"/>
      <c r="U89" s="78"/>
      <c r="V89" s="78"/>
      <c r="W89" s="56" t="str">
        <f>IF(AND(Table1[[#This Row],[Phase Out]]="Y",Table1[[#This Row],[Zero Inventory]]="Y"),"Y","")</f>
        <v/>
      </c>
      <c r="X89" s="79">
        <v>7.875</v>
      </c>
      <c r="Y89" s="63" t="s">
        <v>1108</v>
      </c>
      <c r="Z89" s="59" t="str">
        <f>IF(LEFT(Table1[[#This Row],[Model]],2)="NX","NX",IF(LEFT(Table1[[#This Row],[Model]],2)="CR","CR",""))</f>
        <v>CR</v>
      </c>
      <c r="AA89" s="59" t="str">
        <f>LEFT(SUBSTITUTE(SUBSTITUTE(Table1[[#This Row],[Model]],"NX",""),"CR",""),1)</f>
        <v>7</v>
      </c>
      <c r="AB89" s="59" t="str">
        <f>MID(SUBSTITUTE(SUBSTITUTE(Table1[[#This Row],[Model]],"NX",""),"CR",""),2,2)</f>
        <v>16</v>
      </c>
      <c r="AC89" s="64" t="str">
        <f>IF(ISNUMBER(FIND("M",Table1[[#This Row],[Model]])),"M","")</f>
        <v/>
      </c>
      <c r="AD89" s="64" t="str">
        <f>CONCATENATE(MID(Table1[[#This Row],[Model]],FIND("-",Table1[[#This Row],[Model]])+1,2),IF(RIGHT(MID(Table1[[#This Row],[Model]],FIND("-",Table1[[#This Row],[Model]])+1,3),1)="+","+",""))</f>
        <v>SR+</v>
      </c>
      <c r="AE8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89" s="64" t="str">
        <f>IF(ISNUMBER(SEARCH("(K)",Table1[[#This Row],[Model]])),"(K)","")</f>
        <v>(K)</v>
      </c>
      <c r="AG89" s="64" t="str">
        <f>IF(ISNUMBER(SEARCH("(BR)",Table1[[#This Row],[Model]])),"(BR)","")</f>
        <v/>
      </c>
      <c r="AH89" s="32" t="s">
        <v>103</v>
      </c>
      <c r="AI89" s="32" t="s">
        <v>104</v>
      </c>
      <c r="AJ89" s="32"/>
      <c r="AK89" s="32"/>
      <c r="AL89" s="32" t="s">
        <v>106</v>
      </c>
      <c r="AM89" s="64" t="str">
        <f>SUBSTITUTE(INDEX('[2]M1 App'!$A$2:$R$349,MATCH(VALUE(LEFT(Table1[[#This Row],[Old Assy '#]],4)),'[2]M1 App'!$B$2:$B$349,0),MATCH(Table1[[#Headers],[App Interval Type]],'[2]M1 App'!$A$1:$R$1,0))," ","")</f>
        <v>Vertical</v>
      </c>
      <c r="AN89" s="64" t="s">
        <v>108</v>
      </c>
      <c r="AO89" s="65"/>
      <c r="AP89" s="66"/>
      <c r="AQ89" s="67">
        <f>VALUE(SUBSTITUTE(INDEX('[2]M1 App'!$A$2:$R$349,MATCH(VALUE(LEFT(Table1[[#This Row],[Old Assy '#]],4)),'[2]M1 App'!$B$2:$B$349,0),MATCH(Table1[[#Headers],[App Six Three]],'[2]M1 App'!$A$1:$R$1,0))," ",""))</f>
        <v>0</v>
      </c>
      <c r="AR89" s="68" t="s">
        <v>284</v>
      </c>
      <c r="AS89" s="32">
        <v>1765432</v>
      </c>
      <c r="AT89" s="32">
        <v>7.5</v>
      </c>
      <c r="AU89" s="69">
        <f>IF(ISNUMBER(Table1[[#This Row],[Above gauge Ø]]),((Table1[[#This Row],[Size]]-Table1[[#This Row],[Above gauge Ø]])/2)-0.05,"")</f>
        <v>0.13750000000000001</v>
      </c>
      <c r="AV89" s="70">
        <v>0.33</v>
      </c>
      <c r="AW89" s="32" t="s">
        <v>180</v>
      </c>
      <c r="AX89" s="32">
        <v>7.6890000000000001</v>
      </c>
      <c r="AY89" s="32" t="s">
        <v>112</v>
      </c>
      <c r="AZ89" s="32">
        <v>15</v>
      </c>
      <c r="BA89" s="32"/>
      <c r="BB89" s="82">
        <v>160</v>
      </c>
      <c r="BC89" s="82">
        <v>170</v>
      </c>
      <c r="BD89" s="82"/>
      <c r="BE89" s="82">
        <v>410</v>
      </c>
      <c r="BF89" s="32">
        <v>15</v>
      </c>
      <c r="BG89" s="32">
        <v>15</v>
      </c>
      <c r="BH89" s="32" t="s">
        <v>322</v>
      </c>
      <c r="BI89" s="32">
        <v>35</v>
      </c>
      <c r="BJ89" s="109" t="e">
        <f>CONCATENATE("► M1 Notes: ",#REF!," •-----► CL-SKF Notes: ",#REF!," •-----► DS Notes: ",#REF!)</f>
        <v>#REF!</v>
      </c>
      <c r="BK89" s="108" t="s">
        <v>716</v>
      </c>
      <c r="BL89" s="32">
        <v>4</v>
      </c>
      <c r="BM89" s="32" t="s">
        <v>115</v>
      </c>
      <c r="BN89" s="83">
        <v>38.795999999999999</v>
      </c>
      <c r="BO89" s="31">
        <v>8.8800000000000008</v>
      </c>
      <c r="BP89" s="32" t="s">
        <v>116</v>
      </c>
      <c r="BQ89" s="32" t="s">
        <v>101</v>
      </c>
      <c r="BR89" s="32" t="s">
        <v>116</v>
      </c>
      <c r="BS89" s="32">
        <v>60</v>
      </c>
      <c r="BT89" s="32" t="s">
        <v>117</v>
      </c>
      <c r="BU89" s="32">
        <v>7</v>
      </c>
      <c r="BV89" s="32" t="s">
        <v>117</v>
      </c>
      <c r="BW89" s="103">
        <v>2.6</v>
      </c>
    </row>
    <row r="90" spans="2:75" x14ac:dyDescent="0.25">
      <c r="B90" s="1">
        <v>2208</v>
      </c>
      <c r="C90" s="2"/>
      <c r="D90" s="147" t="s">
        <v>1109</v>
      </c>
      <c r="E90" s="75" t="s">
        <v>93</v>
      </c>
      <c r="F90" s="75" t="s">
        <v>93</v>
      </c>
      <c r="G90" s="55" t="s">
        <v>1110</v>
      </c>
      <c r="H90" s="55" t="s">
        <v>1111</v>
      </c>
      <c r="I90" s="55" t="s">
        <v>1112</v>
      </c>
      <c r="J90" s="55" t="s">
        <v>1113</v>
      </c>
      <c r="K90" s="55" t="s">
        <v>1114</v>
      </c>
      <c r="L90" s="55" t="s">
        <v>1115</v>
      </c>
      <c r="M90" s="75" t="s">
        <v>93</v>
      </c>
      <c r="N90" s="55" t="s">
        <v>1116</v>
      </c>
      <c r="O90" s="55" t="s">
        <v>1117</v>
      </c>
      <c r="P90" s="53" t="s">
        <v>93</v>
      </c>
      <c r="Q90" s="53" t="s">
        <v>93</v>
      </c>
      <c r="R90" s="76">
        <f>COUNTIFS([1]Fleet!$E:$E,Table1[[#This Row],[Old Assy '#]])+COUNTIFS([1]OnDeck!$E:$E,Table1[[#This Row],[Old Assy '#]])</f>
        <v>1</v>
      </c>
      <c r="S90" s="77">
        <v>43468</v>
      </c>
      <c r="T90" s="78"/>
      <c r="U90" s="78"/>
      <c r="V90" s="78"/>
      <c r="W90" s="56" t="str">
        <f>IF(AND(Table1[[#This Row],[Phase Out]]="Y",Table1[[#This Row],[Zero Inventory]]="Y"),"Y","")</f>
        <v/>
      </c>
      <c r="X90" s="79">
        <v>12.25</v>
      </c>
      <c r="Y90" s="63" t="s">
        <v>1118</v>
      </c>
      <c r="Z90" s="59" t="str">
        <f>IF(LEFT(Table1[[#This Row],[Model]],2)="NX","NX",IF(LEFT(Table1[[#This Row],[Model]],2)="CR","CR",""))</f>
        <v>CR</v>
      </c>
      <c r="AA90" s="59" t="str">
        <f>LEFT(SUBSTITUTE(SUBSTITUTE(Table1[[#This Row],[Model]],"NX",""),"CR",""),1)</f>
        <v>7</v>
      </c>
      <c r="AB90" s="59" t="str">
        <f>MID(SUBSTITUTE(SUBSTITUTE(Table1[[#This Row],[Model]],"NX",""),"CR",""),2,2)</f>
        <v>16</v>
      </c>
      <c r="AC90" s="64" t="str">
        <f>IF(ISNUMBER(FIND("M",Table1[[#This Row],[Model]])),"M","")</f>
        <v/>
      </c>
      <c r="AD90" s="64" t="str">
        <f>CONCATENATE(MID(Table1[[#This Row],[Model]],FIND("-",Table1[[#This Row],[Model]])+1,2),IF(RIGHT(MID(Table1[[#This Row],[Model]],FIND("-",Table1[[#This Row],[Model]])+1,3),1)="+","+",""))</f>
        <v>XR</v>
      </c>
      <c r="AE90"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10</v>
      </c>
      <c r="AF90" s="64" t="str">
        <f>IF(ISNUMBER(SEARCH("(K)",Table1[[#This Row],[Model]])),"(K)","")</f>
        <v>(K)</v>
      </c>
      <c r="AG90" s="64" t="str">
        <f>IF(ISNUMBER(SEARCH("(BR)",Table1[[#This Row],[Model]])),"(BR)","")</f>
        <v>(BR)</v>
      </c>
      <c r="AH90" s="32" t="s">
        <v>103</v>
      </c>
      <c r="AI90" s="32" t="s">
        <v>126</v>
      </c>
      <c r="AJ90" s="114" t="s">
        <v>452</v>
      </c>
      <c r="AK90" s="32"/>
      <c r="AL90" s="32" t="s">
        <v>106</v>
      </c>
      <c r="AM90" s="64" t="str">
        <f>SUBSTITUTE(INDEX('[2]M1 App'!$A$2:$R$349,MATCH(VALUE(LEFT(Table1[[#This Row],[Old Assy '#]],4)),'[2]M1 App'!$B$2:$B$349,0),MATCH(Table1[[#Headers],[App Interval Type]],'[2]M1 App'!$A$1:$R$1,0))," ","")</f>
        <v>Vertical</v>
      </c>
      <c r="AN90" s="64" t="s">
        <v>127</v>
      </c>
      <c r="AO90" s="65"/>
      <c r="AP90" s="66"/>
      <c r="AQ90" s="67">
        <f>VALUE(SUBSTITUTE(INDEX('[2]M1 App'!$A$2:$R$349,MATCH(VALUE(LEFT(Table1[[#This Row],[Old Assy '#]],4)),'[2]M1 App'!$B$2:$B$349,0),MATCH(Table1[[#Headers],[App Six Three]],'[2]M1 App'!$A$1:$R$1,0))," ",""))</f>
        <v>0</v>
      </c>
      <c r="AR90" s="68" t="s">
        <v>284</v>
      </c>
      <c r="AS90" s="32">
        <v>1765432</v>
      </c>
      <c r="AT90" s="102">
        <v>12</v>
      </c>
      <c r="AU90" s="69">
        <f>IF(ISNUMBER(Table1[[#This Row],[Above gauge Ø]]),((Table1[[#This Row],[Size]]-Table1[[#This Row],[Above gauge Ø]])/2)-0.05,"")</f>
        <v>7.4999999999999997E-2</v>
      </c>
      <c r="AV90" s="70">
        <v>0.33</v>
      </c>
      <c r="AW90" s="32" t="s">
        <v>111</v>
      </c>
      <c r="AX90" s="32">
        <v>12.07</v>
      </c>
      <c r="AY90" s="32" t="s">
        <v>1096</v>
      </c>
      <c r="AZ90" s="32">
        <v>15</v>
      </c>
      <c r="BA90" s="32"/>
      <c r="BB90" s="82">
        <v>10</v>
      </c>
      <c r="BC90" s="82">
        <v>0</v>
      </c>
      <c r="BD90" s="82">
        <v>150</v>
      </c>
      <c r="BE90" s="82"/>
      <c r="BF90" s="32">
        <v>17.5</v>
      </c>
      <c r="BG90" s="32">
        <v>17.5</v>
      </c>
      <c r="BH90" s="32" t="s">
        <v>439</v>
      </c>
      <c r="BI90" s="32">
        <v>40</v>
      </c>
      <c r="BJ90" s="109" t="e">
        <f>CONCATENATE("► M1 Notes: ",#REF!," •-----► CL-SKF Notes: ",#REF!," •-----► DS Notes: ",#REF!)</f>
        <v>#REF!</v>
      </c>
      <c r="BK90" s="108" t="s">
        <v>1119</v>
      </c>
      <c r="BL90" s="32">
        <v>6</v>
      </c>
      <c r="BM90" s="32" t="s">
        <v>115</v>
      </c>
      <c r="BN90" s="83">
        <v>91.069000000000003</v>
      </c>
      <c r="BO90" s="31">
        <v>26.847000000000001</v>
      </c>
      <c r="BP90" s="32" t="s">
        <v>116</v>
      </c>
      <c r="BQ90" s="32" t="s">
        <v>101</v>
      </c>
      <c r="BR90" s="32" t="s">
        <v>116</v>
      </c>
      <c r="BS90" s="32">
        <v>60</v>
      </c>
      <c r="BT90" s="32" t="s">
        <v>117</v>
      </c>
      <c r="BU90" s="32">
        <v>10</v>
      </c>
      <c r="BV90" s="32" t="s">
        <v>117</v>
      </c>
      <c r="BW90" s="103">
        <v>3.71</v>
      </c>
    </row>
    <row r="91" spans="2:75" x14ac:dyDescent="0.25">
      <c r="B91" s="1">
        <v>2209</v>
      </c>
      <c r="C91" s="2"/>
      <c r="D91" s="147" t="s">
        <v>1120</v>
      </c>
      <c r="E91" s="55" t="s">
        <v>1121</v>
      </c>
      <c r="F91" s="55" t="s">
        <v>1122</v>
      </c>
      <c r="G91" s="55" t="s">
        <v>1123</v>
      </c>
      <c r="H91" s="75" t="s">
        <v>93</v>
      </c>
      <c r="I91" s="55" t="s">
        <v>1124</v>
      </c>
      <c r="J91" s="55" t="s">
        <v>1125</v>
      </c>
      <c r="K91" s="55" t="s">
        <v>1126</v>
      </c>
      <c r="L91" s="55" t="s">
        <v>1127</v>
      </c>
      <c r="M91" s="55" t="s">
        <v>1128</v>
      </c>
      <c r="N91" s="55" t="s">
        <v>1129</v>
      </c>
      <c r="O91" s="55" t="s">
        <v>1130</v>
      </c>
      <c r="P91" s="53" t="s">
        <v>93</v>
      </c>
      <c r="Q91" s="53" t="s">
        <v>93</v>
      </c>
      <c r="R91" s="76">
        <f>COUNTIFS([1]Fleet!$E:$E,Table1[[#This Row],[Old Assy '#]])+COUNTIFS([1]OnDeck!$E:$E,Table1[[#This Row],[Old Assy '#]])</f>
        <v>1</v>
      </c>
      <c r="S91" s="77">
        <v>43469</v>
      </c>
      <c r="T91" s="78" t="s">
        <v>101</v>
      </c>
      <c r="U91" s="78" t="s">
        <v>101</v>
      </c>
      <c r="V91" s="78"/>
      <c r="W91" s="56" t="str">
        <f>IF(AND(Table1[[#This Row],[Phase Out]]="Y",Table1[[#This Row],[Zero Inventory]]="Y"),"Y","")</f>
        <v/>
      </c>
      <c r="X91" s="79">
        <v>12.25</v>
      </c>
      <c r="Y91" s="63" t="s">
        <v>1118</v>
      </c>
      <c r="Z91" s="59" t="str">
        <f>IF(LEFT(Table1[[#This Row],[Model]],2)="NX","NX",IF(LEFT(Table1[[#This Row],[Model]],2)="CR","CR",""))</f>
        <v>CR</v>
      </c>
      <c r="AA91" s="59" t="str">
        <f>LEFT(SUBSTITUTE(SUBSTITUTE(Table1[[#This Row],[Model]],"NX",""),"CR",""),1)</f>
        <v>7</v>
      </c>
      <c r="AB91" s="59" t="str">
        <f>MID(SUBSTITUTE(SUBSTITUTE(Table1[[#This Row],[Model]],"NX",""),"CR",""),2,2)</f>
        <v>16</v>
      </c>
      <c r="AC91" s="64" t="str">
        <f>IF(ISNUMBER(FIND("M",Table1[[#This Row],[Model]])),"M","")</f>
        <v/>
      </c>
      <c r="AD91" s="64" t="str">
        <f>CONCATENATE(MID(Table1[[#This Row],[Model]],FIND("-",Table1[[#This Row],[Model]])+1,2),IF(RIGHT(MID(Table1[[#This Row],[Model]],FIND("-",Table1[[#This Row],[Model]])+1,3),1)="+","+",""))</f>
        <v>XR</v>
      </c>
      <c r="AE91"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10</v>
      </c>
      <c r="AF91" s="64" t="str">
        <f>IF(ISNUMBER(SEARCH("(K)",Table1[[#This Row],[Model]])),"(K)","")</f>
        <v>(K)</v>
      </c>
      <c r="AG91" s="64" t="str">
        <f>IF(ISNUMBER(SEARCH("(BR)",Table1[[#This Row],[Model]])),"(BR)","")</f>
        <v>(BR)</v>
      </c>
      <c r="AH91" s="32" t="s">
        <v>103</v>
      </c>
      <c r="AI91" s="32" t="s">
        <v>126</v>
      </c>
      <c r="AJ91" s="32"/>
      <c r="AK91" s="113" t="s">
        <v>1131</v>
      </c>
      <c r="AL91" s="32" t="s">
        <v>182</v>
      </c>
      <c r="AM91" s="64" t="str">
        <f>SUBSTITUTE(INDEX('[2]M1 App'!$A$2:$R$349,MATCH(VALUE(LEFT(Table1[[#This Row],[Old Assy '#]],4)),'[2]M1 App'!$B$2:$B$349,0),MATCH(Table1[[#Headers],[App Interval Type]],'[2]M1 App'!$A$1:$R$1,0))," ","")</f>
        <v>Vertical</v>
      </c>
      <c r="AN91" s="64" t="s">
        <v>127</v>
      </c>
      <c r="AO91" s="63"/>
      <c r="AP91" s="66"/>
      <c r="AQ91" s="67">
        <f>VALUE(SUBSTITUTE(INDEX('[2]M1 App'!$A$2:$R$349,MATCH(VALUE(LEFT(Table1[[#This Row],[Old Assy '#]],4)),'[2]M1 App'!$B$2:$B$349,0),MATCH(Table1[[#Headers],[App Six Three]],'[2]M1 App'!$A$1:$R$1,0))," ",""))</f>
        <v>0</v>
      </c>
      <c r="AR91" s="68" t="s">
        <v>284</v>
      </c>
      <c r="AS91" s="32">
        <v>1765432</v>
      </c>
      <c r="AT91" s="102">
        <v>12</v>
      </c>
      <c r="AU91" s="69">
        <f>IF(ISNUMBER(Table1[[#This Row],[Above gauge Ø]]),((Table1[[#This Row],[Size]]-Table1[[#This Row],[Above gauge Ø]])/2)-0.05,"")</f>
        <v>7.4999999999999997E-2</v>
      </c>
      <c r="AV91" s="70">
        <v>0.33</v>
      </c>
      <c r="AW91" s="32" t="s">
        <v>111</v>
      </c>
      <c r="AX91" s="32">
        <v>12.07</v>
      </c>
      <c r="AY91" s="32" t="s">
        <v>1096</v>
      </c>
      <c r="AZ91" s="32">
        <v>15</v>
      </c>
      <c r="BA91" s="32"/>
      <c r="BB91" s="82">
        <v>170</v>
      </c>
      <c r="BC91" s="82">
        <v>130</v>
      </c>
      <c r="BD91" s="82">
        <v>0</v>
      </c>
      <c r="BE91" s="82"/>
      <c r="BF91" s="32" t="s">
        <v>113</v>
      </c>
      <c r="BG91" s="32">
        <v>15</v>
      </c>
      <c r="BH91" s="32" t="s">
        <v>1132</v>
      </c>
      <c r="BI91" s="32">
        <v>40</v>
      </c>
      <c r="BJ91" s="17" t="e">
        <f>CONCATENATE("► M1 Notes: ",#REF!," •-----► CL-SKF Notes: ",#REF!," •-----► DS Notes: ",#REF!)</f>
        <v>#REF!</v>
      </c>
      <c r="BK91" s="2"/>
      <c r="BL91" s="32">
        <v>6</v>
      </c>
      <c r="BM91" s="32" t="s">
        <v>115</v>
      </c>
      <c r="BN91" s="83">
        <v>91.069000000000003</v>
      </c>
      <c r="BO91" s="31">
        <v>26.847000000000001</v>
      </c>
      <c r="BP91" s="32" t="s">
        <v>116</v>
      </c>
      <c r="BQ91" s="32" t="s">
        <v>101</v>
      </c>
      <c r="BR91" s="32" t="s">
        <v>116</v>
      </c>
      <c r="BS91" s="32">
        <v>60</v>
      </c>
      <c r="BT91" s="32" t="s">
        <v>117</v>
      </c>
      <c r="BU91" s="32">
        <v>10</v>
      </c>
      <c r="BV91" s="32" t="s">
        <v>117</v>
      </c>
      <c r="BW91" s="103">
        <v>3.71</v>
      </c>
    </row>
    <row r="92" spans="2:75" x14ac:dyDescent="0.25">
      <c r="B92" s="1">
        <v>2210</v>
      </c>
      <c r="C92" s="2"/>
      <c r="D92" s="147" t="s">
        <v>1133</v>
      </c>
      <c r="E92" s="75" t="s">
        <v>93</v>
      </c>
      <c r="F92" s="75" t="s">
        <v>93</v>
      </c>
      <c r="G92" s="55" t="s">
        <v>1134</v>
      </c>
      <c r="H92" s="55" t="s">
        <v>1135</v>
      </c>
      <c r="I92" s="55" t="s">
        <v>1136</v>
      </c>
      <c r="J92" s="55" t="s">
        <v>1137</v>
      </c>
      <c r="K92" s="55" t="s">
        <v>1138</v>
      </c>
      <c r="L92" s="55" t="s">
        <v>1139</v>
      </c>
      <c r="M92" s="75" t="s">
        <v>93</v>
      </c>
      <c r="N92" s="55" t="s">
        <v>1140</v>
      </c>
      <c r="O92" s="55" t="s">
        <v>1141</v>
      </c>
      <c r="P92" s="53" t="s">
        <v>93</v>
      </c>
      <c r="Q92" s="53" t="s">
        <v>93</v>
      </c>
      <c r="R92" s="76">
        <f>COUNTIFS([1]Fleet!$E:$E,Table1[[#This Row],[Old Assy '#]])+COUNTIFS([1]OnDeck!$E:$E,Table1[[#This Row],[Old Assy '#]])</f>
        <v>1</v>
      </c>
      <c r="S92" s="77">
        <v>43475</v>
      </c>
      <c r="T92" s="78"/>
      <c r="U92" s="78"/>
      <c r="V92" s="78"/>
      <c r="W92" s="56" t="str">
        <f>IF(AND(Table1[[#This Row],[Phase Out]]="Y",Table1[[#This Row],[Zero Inventory]]="Y"),"Y","")</f>
        <v/>
      </c>
      <c r="X92" s="79">
        <v>12.25</v>
      </c>
      <c r="Y92" s="63" t="s">
        <v>1118</v>
      </c>
      <c r="Z92" s="59" t="str">
        <f>IF(LEFT(Table1[[#This Row],[Model]],2)="NX","NX",IF(LEFT(Table1[[#This Row],[Model]],2)="CR","CR",""))</f>
        <v>CR</v>
      </c>
      <c r="AA92" s="59" t="str">
        <f>LEFT(SUBSTITUTE(SUBSTITUTE(Table1[[#This Row],[Model]],"NX",""),"CR",""),1)</f>
        <v>7</v>
      </c>
      <c r="AB92" s="59" t="str">
        <f>MID(SUBSTITUTE(SUBSTITUTE(Table1[[#This Row],[Model]],"NX",""),"CR",""),2,2)</f>
        <v>16</v>
      </c>
      <c r="AC92" s="64" t="str">
        <f>IF(ISNUMBER(FIND("M",Table1[[#This Row],[Model]])),"M","")</f>
        <v/>
      </c>
      <c r="AD92" s="64" t="str">
        <f>CONCATENATE(MID(Table1[[#This Row],[Model]],FIND("-",Table1[[#This Row],[Model]])+1,2),IF(RIGHT(MID(Table1[[#This Row],[Model]],FIND("-",Table1[[#This Row],[Model]])+1,3),1)="+","+",""))</f>
        <v>XR</v>
      </c>
      <c r="AE92"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10</v>
      </c>
      <c r="AF92" s="64" t="str">
        <f>IF(ISNUMBER(SEARCH("(K)",Table1[[#This Row],[Model]])),"(K)","")</f>
        <v>(K)</v>
      </c>
      <c r="AG92" s="64" t="str">
        <f>IF(ISNUMBER(SEARCH("(BR)",Table1[[#This Row],[Model]])),"(BR)","")</f>
        <v>(BR)</v>
      </c>
      <c r="AH92" s="32" t="s">
        <v>103</v>
      </c>
      <c r="AI92" s="32" t="s">
        <v>126</v>
      </c>
      <c r="AJ92" s="32"/>
      <c r="AK92" s="32"/>
      <c r="AL92" s="32" t="s">
        <v>106</v>
      </c>
      <c r="AM92" s="64" t="str">
        <f>SUBSTITUTE(INDEX('[2]M1 App'!$A$2:$R$349,MATCH(VALUE(LEFT(Table1[[#This Row],[Old Assy '#]],4)),'[2]M1 App'!$B$2:$B$349,0),MATCH(Table1[[#Headers],[App Interval Type]],'[2]M1 App'!$A$1:$R$1,0))," ","")</f>
        <v>Vertical</v>
      </c>
      <c r="AN92" s="64" t="s">
        <v>127</v>
      </c>
      <c r="AO92" s="65"/>
      <c r="AP92" s="66"/>
      <c r="AQ92" s="67">
        <f>VALUE(SUBSTITUTE(INDEX('[2]M1 App'!$A$2:$R$349,MATCH(VALUE(LEFT(Table1[[#This Row],[Old Assy '#]],4)),'[2]M1 App'!$B$2:$B$349,0),MATCH(Table1[[#Headers],[App Six Three]],'[2]M1 App'!$A$1:$R$1,0))," ",""))</f>
        <v>0</v>
      </c>
      <c r="AR92" s="68" t="s">
        <v>943</v>
      </c>
      <c r="AS92" s="32">
        <v>1256347</v>
      </c>
      <c r="AT92" s="102">
        <v>12</v>
      </c>
      <c r="AU92" s="69">
        <f>IF(ISNUMBER(Table1[[#This Row],[Above gauge Ø]]),((Table1[[#This Row],[Size]]-Table1[[#This Row],[Above gauge Ø]])/2)-0.05,"")</f>
        <v>7.4999999999999997E-2</v>
      </c>
      <c r="AV92" s="70">
        <v>0.33</v>
      </c>
      <c r="AW92" s="32" t="s">
        <v>111</v>
      </c>
      <c r="AX92" s="32">
        <v>12.07</v>
      </c>
      <c r="AY92" s="32" t="s">
        <v>1096</v>
      </c>
      <c r="AZ92" s="32">
        <v>15</v>
      </c>
      <c r="BA92" s="32"/>
      <c r="BB92" s="82">
        <v>10</v>
      </c>
      <c r="BC92" s="82">
        <v>0</v>
      </c>
      <c r="BD92" s="82">
        <v>190</v>
      </c>
      <c r="BE92" s="82"/>
      <c r="BF92" s="32">
        <v>15</v>
      </c>
      <c r="BG92" s="32">
        <v>15</v>
      </c>
      <c r="BH92" s="32" t="s">
        <v>322</v>
      </c>
      <c r="BI92" s="32">
        <v>35</v>
      </c>
      <c r="BJ92" s="109" t="e">
        <f>CONCATENATE("► M1 Notes: ",#REF!," •-----► CL-SKF Notes: ",#REF!," •-----► DS Notes: ",#REF!)</f>
        <v>#REF!</v>
      </c>
      <c r="BK92" s="108" t="s">
        <v>1142</v>
      </c>
      <c r="BL92" s="32">
        <v>6</v>
      </c>
      <c r="BM92" s="32" t="s">
        <v>115</v>
      </c>
      <c r="BN92" s="83">
        <v>91</v>
      </c>
      <c r="BO92" s="31">
        <v>26.847000000000001</v>
      </c>
      <c r="BP92" s="32" t="s">
        <v>116</v>
      </c>
      <c r="BQ92" s="32" t="s">
        <v>101</v>
      </c>
      <c r="BR92" s="32" t="s">
        <v>116</v>
      </c>
      <c r="BS92" s="32">
        <v>60</v>
      </c>
      <c r="BT92" s="32" t="s">
        <v>117</v>
      </c>
      <c r="BU92" s="32">
        <v>10</v>
      </c>
      <c r="BV92" s="32" t="s">
        <v>117</v>
      </c>
      <c r="BW92" s="103">
        <v>3.71</v>
      </c>
    </row>
    <row r="93" spans="2:75" x14ac:dyDescent="0.25">
      <c r="B93" s="1">
        <v>2216</v>
      </c>
      <c r="C93" s="2"/>
      <c r="D93" s="146" t="s">
        <v>93</v>
      </c>
      <c r="E93" s="75" t="s">
        <v>93</v>
      </c>
      <c r="F93" s="55" t="s">
        <v>1144</v>
      </c>
      <c r="G93" s="55" t="s">
        <v>1145</v>
      </c>
      <c r="H93" s="75" t="s">
        <v>93</v>
      </c>
      <c r="I93" s="55" t="s">
        <v>1146</v>
      </c>
      <c r="J93" s="55" t="s">
        <v>1147</v>
      </c>
      <c r="K93" s="55" t="s">
        <v>1148</v>
      </c>
      <c r="L93" s="55" t="s">
        <v>1149</v>
      </c>
      <c r="M93" s="55" t="s">
        <v>1150</v>
      </c>
      <c r="N93" s="55" t="s">
        <v>1150</v>
      </c>
      <c r="O93" s="55" t="s">
        <v>1151</v>
      </c>
      <c r="P93" s="53" t="s">
        <v>93</v>
      </c>
      <c r="Q93" s="53" t="s">
        <v>93</v>
      </c>
      <c r="R93" s="76">
        <f>COUNTIFS([1]Fleet!$E:$E,Table1[[#This Row],[Old Assy '#]])+COUNTIFS([1]OnDeck!$E:$E,Table1[[#This Row],[Old Assy '#]])</f>
        <v>12</v>
      </c>
      <c r="S93" s="77">
        <v>43536</v>
      </c>
      <c r="T93" s="78"/>
      <c r="U93" s="78" t="s">
        <v>101</v>
      </c>
      <c r="V93" s="78" t="s">
        <v>101</v>
      </c>
      <c r="W93" s="56" t="str">
        <f>IF(AND(Table1[[#This Row],[Phase Out]]="Y",Table1[[#This Row],[Zero Inventory]]="Y"),"Y","")</f>
        <v>Y</v>
      </c>
      <c r="X93" s="79">
        <v>17.5</v>
      </c>
      <c r="Y93" s="63" t="s">
        <v>856</v>
      </c>
      <c r="Z93" s="59" t="str">
        <f>IF(LEFT(Table1[[#This Row],[Model]],2)="NX","NX",IF(LEFT(Table1[[#This Row],[Model]],2)="CR","CR",""))</f>
        <v>CR</v>
      </c>
      <c r="AA93" s="59" t="str">
        <f>LEFT(SUBSTITUTE(SUBSTITUTE(Table1[[#This Row],[Model]],"NX",""),"CR",""),1)</f>
        <v>6</v>
      </c>
      <c r="AB93" s="59" t="str">
        <f>MID(SUBSTITUTE(SUBSTITUTE(Table1[[#This Row],[Model]],"NX",""),"CR",""),2,2)</f>
        <v>16</v>
      </c>
      <c r="AC93" s="64" t="str">
        <f>IF(ISNUMBER(FIND("M",Table1[[#This Row],[Model]])),"M","")</f>
        <v/>
      </c>
      <c r="AD93" s="64" t="str">
        <f>CONCATENATE(MID(Table1[[#This Row],[Model]],FIND("-",Table1[[#This Row],[Model]])+1,2),IF(RIGHT(MID(Table1[[#This Row],[Model]],FIND("-",Table1[[#This Row],[Model]])+1,3),1)="+","+",""))</f>
        <v>SR</v>
      </c>
      <c r="AE93" s="60">
        <f>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93" s="64" t="str">
        <f>IF(ISNUMBER(SEARCH("(K)",Table1[[#This Row],[Model]])),"(K)","")</f>
        <v>(K)</v>
      </c>
      <c r="AG93" s="64" t="str">
        <f>IF(ISNUMBER(SEARCH("(BR)",Table1[[#This Row],[Model]])),"(BR)","")</f>
        <v/>
      </c>
      <c r="AH93" s="32" t="s">
        <v>103</v>
      </c>
      <c r="AI93" s="32" t="s">
        <v>126</v>
      </c>
      <c r="AJ93" s="114" t="s">
        <v>452</v>
      </c>
      <c r="AK93" s="32"/>
      <c r="AL93" s="32" t="s">
        <v>106</v>
      </c>
      <c r="AM93" s="64" t="str">
        <f>SUBSTITUTE(INDEX('[2]M1 App'!$A$2:$R$349,MATCH(VALUE(LEFT(Table1[[#This Row],[Old Assy '#]],4)),'[2]M1 App'!$B$2:$B$349,0),MATCH(Table1[[#Headers],[App Interval Type]],'[2]M1 App'!$A$1:$R$1,0))," ","")</f>
        <v>Vertical</v>
      </c>
      <c r="AN93" s="63" t="s">
        <v>139</v>
      </c>
      <c r="AO93" s="65"/>
      <c r="AP93" s="66"/>
      <c r="AQ93" s="67">
        <f>VALUE(SUBSTITUTE(INDEX('[2]M1 App'!$A$2:$R$349,MATCH(VALUE(LEFT(Table1[[#This Row],[Old Assy '#]],4)),'[2]M1 App'!$B$2:$B$349,0),MATCH(Table1[[#Headers],[App Six Three]],'[2]M1 App'!$A$1:$R$1,0))," ",""))</f>
        <v>0</v>
      </c>
      <c r="AR93" s="68" t="s">
        <v>284</v>
      </c>
      <c r="AS93" s="32">
        <v>165432</v>
      </c>
      <c r="AT93" s="32">
        <v>17.125</v>
      </c>
      <c r="AU93" s="107">
        <f>IF(ISNUMBER(Table1[[#This Row],[Above gauge Ø]]),((Table1[[#This Row],[Size]]-Table1[[#This Row],[Above gauge Ø]])/2)-0.05,"")</f>
        <v>0.13750000000000001</v>
      </c>
      <c r="AV93" s="70">
        <v>0.33</v>
      </c>
      <c r="AW93" s="32" t="s">
        <v>180</v>
      </c>
      <c r="AX93" s="32">
        <v>17.25</v>
      </c>
      <c r="AY93" s="32" t="s">
        <v>349</v>
      </c>
      <c r="AZ93" s="32">
        <v>15</v>
      </c>
      <c r="BA93" s="32"/>
      <c r="BB93" s="82"/>
      <c r="BC93" s="82"/>
      <c r="BD93" s="82">
        <v>10</v>
      </c>
      <c r="BE93" s="82">
        <v>0</v>
      </c>
      <c r="BF93" s="32">
        <v>20</v>
      </c>
      <c r="BG93" s="32">
        <v>20</v>
      </c>
      <c r="BH93" s="32" t="s">
        <v>1152</v>
      </c>
      <c r="BI93" s="32">
        <v>40</v>
      </c>
      <c r="BJ93" s="17" t="e">
        <f>CONCATENATE("► M1 Notes: ",#REF!," •-----► CL-SKF Notes: ",#REF!," •-----► DS Notes: ",#REF!)</f>
        <v>#REF!</v>
      </c>
      <c r="BK93" s="17"/>
      <c r="BL93" s="32">
        <v>7</v>
      </c>
      <c r="BM93" s="32" t="s">
        <v>115</v>
      </c>
      <c r="BN93" s="83">
        <v>104</v>
      </c>
      <c r="BO93" s="31">
        <v>83.93</v>
      </c>
      <c r="BP93" s="32" t="s">
        <v>116</v>
      </c>
      <c r="BQ93" s="32" t="s">
        <v>101</v>
      </c>
      <c r="BR93" s="32" t="s">
        <v>116</v>
      </c>
      <c r="BS93" s="32">
        <v>60</v>
      </c>
      <c r="BT93" s="32" t="s">
        <v>117</v>
      </c>
      <c r="BU93" s="32">
        <v>9</v>
      </c>
      <c r="BV93" s="32" t="s">
        <v>117</v>
      </c>
      <c r="BW93" s="103">
        <v>3.34</v>
      </c>
    </row>
    <row r="94" spans="2:75" x14ac:dyDescent="0.25">
      <c r="B94" s="1">
        <v>2217</v>
      </c>
      <c r="C94" s="2"/>
      <c r="D94" s="147" t="s">
        <v>1153</v>
      </c>
      <c r="E94" s="75" t="s">
        <v>93</v>
      </c>
      <c r="F94" s="75" t="s">
        <v>93</v>
      </c>
      <c r="G94" s="55" t="s">
        <v>1154</v>
      </c>
      <c r="H94" s="55" t="s">
        <v>1155</v>
      </c>
      <c r="I94" s="55" t="s">
        <v>1156</v>
      </c>
      <c r="J94" s="55" t="s">
        <v>1157</v>
      </c>
      <c r="K94" s="55" t="s">
        <v>1158</v>
      </c>
      <c r="L94" s="55" t="s">
        <v>1159</v>
      </c>
      <c r="M94" s="75" t="s">
        <v>93</v>
      </c>
      <c r="N94" s="55" t="s">
        <v>1160</v>
      </c>
      <c r="O94" s="55" t="s">
        <v>1161</v>
      </c>
      <c r="P94" s="53" t="s">
        <v>93</v>
      </c>
      <c r="Q94" s="53" t="s">
        <v>93</v>
      </c>
      <c r="R94" s="76">
        <f>COUNTIFS([1]Fleet!$E:$E,Table1[[#This Row],[Old Assy '#]])+COUNTIFS([1]OnDeck!$E:$E,Table1[[#This Row],[Old Assy '#]])</f>
        <v>1</v>
      </c>
      <c r="S94" s="77">
        <v>43537</v>
      </c>
      <c r="T94" s="78"/>
      <c r="U94" s="78"/>
      <c r="V94" s="78"/>
      <c r="W94" s="56" t="str">
        <f>IF(AND(Table1[[#This Row],[Phase Out]]="Y",Table1[[#This Row],[Zero Inventory]]="Y"),"Y","")</f>
        <v/>
      </c>
      <c r="X94" s="79">
        <v>12.25</v>
      </c>
      <c r="Y94" s="63" t="s">
        <v>1118</v>
      </c>
      <c r="Z94" s="59" t="str">
        <f>IF(LEFT(Table1[[#This Row],[Model]],2)="NX","NX",IF(LEFT(Table1[[#This Row],[Model]],2)="CR","CR",""))</f>
        <v>CR</v>
      </c>
      <c r="AA94" s="59" t="str">
        <f>LEFT(SUBSTITUTE(SUBSTITUTE(Table1[[#This Row],[Model]],"NX",""),"CR",""),1)</f>
        <v>7</v>
      </c>
      <c r="AB94" s="59" t="str">
        <f>MID(SUBSTITUTE(SUBSTITUTE(Table1[[#This Row],[Model]],"NX",""),"CR",""),2,2)</f>
        <v>16</v>
      </c>
      <c r="AC94" s="64" t="str">
        <f>IF(ISNUMBER(FIND("M",Table1[[#This Row],[Model]])),"M","")</f>
        <v/>
      </c>
      <c r="AD94" s="64" t="str">
        <f>CONCATENATE(MID(Table1[[#This Row],[Model]],FIND("-",Table1[[#This Row],[Model]])+1,2),IF(RIGHT(MID(Table1[[#This Row],[Model]],FIND("-",Table1[[#This Row],[Model]])+1,3),1)="+","+",""))</f>
        <v>XR</v>
      </c>
      <c r="AE9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10</v>
      </c>
      <c r="AF94" s="64" t="str">
        <f>IF(ISNUMBER(SEARCH("(K)",Table1[[#This Row],[Model]])),"(K)","")</f>
        <v>(K)</v>
      </c>
      <c r="AG94" s="64" t="str">
        <f>IF(ISNUMBER(SEARCH("(BR)",Table1[[#This Row],[Model]])),"(BR)","")</f>
        <v>(BR)</v>
      </c>
      <c r="AH94" s="32" t="s">
        <v>103</v>
      </c>
      <c r="AI94" s="32" t="s">
        <v>126</v>
      </c>
      <c r="AJ94" s="32"/>
      <c r="AK94" s="32"/>
      <c r="AL94" s="32" t="s">
        <v>106</v>
      </c>
      <c r="AM94" s="64" t="str">
        <f>SUBSTITUTE(INDEX('[2]M1 App'!$A$2:$R$349,MATCH(VALUE(LEFT(Table1[[#This Row],[Old Assy '#]],4)),'[2]M1 App'!$B$2:$B$349,0),MATCH(Table1[[#Headers],[App Interval Type]],'[2]M1 App'!$A$1:$R$1,0))," ","")</f>
        <v>Vertical</v>
      </c>
      <c r="AN94" s="64" t="s">
        <v>127</v>
      </c>
      <c r="AO94" s="65"/>
      <c r="AP94" s="66"/>
      <c r="AQ94" s="67">
        <f>VALUE(SUBSTITUTE(INDEX('[2]M1 App'!$A$2:$R$349,MATCH(VALUE(LEFT(Table1[[#This Row],[Old Assy '#]],4)),'[2]M1 App'!$B$2:$B$349,0),MATCH(Table1[[#Headers],[App Six Three]],'[2]M1 App'!$A$1:$R$1,0))," ",""))</f>
        <v>0</v>
      </c>
      <c r="AR94" s="68" t="s">
        <v>284</v>
      </c>
      <c r="AS94" s="32">
        <v>1765432</v>
      </c>
      <c r="AT94" s="102">
        <v>11.9375</v>
      </c>
      <c r="AU94" s="69">
        <f>IF(ISNUMBER(Table1[[#This Row],[Above gauge Ø]]),((Table1[[#This Row],[Size]]-Table1[[#This Row],[Above gauge Ø]])/2)-0.05,"")</f>
        <v>0.10625</v>
      </c>
      <c r="AV94" s="70">
        <v>0.33</v>
      </c>
      <c r="AW94" s="32" t="s">
        <v>111</v>
      </c>
      <c r="AX94" s="32">
        <v>12.07</v>
      </c>
      <c r="AY94" s="32" t="s">
        <v>1096</v>
      </c>
      <c r="AZ94" s="32">
        <v>15</v>
      </c>
      <c r="BA94" s="32"/>
      <c r="BB94" s="82">
        <v>130</v>
      </c>
      <c r="BC94" s="82">
        <v>80</v>
      </c>
      <c r="BD94" s="82">
        <v>310</v>
      </c>
      <c r="BE94" s="82"/>
      <c r="BF94" s="32">
        <v>15</v>
      </c>
      <c r="BG94" s="32">
        <v>15</v>
      </c>
      <c r="BH94" s="32" t="s">
        <v>322</v>
      </c>
      <c r="BI94" s="32">
        <v>35</v>
      </c>
      <c r="BJ94" s="120" t="e">
        <f>CONCATENATE("► M1 Notes: ",#REF!," •-----► CL-SKF Notes: ",#REF!," •-----► DS Notes: ",#REF!)</f>
        <v>#REF!</v>
      </c>
      <c r="BK94" s="109" t="s">
        <v>1162</v>
      </c>
      <c r="BL94" s="32">
        <v>6</v>
      </c>
      <c r="BM94" s="32" t="s">
        <v>115</v>
      </c>
      <c r="BN94" s="83">
        <v>91.07</v>
      </c>
      <c r="BO94" s="31">
        <v>26.847000000000001</v>
      </c>
      <c r="BP94" s="32" t="s">
        <v>116</v>
      </c>
      <c r="BQ94" s="32" t="s">
        <v>101</v>
      </c>
      <c r="BR94" s="32" t="s">
        <v>116</v>
      </c>
      <c r="BS94" s="32">
        <v>60</v>
      </c>
      <c r="BT94" s="32" t="s">
        <v>117</v>
      </c>
      <c r="BU94" s="32">
        <v>10</v>
      </c>
      <c r="BV94" s="32" t="s">
        <v>117</v>
      </c>
      <c r="BW94" s="103">
        <v>3.71</v>
      </c>
    </row>
    <row r="95" spans="2:75" x14ac:dyDescent="0.25">
      <c r="B95" s="1">
        <v>2218</v>
      </c>
      <c r="C95" s="2"/>
      <c r="D95" s="146" t="s">
        <v>93</v>
      </c>
      <c r="E95" s="75" t="s">
        <v>93</v>
      </c>
      <c r="F95" s="75" t="s">
        <v>93</v>
      </c>
      <c r="G95" s="55" t="s">
        <v>1163</v>
      </c>
      <c r="H95" s="55" t="s">
        <v>1164</v>
      </c>
      <c r="I95" s="55" t="s">
        <v>1165</v>
      </c>
      <c r="J95" s="55" t="s">
        <v>1166</v>
      </c>
      <c r="K95" s="55" t="s">
        <v>1167</v>
      </c>
      <c r="L95" s="55" t="s">
        <v>1168</v>
      </c>
      <c r="M95" s="75" t="s">
        <v>93</v>
      </c>
      <c r="N95" s="55" t="s">
        <v>1169</v>
      </c>
      <c r="O95" s="55" t="s">
        <v>1170</v>
      </c>
      <c r="P95" s="53" t="s">
        <v>93</v>
      </c>
      <c r="Q95" s="53" t="s">
        <v>93</v>
      </c>
      <c r="R95" s="76">
        <f>COUNTIFS([1]Fleet!$E:$E,Table1[[#This Row],[Old Assy '#]])+COUNTIFS([1]OnDeck!$E:$E,Table1[[#This Row],[Old Assy '#]])</f>
        <v>1</v>
      </c>
      <c r="S95" s="77">
        <v>43537</v>
      </c>
      <c r="T95" s="78"/>
      <c r="U95" s="78"/>
      <c r="V95" s="78"/>
      <c r="W95" s="56" t="str">
        <f>IF(AND(Table1[[#This Row],[Phase Out]]="Y",Table1[[#This Row],[Zero Inventory]]="Y"),"Y","")</f>
        <v/>
      </c>
      <c r="X95" s="79">
        <v>12.25</v>
      </c>
      <c r="Y95" s="63" t="s">
        <v>1118</v>
      </c>
      <c r="Z95" s="59" t="str">
        <f>IF(LEFT(Table1[[#This Row],[Model]],2)="NX","NX",IF(LEFT(Table1[[#This Row],[Model]],2)="CR","CR",""))</f>
        <v>CR</v>
      </c>
      <c r="AA95" s="59" t="str">
        <f>LEFT(SUBSTITUTE(SUBSTITUTE(Table1[[#This Row],[Model]],"NX",""),"CR",""),1)</f>
        <v>7</v>
      </c>
      <c r="AB95" s="59" t="str">
        <f>MID(SUBSTITUTE(SUBSTITUTE(Table1[[#This Row],[Model]],"NX",""),"CR",""),2,2)</f>
        <v>16</v>
      </c>
      <c r="AC95" s="64" t="str">
        <f>IF(ISNUMBER(FIND("M",Table1[[#This Row],[Model]])),"M","")</f>
        <v/>
      </c>
      <c r="AD95" s="64" t="str">
        <f>CONCATENATE(MID(Table1[[#This Row],[Model]],FIND("-",Table1[[#This Row],[Model]])+1,2),IF(RIGHT(MID(Table1[[#This Row],[Model]],FIND("-",Table1[[#This Row],[Model]])+1,3),1)="+","+",""))</f>
        <v>XR</v>
      </c>
      <c r="AE95"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10</v>
      </c>
      <c r="AF95" s="64" t="str">
        <f>IF(ISNUMBER(SEARCH("(K)",Table1[[#This Row],[Model]])),"(K)","")</f>
        <v>(K)</v>
      </c>
      <c r="AG95" s="64" t="str">
        <f>IF(ISNUMBER(SEARCH("(BR)",Table1[[#This Row],[Model]])),"(BR)","")</f>
        <v>(BR)</v>
      </c>
      <c r="AH95" s="32" t="s">
        <v>103</v>
      </c>
      <c r="AI95" s="32" t="s">
        <v>126</v>
      </c>
      <c r="AJ95" s="32"/>
      <c r="AK95" s="32"/>
      <c r="AL95" s="32" t="s">
        <v>106</v>
      </c>
      <c r="AM95" s="64" t="str">
        <f>SUBSTITUTE(INDEX('[2]M1 App'!$A$2:$R$349,MATCH(VALUE(LEFT(Table1[[#This Row],[Old Assy '#]],4)),'[2]M1 App'!$B$2:$B$349,0),MATCH(Table1[[#Headers],[App Interval Type]],'[2]M1 App'!$A$1:$R$1,0))," ","")</f>
        <v>Vertical</v>
      </c>
      <c r="AN95" s="64" t="s">
        <v>127</v>
      </c>
      <c r="AO95" s="65"/>
      <c r="AP95" s="66"/>
      <c r="AQ95" s="67">
        <f>VALUE(SUBSTITUTE(INDEX('[2]M1 App'!$A$2:$R$349,MATCH(VALUE(LEFT(Table1[[#This Row],[Old Assy '#]],4)),'[2]M1 App'!$B$2:$B$349,0),MATCH(Table1[[#Headers],[App Six Three]],'[2]M1 App'!$A$1:$R$1,0))," ",""))</f>
        <v>0</v>
      </c>
      <c r="AR95" s="68" t="s">
        <v>943</v>
      </c>
      <c r="AS95" s="32">
        <v>1256347</v>
      </c>
      <c r="AT95" s="102">
        <v>11.9375</v>
      </c>
      <c r="AU95" s="69">
        <f>IF(ISNUMBER(Table1[[#This Row],[Above gauge Ø]]),((Table1[[#This Row],[Size]]-Table1[[#This Row],[Above gauge Ø]])/2)-0.05,"")</f>
        <v>0.10625</v>
      </c>
      <c r="AV95" s="70">
        <v>0.33</v>
      </c>
      <c r="AW95" s="32" t="s">
        <v>111</v>
      </c>
      <c r="AX95" s="32">
        <v>12.07</v>
      </c>
      <c r="AY95" s="32" t="s">
        <v>1096</v>
      </c>
      <c r="AZ95" s="32">
        <v>15</v>
      </c>
      <c r="BA95" s="32"/>
      <c r="BB95" s="82">
        <v>30</v>
      </c>
      <c r="BC95" s="82">
        <v>0</v>
      </c>
      <c r="BD95" s="82">
        <v>210</v>
      </c>
      <c r="BE95" s="82"/>
      <c r="BF95" s="32">
        <v>15</v>
      </c>
      <c r="BG95" s="32">
        <v>15</v>
      </c>
      <c r="BH95" s="32" t="s">
        <v>322</v>
      </c>
      <c r="BI95" s="32">
        <v>35</v>
      </c>
      <c r="BJ95" s="109" t="e">
        <f>CONCATENATE("► M1 Notes: ",#REF!," •-----► CL-SKF Notes: ",#REF!," •-----► DS Notes: ",#REF!)</f>
        <v>#REF!</v>
      </c>
      <c r="BK95" s="109" t="s">
        <v>1171</v>
      </c>
      <c r="BL95" s="32">
        <v>6</v>
      </c>
      <c r="BM95" s="32" t="s">
        <v>115</v>
      </c>
      <c r="BN95" s="83">
        <v>91.07</v>
      </c>
      <c r="BO95" s="31">
        <v>26.847000000000001</v>
      </c>
      <c r="BP95" s="32" t="s">
        <v>116</v>
      </c>
      <c r="BQ95" s="32" t="s">
        <v>101</v>
      </c>
      <c r="BR95" s="32" t="s">
        <v>116</v>
      </c>
      <c r="BS95" s="32">
        <v>60</v>
      </c>
      <c r="BT95" s="32" t="s">
        <v>117</v>
      </c>
      <c r="BU95" s="32">
        <v>10</v>
      </c>
      <c r="BV95" s="32" t="s">
        <v>117</v>
      </c>
      <c r="BW95" s="103">
        <v>3.71</v>
      </c>
    </row>
    <row r="96" spans="2:75" x14ac:dyDescent="0.25">
      <c r="B96" s="1">
        <v>2220</v>
      </c>
      <c r="C96" s="2"/>
      <c r="D96" s="146" t="s">
        <v>93</v>
      </c>
      <c r="E96" s="75" t="s">
        <v>93</v>
      </c>
      <c r="F96" s="75" t="s">
        <v>93</v>
      </c>
      <c r="G96" s="55" t="s">
        <v>1172</v>
      </c>
      <c r="H96" s="55" t="s">
        <v>1173</v>
      </c>
      <c r="I96" s="55" t="s">
        <v>1174</v>
      </c>
      <c r="J96" s="55" t="s">
        <v>1175</v>
      </c>
      <c r="K96" s="55" t="s">
        <v>1176</v>
      </c>
      <c r="L96" s="55" t="s">
        <v>1177</v>
      </c>
      <c r="M96" s="75" t="s">
        <v>93</v>
      </c>
      <c r="N96" s="55" t="s">
        <v>1178</v>
      </c>
      <c r="O96" s="55" t="s">
        <v>1179</v>
      </c>
      <c r="P96" s="53" t="s">
        <v>93</v>
      </c>
      <c r="Q96" s="53" t="s">
        <v>93</v>
      </c>
      <c r="R96" s="76">
        <f>COUNTIFS([1]Fleet!$E:$E,Table1[[#This Row],[Old Assy '#]])+COUNTIFS([1]OnDeck!$E:$E,Table1[[#This Row],[Old Assy '#]])</f>
        <v>1</v>
      </c>
      <c r="S96" s="77">
        <v>43581</v>
      </c>
      <c r="T96" s="78"/>
      <c r="U96" s="78"/>
      <c r="V96" s="78"/>
      <c r="W96" s="56" t="str">
        <f>IF(AND(Table1[[#This Row],[Phase Out]]="Y",Table1[[#This Row],[Zero Inventory]]="Y"),"Y","")</f>
        <v/>
      </c>
      <c r="X96" s="79">
        <v>8.75</v>
      </c>
      <c r="Y96" s="63" t="s">
        <v>1180</v>
      </c>
      <c r="Z96" s="59" t="str">
        <f>IF(LEFT(Table1[[#This Row],[Model]],2)="NX","NX",IF(LEFT(Table1[[#This Row],[Model]],2)="CR","CR",""))</f>
        <v>CR</v>
      </c>
      <c r="AA96" s="59" t="str">
        <f>LEFT(SUBSTITUTE(SUBSTITUTE(Table1[[#This Row],[Model]],"NX",""),"CR",""),1)</f>
        <v>7</v>
      </c>
      <c r="AB96" s="59" t="str">
        <f>MID(SUBSTITUTE(SUBSTITUTE(Table1[[#This Row],[Model]],"NX",""),"CR",""),2,2)</f>
        <v>16</v>
      </c>
      <c r="AC96" s="64" t="str">
        <f>IF(ISNUMBER(FIND("M",Table1[[#This Row],[Model]])),"M","")</f>
        <v/>
      </c>
      <c r="AD96" s="64" t="str">
        <f>CONCATENATE(MID(Table1[[#This Row],[Model]],FIND("-",Table1[[#This Row],[Model]])+1,2),IF(RIGHT(MID(Table1[[#This Row],[Model]],FIND("-",Table1[[#This Row],[Model]])+1,3),1)="+","+",""))</f>
        <v>XR</v>
      </c>
      <c r="AE96"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96" s="64" t="str">
        <f>IF(ISNUMBER(SEARCH("(K)",Table1[[#This Row],[Model]])),"(K)","")</f>
        <v>(K)</v>
      </c>
      <c r="AG96" s="64" t="str">
        <f>IF(ISNUMBER(SEARCH("(BR)",Table1[[#This Row],[Model]])),"(BR)","")</f>
        <v/>
      </c>
      <c r="AH96" s="32" t="s">
        <v>103</v>
      </c>
      <c r="AI96" s="32" t="s">
        <v>104</v>
      </c>
      <c r="AJ96" s="114" t="s">
        <v>452</v>
      </c>
      <c r="AK96" s="32"/>
      <c r="AL96" s="32" t="s">
        <v>106</v>
      </c>
      <c r="AM96" s="64" t="str">
        <f>SUBSTITUTE(INDEX('[2]M1 App'!$A$2:$R$349,MATCH(VALUE(LEFT(Table1[[#This Row],[Old Assy '#]],4)),'[2]M1 App'!$B$2:$B$349,0),MATCH(Table1[[#Headers],[App Interval Type]],'[2]M1 App'!$A$1:$R$1,0))," ","")</f>
        <v>Vertical</v>
      </c>
      <c r="AN96" s="64" t="s">
        <v>108</v>
      </c>
      <c r="AO96" s="65"/>
      <c r="AP96" s="66"/>
      <c r="AQ96" s="67">
        <f>VALUE(SUBSTITUTE(INDEX('[2]M1 App'!$A$2:$R$349,MATCH(VALUE(LEFT(Table1[[#This Row],[Old Assy '#]],4)),'[2]M1 App'!$B$2:$B$349,0),MATCH(Table1[[#Headers],[App Six Three]],'[2]M1 App'!$A$1:$R$1,0))," ",""))</f>
        <v>0</v>
      </c>
      <c r="AR96" s="68" t="s">
        <v>943</v>
      </c>
      <c r="AS96" s="32">
        <v>1256734</v>
      </c>
      <c r="AT96" s="102">
        <v>8.375</v>
      </c>
      <c r="AU96" s="69">
        <f>IF(ISNUMBER(Table1[[#This Row],[Above gauge Ø]]),((Table1[[#This Row],[Size]]-Table1[[#This Row],[Above gauge Ø]])/2)-0.05,"")</f>
        <v>0.13750000000000001</v>
      </c>
      <c r="AV96" s="70">
        <v>0.33</v>
      </c>
      <c r="AW96" s="32" t="s">
        <v>180</v>
      </c>
      <c r="AX96" s="32">
        <v>8.5640000000000001</v>
      </c>
      <c r="AY96" s="32" t="s">
        <v>934</v>
      </c>
      <c r="AZ96" s="32">
        <v>15</v>
      </c>
      <c r="BA96" s="32"/>
      <c r="BB96" s="82">
        <v>120</v>
      </c>
      <c r="BC96" s="82">
        <v>90</v>
      </c>
      <c r="BD96" s="82">
        <v>200</v>
      </c>
      <c r="BE96" s="82"/>
      <c r="BF96" s="32">
        <v>15</v>
      </c>
      <c r="BG96" s="32">
        <v>15</v>
      </c>
      <c r="BH96" s="32" t="s">
        <v>322</v>
      </c>
      <c r="BI96" s="32">
        <v>30</v>
      </c>
      <c r="BJ96" s="108" t="e">
        <f>CONCATENATE("► M1 Notes: ",#REF!," •-----► CL-SKF Notes: ",#REF!," •-----► DS Notes: ",#REF!)</f>
        <v>#REF!</v>
      </c>
      <c r="BK96" s="108" t="s">
        <v>716</v>
      </c>
      <c r="BL96" s="32">
        <v>3.2</v>
      </c>
      <c r="BM96" s="32" t="s">
        <v>115</v>
      </c>
      <c r="BN96" s="83">
        <v>33</v>
      </c>
      <c r="BO96" s="31">
        <v>12.935</v>
      </c>
      <c r="BP96" s="32" t="s">
        <v>116</v>
      </c>
      <c r="BQ96" s="32" t="s">
        <v>101</v>
      </c>
      <c r="BR96" s="32" t="s">
        <v>116</v>
      </c>
      <c r="BS96" s="32">
        <v>60</v>
      </c>
      <c r="BT96" s="32" t="s">
        <v>117</v>
      </c>
      <c r="BU96" s="32">
        <v>7</v>
      </c>
      <c r="BV96" s="32" t="s">
        <v>117</v>
      </c>
      <c r="BW96" s="103">
        <v>2.6</v>
      </c>
    </row>
    <row r="97" spans="2:75" x14ac:dyDescent="0.25">
      <c r="B97" s="104">
        <v>2224</v>
      </c>
      <c r="C97" s="2"/>
      <c r="D97" s="146" t="s">
        <v>93</v>
      </c>
      <c r="E97" s="55" t="s">
        <v>1181</v>
      </c>
      <c r="F97" s="55" t="s">
        <v>1182</v>
      </c>
      <c r="G97" s="55" t="s">
        <v>1183</v>
      </c>
      <c r="H97" s="75" t="s">
        <v>93</v>
      </c>
      <c r="I97" s="55" t="s">
        <v>1184</v>
      </c>
      <c r="J97" s="55" t="s">
        <v>1185</v>
      </c>
      <c r="K97" s="55" t="s">
        <v>1186</v>
      </c>
      <c r="L97" s="55" t="s">
        <v>1187</v>
      </c>
      <c r="M97" s="55" t="s">
        <v>1188</v>
      </c>
      <c r="N97" s="55" t="s">
        <v>1189</v>
      </c>
      <c r="O97" s="55" t="s">
        <v>1190</v>
      </c>
      <c r="P97" s="75" t="s">
        <v>93</v>
      </c>
      <c r="Q97" s="53" t="s">
        <v>93</v>
      </c>
      <c r="R97" s="76">
        <f>COUNTIFS([1]Fleet!$E:$E,Table1[[#This Row],[Old Assy '#]])+COUNTIFS([1]OnDeck!$E:$E,Table1[[#This Row],[Old Assy '#]])</f>
        <v>2</v>
      </c>
      <c r="S97" s="77">
        <v>43600</v>
      </c>
      <c r="T97" s="78"/>
      <c r="U97" s="78"/>
      <c r="V97" s="78"/>
      <c r="W97" s="56" t="str">
        <f>IF(AND(Table1[[#This Row],[Phase Out]]="Y",Table1[[#This Row],[Zero Inventory]]="Y"),"Y","")</f>
        <v/>
      </c>
      <c r="X97" s="79">
        <v>16</v>
      </c>
      <c r="Y97" s="63" t="s">
        <v>856</v>
      </c>
      <c r="Z97" s="59" t="str">
        <f>IF(LEFT(Table1[[#This Row],[Model]],2)="NX","NX",IF(LEFT(Table1[[#This Row],[Model]],2)="CR","CR",""))</f>
        <v>CR</v>
      </c>
      <c r="AA97" s="59" t="str">
        <f>LEFT(SUBSTITUTE(SUBSTITUTE(Table1[[#This Row],[Model]],"NX",""),"CR",""),1)</f>
        <v>6</v>
      </c>
      <c r="AB97" s="59" t="str">
        <f>MID(SUBSTITUTE(SUBSTITUTE(Table1[[#This Row],[Model]],"NX",""),"CR",""),2,2)</f>
        <v>16</v>
      </c>
      <c r="AC97" s="64" t="str">
        <f>IF(ISNUMBER(FIND("M",Table1[[#This Row],[Model]])),"M","")</f>
        <v/>
      </c>
      <c r="AD97" s="64" t="str">
        <f>CONCATENATE(MID(Table1[[#This Row],[Model]],FIND("-",Table1[[#This Row],[Model]])+1,2),IF(RIGHT(MID(Table1[[#This Row],[Model]],FIND("-",Table1[[#This Row],[Model]])+1,3),1)="+","+",""))</f>
        <v>SR</v>
      </c>
      <c r="AE97"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97" s="64" t="str">
        <f>IF(ISNUMBER(SEARCH("(K)",Table1[[#This Row],[Model]])),"(K)","")</f>
        <v>(K)</v>
      </c>
      <c r="AG97" s="64" t="str">
        <f>IF(ISNUMBER(SEARCH("(BR)",Table1[[#This Row],[Model]])),"(BR)","")</f>
        <v/>
      </c>
      <c r="AH97" s="32" t="s">
        <v>103</v>
      </c>
      <c r="AI97" s="32" t="s">
        <v>126</v>
      </c>
      <c r="AJ97" s="95"/>
      <c r="AK97" s="95"/>
      <c r="AL97" s="32" t="s">
        <v>106</v>
      </c>
      <c r="AM97" s="64" t="str">
        <f>SUBSTITUTE(INDEX('[2]M1 App'!$A$2:$R$349,MATCH(VALUE(LEFT(Table1[[#This Row],[Old Assy '#]],4)),'[2]M1 App'!$B$2:$B$349,0),MATCH(Table1[[#Headers],[App Interval Type]],'[2]M1 App'!$A$1:$R$1,0))," ","")</f>
        <v>Vertical</v>
      </c>
      <c r="AN97" s="64" t="s">
        <v>139</v>
      </c>
      <c r="AO97" s="65"/>
      <c r="AP97" s="106"/>
      <c r="AQ97" s="69">
        <f>VALUE(SUBSTITUTE(INDEX('[2]M1 App'!$A$2:$R$349,MATCH(VALUE(LEFT(Table1[[#This Row],[Old Assy '#]],4)),'[2]M1 App'!$B$2:$B$349,0),MATCH(Table1[[#Headers],[App Six Three]],'[2]M1 App'!$A$1:$R$1,0))," ",""))</f>
        <v>0</v>
      </c>
      <c r="AR97" s="68" t="s">
        <v>284</v>
      </c>
      <c r="AS97" s="32">
        <v>165432</v>
      </c>
      <c r="AT97" s="32">
        <v>15.625</v>
      </c>
      <c r="AU97" s="69">
        <f>IF(ISNUMBER(Table1[[#This Row],[Above gauge Ø]]),((Table1[[#This Row],[Size]]-Table1[[#This Row],[Above gauge Ø]])/2)-0.05,"")</f>
        <v>0.13750000000000001</v>
      </c>
      <c r="AV97" s="70">
        <v>0.33</v>
      </c>
      <c r="AW97" s="32" t="s">
        <v>180</v>
      </c>
      <c r="AX97" s="32">
        <v>15.75</v>
      </c>
      <c r="AY97" s="32" t="s">
        <v>400</v>
      </c>
      <c r="AZ97" s="32">
        <v>15</v>
      </c>
      <c r="BA97" s="32"/>
      <c r="BB97" s="82"/>
      <c r="BC97" s="97"/>
      <c r="BD97" s="82">
        <v>290</v>
      </c>
      <c r="BE97" s="97">
        <v>0</v>
      </c>
      <c r="BF97" s="32">
        <v>17.5</v>
      </c>
      <c r="BG97" s="32" t="s">
        <v>1191</v>
      </c>
      <c r="BH97" s="32" t="s">
        <v>1192</v>
      </c>
      <c r="BI97" s="32">
        <v>40</v>
      </c>
      <c r="BJ97" s="17" t="e">
        <f>CONCATENATE("► M1 Notes: ",#REF!," •-----► CL-SKF Notes: ",#REF!," •-----► DS Notes: ",#REF!)</f>
        <v>#REF!</v>
      </c>
      <c r="BK97" s="17"/>
      <c r="BL97" s="32">
        <v>6</v>
      </c>
      <c r="BM97" s="32" t="s">
        <v>115</v>
      </c>
      <c r="BN97" s="83">
        <v>83.26</v>
      </c>
      <c r="BO97" s="32">
        <v>68.2</v>
      </c>
      <c r="BP97" s="32" t="s">
        <v>116</v>
      </c>
      <c r="BQ97" s="32" t="s">
        <v>101</v>
      </c>
      <c r="BR97" s="32" t="s">
        <v>116</v>
      </c>
      <c r="BS97" s="32">
        <v>60</v>
      </c>
      <c r="BT97" s="32" t="s">
        <v>117</v>
      </c>
      <c r="BU97" s="32">
        <v>9</v>
      </c>
      <c r="BV97" s="32" t="s">
        <v>117</v>
      </c>
      <c r="BW97" s="103">
        <v>3.34</v>
      </c>
    </row>
    <row r="98" spans="2:75" x14ac:dyDescent="0.25">
      <c r="B98" s="1">
        <v>2225</v>
      </c>
      <c r="C98" s="2"/>
      <c r="D98" s="147" t="s">
        <v>1193</v>
      </c>
      <c r="E98" s="75" t="s">
        <v>93</v>
      </c>
      <c r="F98" s="75" t="s">
        <v>93</v>
      </c>
      <c r="G98" s="55" t="s">
        <v>1194</v>
      </c>
      <c r="H98" s="55" t="s">
        <v>1195</v>
      </c>
      <c r="I98" s="55" t="s">
        <v>1196</v>
      </c>
      <c r="J98" s="55" t="s">
        <v>1197</v>
      </c>
      <c r="K98" s="55" t="s">
        <v>1198</v>
      </c>
      <c r="L98" s="55" t="s">
        <v>1199</v>
      </c>
      <c r="M98" s="75" t="s">
        <v>93</v>
      </c>
      <c r="N98" s="55" t="s">
        <v>1200</v>
      </c>
      <c r="O98" s="55" t="s">
        <v>1201</v>
      </c>
      <c r="P98" s="53" t="s">
        <v>93</v>
      </c>
      <c r="Q98" s="53" t="s">
        <v>93</v>
      </c>
      <c r="R98" s="76">
        <f>COUNTIFS([1]Fleet!$E:$E,Table1[[#This Row],[Old Assy '#]])+COUNTIFS([1]OnDeck!$E:$E,Table1[[#This Row],[Old Assy '#]])</f>
        <v>2</v>
      </c>
      <c r="S98" s="77">
        <v>43608</v>
      </c>
      <c r="T98" s="78"/>
      <c r="U98" s="78"/>
      <c r="V98" s="78"/>
      <c r="W98" s="56" t="str">
        <f>IF(AND(Table1[[#This Row],[Phase Out]]="Y",Table1[[#This Row],[Zero Inventory]]="Y"),"Y","")</f>
        <v/>
      </c>
      <c r="X98" s="79">
        <v>6.125</v>
      </c>
      <c r="Y98" s="63" t="s">
        <v>1202</v>
      </c>
      <c r="Z98" s="59" t="str">
        <f>IF(LEFT(Table1[[#This Row],[Model]],2)="NX","NX",IF(LEFT(Table1[[#This Row],[Model]],2)="CR","CR",""))</f>
        <v>CR</v>
      </c>
      <c r="AA98" s="59" t="str">
        <f>LEFT(SUBSTITUTE(SUBSTITUTE(Table1[[#This Row],[Model]],"NX",""),"CR",""),1)</f>
        <v>4</v>
      </c>
      <c r="AB98" s="59" t="str">
        <f>MID(SUBSTITUTE(SUBSTITUTE(Table1[[#This Row],[Model]],"NX",""),"CR",""),2,2)</f>
        <v>16</v>
      </c>
      <c r="AC98" s="64" t="str">
        <f>IF(ISNUMBER(FIND("M",Table1[[#This Row],[Model]])),"M","")</f>
        <v/>
      </c>
      <c r="AD98" s="64" t="str">
        <f>CONCATENATE(MID(Table1[[#This Row],[Model]],FIND("-",Table1[[#This Row],[Model]])+1,2),IF(RIGHT(MID(Table1[[#This Row],[Model]],FIND("-",Table1[[#This Row],[Model]])+1,3),1)="+","+",""))</f>
        <v>SR</v>
      </c>
      <c r="AE98"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4</v>
      </c>
      <c r="AF98" s="64" t="str">
        <f>IF(ISNUMBER(SEARCH("(K)",Table1[[#This Row],[Model]])),"(K)","")</f>
        <v>(K)</v>
      </c>
      <c r="AG98" s="64" t="str">
        <f>IF(ISNUMBER(SEARCH("(BR)",Table1[[#This Row],[Model]])),"(BR)","")</f>
        <v>(BR)</v>
      </c>
      <c r="AH98" s="32" t="s">
        <v>103</v>
      </c>
      <c r="AI98" s="32" t="s">
        <v>163</v>
      </c>
      <c r="AJ98" s="32"/>
      <c r="AK98" s="32"/>
      <c r="AL98" s="32" t="s">
        <v>259</v>
      </c>
      <c r="AM98" s="64" t="str">
        <f>SUBSTITUTE(INDEX('[2]M1 App'!$A$2:$R$349,MATCH(VALUE(LEFT(Table1[[#This Row],[Old Assy '#]],4)),'[2]M1 App'!$B$2:$B$349,0),MATCH(Table1[[#Headers],[App Interval Type]],'[2]M1 App'!$A$1:$R$1,0))," ","")</f>
        <v>Lateral</v>
      </c>
      <c r="AN98" s="64" t="s">
        <v>108</v>
      </c>
      <c r="AO98" s="65"/>
      <c r="AP98" s="66"/>
      <c r="AQ98" s="67">
        <f>VALUE(SUBSTITUTE(INDEX('[2]M1 App'!$A$2:$R$349,MATCH(VALUE(LEFT(Table1[[#This Row],[Old Assy '#]],4)),'[2]M1 App'!$B$2:$B$349,0),MATCH(Table1[[#Headers],[App Six Three]],'[2]M1 App'!$A$1:$R$1,0))," ",""))</f>
        <v>0</v>
      </c>
      <c r="AR98" s="68" t="s">
        <v>284</v>
      </c>
      <c r="AS98" s="32">
        <v>1432</v>
      </c>
      <c r="AT98" s="32">
        <f>2.907*2</f>
        <v>5.8140000000000001</v>
      </c>
      <c r="AU98" s="69">
        <f>IF(ISNUMBER(Table1[[#This Row],[Above gauge Ø]]),((Table1[[#This Row],[Size]]-Table1[[#This Row],[Above gauge Ø]])/2)-0.05,"")</f>
        <v>0.10549999999999997</v>
      </c>
      <c r="AV98" s="70">
        <v>0.33</v>
      </c>
      <c r="AW98" s="32" t="s">
        <v>180</v>
      </c>
      <c r="AX98" s="32">
        <f>2.97*2</f>
        <v>5.94</v>
      </c>
      <c r="AY98" s="32" t="s">
        <v>219</v>
      </c>
      <c r="AZ98" s="32">
        <v>12.5</v>
      </c>
      <c r="BA98" s="32"/>
      <c r="BB98" s="82"/>
      <c r="BC98" s="82"/>
      <c r="BD98" s="82">
        <v>100</v>
      </c>
      <c r="BE98" s="82">
        <v>60</v>
      </c>
      <c r="BF98" s="32">
        <v>17.5</v>
      </c>
      <c r="BG98" s="32">
        <v>20</v>
      </c>
      <c r="BH98" s="32" t="s">
        <v>1014</v>
      </c>
      <c r="BI98" s="32">
        <v>35</v>
      </c>
      <c r="BJ98" s="108" t="e">
        <f>CONCATENATE("► M1 Notes: ",#REF!," •-----► CL-SKF Notes: ",#REF!," •-----► DS Notes: ",#REF!)</f>
        <v>#REF!</v>
      </c>
      <c r="BK98" s="108" t="s">
        <v>517</v>
      </c>
      <c r="BL98" s="32">
        <v>3</v>
      </c>
      <c r="BM98" s="32" t="s">
        <v>184</v>
      </c>
      <c r="BN98" s="83">
        <v>26.677</v>
      </c>
      <c r="BO98" s="31">
        <v>7.5739999999999998</v>
      </c>
      <c r="BP98" s="32" t="s">
        <v>116</v>
      </c>
      <c r="BQ98" s="32" t="s">
        <v>101</v>
      </c>
      <c r="BR98" s="32" t="s">
        <v>116</v>
      </c>
      <c r="BS98" s="32">
        <v>60</v>
      </c>
      <c r="BT98" s="32" t="s">
        <v>117</v>
      </c>
      <c r="BU98" s="32">
        <v>4</v>
      </c>
      <c r="BV98" s="32" t="s">
        <v>117</v>
      </c>
      <c r="BW98" s="103">
        <v>1.48</v>
      </c>
    </row>
    <row r="99" spans="2:75" x14ac:dyDescent="0.25">
      <c r="B99" s="1">
        <v>2226</v>
      </c>
      <c r="C99" s="2"/>
      <c r="D99" s="146" t="s">
        <v>93</v>
      </c>
      <c r="E99" s="75" t="s">
        <v>93</v>
      </c>
      <c r="F99" s="75" t="s">
        <v>93</v>
      </c>
      <c r="G99" s="55" t="s">
        <v>1203</v>
      </c>
      <c r="H99" s="75" t="s">
        <v>93</v>
      </c>
      <c r="I99" s="55" t="s">
        <v>1204</v>
      </c>
      <c r="J99" s="55" t="s">
        <v>1205</v>
      </c>
      <c r="K99" s="55" t="s">
        <v>1206</v>
      </c>
      <c r="L99" s="55" t="s">
        <v>1207</v>
      </c>
      <c r="M99" s="75" t="s">
        <v>93</v>
      </c>
      <c r="N99" s="55" t="s">
        <v>1208</v>
      </c>
      <c r="O99" s="55" t="s">
        <v>1209</v>
      </c>
      <c r="P99" s="53" t="s">
        <v>93</v>
      </c>
      <c r="Q99" s="53" t="s">
        <v>93</v>
      </c>
      <c r="R99" s="76">
        <f>COUNTIFS([1]Fleet!$E:$E,Table1[[#This Row],[Old Assy '#]])+COUNTIFS([1]OnDeck!$E:$E,Table1[[#This Row],[Old Assy '#]])</f>
        <v>1</v>
      </c>
      <c r="S99" s="77">
        <v>43614</v>
      </c>
      <c r="T99" s="78"/>
      <c r="U99" s="78"/>
      <c r="V99" s="78"/>
      <c r="W99" s="56" t="str">
        <f>IF(AND(Table1[[#This Row],[Phase Out]]="Y",Table1[[#This Row],[Zero Inventory]]="Y"),"Y","")</f>
        <v/>
      </c>
      <c r="X99" s="79">
        <v>8.75</v>
      </c>
      <c r="Y99" s="63" t="s">
        <v>166</v>
      </c>
      <c r="Z99" s="59" t="str">
        <f>IF(LEFT(Table1[[#This Row],[Model]],2)="NX","NX",IF(LEFT(Table1[[#This Row],[Model]],2)="CR","CR",""))</f>
        <v>CR</v>
      </c>
      <c r="AA99" s="59" t="str">
        <f>LEFT(SUBSTITUTE(SUBSTITUTE(Table1[[#This Row],[Model]],"NX",""),"CR",""),1)</f>
        <v>6</v>
      </c>
      <c r="AB99" s="59" t="str">
        <f>MID(SUBSTITUTE(SUBSTITUTE(Table1[[#This Row],[Model]],"NX",""),"CR",""),2,2)</f>
        <v>16</v>
      </c>
      <c r="AC99" s="64" t="str">
        <f>IF(ISNUMBER(FIND("M",Table1[[#This Row],[Model]])),"M","")</f>
        <v/>
      </c>
      <c r="AD99" s="64" t="str">
        <f>CONCATENATE(MID(Table1[[#This Row],[Model]],FIND("-",Table1[[#This Row],[Model]])+1,2),IF(RIGHT(MID(Table1[[#This Row],[Model]],FIND("-",Table1[[#This Row],[Model]])+1,3),1)="+","+",""))</f>
        <v>SR</v>
      </c>
      <c r="AE9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99" s="64" t="str">
        <f>IF(ISNUMBER(SEARCH("(K)",Table1[[#This Row],[Model]])),"(K)","")</f>
        <v/>
      </c>
      <c r="AG99" s="64" t="str">
        <f>IF(ISNUMBER(SEARCH("(BR)",Table1[[#This Row],[Model]])),"(BR)","")</f>
        <v/>
      </c>
      <c r="AH99" s="32" t="s">
        <v>103</v>
      </c>
      <c r="AI99" s="32" t="s">
        <v>104</v>
      </c>
      <c r="AJ99" s="32"/>
      <c r="AK99" s="32"/>
      <c r="AL99" s="32" t="s">
        <v>106</v>
      </c>
      <c r="AM99" s="64" t="str">
        <f>SUBSTITUTE(INDEX('[2]M1 App'!$A$2:$R$349,MATCH(VALUE(LEFT(Table1[[#This Row],[Old Assy '#]],4)),'[2]M1 App'!$B$2:$B$349,0),MATCH(Table1[[#Headers],[App Interval Type]],'[2]M1 App'!$A$1:$R$1,0))," ","")</f>
        <v>Vertical</v>
      </c>
      <c r="AN99" s="64" t="s">
        <v>108</v>
      </c>
      <c r="AO99" s="65"/>
      <c r="AP99" s="66"/>
      <c r="AQ99" s="67">
        <f>VALUE(SUBSTITUTE(INDEX('[2]M1 App'!$A$2:$R$349,MATCH(VALUE(LEFT(Table1[[#This Row],[Old Assy '#]],4)),'[2]M1 App'!$B$2:$B$349,0),MATCH(Table1[[#Headers],[App Six Three]],'[2]M1 App'!$A$1:$R$1,0))," ",""))</f>
        <v>0.1</v>
      </c>
      <c r="AR99" s="68" t="s">
        <v>284</v>
      </c>
      <c r="AS99" s="32">
        <v>165432</v>
      </c>
      <c r="AT99" s="102">
        <v>8.5625</v>
      </c>
      <c r="AU99" s="69">
        <f>IF(ISNUMBER(Table1[[#This Row],[Above gauge Ø]]),((Table1[[#This Row],[Size]]-Table1[[#This Row],[Above gauge Ø]])/2)-0.05,"")</f>
        <v>4.3749999999999997E-2</v>
      </c>
      <c r="AV99" s="70">
        <v>0.33</v>
      </c>
      <c r="AW99" s="32" t="s">
        <v>111</v>
      </c>
      <c r="AX99" s="32">
        <v>8.6875</v>
      </c>
      <c r="AY99" s="32" t="s">
        <v>112</v>
      </c>
      <c r="AZ99" s="32">
        <v>15</v>
      </c>
      <c r="BA99" s="32">
        <v>100</v>
      </c>
      <c r="BB99" s="82"/>
      <c r="BC99" s="82"/>
      <c r="BD99" s="82"/>
      <c r="BE99" s="82"/>
      <c r="BF99" s="32" t="s">
        <v>113</v>
      </c>
      <c r="BG99" s="32">
        <v>15</v>
      </c>
      <c r="BH99" s="32" t="s">
        <v>1210</v>
      </c>
      <c r="BI99" s="32">
        <v>31.7</v>
      </c>
      <c r="BJ99" s="2" t="e">
        <f>CONCATENATE("► M1 Notes: ",#REF!," •-----► CL-SKF Notes: ",#REF!," •-----► DS Notes: ",#REF!)</f>
        <v>#REF!</v>
      </c>
      <c r="BK99" s="2"/>
      <c r="BL99" s="32">
        <v>6</v>
      </c>
      <c r="BM99" s="32" t="s">
        <v>115</v>
      </c>
      <c r="BN99" s="83">
        <v>60.07</v>
      </c>
      <c r="BO99" s="31">
        <v>14.8</v>
      </c>
      <c r="BP99" s="32" t="s">
        <v>101</v>
      </c>
      <c r="BQ99" s="32" t="s">
        <v>101</v>
      </c>
      <c r="BR99" s="32" t="s">
        <v>116</v>
      </c>
      <c r="BS99" s="32">
        <v>60</v>
      </c>
      <c r="BT99" s="32" t="s">
        <v>117</v>
      </c>
      <c r="BU99" s="32">
        <v>6</v>
      </c>
      <c r="BV99" s="32" t="s">
        <v>117</v>
      </c>
      <c r="BW99" s="103">
        <v>2.23</v>
      </c>
    </row>
    <row r="100" spans="2:75" x14ac:dyDescent="0.25">
      <c r="B100" s="1">
        <v>2227</v>
      </c>
      <c r="C100" s="2"/>
      <c r="D100" s="147" t="s">
        <v>1211</v>
      </c>
      <c r="E100" s="75" t="s">
        <v>93</v>
      </c>
      <c r="F100" s="75" t="s">
        <v>93</v>
      </c>
      <c r="G100" s="55" t="s">
        <v>1212</v>
      </c>
      <c r="H100" s="55" t="s">
        <v>1213</v>
      </c>
      <c r="I100" s="55" t="s">
        <v>1214</v>
      </c>
      <c r="J100" s="55" t="s">
        <v>1215</v>
      </c>
      <c r="K100" s="55" t="s">
        <v>1216</v>
      </c>
      <c r="L100" s="55" t="s">
        <v>1217</v>
      </c>
      <c r="M100" s="75" t="s">
        <v>93</v>
      </c>
      <c r="N100" s="55" t="s">
        <v>1218</v>
      </c>
      <c r="O100" s="55" t="s">
        <v>1219</v>
      </c>
      <c r="P100" s="53" t="s">
        <v>93</v>
      </c>
      <c r="Q100" s="53" t="s">
        <v>93</v>
      </c>
      <c r="R100" s="76">
        <f>COUNTIFS([1]Fleet!$E:$E,Table1[[#This Row],[Old Assy '#]])+COUNTIFS([1]OnDeck!$E:$E,Table1[[#This Row],[Old Assy '#]])</f>
        <v>1</v>
      </c>
      <c r="S100" s="77">
        <v>43649</v>
      </c>
      <c r="T100" s="78"/>
      <c r="U100" s="78"/>
      <c r="V100" s="78"/>
      <c r="W100" s="56" t="str">
        <f>IF(AND(Table1[[#This Row],[Phase Out]]="Y",Table1[[#This Row],[Zero Inventory]]="Y"),"Y","")</f>
        <v/>
      </c>
      <c r="X100" s="79">
        <v>6.75</v>
      </c>
      <c r="Y100" s="63" t="s">
        <v>1220</v>
      </c>
      <c r="Z100" s="59" t="str">
        <f>IF(LEFT(Table1[[#This Row],[Model]],2)="NX","NX",IF(LEFT(Table1[[#This Row],[Model]],2)="CR","CR",""))</f>
        <v>CR</v>
      </c>
      <c r="AA100" s="59" t="str">
        <f>LEFT(SUBSTITUTE(SUBSTITUTE(Table1[[#This Row],[Model]],"NX",""),"CR",""),1)</f>
        <v>5</v>
      </c>
      <c r="AB100" s="59" t="str">
        <f>MID(SUBSTITUTE(SUBSTITUTE(Table1[[#This Row],[Model]],"NX",""),"CR",""),2,2)</f>
        <v>13</v>
      </c>
      <c r="AC100" s="64" t="str">
        <f>IF(ISNUMBER(FIND("M",Table1[[#This Row],[Model]])),"M","")</f>
        <v>M</v>
      </c>
      <c r="AD100" s="64" t="str">
        <f>CONCATENATE(MID(Table1[[#This Row],[Model]],FIND("-",Table1[[#This Row],[Model]])+1,2),IF(RIGHT(MID(Table1[[#This Row],[Model]],FIND("-",Table1[[#This Row],[Model]])+1,3),1)="+","+",""))</f>
        <v>XR</v>
      </c>
      <c r="AE100"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5</v>
      </c>
      <c r="AF100" s="64" t="str">
        <f>IF(ISNUMBER(SEARCH("(K)",Table1[[#This Row],[Model]])),"(K)","")</f>
        <v>(K)</v>
      </c>
      <c r="AG100" s="64" t="str">
        <f>IF(ISNUMBER(SEARCH("(BR)",Table1[[#This Row],[Model]])),"(BR)","")</f>
        <v>(BR)</v>
      </c>
      <c r="AH100" s="32" t="s">
        <v>46</v>
      </c>
      <c r="AI100" s="32" t="s">
        <v>163</v>
      </c>
      <c r="AJ100" s="114" t="s">
        <v>1221</v>
      </c>
      <c r="AK100" s="32"/>
      <c r="AL100" s="32" t="s">
        <v>259</v>
      </c>
      <c r="AM100" s="64" t="str">
        <f>SUBSTITUTE(INDEX('[2]M1 App'!$A$2:$R$349,MATCH(VALUE(LEFT(Table1[[#This Row],[Old Assy '#]],4)),'[2]M1 App'!$B$2:$B$349,0),MATCH(Table1[[#Headers],[App Interval Type]],'[2]M1 App'!$A$1:$R$1,0))," ","")</f>
        <v>Lateral</v>
      </c>
      <c r="AN100" s="64" t="s">
        <v>108</v>
      </c>
      <c r="AO100" s="65"/>
      <c r="AP100" s="66"/>
      <c r="AQ100" s="67">
        <f>VALUE(SUBSTITUTE(INDEX('[2]M1 App'!$A$2:$R$349,MATCH(VALUE(LEFT(Table1[[#This Row],[Old Assy '#]],4)),'[2]M1 App'!$B$2:$B$349,0),MATCH(Table1[[#Headers],[App Six Three]],'[2]M1 App'!$A$1:$R$1,0))," ",""))</f>
        <v>0</v>
      </c>
      <c r="AR100" s="68" t="s">
        <v>284</v>
      </c>
      <c r="AS100" s="32">
        <v>15432</v>
      </c>
      <c r="AT100" s="32">
        <f>3.188*2</f>
        <v>6.3760000000000003</v>
      </c>
      <c r="AU100" s="69">
        <f>IF(ISNUMBER(Table1[[#This Row],[Above gauge Ø]]),((Table1[[#This Row],[Size]]-Table1[[#This Row],[Above gauge Ø]])/2)-0.05,"")</f>
        <v>0.13699999999999984</v>
      </c>
      <c r="AV100" s="70">
        <v>0.33</v>
      </c>
      <c r="AW100" s="32" t="s">
        <v>180</v>
      </c>
      <c r="AX100" s="32">
        <v>6.7649999999999997</v>
      </c>
      <c r="AY100" s="32" t="s">
        <v>541</v>
      </c>
      <c r="AZ100" s="32">
        <v>12.5</v>
      </c>
      <c r="BA100" s="32"/>
      <c r="BB100" s="82">
        <v>70</v>
      </c>
      <c r="BC100" s="82">
        <v>50</v>
      </c>
      <c r="BD100" s="82">
        <v>240</v>
      </c>
      <c r="BE100" s="82"/>
      <c r="BF100" s="32">
        <v>12.5</v>
      </c>
      <c r="BG100" s="32">
        <v>12.5</v>
      </c>
      <c r="BH100" s="32" t="s">
        <v>621</v>
      </c>
      <c r="BI100" s="32">
        <v>35</v>
      </c>
      <c r="BJ100" s="108" t="e">
        <f>CONCATENATE("► M1 Notes: ",#REF!," •-----► CL-SKF Notes: ",#REF!," •-----► DS Notes: ",#REF!)</f>
        <v>#REF!</v>
      </c>
      <c r="BK100" s="108" t="s">
        <v>517</v>
      </c>
      <c r="BL100" s="32">
        <v>4</v>
      </c>
      <c r="BM100" s="32" t="s">
        <v>184</v>
      </c>
      <c r="BN100" s="83">
        <v>36.35</v>
      </c>
      <c r="BO100" s="31">
        <v>9.82</v>
      </c>
      <c r="BP100" s="32" t="s">
        <v>116</v>
      </c>
      <c r="BQ100" s="32" t="s">
        <v>116</v>
      </c>
      <c r="BR100" s="32" t="s">
        <v>116</v>
      </c>
      <c r="BS100" s="32">
        <v>55</v>
      </c>
      <c r="BT100" s="32" t="s">
        <v>117</v>
      </c>
      <c r="BU100" s="32">
        <v>5</v>
      </c>
      <c r="BV100" s="32" t="s">
        <v>117</v>
      </c>
      <c r="BW100" s="103">
        <v>1.24</v>
      </c>
    </row>
    <row r="101" spans="2:75" x14ac:dyDescent="0.25">
      <c r="B101" s="1">
        <v>2231</v>
      </c>
      <c r="C101" s="2"/>
      <c r="D101" s="146" t="s">
        <v>93</v>
      </c>
      <c r="E101" s="75" t="s">
        <v>93</v>
      </c>
      <c r="F101" s="75" t="s">
        <v>93</v>
      </c>
      <c r="G101" s="55" t="s">
        <v>1223</v>
      </c>
      <c r="H101" s="55" t="s">
        <v>1224</v>
      </c>
      <c r="I101" s="55" t="s">
        <v>1225</v>
      </c>
      <c r="J101" s="55" t="s">
        <v>1226</v>
      </c>
      <c r="K101" s="55" t="s">
        <v>1227</v>
      </c>
      <c r="L101" s="55" t="s">
        <v>1228</v>
      </c>
      <c r="M101" s="75" t="s">
        <v>93</v>
      </c>
      <c r="N101" s="55" t="s">
        <v>1229</v>
      </c>
      <c r="O101" s="55" t="s">
        <v>1230</v>
      </c>
      <c r="P101" s="53" t="s">
        <v>93</v>
      </c>
      <c r="Q101" s="53" t="s">
        <v>93</v>
      </c>
      <c r="R101" s="76">
        <f>COUNTIFS([1]Fleet!$E:$E,Table1[[#This Row],[Old Assy '#]])+COUNTIFS([1]OnDeck!$E:$E,Table1[[#This Row],[Old Assy '#]])</f>
        <v>4</v>
      </c>
      <c r="S101" s="77">
        <v>43712</v>
      </c>
      <c r="T101" s="78"/>
      <c r="U101" s="78"/>
      <c r="V101" s="78"/>
      <c r="W101" s="56" t="str">
        <f>IF(AND(Table1[[#This Row],[Phase Out]]="Y",Table1[[#This Row],[Zero Inventory]]="Y"),"Y","")</f>
        <v/>
      </c>
      <c r="X101" s="79">
        <v>8.5</v>
      </c>
      <c r="Y101" s="63" t="s">
        <v>1231</v>
      </c>
      <c r="Z101" s="59" t="str">
        <f>IF(LEFT(Table1[[#This Row],[Model]],2)="NX","NX",IF(LEFT(Table1[[#This Row],[Model]],2)="CR","CR",""))</f>
        <v>CR</v>
      </c>
      <c r="AA101" s="59" t="str">
        <f>LEFT(SUBSTITUTE(SUBSTITUTE(Table1[[#This Row],[Model]],"NX",""),"CR",""),1)</f>
        <v>6</v>
      </c>
      <c r="AB101" s="59" t="str">
        <f>MID(SUBSTITUTE(SUBSTITUTE(Table1[[#This Row],[Model]],"NX",""),"CR",""),2,2)</f>
        <v>16</v>
      </c>
      <c r="AC101" s="64" t="str">
        <f>IF(ISNUMBER(FIND("M",Table1[[#This Row],[Model]])),"M","")</f>
        <v>M</v>
      </c>
      <c r="AD101" s="64" t="str">
        <f>CONCATENATE(MID(Table1[[#This Row],[Model]],FIND("-",Table1[[#This Row],[Model]])+1,2),IF(RIGHT(MID(Table1[[#This Row],[Model]],FIND("-",Table1[[#This Row],[Model]])+1,3),1)="+","+",""))</f>
        <v>XR</v>
      </c>
      <c r="AE101"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01" s="64" t="str">
        <f>IF(ISNUMBER(SEARCH("(K)",Table1[[#This Row],[Model]])),"(K)","")</f>
        <v/>
      </c>
      <c r="AG101" s="64" t="str">
        <f>IF(ISNUMBER(SEARCH("(BR)",Table1[[#This Row],[Model]])),"(BR)","")</f>
        <v>(BR)</v>
      </c>
      <c r="AH101" s="32" t="s">
        <v>46</v>
      </c>
      <c r="AI101" s="32" t="s">
        <v>104</v>
      </c>
      <c r="AJ101" s="32"/>
      <c r="AK101" s="32"/>
      <c r="AL101" s="32" t="s">
        <v>259</v>
      </c>
      <c r="AM101" s="64" t="str">
        <f>SUBSTITUTE(INDEX('[2]M1 App'!$A$2:$R$349,MATCH(VALUE(LEFT(Table1[[#This Row],[Old Assy '#]],4)),'[2]M1 App'!$B$2:$B$349,0),MATCH(Table1[[#Headers],[App Interval Type]],'[2]M1 App'!$A$1:$R$1,0))," ","")</f>
        <v>Lateral</v>
      </c>
      <c r="AN101" s="64" t="s">
        <v>108</v>
      </c>
      <c r="AO101" s="65"/>
      <c r="AP101" s="66"/>
      <c r="AQ101" s="67">
        <f>VALUE(SUBSTITUTE(INDEX('[2]M1 App'!$A$2:$R$349,MATCH(VALUE(LEFT(Table1[[#This Row],[Old Assy '#]],4)),'[2]M1 App'!$B$2:$B$349,0),MATCH(Table1[[#Headers],[App Six Three]],'[2]M1 App'!$A$1:$R$1,0))," ",""))</f>
        <v>0.01</v>
      </c>
      <c r="AR101" s="68" t="s">
        <v>943</v>
      </c>
      <c r="AS101" s="32">
        <v>145236</v>
      </c>
      <c r="AT101" s="102">
        <f>4.153*2</f>
        <v>8.3059999999999992</v>
      </c>
      <c r="AU101" s="69">
        <f>IF(ISNUMBER(Table1[[#This Row],[Above gauge Ø]]),((Table1[[#This Row],[Size]]-Table1[[#This Row],[Above gauge Ø]])/2)-0.05,"")</f>
        <v>4.7000000000000416E-2</v>
      </c>
      <c r="AV101" s="70">
        <v>0.33</v>
      </c>
      <c r="AW101" s="32" t="s">
        <v>180</v>
      </c>
      <c r="AX101" s="32">
        <v>8.5150000000000006</v>
      </c>
      <c r="AY101" s="32" t="s">
        <v>654</v>
      </c>
      <c r="AZ101" s="32">
        <v>10</v>
      </c>
      <c r="BA101" s="32">
        <v>10</v>
      </c>
      <c r="BB101" s="82">
        <v>180</v>
      </c>
      <c r="BC101" s="82">
        <v>170</v>
      </c>
      <c r="BD101" s="82"/>
      <c r="BE101" s="82"/>
      <c r="BF101" s="32">
        <v>12.5</v>
      </c>
      <c r="BG101" s="32">
        <v>12.5</v>
      </c>
      <c r="BH101" s="32" t="s">
        <v>1232</v>
      </c>
      <c r="BI101" s="32">
        <v>30</v>
      </c>
      <c r="BJ101" s="109" t="e">
        <f>CONCATENATE("► M1 Notes: ",#REF!," •-----► CL-SKF Notes: ",#REF!," •-----► DS Notes: ",#REF!)</f>
        <v>#REF!</v>
      </c>
      <c r="BK101" s="17" t="s">
        <v>716</v>
      </c>
      <c r="BL101" s="32">
        <v>4</v>
      </c>
      <c r="BM101" s="32" t="s">
        <v>184</v>
      </c>
      <c r="BN101" s="83">
        <v>43.86</v>
      </c>
      <c r="BO101" s="31">
        <v>13.08</v>
      </c>
      <c r="BP101" s="32" t="s">
        <v>116</v>
      </c>
      <c r="BQ101" s="32" t="s">
        <v>101</v>
      </c>
      <c r="BR101" s="32" t="s">
        <v>116</v>
      </c>
      <c r="BS101" s="32">
        <v>60</v>
      </c>
      <c r="BT101" s="32" t="s">
        <v>117</v>
      </c>
      <c r="BU101" s="32">
        <v>6</v>
      </c>
      <c r="BV101" s="32" t="s">
        <v>117</v>
      </c>
      <c r="BW101" s="103">
        <v>2.23</v>
      </c>
    </row>
    <row r="102" spans="2:75" x14ac:dyDescent="0.25">
      <c r="B102" s="1">
        <v>2232</v>
      </c>
      <c r="C102" s="2"/>
      <c r="D102" s="146" t="s">
        <v>93</v>
      </c>
      <c r="E102" s="75" t="s">
        <v>93</v>
      </c>
      <c r="F102" s="75" t="s">
        <v>93</v>
      </c>
      <c r="G102" s="55" t="s">
        <v>1233</v>
      </c>
      <c r="H102" s="55" t="s">
        <v>1234</v>
      </c>
      <c r="I102" s="55" t="s">
        <v>1235</v>
      </c>
      <c r="J102" s="55" t="s">
        <v>1236</v>
      </c>
      <c r="K102" s="55" t="s">
        <v>1237</v>
      </c>
      <c r="L102" s="55" t="s">
        <v>1238</v>
      </c>
      <c r="M102" s="75" t="s">
        <v>93</v>
      </c>
      <c r="N102" s="55" t="s">
        <v>1239</v>
      </c>
      <c r="O102" s="55" t="s">
        <v>1240</v>
      </c>
      <c r="P102" s="53" t="s">
        <v>93</v>
      </c>
      <c r="Q102" s="53" t="s">
        <v>93</v>
      </c>
      <c r="R102" s="76">
        <f>COUNTIFS([1]Fleet!$E:$E,Table1[[#This Row],[Old Assy '#]])+COUNTIFS([1]OnDeck!$E:$E,Table1[[#This Row],[Old Assy '#]])</f>
        <v>3</v>
      </c>
      <c r="S102" s="77">
        <v>43657</v>
      </c>
      <c r="T102" s="78"/>
      <c r="U102" s="78"/>
      <c r="V102" s="78"/>
      <c r="W102" s="56" t="str">
        <f>IF(AND(Table1[[#This Row],[Phase Out]]="Y",Table1[[#This Row],[Zero Inventory]]="Y"),"Y","")</f>
        <v/>
      </c>
      <c r="X102" s="79">
        <v>12.25</v>
      </c>
      <c r="Y102" s="63" t="s">
        <v>1094</v>
      </c>
      <c r="Z102" s="59" t="str">
        <f>IF(LEFT(Table1[[#This Row],[Model]],2)="NX","NX",IF(LEFT(Table1[[#This Row],[Model]],2)="CR","CR",""))</f>
        <v>CR</v>
      </c>
      <c r="AA102" s="91">
        <v>9</v>
      </c>
      <c r="AB102" s="91">
        <v>16</v>
      </c>
      <c r="AC102" s="64" t="str">
        <f>IF(ISNUMBER(FIND("M",Table1[[#This Row],[Model]])),"M","")</f>
        <v/>
      </c>
      <c r="AD102" s="63" t="s">
        <v>1095</v>
      </c>
      <c r="AE102" s="63">
        <v>12</v>
      </c>
      <c r="AF102" s="64" t="str">
        <f>IF(ISNUMBER(SEARCH("(K)",Table1[[#This Row],[Model]])),"(K)","")</f>
        <v>(K)</v>
      </c>
      <c r="AG102" s="64" t="str">
        <f>IF(ISNUMBER(SEARCH("(BR)",Table1[[#This Row],[Model]])),"(BR)","")</f>
        <v>(BR)</v>
      </c>
      <c r="AH102" s="32" t="s">
        <v>103</v>
      </c>
      <c r="AI102" s="32" t="s">
        <v>126</v>
      </c>
      <c r="AJ102" s="32"/>
      <c r="AK102" s="32"/>
      <c r="AL102" s="32" t="s">
        <v>106</v>
      </c>
      <c r="AM102" s="64" t="str">
        <f>SUBSTITUTE(INDEX('[2]M1 App'!$A$2:$R$349,MATCH(VALUE(LEFT(Table1[[#This Row],[Old Assy '#]],4)),'[2]M1 App'!$B$2:$B$349,0),MATCH(Table1[[#Headers],[App Interval Type]],'[2]M1 App'!$A$1:$R$1,0))," ","")</f>
        <v>Vertical</v>
      </c>
      <c r="AN102" s="64" t="s">
        <v>127</v>
      </c>
      <c r="AO102" s="65"/>
      <c r="AP102" s="66"/>
      <c r="AQ102" s="67">
        <f>VALUE(SUBSTITUTE(INDEX('[2]M1 App'!$A$2:$R$349,MATCH(VALUE(LEFT(Table1[[#This Row],[Old Assy '#]],4)),'[2]M1 App'!$B$2:$B$349,0),MATCH(Table1[[#Headers],[App Six Three]],'[2]M1 App'!$A$1:$R$1,0))," ",""))</f>
        <v>0</v>
      </c>
      <c r="AR102" s="68" t="s">
        <v>284</v>
      </c>
      <c r="AS102" s="32">
        <v>198765432</v>
      </c>
      <c r="AT102" s="102">
        <v>11.875</v>
      </c>
      <c r="AU102" s="69">
        <f>IF(ISNUMBER(Table1[[#This Row],[Above gauge Ø]]),((Table1[[#This Row],[Size]]-Table1[[#This Row],[Above gauge Ø]])/2)-0.05,"")</f>
        <v>0.13750000000000001</v>
      </c>
      <c r="AV102" s="70">
        <v>0.33</v>
      </c>
      <c r="AW102" s="32" t="s">
        <v>180</v>
      </c>
      <c r="AX102" s="32">
        <f>6.035*2</f>
        <v>12.07</v>
      </c>
      <c r="AY102" s="32" t="s">
        <v>692</v>
      </c>
      <c r="AZ102" s="32">
        <v>15</v>
      </c>
      <c r="BA102" s="32"/>
      <c r="BB102" s="82"/>
      <c r="BC102" s="82">
        <v>0</v>
      </c>
      <c r="BD102" s="82">
        <v>40</v>
      </c>
      <c r="BE102" s="82"/>
      <c r="BF102" s="32">
        <v>15</v>
      </c>
      <c r="BG102" s="32">
        <v>15</v>
      </c>
      <c r="BH102" s="32" t="s">
        <v>114</v>
      </c>
      <c r="BI102" s="32">
        <v>30</v>
      </c>
      <c r="BJ102" s="2" t="e">
        <f>CONCATENATE("► M1 Notes: ",#REF!," •-----► CL-SKF Notes: ",#REF!," •-----► DS Notes: ",#REF!)</f>
        <v>#REF!</v>
      </c>
      <c r="BK102" s="108" t="s">
        <v>1241</v>
      </c>
      <c r="BL102" s="32">
        <v>5</v>
      </c>
      <c r="BM102" s="32" t="s">
        <v>115</v>
      </c>
      <c r="BN102" s="83">
        <v>69.944999999999993</v>
      </c>
      <c r="BO102" s="31">
        <v>25.08</v>
      </c>
      <c r="BP102" s="32" t="s">
        <v>116</v>
      </c>
      <c r="BQ102" s="32" t="s">
        <v>101</v>
      </c>
      <c r="BR102" s="32" t="s">
        <v>116</v>
      </c>
      <c r="BS102" s="32">
        <v>60</v>
      </c>
      <c r="BT102" s="32">
        <v>45</v>
      </c>
      <c r="BU102" s="32">
        <v>9</v>
      </c>
      <c r="BV102" s="32">
        <v>3</v>
      </c>
      <c r="BW102" s="103">
        <v>3.93</v>
      </c>
    </row>
    <row r="103" spans="2:75" x14ac:dyDescent="0.25">
      <c r="B103" s="1">
        <v>2234</v>
      </c>
      <c r="C103" s="2"/>
      <c r="D103" s="146" t="s">
        <v>93</v>
      </c>
      <c r="E103" s="105" t="s">
        <v>93</v>
      </c>
      <c r="F103" s="55" t="s">
        <v>1242</v>
      </c>
      <c r="G103" s="55" t="s">
        <v>1243</v>
      </c>
      <c r="H103" s="75" t="s">
        <v>93</v>
      </c>
      <c r="I103" s="55" t="s">
        <v>1244</v>
      </c>
      <c r="J103" s="55" t="s">
        <v>1245</v>
      </c>
      <c r="K103" s="55" t="s">
        <v>1246</v>
      </c>
      <c r="L103" s="55" t="s">
        <v>1247</v>
      </c>
      <c r="M103" s="55" t="s">
        <v>1248</v>
      </c>
      <c r="N103" s="55" t="s">
        <v>1249</v>
      </c>
      <c r="O103" s="55" t="s">
        <v>1250</v>
      </c>
      <c r="P103" s="53" t="s">
        <v>93</v>
      </c>
      <c r="Q103" s="53" t="s">
        <v>93</v>
      </c>
      <c r="R103" s="76">
        <f>COUNTIFS([1]Fleet!$E:$E,Table1[[#This Row],[Old Assy '#]])+COUNTIFS([1]OnDeck!$E:$E,Table1[[#This Row],[Old Assy '#]])</f>
        <v>1</v>
      </c>
      <c r="S103" s="77">
        <v>43714</v>
      </c>
      <c r="T103" s="78"/>
      <c r="U103" s="78"/>
      <c r="V103" s="78"/>
      <c r="W103" s="56" t="str">
        <f>IF(AND(Table1[[#This Row],[Phase Out]]="Y",Table1[[#This Row],[Zero Inventory]]="Y"),"Y","")</f>
        <v/>
      </c>
      <c r="X103" s="79">
        <v>9.875</v>
      </c>
      <c r="Y103" s="63" t="s">
        <v>1251</v>
      </c>
      <c r="Z103" s="59" t="str">
        <f>IF(LEFT(Table1[[#This Row],[Model]],2)="NX","NX",IF(LEFT(Table1[[#This Row],[Model]],2)="CR","CR",""))</f>
        <v>CR</v>
      </c>
      <c r="AA103" s="59" t="str">
        <f>LEFT(SUBSTITUTE(SUBSTITUTE(Table1[[#This Row],[Model]],"NX",""),"CR",""),1)</f>
        <v>6</v>
      </c>
      <c r="AB103" s="59" t="str">
        <f>MID(SUBSTITUTE(SUBSTITUTE(Table1[[#This Row],[Model]],"NX",""),"CR",""),2,2)</f>
        <v>13</v>
      </c>
      <c r="AC103" s="64" t="str">
        <f>IF(ISNUMBER(FIND("M",Table1[[#This Row],[Model]])),"M","")</f>
        <v/>
      </c>
      <c r="AD103" s="64" t="str">
        <f>CONCATENATE(MID(Table1[[#This Row],[Model]],FIND("-",Table1[[#This Row],[Model]])+1,2),IF(RIGHT(MID(Table1[[#This Row],[Model]],FIND("-",Table1[[#This Row],[Model]])+1,3),1)="+","+",""))</f>
        <v>YR</v>
      </c>
      <c r="AE10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03" s="64" t="str">
        <f>IF(ISNUMBER(SEARCH("(K)",Table1[[#This Row],[Model]])),"(K)","")</f>
        <v/>
      </c>
      <c r="AG103" s="64" t="str">
        <f>IF(ISNUMBER(SEARCH("(BR)",Table1[[#This Row],[Model]])),"(BR)","")</f>
        <v/>
      </c>
      <c r="AH103" s="32" t="s">
        <v>103</v>
      </c>
      <c r="AI103" s="32" t="s">
        <v>126</v>
      </c>
      <c r="AJ103" s="32"/>
      <c r="AK103" s="32"/>
      <c r="AL103" s="32" t="s">
        <v>106</v>
      </c>
      <c r="AM103" s="64" t="str">
        <f>SUBSTITUTE(INDEX('[2]M1 App'!$A$2:$R$349,MATCH(VALUE(LEFT(Table1[[#This Row],[Old Assy '#]],4)),'[2]M1 App'!$B$2:$B$349,0),MATCH(Table1[[#Headers],[App Interval Type]],'[2]M1 App'!$A$1:$R$1,0))," ","")</f>
        <v>Vertical</v>
      </c>
      <c r="AN103" s="64" t="s">
        <v>127</v>
      </c>
      <c r="AO103" s="65"/>
      <c r="AP103" s="66"/>
      <c r="AQ103" s="67">
        <f>VALUE(SUBSTITUTE(INDEX('[2]M1 App'!$A$2:$R$349,MATCH(VALUE(LEFT(Table1[[#This Row],[Old Assy '#]],4)),'[2]M1 App'!$B$2:$B$349,0),MATCH(Table1[[#Headers],[App Six Three]],'[2]M1 App'!$A$1:$R$1,0))," ",""))</f>
        <v>0</v>
      </c>
      <c r="AR103" s="68" t="s">
        <v>284</v>
      </c>
      <c r="AS103" s="32">
        <v>165432</v>
      </c>
      <c r="AT103" s="32">
        <v>9.625</v>
      </c>
      <c r="AU103" s="69">
        <f>IF(ISNUMBER(Table1[[#This Row],[Above gauge Ø]]),((Table1[[#This Row],[Size]]-Table1[[#This Row],[Above gauge Ø]])/2)-0.05,"")</f>
        <v>7.4999999999999997E-2</v>
      </c>
      <c r="AV103" s="70">
        <v>0.33</v>
      </c>
      <c r="AW103" s="32" t="s">
        <v>111</v>
      </c>
      <c r="AX103" s="32">
        <v>9.8119999999999994</v>
      </c>
      <c r="AY103" s="32" t="s">
        <v>232</v>
      </c>
      <c r="AZ103" s="32">
        <v>15</v>
      </c>
      <c r="BA103" s="32"/>
      <c r="BB103" s="82">
        <v>0</v>
      </c>
      <c r="BC103" s="82">
        <v>0</v>
      </c>
      <c r="BD103" s="82"/>
      <c r="BE103" s="82"/>
      <c r="BF103" s="32" t="s">
        <v>1222</v>
      </c>
      <c r="BG103" s="32" t="s">
        <v>1252</v>
      </c>
      <c r="BH103" s="32" t="s">
        <v>1253</v>
      </c>
      <c r="BI103" s="32">
        <v>40</v>
      </c>
      <c r="BJ103" s="17" t="e">
        <f>CONCATENATE("► M1 Notes: ",#REF!," •-----► CL-SKF Notes: ",#REF!," •-----► DS Notes: ",#REF!)</f>
        <v>#REF!</v>
      </c>
      <c r="BK103" s="17"/>
      <c r="BL103" s="32">
        <v>3</v>
      </c>
      <c r="BM103" s="32" t="s">
        <v>115</v>
      </c>
      <c r="BN103" s="83">
        <v>38</v>
      </c>
      <c r="BO103" s="31">
        <v>17.443000000000001</v>
      </c>
      <c r="BP103" s="32" t="s">
        <v>116</v>
      </c>
      <c r="BQ103" s="32" t="s">
        <v>101</v>
      </c>
      <c r="BR103" s="32" t="s">
        <v>116</v>
      </c>
      <c r="BS103" s="32">
        <v>60</v>
      </c>
      <c r="BT103" s="32" t="s">
        <v>117</v>
      </c>
      <c r="BU103" s="32">
        <v>6</v>
      </c>
      <c r="BV103" s="32" t="s">
        <v>117</v>
      </c>
      <c r="BW103" s="103">
        <v>2.23</v>
      </c>
    </row>
    <row r="104" spans="2:75" x14ac:dyDescent="0.25">
      <c r="B104" s="1">
        <v>2235</v>
      </c>
      <c r="C104" s="2"/>
      <c r="D104" s="146" t="s">
        <v>93</v>
      </c>
      <c r="E104" s="75" t="s">
        <v>93</v>
      </c>
      <c r="F104" s="75" t="s">
        <v>93</v>
      </c>
      <c r="G104" s="55" t="s">
        <v>1254</v>
      </c>
      <c r="H104" s="55" t="s">
        <v>1255</v>
      </c>
      <c r="I104" s="55" t="s">
        <v>1256</v>
      </c>
      <c r="J104" s="55" t="s">
        <v>1257</v>
      </c>
      <c r="K104" s="55" t="s">
        <v>1258</v>
      </c>
      <c r="L104" s="55" t="s">
        <v>1259</v>
      </c>
      <c r="M104" s="75" t="s">
        <v>93</v>
      </c>
      <c r="N104" s="55" t="s">
        <v>1260</v>
      </c>
      <c r="O104" s="55" t="s">
        <v>1261</v>
      </c>
      <c r="P104" s="53" t="s">
        <v>93</v>
      </c>
      <c r="Q104" s="53" t="s">
        <v>93</v>
      </c>
      <c r="R104" s="76">
        <f>COUNTIFS([1]Fleet!$E:$E,Table1[[#This Row],[Old Assy '#]])+COUNTIFS([1]OnDeck!$E:$E,Table1[[#This Row],[Old Assy '#]])</f>
        <v>1</v>
      </c>
      <c r="S104" s="77">
        <v>43678</v>
      </c>
      <c r="T104" s="78"/>
      <c r="U104" s="78"/>
      <c r="V104" s="78"/>
      <c r="W104" s="56" t="str">
        <f>IF(AND(Table1[[#This Row],[Phase Out]]="Y",Table1[[#This Row],[Zero Inventory]]="Y"),"Y","")</f>
        <v/>
      </c>
      <c r="X104" s="79">
        <v>12.25</v>
      </c>
      <c r="Y104" s="63" t="s">
        <v>1118</v>
      </c>
      <c r="Z104" s="59" t="str">
        <f>IF(LEFT(Table1[[#This Row],[Model]],2)="NX","NX",IF(LEFT(Table1[[#This Row],[Model]],2)="CR","CR",""))</f>
        <v>CR</v>
      </c>
      <c r="AA104" s="59" t="str">
        <f>LEFT(SUBSTITUTE(SUBSTITUTE(Table1[[#This Row],[Model]],"NX",""),"CR",""),1)</f>
        <v>7</v>
      </c>
      <c r="AB104" s="59" t="str">
        <f>MID(SUBSTITUTE(SUBSTITUTE(Table1[[#This Row],[Model]],"NX",""),"CR",""),2,2)</f>
        <v>16</v>
      </c>
      <c r="AC104" s="64" t="str">
        <f>IF(ISNUMBER(FIND("M",Table1[[#This Row],[Model]])),"M","")</f>
        <v/>
      </c>
      <c r="AD104" s="64" t="str">
        <f>CONCATENATE(MID(Table1[[#This Row],[Model]],FIND("-",Table1[[#This Row],[Model]])+1,2),IF(RIGHT(MID(Table1[[#This Row],[Model]],FIND("-",Table1[[#This Row],[Model]])+1,3),1)="+","+",""))</f>
        <v>XR</v>
      </c>
      <c r="AE104"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10</v>
      </c>
      <c r="AF104" s="64" t="str">
        <f>IF(ISNUMBER(SEARCH("(K)",Table1[[#This Row],[Model]])),"(K)","")</f>
        <v>(K)</v>
      </c>
      <c r="AG104" s="64" t="str">
        <f>IF(ISNUMBER(SEARCH("(BR)",Table1[[#This Row],[Model]])),"(BR)","")</f>
        <v>(BR)</v>
      </c>
      <c r="AH104" s="32" t="s">
        <v>103</v>
      </c>
      <c r="AI104" s="32" t="s">
        <v>126</v>
      </c>
      <c r="AJ104" s="32"/>
      <c r="AK104" s="32"/>
      <c r="AL104" s="32" t="s">
        <v>106</v>
      </c>
      <c r="AM104" s="64" t="str">
        <f>SUBSTITUTE(INDEX('[2]M1 App'!$A$2:$R$349,MATCH(VALUE(LEFT(Table1[[#This Row],[Old Assy '#]],4)),'[2]M1 App'!$B$2:$B$349,0),MATCH(Table1[[#Headers],[App Interval Type]],'[2]M1 App'!$A$1:$R$1,0))," ","")</f>
        <v>Vertical</v>
      </c>
      <c r="AN104" s="64" t="s">
        <v>127</v>
      </c>
      <c r="AO104" s="65"/>
      <c r="AP104" s="66"/>
      <c r="AQ104" s="67">
        <f>VALUE(SUBSTITUTE(INDEX('[2]M1 App'!$A$2:$R$349,MATCH(VALUE(LEFT(Table1[[#This Row],[Old Assy '#]],4)),'[2]M1 App'!$B$2:$B$349,0),MATCH(Table1[[#Headers],[App Six Three]],'[2]M1 App'!$A$1:$R$1,0))," ",""))</f>
        <v>0</v>
      </c>
      <c r="AR104" s="68" t="s">
        <v>284</v>
      </c>
      <c r="AS104" s="32">
        <v>1765432</v>
      </c>
      <c r="AT104" s="102">
        <v>11.875</v>
      </c>
      <c r="AU104" s="69">
        <f>IF(ISNUMBER(Table1[[#This Row],[Above gauge Ø]]),((Table1[[#This Row],[Size]]-Table1[[#This Row],[Above gauge Ø]])/2)-0.05,"")</f>
        <v>0.13750000000000001</v>
      </c>
      <c r="AV104" s="70">
        <v>0.33</v>
      </c>
      <c r="AW104" s="32" t="s">
        <v>111</v>
      </c>
      <c r="AX104" s="32">
        <v>12.07</v>
      </c>
      <c r="AY104" s="32" t="s">
        <v>944</v>
      </c>
      <c r="AZ104" s="32">
        <v>15</v>
      </c>
      <c r="BA104" s="32"/>
      <c r="BB104" s="82">
        <v>20</v>
      </c>
      <c r="BC104" s="82">
        <v>0</v>
      </c>
      <c r="BD104" s="82"/>
      <c r="BE104" s="82">
        <v>0</v>
      </c>
      <c r="BF104" s="32">
        <v>22</v>
      </c>
      <c r="BG104" s="32">
        <v>15</v>
      </c>
      <c r="BH104" s="32" t="s">
        <v>1262</v>
      </c>
      <c r="BI104" s="32">
        <v>40</v>
      </c>
      <c r="BJ104" s="17" t="e">
        <f>CONCATENATE("► M1 Notes: ",#REF!," •-----► CL-SKF Notes: ",#REF!," •-----► DS Notes: ",#REF!)</f>
        <v>#REF!</v>
      </c>
      <c r="BK104" s="109" t="s">
        <v>1263</v>
      </c>
      <c r="BL104" s="32">
        <v>6</v>
      </c>
      <c r="BM104" s="32" t="s">
        <v>115</v>
      </c>
      <c r="BN104" s="83">
        <v>83.989000000000004</v>
      </c>
      <c r="BO104" s="31">
        <v>27.75</v>
      </c>
      <c r="BP104" s="32" t="s">
        <v>116</v>
      </c>
      <c r="BQ104" s="32" t="s">
        <v>101</v>
      </c>
      <c r="BR104" s="32" t="s">
        <v>116</v>
      </c>
      <c r="BS104" s="32">
        <v>60</v>
      </c>
      <c r="BT104" s="32" t="s">
        <v>117</v>
      </c>
      <c r="BU104" s="32">
        <v>10</v>
      </c>
      <c r="BV104" s="32" t="s">
        <v>117</v>
      </c>
      <c r="BW104" s="103">
        <v>3.71</v>
      </c>
    </row>
    <row r="105" spans="2:75" x14ac:dyDescent="0.25">
      <c r="B105" s="1">
        <v>2236</v>
      </c>
      <c r="C105" s="2"/>
      <c r="D105" s="146" t="s">
        <v>93</v>
      </c>
      <c r="E105" s="75" t="s">
        <v>93</v>
      </c>
      <c r="F105" s="75" t="s">
        <v>93</v>
      </c>
      <c r="G105" s="55" t="s">
        <v>1264</v>
      </c>
      <c r="H105" s="55" t="s">
        <v>1265</v>
      </c>
      <c r="I105" s="55" t="s">
        <v>1266</v>
      </c>
      <c r="J105" s="55" t="s">
        <v>1267</v>
      </c>
      <c r="K105" s="55" t="s">
        <v>1268</v>
      </c>
      <c r="L105" s="55" t="s">
        <v>1269</v>
      </c>
      <c r="M105" s="75" t="s">
        <v>93</v>
      </c>
      <c r="N105" s="55" t="s">
        <v>1270</v>
      </c>
      <c r="O105" s="55" t="s">
        <v>1271</v>
      </c>
      <c r="P105" s="53" t="s">
        <v>93</v>
      </c>
      <c r="Q105" s="53" t="s">
        <v>93</v>
      </c>
      <c r="R105" s="76">
        <f>COUNTIFS([1]Fleet!$E:$E,Table1[[#This Row],[Old Assy '#]])+COUNTIFS([1]OnDeck!$E:$E,Table1[[#This Row],[Old Assy '#]])</f>
        <v>2</v>
      </c>
      <c r="S105" s="77">
        <v>43697</v>
      </c>
      <c r="T105" s="78"/>
      <c r="U105" s="78"/>
      <c r="V105" s="78"/>
      <c r="W105" s="56" t="str">
        <f>IF(AND(Table1[[#This Row],[Phase Out]]="Y",Table1[[#This Row],[Zero Inventory]]="Y"),"Y","")</f>
        <v/>
      </c>
      <c r="X105" s="79">
        <v>9.875</v>
      </c>
      <c r="Y105" s="63" t="s">
        <v>1094</v>
      </c>
      <c r="Z105" s="59" t="str">
        <f>IF(LEFT(Table1[[#This Row],[Model]],2)="NX","NX",IF(LEFT(Table1[[#This Row],[Model]],2)="CR","CR",""))</f>
        <v>CR</v>
      </c>
      <c r="AA105" s="91">
        <v>9</v>
      </c>
      <c r="AB105" s="91">
        <v>16</v>
      </c>
      <c r="AC105" s="64" t="str">
        <f>IF(ISNUMBER(FIND("M",Table1[[#This Row],[Model]])),"M","")</f>
        <v/>
      </c>
      <c r="AD105" s="63" t="s">
        <v>1095</v>
      </c>
      <c r="AE105" s="58">
        <v>9</v>
      </c>
      <c r="AF105" s="64" t="str">
        <f>IF(ISNUMBER(SEARCH("(K)",Table1[[#This Row],[Model]])),"(K)","")</f>
        <v>(K)</v>
      </c>
      <c r="AG105" s="64" t="str">
        <f>IF(ISNUMBER(SEARCH("(BR)",Table1[[#This Row],[Model]])),"(BR)","")</f>
        <v>(BR)</v>
      </c>
      <c r="AH105" s="32" t="s">
        <v>103</v>
      </c>
      <c r="AI105" s="32" t="s">
        <v>126</v>
      </c>
      <c r="AJ105" s="32"/>
      <c r="AK105" s="32"/>
      <c r="AL105" s="32" t="s">
        <v>106</v>
      </c>
      <c r="AM105" s="64" t="str">
        <f>SUBSTITUTE(INDEX('[2]M1 App'!$A$2:$R$349,MATCH(VALUE(LEFT(Table1[[#This Row],[Old Assy '#]],4)),'[2]M1 App'!$B$2:$B$349,0),MATCH(Table1[[#Headers],[App Interval Type]],'[2]M1 App'!$A$1:$R$1,0))," ","")</f>
        <v>Vertical</v>
      </c>
      <c r="AN105" s="64" t="s">
        <v>127</v>
      </c>
      <c r="AO105" s="65"/>
      <c r="AP105" s="66"/>
      <c r="AQ105" s="67">
        <f>VALUE(SUBSTITUTE(INDEX('[2]M1 App'!$A$2:$R$349,MATCH(VALUE(LEFT(Table1[[#This Row],[Old Assy '#]],4)),'[2]M1 App'!$B$2:$B$349,0),MATCH(Table1[[#Headers],[App Six Three]],'[2]M1 App'!$A$1:$R$1,0))," ",""))</f>
        <v>0</v>
      </c>
      <c r="AR105" s="68" t="s">
        <v>284</v>
      </c>
      <c r="AS105" s="32">
        <v>165432</v>
      </c>
      <c r="AT105" s="32">
        <f>4.762*2</f>
        <v>9.5239999999999991</v>
      </c>
      <c r="AU105" s="69">
        <f>IF(ISNUMBER(Table1[[#This Row],[Above gauge Ø]]),((Table1[[#This Row],[Size]]-Table1[[#This Row],[Above gauge Ø]])/2)-0.05,"")</f>
        <v>0.12550000000000044</v>
      </c>
      <c r="AV105" s="70">
        <v>0.33</v>
      </c>
      <c r="AW105" s="32" t="s">
        <v>180</v>
      </c>
      <c r="AX105" s="32">
        <v>9.6875999999999998</v>
      </c>
      <c r="AY105" s="32" t="s">
        <v>692</v>
      </c>
      <c r="AZ105" s="32">
        <v>15</v>
      </c>
      <c r="BA105" s="32"/>
      <c r="BB105" s="82">
        <v>10</v>
      </c>
      <c r="BC105" s="82">
        <v>0</v>
      </c>
      <c r="BD105" s="82">
        <v>70</v>
      </c>
      <c r="BE105" s="82"/>
      <c r="BF105" s="32">
        <v>15</v>
      </c>
      <c r="BG105" s="32">
        <v>15</v>
      </c>
      <c r="BH105" s="32" t="s">
        <v>114</v>
      </c>
      <c r="BI105" s="32">
        <v>30</v>
      </c>
      <c r="BJ105" s="108" t="e">
        <f>CONCATENATE("► M1 Notes: ",#REF!," •-----► CL-SKF Notes: ",#REF!," •-----► DS Notes: ",#REF!)</f>
        <v>#REF!</v>
      </c>
      <c r="BK105" s="108" t="s">
        <v>1272</v>
      </c>
      <c r="BL105" s="32">
        <v>4</v>
      </c>
      <c r="BM105" s="32" t="s">
        <v>115</v>
      </c>
      <c r="BN105" s="83">
        <v>44</v>
      </c>
      <c r="BO105" s="31">
        <v>15.436999999999999</v>
      </c>
      <c r="BP105" s="32" t="s">
        <v>116</v>
      </c>
      <c r="BQ105" s="32" t="s">
        <v>101</v>
      </c>
      <c r="BR105" s="32" t="s">
        <v>116</v>
      </c>
      <c r="BS105" s="32">
        <v>60</v>
      </c>
      <c r="BT105" s="32">
        <v>45</v>
      </c>
      <c r="BU105" s="32">
        <v>6</v>
      </c>
      <c r="BV105" s="32">
        <v>3</v>
      </c>
      <c r="BW105" s="103">
        <v>2.82</v>
      </c>
    </row>
    <row r="106" spans="2:75" x14ac:dyDescent="0.25">
      <c r="B106" s="1">
        <v>2240</v>
      </c>
      <c r="C106" s="2"/>
      <c r="D106" s="146" t="s">
        <v>93</v>
      </c>
      <c r="E106" s="75" t="s">
        <v>93</v>
      </c>
      <c r="F106" s="75" t="s">
        <v>93</v>
      </c>
      <c r="G106" s="55" t="s">
        <v>1273</v>
      </c>
      <c r="H106" s="55" t="s">
        <v>1274</v>
      </c>
      <c r="I106" s="55" t="s">
        <v>1275</v>
      </c>
      <c r="J106" s="55" t="s">
        <v>1276</v>
      </c>
      <c r="K106" s="55" t="s">
        <v>1277</v>
      </c>
      <c r="L106" s="55" t="s">
        <v>1278</v>
      </c>
      <c r="M106" s="75" t="s">
        <v>93</v>
      </c>
      <c r="N106" s="55" t="s">
        <v>1279</v>
      </c>
      <c r="O106" s="55" t="s">
        <v>1280</v>
      </c>
      <c r="P106" s="53" t="s">
        <v>93</v>
      </c>
      <c r="Q106" s="53" t="s">
        <v>93</v>
      </c>
      <c r="R106" s="76">
        <f>COUNTIFS([1]Fleet!$E:$E,Table1[[#This Row],[Old Assy '#]])+COUNTIFS([1]OnDeck!$E:$E,Table1[[#This Row],[Old Assy '#]])</f>
        <v>4</v>
      </c>
      <c r="S106" s="77">
        <v>43738</v>
      </c>
      <c r="T106" s="78"/>
      <c r="U106" s="78"/>
      <c r="V106" s="78"/>
      <c r="W106" s="56" t="str">
        <f>IF(AND(Table1[[#This Row],[Phase Out]]="Y",Table1[[#This Row],[Zero Inventory]]="Y"),"Y","")</f>
        <v/>
      </c>
      <c r="X106" s="79">
        <v>7.875</v>
      </c>
      <c r="Y106" s="63" t="s">
        <v>1281</v>
      </c>
      <c r="Z106" s="59" t="str">
        <f>IF(LEFT(Table1[[#This Row],[Model]],2)="NX","NX",IF(LEFT(Table1[[#This Row],[Model]],2)="CR","CR",""))</f>
        <v>CR</v>
      </c>
      <c r="AA106" s="91">
        <v>8</v>
      </c>
      <c r="AB106" s="91">
        <v>16</v>
      </c>
      <c r="AC106" s="64" t="str">
        <f>IF(ISNUMBER(FIND("M",Table1[[#This Row],[Model]])),"M","")</f>
        <v/>
      </c>
      <c r="AD106" s="63" t="s">
        <v>1095</v>
      </c>
      <c r="AE106" s="63">
        <v>8</v>
      </c>
      <c r="AF106" s="64" t="str">
        <f>IF(ISNUMBER(SEARCH("(K)",Table1[[#This Row],[Model]])),"(K)","")</f>
        <v/>
      </c>
      <c r="AG106" s="64" t="str">
        <f>IF(ISNUMBER(SEARCH("(BR)",Table1[[#This Row],[Model]])),"(BR)","")</f>
        <v>(BR)</v>
      </c>
      <c r="AH106" s="32" t="s">
        <v>103</v>
      </c>
      <c r="AI106" s="32" t="s">
        <v>104</v>
      </c>
      <c r="AJ106" s="32" t="s">
        <v>1282</v>
      </c>
      <c r="AK106" s="32"/>
      <c r="AL106" s="32" t="s">
        <v>106</v>
      </c>
      <c r="AM106" s="64" t="str">
        <f>SUBSTITUTE(INDEX('[2]M1 App'!$A$2:$R$349,MATCH(VALUE(LEFT(Table1[[#This Row],[Old Assy '#]],4)),'[2]M1 App'!$B$2:$B$349,0),MATCH(Table1[[#Headers],[App Interval Type]],'[2]M1 App'!$A$1:$R$1,0))," ","")</f>
        <v>Vertical</v>
      </c>
      <c r="AN106" s="64" t="s">
        <v>108</v>
      </c>
      <c r="AO106" s="65"/>
      <c r="AP106" s="66"/>
      <c r="AQ106" s="67">
        <f>VALUE(SUBSTITUTE(INDEX('[2]M1 App'!$A$2:$R$349,MATCH(VALUE(LEFT(Table1[[#This Row],[Old Assy '#]],4)),'[2]M1 App'!$B$2:$B$349,0),MATCH(Table1[[#Headers],[App Six Three]],'[2]M1 App'!$A$1:$R$1,0))," ",""))</f>
        <v>0</v>
      </c>
      <c r="AR106" s="68" t="s">
        <v>284</v>
      </c>
      <c r="AS106" s="32">
        <v>165432</v>
      </c>
      <c r="AT106" s="32">
        <v>7.5</v>
      </c>
      <c r="AU106" s="69">
        <f>IF(ISNUMBER(Table1[[#This Row],[Above gauge Ø]]),((Table1[[#This Row],[Size]]-Table1[[#This Row],[Above gauge Ø]])/2)-0.05,"")</f>
        <v>0.13750000000000001</v>
      </c>
      <c r="AV106" s="70">
        <v>0.33</v>
      </c>
      <c r="AW106" s="32" t="s">
        <v>180</v>
      </c>
      <c r="AX106" s="32">
        <v>7.6890000000000001</v>
      </c>
      <c r="AY106" s="32" t="s">
        <v>112</v>
      </c>
      <c r="AZ106" s="32">
        <v>15</v>
      </c>
      <c r="BA106" s="32"/>
      <c r="BB106" s="82"/>
      <c r="BC106" s="82"/>
      <c r="BD106" s="82"/>
      <c r="BE106" s="82"/>
      <c r="BF106" s="32">
        <v>15</v>
      </c>
      <c r="BG106" s="32">
        <v>15</v>
      </c>
      <c r="BH106" s="32" t="s">
        <v>322</v>
      </c>
      <c r="BI106" s="32">
        <v>35</v>
      </c>
      <c r="BJ106" s="108" t="e">
        <f>CONCATENATE("► M1 Notes: ",#REF!," •-----► CL-SKF Notes: ",#REF!," •-----► DS Notes: ",#REF!)</f>
        <v>#REF!</v>
      </c>
      <c r="BK106" s="108" t="s">
        <v>716</v>
      </c>
      <c r="BL106" s="32">
        <v>4</v>
      </c>
      <c r="BM106" s="32" t="s">
        <v>115</v>
      </c>
      <c r="BN106" s="83">
        <v>27.209</v>
      </c>
      <c r="BO106" s="31">
        <v>9.2899999999999991</v>
      </c>
      <c r="BP106" s="32" t="s">
        <v>116</v>
      </c>
      <c r="BQ106" s="32" t="s">
        <v>101</v>
      </c>
      <c r="BR106" s="32" t="s">
        <v>116</v>
      </c>
      <c r="BS106" s="32">
        <v>60</v>
      </c>
      <c r="BT106" s="32">
        <v>45</v>
      </c>
      <c r="BU106" s="32">
        <v>4</v>
      </c>
      <c r="BV106" s="32">
        <v>4</v>
      </c>
      <c r="BW106" s="103">
        <v>2.27</v>
      </c>
    </row>
    <row r="107" spans="2:75" x14ac:dyDescent="0.25">
      <c r="B107" s="104">
        <v>2241</v>
      </c>
      <c r="C107" s="2"/>
      <c r="D107" s="146" t="s">
        <v>93</v>
      </c>
      <c r="E107" s="75" t="s">
        <v>93</v>
      </c>
      <c r="F107" s="75" t="s">
        <v>93</v>
      </c>
      <c r="G107" s="55" t="s">
        <v>1283</v>
      </c>
      <c r="H107" s="55" t="s">
        <v>1284</v>
      </c>
      <c r="I107" s="55" t="s">
        <v>1285</v>
      </c>
      <c r="J107" s="55" t="s">
        <v>1205</v>
      </c>
      <c r="K107" s="55" t="s">
        <v>1286</v>
      </c>
      <c r="L107" s="55" t="s">
        <v>1287</v>
      </c>
      <c r="M107" s="75" t="s">
        <v>93</v>
      </c>
      <c r="N107" s="55" t="s">
        <v>1288</v>
      </c>
      <c r="O107" s="55" t="s">
        <v>1289</v>
      </c>
      <c r="P107" s="75" t="s">
        <v>93</v>
      </c>
      <c r="Q107" s="53" t="s">
        <v>93</v>
      </c>
      <c r="R107" s="76">
        <f>COUNTIFS([1]Fleet!$E:$E,Table1[[#This Row],[Old Assy '#]])+COUNTIFS([1]OnDeck!$E:$E,Table1[[#This Row],[Old Assy '#]])</f>
        <v>1</v>
      </c>
      <c r="S107" s="77">
        <v>43748</v>
      </c>
      <c r="T107" s="78"/>
      <c r="U107" s="78"/>
      <c r="V107" s="78"/>
      <c r="W107" s="56" t="str">
        <f>IF(AND(Table1[[#This Row],[Phase Out]]="Y",Table1[[#This Row],[Zero Inventory]]="Y"),"Y","")</f>
        <v/>
      </c>
      <c r="X107" s="79">
        <v>10.625</v>
      </c>
      <c r="Y107" s="63" t="s">
        <v>1094</v>
      </c>
      <c r="Z107" s="59" t="str">
        <f>IF(LEFT(Table1[[#This Row],[Model]],2)="NX","NX",IF(LEFT(Table1[[#This Row],[Model]],2)="CR","CR",""))</f>
        <v>CR</v>
      </c>
      <c r="AA107" s="91">
        <v>9</v>
      </c>
      <c r="AB107" s="91">
        <v>16</v>
      </c>
      <c r="AC107" s="64" t="str">
        <f>IF(ISNUMBER(FIND("M",Table1[[#This Row],[Model]])),"M","")</f>
        <v/>
      </c>
      <c r="AD107" s="63" t="s">
        <v>1095</v>
      </c>
      <c r="AE107" s="63">
        <v>9</v>
      </c>
      <c r="AF107" s="64" t="str">
        <f>IF(ISNUMBER(SEARCH("(K)",Table1[[#This Row],[Model]])),"(K)","")</f>
        <v>(K)</v>
      </c>
      <c r="AG107" s="64" t="str">
        <f>IF(ISNUMBER(SEARCH("(BR)",Table1[[#This Row],[Model]])),"(BR)","")</f>
        <v>(BR)</v>
      </c>
      <c r="AH107" s="32" t="s">
        <v>103</v>
      </c>
      <c r="AI107" s="32" t="s">
        <v>126</v>
      </c>
      <c r="AJ107" s="95"/>
      <c r="AK107" s="95"/>
      <c r="AL107" s="32" t="s">
        <v>106</v>
      </c>
      <c r="AM107" s="64" t="str">
        <f>SUBSTITUTE(INDEX('[2]M1 App'!$A$2:$R$349,MATCH(VALUE(LEFT(Table1[[#This Row],[Old Assy '#]],4)),'[2]M1 App'!$B$2:$B$349,0),MATCH(Table1[[#Headers],[App Interval Type]],'[2]M1 App'!$A$1:$R$1,0))," ","")</f>
        <v>Vertical</v>
      </c>
      <c r="AN107" s="64" t="s">
        <v>127</v>
      </c>
      <c r="AO107" s="65"/>
      <c r="AP107" s="106"/>
      <c r="AQ107" s="69">
        <f>VALUE(SUBSTITUTE(INDEX('[2]M1 App'!$A$2:$R$349,MATCH(VALUE(LEFT(Table1[[#This Row],[Old Assy '#]],4)),'[2]M1 App'!$B$2:$B$349,0),MATCH(Table1[[#Headers],[App Six Three]],'[2]M1 App'!$A$1:$R$1,0))," ",""))</f>
        <v>0</v>
      </c>
      <c r="AR107" s="68" t="s">
        <v>284</v>
      </c>
      <c r="AS107" s="32">
        <v>165432</v>
      </c>
      <c r="AT107" s="32">
        <v>10.3125</v>
      </c>
      <c r="AU107" s="69">
        <f>IF(ISNUMBER(Table1[[#This Row],[Above gauge Ø]]),((Table1[[#This Row],[Size]]-Table1[[#This Row],[Above gauge Ø]])/2)-0.05,"")</f>
        <v>0.10625</v>
      </c>
      <c r="AV107" s="70">
        <v>0.33</v>
      </c>
      <c r="AW107" s="32" t="s">
        <v>180</v>
      </c>
      <c r="AX107" s="32">
        <v>10.439</v>
      </c>
      <c r="AY107" s="32" t="s">
        <v>1290</v>
      </c>
      <c r="AZ107" s="32">
        <v>15</v>
      </c>
      <c r="BA107" s="32"/>
      <c r="BB107" s="82">
        <v>80</v>
      </c>
      <c r="BC107" s="97">
        <v>0</v>
      </c>
      <c r="BD107" s="82">
        <v>130</v>
      </c>
      <c r="BE107" s="97"/>
      <c r="BF107" s="32">
        <v>15</v>
      </c>
      <c r="BG107" s="32">
        <v>15</v>
      </c>
      <c r="BH107" s="32" t="s">
        <v>322</v>
      </c>
      <c r="BI107" s="32">
        <v>35</v>
      </c>
      <c r="BJ107" s="109" t="e">
        <f>CONCATENATE("► M1 Notes: ",#REF!," •-----► CL-SKF Notes: ",#REF!," •-----► DS Notes: ",#REF!)</f>
        <v>#REF!</v>
      </c>
      <c r="BK107" s="109" t="s">
        <v>1291</v>
      </c>
      <c r="BL107" s="32">
        <v>5</v>
      </c>
      <c r="BM107" s="32" t="s">
        <v>115</v>
      </c>
      <c r="BN107" s="83">
        <v>60.57</v>
      </c>
      <c r="BO107" s="32">
        <v>17.52</v>
      </c>
      <c r="BP107" s="32" t="s">
        <v>116</v>
      </c>
      <c r="BQ107" s="32" t="s">
        <v>101</v>
      </c>
      <c r="BR107" s="32" t="s">
        <v>116</v>
      </c>
      <c r="BS107" s="32">
        <v>60</v>
      </c>
      <c r="BT107" s="32">
        <v>45</v>
      </c>
      <c r="BU107" s="32">
        <v>6</v>
      </c>
      <c r="BV107" s="32">
        <v>3</v>
      </c>
      <c r="BW107" s="103">
        <v>2.82</v>
      </c>
    </row>
    <row r="108" spans="2:75" x14ac:dyDescent="0.25">
      <c r="B108" s="1">
        <v>2242</v>
      </c>
      <c r="C108" s="2"/>
      <c r="D108" s="146" t="s">
        <v>93</v>
      </c>
      <c r="E108" s="55" t="s">
        <v>1292</v>
      </c>
      <c r="F108" s="55" t="s">
        <v>1293</v>
      </c>
      <c r="G108" s="55" t="s">
        <v>1294</v>
      </c>
      <c r="H108" s="75" t="s">
        <v>93</v>
      </c>
      <c r="I108" s="55" t="s">
        <v>1295</v>
      </c>
      <c r="J108" s="55" t="s">
        <v>1226</v>
      </c>
      <c r="K108" s="55" t="s">
        <v>1296</v>
      </c>
      <c r="L108" s="55" t="s">
        <v>1297</v>
      </c>
      <c r="M108" s="75" t="s">
        <v>93</v>
      </c>
      <c r="N108" s="55" t="s">
        <v>1298</v>
      </c>
      <c r="O108" s="55" t="s">
        <v>1299</v>
      </c>
      <c r="P108" s="53" t="s">
        <v>93</v>
      </c>
      <c r="Q108" s="53" t="s">
        <v>93</v>
      </c>
      <c r="R108" s="76">
        <f>COUNTIFS([1]Fleet!$E:$E,Table1[[#This Row],[Old Assy '#]])+COUNTIFS([1]OnDeck!$E:$E,Table1[[#This Row],[Old Assy '#]])</f>
        <v>1</v>
      </c>
      <c r="S108" s="77">
        <v>44400</v>
      </c>
      <c r="T108" s="78"/>
      <c r="U108" s="78"/>
      <c r="V108" s="78"/>
      <c r="W108" s="56" t="str">
        <f>IF(AND(Table1[[#This Row],[Phase Out]]="Y",Table1[[#This Row],[Zero Inventory]]="Y"),"Y","")</f>
        <v/>
      </c>
      <c r="X108" s="79">
        <v>4.75</v>
      </c>
      <c r="Y108" s="63" t="s">
        <v>1300</v>
      </c>
      <c r="Z108" s="59" t="str">
        <f>IF(LEFT(Table1[[#This Row],[Model]],2)="NX","NX",IF(LEFT(Table1[[#This Row],[Model]],2)="CR","CR",""))</f>
        <v>CR</v>
      </c>
      <c r="AA108" s="59" t="str">
        <f>LEFT(SUBSTITUTE(SUBSTITUTE(Table1[[#This Row],[Model]],"NX",""),"CR",""),1)</f>
        <v>6</v>
      </c>
      <c r="AB108" s="59" t="str">
        <f>MID(SUBSTITUTE(SUBSTITUTE(Table1[[#This Row],[Model]],"NX",""),"CR",""),2,2)</f>
        <v>11</v>
      </c>
      <c r="AC108" s="64" t="str">
        <f>IF(ISNUMBER(FIND("M",Table1[[#This Row],[Model]])),"M","")</f>
        <v/>
      </c>
      <c r="AD108" s="64" t="str">
        <f>CONCATENATE(MID(Table1[[#This Row],[Model]],FIND("-",Table1[[#This Row],[Model]])+1,2),IF(RIGHT(MID(Table1[[#This Row],[Model]],FIND("-",Table1[[#This Row],[Model]])+1,3),1)="+","+",""))</f>
        <v>SR</v>
      </c>
      <c r="AE108"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08" s="64" t="str">
        <f>IF(ISNUMBER(SEARCH("(K)",Table1[[#This Row],[Model]])),"(K)","")</f>
        <v/>
      </c>
      <c r="AG108" s="64" t="str">
        <f>IF(ISNUMBER(SEARCH("(BR)",Table1[[#This Row],[Model]])),"(BR)","")</f>
        <v/>
      </c>
      <c r="AH108" s="32" t="s">
        <v>103</v>
      </c>
      <c r="AI108" s="122" t="s">
        <v>1301</v>
      </c>
      <c r="AJ108" s="122"/>
      <c r="AK108" s="122"/>
      <c r="AL108" s="32" t="s">
        <v>259</v>
      </c>
      <c r="AM108" s="64" t="str">
        <f>SUBSTITUTE(INDEX('[2]M1 App'!$A$2:$R$349,MATCH(VALUE(LEFT(Table1[[#This Row],[Old Assy '#]],4)),'[2]M1 App'!$B$2:$B$349,0),MATCH(Table1[[#Headers],[App Interval Type]],'[2]M1 App'!$A$1:$R$1,0))," ","")</f>
        <v>Lateral</v>
      </c>
      <c r="AN108" s="64" t="s">
        <v>653</v>
      </c>
      <c r="AO108" s="65"/>
      <c r="AP108" s="66"/>
      <c r="AQ108" s="67">
        <f>VALUE(SUBSTITUTE(INDEX('[2]M1 App'!$A$2:$R$349,MATCH(VALUE(LEFT(Table1[[#This Row],[Old Assy '#]],4)),'[2]M1 App'!$B$2:$B$349,0),MATCH(Table1[[#Headers],[App Six Three]],'[2]M1 App'!$A$1:$R$1,0))," ",""))</f>
        <v>0</v>
      </c>
      <c r="AR108" s="68" t="s">
        <v>284</v>
      </c>
      <c r="AS108" s="32">
        <v>165432</v>
      </c>
      <c r="AT108" s="32">
        <f>2.25*2</f>
        <v>4.5</v>
      </c>
      <c r="AU108" s="69">
        <f>IF(ISNUMBER(Table1[[#This Row],[Above gauge Ø]]),((Table1[[#This Row],[Size]]-Table1[[#This Row],[Above gauge Ø]])/2)-0.05,"")</f>
        <v>7.4999999999999997E-2</v>
      </c>
      <c r="AV108" s="70">
        <v>0.33</v>
      </c>
      <c r="AW108" s="32" t="s">
        <v>180</v>
      </c>
      <c r="AX108" s="32">
        <v>4.625</v>
      </c>
      <c r="AY108" s="32" t="s">
        <v>164</v>
      </c>
      <c r="AZ108" s="32">
        <v>15</v>
      </c>
      <c r="BA108" s="32"/>
      <c r="BB108" s="82"/>
      <c r="BC108" s="82"/>
      <c r="BD108" s="82"/>
      <c r="BE108" s="82"/>
      <c r="BF108" s="32">
        <v>15</v>
      </c>
      <c r="BG108" s="32">
        <v>15</v>
      </c>
      <c r="BH108" s="32">
        <v>15</v>
      </c>
      <c r="BI108" s="32">
        <v>40</v>
      </c>
      <c r="BJ108" s="2" t="e">
        <f>CONCATENATE("► M1 Notes: ",#REF!," •-----► CL-SKF Notes: ",#REF!," •-----► DS Notes: ",#REF!)</f>
        <v>#REF!</v>
      </c>
      <c r="BK108" s="2"/>
      <c r="BL108" s="32">
        <v>2.5</v>
      </c>
      <c r="BM108" s="32" t="s">
        <v>115</v>
      </c>
      <c r="BN108" s="83">
        <v>12.551</v>
      </c>
      <c r="BO108" s="31">
        <v>4.9240000000000004</v>
      </c>
      <c r="BP108" s="32" t="s">
        <v>116</v>
      </c>
      <c r="BQ108" s="32" t="s">
        <v>101</v>
      </c>
      <c r="BR108" s="32" t="s">
        <v>116</v>
      </c>
      <c r="BS108" s="32">
        <v>35</v>
      </c>
      <c r="BT108" s="32" t="s">
        <v>117</v>
      </c>
      <c r="BU108" s="32">
        <v>6</v>
      </c>
      <c r="BV108" s="32" t="s">
        <v>117</v>
      </c>
      <c r="BW108" s="103">
        <v>0.66</v>
      </c>
    </row>
    <row r="109" spans="2:75" x14ac:dyDescent="0.25">
      <c r="B109" s="1">
        <v>2247</v>
      </c>
      <c r="C109" s="2"/>
      <c r="D109" s="146" t="s">
        <v>93</v>
      </c>
      <c r="E109" s="75" t="s">
        <v>93</v>
      </c>
      <c r="F109" s="75" t="s">
        <v>93</v>
      </c>
      <c r="G109" s="55" t="s">
        <v>1302</v>
      </c>
      <c r="H109" s="55" t="s">
        <v>1303</v>
      </c>
      <c r="I109" s="55" t="s">
        <v>1304</v>
      </c>
      <c r="J109" s="55" t="s">
        <v>1305</v>
      </c>
      <c r="K109" s="55" t="s">
        <v>1306</v>
      </c>
      <c r="L109" s="55" t="s">
        <v>1307</v>
      </c>
      <c r="M109" s="75" t="s">
        <v>93</v>
      </c>
      <c r="N109" s="55" t="s">
        <v>1308</v>
      </c>
      <c r="O109" s="55" t="s">
        <v>1309</v>
      </c>
      <c r="P109" s="53" t="s">
        <v>93</v>
      </c>
      <c r="Q109" s="53" t="s">
        <v>93</v>
      </c>
      <c r="R109" s="76">
        <f>COUNTIFS([1]Fleet!$E:$E,Table1[[#This Row],[Old Assy '#]])+COUNTIFS([1]OnDeck!$E:$E,Table1[[#This Row],[Old Assy '#]])</f>
        <v>1</v>
      </c>
      <c r="S109" s="77">
        <v>43815</v>
      </c>
      <c r="T109" s="78"/>
      <c r="U109" s="78"/>
      <c r="V109" s="78"/>
      <c r="W109" s="56" t="str">
        <f>IF(AND(Table1[[#This Row],[Phase Out]]="Y",Table1[[#This Row],[Zero Inventory]]="Y"),"Y","")</f>
        <v/>
      </c>
      <c r="X109" s="79">
        <v>12.25</v>
      </c>
      <c r="Y109" s="63" t="s">
        <v>1094</v>
      </c>
      <c r="Z109" s="59" t="str">
        <f>IF(LEFT(Table1[[#This Row],[Model]],2)="NX","NX",IF(LEFT(Table1[[#This Row],[Model]],2)="CR","CR",""))</f>
        <v>CR</v>
      </c>
      <c r="AA109" s="91">
        <v>9</v>
      </c>
      <c r="AB109" s="91">
        <v>16</v>
      </c>
      <c r="AC109" s="64" t="str">
        <f>IF(ISNUMBER(FIND("M",Table1[[#This Row],[Model]])),"M","")</f>
        <v/>
      </c>
      <c r="AD109" s="63" t="s">
        <v>1095</v>
      </c>
      <c r="AE109" s="58">
        <v>12</v>
      </c>
      <c r="AF109" s="64" t="str">
        <f>IF(ISNUMBER(SEARCH("(K)",Table1[[#This Row],[Model]])),"(K)","")</f>
        <v>(K)</v>
      </c>
      <c r="AG109" s="64" t="str">
        <f>IF(ISNUMBER(SEARCH("(BR)",Table1[[#This Row],[Model]])),"(BR)","")</f>
        <v>(BR)</v>
      </c>
      <c r="AH109" s="32" t="s">
        <v>103</v>
      </c>
      <c r="AI109" s="32" t="s">
        <v>126</v>
      </c>
      <c r="AJ109" s="32" t="s">
        <v>1310</v>
      </c>
      <c r="AK109" s="32"/>
      <c r="AL109" s="32" t="s">
        <v>106</v>
      </c>
      <c r="AM109" s="64" t="str">
        <f>SUBSTITUTE(INDEX('[2]M1 App'!$A$2:$R$349,MATCH(VALUE(LEFT(Table1[[#This Row],[Old Assy '#]],4)),'[2]M1 App'!$B$2:$B$349,0),MATCH(Table1[[#Headers],[App Interval Type]],'[2]M1 App'!$A$1:$R$1,0))," ","")</f>
        <v>Vertical</v>
      </c>
      <c r="AN109" s="64" t="s">
        <v>127</v>
      </c>
      <c r="AO109" s="65"/>
      <c r="AP109" s="66"/>
      <c r="AQ109" s="67">
        <f>VALUE(SUBSTITUTE(INDEX('[2]M1 App'!$A$2:$R$349,MATCH(VALUE(LEFT(Table1[[#This Row],[Old Assy '#]],4)),'[2]M1 App'!$B$2:$B$349,0),MATCH(Table1[[#Headers],[App Six Three]],'[2]M1 App'!$A$1:$R$1,0))," ",""))</f>
        <v>0</v>
      </c>
      <c r="AR109" s="68" t="s">
        <v>943</v>
      </c>
      <c r="AS109" s="32">
        <v>129786453</v>
      </c>
      <c r="AT109" s="102">
        <f>5.9375*2</f>
        <v>11.875</v>
      </c>
      <c r="AU109" s="69">
        <f>IF(ISNUMBER(Table1[[#This Row],[Above gauge Ø]]),((Table1[[#This Row],[Size]]-Table1[[#This Row],[Above gauge Ø]])/2)-0.05,"")</f>
        <v>0.13750000000000001</v>
      </c>
      <c r="AV109" s="70">
        <v>0.33</v>
      </c>
      <c r="AW109" s="32" t="s">
        <v>180</v>
      </c>
      <c r="AX109" s="32">
        <v>12.07</v>
      </c>
      <c r="AY109" s="32" t="s">
        <v>692</v>
      </c>
      <c r="AZ109" s="32">
        <v>15</v>
      </c>
      <c r="BA109" s="32"/>
      <c r="BB109" s="82"/>
      <c r="BC109" s="82">
        <v>0</v>
      </c>
      <c r="BD109" s="82">
        <v>250</v>
      </c>
      <c r="BE109" s="82"/>
      <c r="BF109" s="32">
        <v>15</v>
      </c>
      <c r="BG109" s="32">
        <v>15</v>
      </c>
      <c r="BH109" s="32" t="s">
        <v>114</v>
      </c>
      <c r="BI109" s="32">
        <v>30</v>
      </c>
      <c r="BJ109" s="108" t="e">
        <f>CONCATENATE("► M1 Notes: ",#REF!," •-----► CL-SKF Notes: ",#REF!," •-----► DS Notes: ",#REF!)</f>
        <v>#REF!</v>
      </c>
      <c r="BK109" s="108" t="s">
        <v>1311</v>
      </c>
      <c r="BL109" s="32">
        <v>6</v>
      </c>
      <c r="BM109" s="32" t="s">
        <v>115</v>
      </c>
      <c r="BN109" s="83">
        <v>84.186000000000007</v>
      </c>
      <c r="BO109" s="31">
        <v>25.08</v>
      </c>
      <c r="BP109" s="32" t="s">
        <v>116</v>
      </c>
      <c r="BQ109" s="32" t="s">
        <v>101</v>
      </c>
      <c r="BR109" s="32" t="s">
        <v>116</v>
      </c>
      <c r="BS109" s="32">
        <v>60</v>
      </c>
      <c r="BT109" s="32">
        <v>45</v>
      </c>
      <c r="BU109" s="32">
        <v>9</v>
      </c>
      <c r="BV109" s="32">
        <v>3</v>
      </c>
      <c r="BW109" s="103">
        <v>3.93</v>
      </c>
    </row>
    <row r="110" spans="2:75" x14ac:dyDescent="0.25">
      <c r="B110" s="1">
        <v>2249</v>
      </c>
      <c r="C110" s="2"/>
      <c r="D110" s="146" t="s">
        <v>93</v>
      </c>
      <c r="E110" s="75" t="s">
        <v>93</v>
      </c>
      <c r="F110" s="75" t="s">
        <v>93</v>
      </c>
      <c r="G110" s="55" t="s">
        <v>1312</v>
      </c>
      <c r="H110" s="75" t="s">
        <v>93</v>
      </c>
      <c r="I110" s="55" t="s">
        <v>1313</v>
      </c>
      <c r="J110" s="55" t="s">
        <v>1314</v>
      </c>
      <c r="K110" s="55" t="s">
        <v>1315</v>
      </c>
      <c r="L110" s="55" t="s">
        <v>1316</v>
      </c>
      <c r="M110" s="123" t="s">
        <v>93</v>
      </c>
      <c r="N110" s="55" t="s">
        <v>1317</v>
      </c>
      <c r="O110" s="55" t="s">
        <v>1318</v>
      </c>
      <c r="P110" s="53" t="s">
        <v>93</v>
      </c>
      <c r="Q110" s="53" t="s">
        <v>93</v>
      </c>
      <c r="R110" s="76">
        <f>COUNTIFS([1]Fleet!$E:$E,Table1[[#This Row],[Old Assy '#]])+COUNTIFS([1]OnDeck!$E:$E,Table1[[#This Row],[Old Assy '#]])</f>
        <v>1</v>
      </c>
      <c r="S110" s="77">
        <v>43833</v>
      </c>
      <c r="T110" s="78"/>
      <c r="U110" s="78"/>
      <c r="V110" s="78"/>
      <c r="W110" s="56" t="str">
        <f>IF(AND(Table1[[#This Row],[Phase Out]]="Y",Table1[[#This Row],[Zero Inventory]]="Y"),"Y","")</f>
        <v/>
      </c>
      <c r="X110" s="79">
        <v>12.25</v>
      </c>
      <c r="Y110" s="63" t="s">
        <v>282</v>
      </c>
      <c r="Z110" s="59" t="str">
        <f>IF(LEFT(Table1[[#This Row],[Model]],2)="NX","NX",IF(LEFT(Table1[[#This Row],[Model]],2)="CR","CR",""))</f>
        <v>CR</v>
      </c>
      <c r="AA110" s="59" t="str">
        <f>LEFT(SUBSTITUTE(SUBSTITUTE(Table1[[#This Row],[Model]],"NX",""),"CR",""),1)</f>
        <v>5</v>
      </c>
      <c r="AB110" s="59" t="str">
        <f>MID(SUBSTITUTE(SUBSTITUTE(Table1[[#This Row],[Model]],"NX",""),"CR",""),2,2)</f>
        <v>19</v>
      </c>
      <c r="AC110" s="64" t="str">
        <f>IF(ISNUMBER(FIND("M",Table1[[#This Row],[Model]])),"M","")</f>
        <v/>
      </c>
      <c r="AD110" s="64" t="str">
        <f>CONCATENATE(MID(Table1[[#This Row],[Model]],FIND("-",Table1[[#This Row],[Model]])+1,2),IF(RIGHT(MID(Table1[[#This Row],[Model]],FIND("-",Table1[[#This Row],[Model]])+1,3),1)="+","+",""))</f>
        <v>SR</v>
      </c>
      <c r="AE110"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110" s="64" t="str">
        <f>IF(ISNUMBER(SEARCH("(K)",Table1[[#This Row],[Model]])),"(K)","")</f>
        <v/>
      </c>
      <c r="AG110" s="64" t="str">
        <f>IF(ISNUMBER(SEARCH("(BR)",Table1[[#This Row],[Model]])),"(BR)","")</f>
        <v/>
      </c>
      <c r="AH110" s="32" t="s">
        <v>103</v>
      </c>
      <c r="AI110" s="32" t="s">
        <v>126</v>
      </c>
      <c r="AJ110" s="32"/>
      <c r="AK110" s="32"/>
      <c r="AL110" s="32" t="s">
        <v>106</v>
      </c>
      <c r="AM110" s="64" t="str">
        <f>SUBSTITUTE(INDEX('[2]M1 App'!$A$2:$R$349,MATCH(VALUE(LEFT(Table1[[#This Row],[Old Assy '#]],4)),'[2]M1 App'!$B$2:$B$349,0),MATCH(Table1[[#Headers],[App Interval Type]],'[2]M1 App'!$A$1:$R$1,0))," ","")</f>
        <v>Vertical</v>
      </c>
      <c r="AN110" s="64" t="s">
        <v>139</v>
      </c>
      <c r="AO110" s="65"/>
      <c r="AP110" s="66"/>
      <c r="AQ110" s="67">
        <f>VALUE(SUBSTITUTE(INDEX('[2]M1 App'!$A$2:$R$349,MATCH(VALUE(LEFT(Table1[[#This Row],[Old Assy '#]],4)),'[2]M1 App'!$B$2:$B$349,0),MATCH(Table1[[#Headers],[App Six Three]],'[2]M1 App'!$A$1:$R$1,0))," ",""))</f>
        <v>0</v>
      </c>
      <c r="AR110" s="68" t="s">
        <v>284</v>
      </c>
      <c r="AS110" s="32">
        <v>15432</v>
      </c>
      <c r="AT110" s="102">
        <v>11.875</v>
      </c>
      <c r="AU110" s="69">
        <f>IF(ISNUMBER(Table1[[#This Row],[Above gauge Ø]]),((Table1[[#This Row],[Size]]-Table1[[#This Row],[Above gauge Ø]])/2)-0.05,"")</f>
        <v>0.13750000000000001</v>
      </c>
      <c r="AV110" s="70">
        <v>0.33</v>
      </c>
      <c r="AW110" s="32" t="s">
        <v>111</v>
      </c>
      <c r="AX110" s="32">
        <v>12.1875</v>
      </c>
      <c r="AY110" s="32" t="s">
        <v>140</v>
      </c>
      <c r="AZ110" s="32">
        <v>15</v>
      </c>
      <c r="BA110" s="32"/>
      <c r="BB110" s="82"/>
      <c r="BC110" s="82"/>
      <c r="BD110" s="82"/>
      <c r="BE110" s="82"/>
      <c r="BF110" s="32" t="s">
        <v>1319</v>
      </c>
      <c r="BG110" s="32">
        <v>15</v>
      </c>
      <c r="BH110" s="32" t="s">
        <v>1320</v>
      </c>
      <c r="BI110" s="32">
        <v>30</v>
      </c>
      <c r="BJ110" s="2" t="e">
        <f>CONCATENATE("► M1 Notes: ",#REF!," •-----► CL-SKF Notes: ",#REF!," •-----► DS Notes: ",#REF!)</f>
        <v>#REF!</v>
      </c>
      <c r="BK110" s="2"/>
      <c r="BL110" s="32">
        <v>3</v>
      </c>
      <c r="BM110" s="32" t="s">
        <v>115</v>
      </c>
      <c r="BN110" s="83">
        <v>33</v>
      </c>
      <c r="BO110" s="31">
        <v>36.840000000000003</v>
      </c>
      <c r="BP110" s="32" t="s">
        <v>101</v>
      </c>
      <c r="BQ110" s="32" t="s">
        <v>101</v>
      </c>
      <c r="BR110" s="32" t="s">
        <v>116</v>
      </c>
      <c r="BS110" s="32">
        <v>60</v>
      </c>
      <c r="BT110" s="32" t="s">
        <v>117</v>
      </c>
      <c r="BU110" s="32">
        <v>7</v>
      </c>
      <c r="BV110" s="32" t="s">
        <v>117</v>
      </c>
      <c r="BW110" s="103">
        <v>2.6</v>
      </c>
    </row>
    <row r="111" spans="2:75" x14ac:dyDescent="0.25">
      <c r="B111" s="1">
        <v>2251</v>
      </c>
      <c r="C111" s="2"/>
      <c r="D111" s="146" t="s">
        <v>93</v>
      </c>
      <c r="E111" s="75" t="s">
        <v>93</v>
      </c>
      <c r="F111" s="55" t="s">
        <v>1321</v>
      </c>
      <c r="G111" s="55" t="s">
        <v>1322</v>
      </c>
      <c r="H111" s="75" t="s">
        <v>93</v>
      </c>
      <c r="I111" s="55" t="s">
        <v>1323</v>
      </c>
      <c r="J111" s="55" t="s">
        <v>1324</v>
      </c>
      <c r="K111" s="55" t="s">
        <v>1325</v>
      </c>
      <c r="L111" s="55" t="s">
        <v>1326</v>
      </c>
      <c r="M111" s="55" t="s">
        <v>1327</v>
      </c>
      <c r="N111" s="55" t="s">
        <v>1328</v>
      </c>
      <c r="O111" s="55" t="s">
        <v>1329</v>
      </c>
      <c r="P111" s="53" t="s">
        <v>93</v>
      </c>
      <c r="Q111" s="53" t="s">
        <v>93</v>
      </c>
      <c r="R111" s="76">
        <f>COUNTIFS([1]Fleet!$E:$E,Table1[[#This Row],[Old Assy '#]])+COUNTIFS([1]OnDeck!$E:$E,Table1[[#This Row],[Old Assy '#]])</f>
        <v>1</v>
      </c>
      <c r="S111" s="77">
        <v>43846</v>
      </c>
      <c r="T111" s="78"/>
      <c r="U111" s="78"/>
      <c r="V111" s="78"/>
      <c r="W111" s="56" t="str">
        <f>IF(AND(Table1[[#This Row],[Phase Out]]="Y",Table1[[#This Row],[Zero Inventory]]="Y"),"Y","")</f>
        <v/>
      </c>
      <c r="X111" s="79">
        <v>12.25</v>
      </c>
      <c r="Y111" s="63" t="s">
        <v>728</v>
      </c>
      <c r="Z111" s="59" t="str">
        <f>IF(LEFT(Table1[[#This Row],[Model]],2)="NX","NX",IF(LEFT(Table1[[#This Row],[Model]],2)="CR","CR",""))</f>
        <v>CR</v>
      </c>
      <c r="AA111" s="59" t="str">
        <f>LEFT(SUBSTITUTE(SUBSTITUTE(Table1[[#This Row],[Model]],"NX",""),"CR",""),1)</f>
        <v>6</v>
      </c>
      <c r="AB111" s="59" t="str">
        <f>MID(SUBSTITUTE(SUBSTITUTE(Table1[[#This Row],[Model]],"NX",""),"CR",""),2,2)</f>
        <v>16</v>
      </c>
      <c r="AC111" s="64" t="str">
        <f>IF(ISNUMBER(FIND("M",Table1[[#This Row],[Model]])),"M","")</f>
        <v/>
      </c>
      <c r="AD111" s="64" t="str">
        <f>CONCATENATE(MID(Table1[[#This Row],[Model]],FIND("-",Table1[[#This Row],[Model]])+1,2),IF(RIGHT(MID(Table1[[#This Row],[Model]],FIND("-",Table1[[#This Row],[Model]])+1,3),1)="+","+",""))</f>
        <v>XR</v>
      </c>
      <c r="AE11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11" s="64" t="str">
        <f>IF(ISNUMBER(SEARCH("(K)",Table1[[#This Row],[Model]])),"(K)","")</f>
        <v>(K)</v>
      </c>
      <c r="AG111" s="64" t="str">
        <f>IF(ISNUMBER(SEARCH("(BR)",Table1[[#This Row],[Model]])),"(BR)","")</f>
        <v>(BR)</v>
      </c>
      <c r="AH111" s="32" t="s">
        <v>103</v>
      </c>
      <c r="AI111" s="32" t="s">
        <v>126</v>
      </c>
      <c r="AJ111" s="32" t="s">
        <v>1330</v>
      </c>
      <c r="AK111" s="32"/>
      <c r="AL111" s="32" t="s">
        <v>106</v>
      </c>
      <c r="AM111" s="64" t="str">
        <f>SUBSTITUTE(INDEX('[2]M1 App'!$A$2:$R$349,MATCH(VALUE(LEFT(Table1[[#This Row],[Old Assy '#]],4)),'[2]M1 App'!$B$2:$B$349,0),MATCH(Table1[[#Headers],[App Interval Type]],'[2]M1 App'!$A$1:$R$1,0))," ","")</f>
        <v>Vertical</v>
      </c>
      <c r="AN111" s="64" t="s">
        <v>127</v>
      </c>
      <c r="AO111" s="65"/>
      <c r="AP111" s="66"/>
      <c r="AQ111" s="67">
        <f>VALUE(SUBSTITUTE(INDEX('[2]M1 App'!$A$2:$R$349,MATCH(VALUE(LEFT(Table1[[#This Row],[Old Assy '#]],4)),'[2]M1 App'!$B$2:$B$349,0),MATCH(Table1[[#Headers],[App Six Three]],'[2]M1 App'!$A$1:$R$1,0))," ",""))</f>
        <v>0</v>
      </c>
      <c r="AR111" s="68" t="s">
        <v>284</v>
      </c>
      <c r="AS111" s="32">
        <v>165432</v>
      </c>
      <c r="AT111" s="102">
        <f>5.9688*2</f>
        <v>11.9376</v>
      </c>
      <c r="AU111" s="69">
        <f>IF(ISNUMBER(Table1[[#This Row],[Above gauge Ø]]),((Table1[[#This Row],[Size]]-Table1[[#This Row],[Above gauge Ø]])/2)-0.05,"")</f>
        <v>0.10620000000000011</v>
      </c>
      <c r="AV111" s="70">
        <v>0.33</v>
      </c>
      <c r="AW111" s="32" t="s">
        <v>111</v>
      </c>
      <c r="AX111" s="32">
        <f>6.0938*2</f>
        <v>12.1876</v>
      </c>
      <c r="AY111" s="32" t="s">
        <v>692</v>
      </c>
      <c r="AZ111" s="32">
        <v>15</v>
      </c>
      <c r="BA111" s="32"/>
      <c r="BB111" s="82">
        <v>0</v>
      </c>
      <c r="BC111" s="82">
        <v>0</v>
      </c>
      <c r="BD111" s="82"/>
      <c r="BE111" s="82"/>
      <c r="BF111" s="32">
        <v>15</v>
      </c>
      <c r="BG111" s="32" t="s">
        <v>1331</v>
      </c>
      <c r="BH111" s="32" t="s">
        <v>114</v>
      </c>
      <c r="BI111" s="32">
        <v>35</v>
      </c>
      <c r="BJ111" s="2" t="e">
        <f>CONCATENATE("► M1 Notes: ",#REF!," •-----► CL-SKF Notes: ",#REF!," •-----► DS Notes: ",#REF!)</f>
        <v>#REF!</v>
      </c>
      <c r="BK111" s="2"/>
      <c r="BL111" s="32">
        <v>6</v>
      </c>
      <c r="BM111" s="32" t="s">
        <v>115</v>
      </c>
      <c r="BN111" s="83">
        <v>80.7</v>
      </c>
      <c r="BO111" s="31">
        <v>33.840000000000003</v>
      </c>
      <c r="BP111" s="32" t="s">
        <v>116</v>
      </c>
      <c r="BQ111" s="32" t="s">
        <v>101</v>
      </c>
      <c r="BR111" s="32" t="s">
        <v>116</v>
      </c>
      <c r="BS111" s="32">
        <v>60</v>
      </c>
      <c r="BT111" s="32" t="s">
        <v>117</v>
      </c>
      <c r="BU111" s="32">
        <v>9</v>
      </c>
      <c r="BV111" s="32" t="s">
        <v>117</v>
      </c>
      <c r="BW111" s="103">
        <v>3.34</v>
      </c>
    </row>
    <row r="112" spans="2:75" x14ac:dyDescent="0.25">
      <c r="B112" s="1">
        <v>2252</v>
      </c>
      <c r="C112" s="2"/>
      <c r="D112" s="146" t="s">
        <v>93</v>
      </c>
      <c r="E112" s="75" t="s">
        <v>93</v>
      </c>
      <c r="F112" s="75" t="s">
        <v>93</v>
      </c>
      <c r="G112" s="55" t="s">
        <v>1332</v>
      </c>
      <c r="H112" s="55" t="s">
        <v>1333</v>
      </c>
      <c r="I112" s="55" t="s">
        <v>1334</v>
      </c>
      <c r="J112" s="55" t="s">
        <v>1335</v>
      </c>
      <c r="K112" s="55" t="s">
        <v>1336</v>
      </c>
      <c r="L112" s="55" t="s">
        <v>1337</v>
      </c>
      <c r="M112" s="75" t="s">
        <v>93</v>
      </c>
      <c r="N112" s="55" t="s">
        <v>1338</v>
      </c>
      <c r="O112" s="55" t="s">
        <v>1339</v>
      </c>
      <c r="P112" s="53" t="s">
        <v>93</v>
      </c>
      <c r="Q112" s="53" t="s">
        <v>93</v>
      </c>
      <c r="R112" s="76">
        <f>COUNTIFS([1]Fleet!$E:$E,Table1[[#This Row],[Old Assy '#]])+COUNTIFS([1]OnDeck!$E:$E,Table1[[#This Row],[Old Assy '#]])</f>
        <v>1</v>
      </c>
      <c r="S112" s="77">
        <v>43845</v>
      </c>
      <c r="T112" s="78"/>
      <c r="U112" s="78"/>
      <c r="V112" s="78"/>
      <c r="W112" s="56" t="str">
        <f>IF(AND(Table1[[#This Row],[Phase Out]]="Y",Table1[[#This Row],[Zero Inventory]]="Y"),"Y","")</f>
        <v/>
      </c>
      <c r="X112" s="79">
        <v>10.625</v>
      </c>
      <c r="Y112" s="63" t="s">
        <v>763</v>
      </c>
      <c r="Z112" s="59" t="str">
        <f>IF(LEFT(Table1[[#This Row],[Model]],2)="NX","NX",IF(LEFT(Table1[[#This Row],[Model]],2)="CR","CR",""))</f>
        <v>CR</v>
      </c>
      <c r="AA112" s="59" t="str">
        <f>LEFT(SUBSTITUTE(SUBSTITUTE(Table1[[#This Row],[Model]],"NX",""),"CR",""),1)</f>
        <v>6</v>
      </c>
      <c r="AB112" s="59" t="str">
        <f>MID(SUBSTITUTE(SUBSTITUTE(Table1[[#This Row],[Model]],"NX",""),"CR",""),2,2)</f>
        <v>16</v>
      </c>
      <c r="AC112" s="64" t="str">
        <f>IF(ISNUMBER(FIND("M",Table1[[#This Row],[Model]])),"M","")</f>
        <v/>
      </c>
      <c r="AD112" s="64" t="str">
        <f>CONCATENATE(MID(Table1[[#This Row],[Model]],FIND("-",Table1[[#This Row],[Model]])+1,2),IF(RIGHT(MID(Table1[[#This Row],[Model]],FIND("-",Table1[[#This Row],[Model]])+1,3),1)="+","+",""))</f>
        <v>SR</v>
      </c>
      <c r="AE112"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12" s="64" t="str">
        <f>IF(ISNUMBER(SEARCH("(K)",Table1[[#This Row],[Model]])),"(K)","")</f>
        <v>(K)</v>
      </c>
      <c r="AG112" s="64" t="str">
        <f>IF(ISNUMBER(SEARCH("(BR)",Table1[[#This Row],[Model]])),"(BR)","")</f>
        <v/>
      </c>
      <c r="AH112" s="32" t="s">
        <v>103</v>
      </c>
      <c r="AI112" s="32" t="s">
        <v>126</v>
      </c>
      <c r="AJ112" s="32"/>
      <c r="AK112" s="32"/>
      <c r="AL112" s="32" t="s">
        <v>106</v>
      </c>
      <c r="AM112" s="64" t="str">
        <f>SUBSTITUTE(INDEX('[2]M1 App'!$A$2:$R$349,MATCH(VALUE(LEFT(Table1[[#This Row],[Old Assy '#]],4)),'[2]M1 App'!$B$2:$B$349,0),MATCH(Table1[[#Headers],[App Interval Type]],'[2]M1 App'!$A$1:$R$1,0))," ","")</f>
        <v>Vertical</v>
      </c>
      <c r="AN112" s="64" t="s">
        <v>127</v>
      </c>
      <c r="AO112" s="65"/>
      <c r="AP112" s="66"/>
      <c r="AQ112" s="67">
        <f>VALUE(SUBSTITUTE(INDEX('[2]M1 App'!$A$2:$R$349,MATCH(VALUE(LEFT(Table1[[#This Row],[Old Assy '#]],4)),'[2]M1 App'!$B$2:$B$349,0),MATCH(Table1[[#Headers],[App Six Three]],'[2]M1 App'!$A$1:$R$1,0))," ",""))</f>
        <v>0.03</v>
      </c>
      <c r="AR112" s="68" t="s">
        <v>943</v>
      </c>
      <c r="AS112" s="32">
        <v>125634</v>
      </c>
      <c r="AT112" s="32">
        <v>10.3125</v>
      </c>
      <c r="AU112" s="69">
        <f>IF(ISNUMBER(Table1[[#This Row],[Above gauge Ø]]),((Table1[[#This Row],[Size]]-Table1[[#This Row],[Above gauge Ø]])/2)-0.05,"")</f>
        <v>0.10625</v>
      </c>
      <c r="AV112" s="70">
        <v>0.33</v>
      </c>
      <c r="AW112" s="32" t="s">
        <v>180</v>
      </c>
      <c r="AX112" s="32">
        <v>10.439</v>
      </c>
      <c r="AY112" s="32" t="s">
        <v>1290</v>
      </c>
      <c r="AZ112" s="32">
        <v>15</v>
      </c>
      <c r="BA112" s="32">
        <v>30</v>
      </c>
      <c r="BB112" s="82"/>
      <c r="BC112" s="82"/>
      <c r="BD112" s="82"/>
      <c r="BE112" s="82"/>
      <c r="BF112" s="32">
        <v>15</v>
      </c>
      <c r="BG112" s="32">
        <v>15</v>
      </c>
      <c r="BH112" s="32" t="s">
        <v>322</v>
      </c>
      <c r="BI112" s="32">
        <v>35</v>
      </c>
      <c r="BJ112" s="108" t="e">
        <f>CONCATENATE("► M1 Notes: ",#REF!," •-----► CL-SKF Notes: ",#REF!," •-----► DS Notes: ",#REF!)</f>
        <v>#REF!</v>
      </c>
      <c r="BK112" s="108" t="s">
        <v>1340</v>
      </c>
      <c r="BL112" s="32">
        <v>5</v>
      </c>
      <c r="BM112" s="32" t="s">
        <v>115</v>
      </c>
      <c r="BN112" s="83">
        <v>46.26</v>
      </c>
      <c r="BO112" s="31">
        <v>27.57</v>
      </c>
      <c r="BP112" s="32" t="s">
        <v>101</v>
      </c>
      <c r="BQ112" s="32" t="s">
        <v>101</v>
      </c>
      <c r="BR112" s="32" t="s">
        <v>116</v>
      </c>
      <c r="BS112" s="32">
        <v>60</v>
      </c>
      <c r="BT112" s="32" t="s">
        <v>117</v>
      </c>
      <c r="BU112" s="32">
        <v>6</v>
      </c>
      <c r="BV112" s="32" t="s">
        <v>117</v>
      </c>
      <c r="BW112" s="103">
        <v>2.23</v>
      </c>
    </row>
    <row r="113" spans="2:75" x14ac:dyDescent="0.25">
      <c r="B113" s="1">
        <v>2256</v>
      </c>
      <c r="C113" s="2"/>
      <c r="D113" s="146" t="s">
        <v>93</v>
      </c>
      <c r="E113" s="75" t="s">
        <v>93</v>
      </c>
      <c r="F113" s="75" t="s">
        <v>93</v>
      </c>
      <c r="G113" s="55" t="s">
        <v>1341</v>
      </c>
      <c r="H113" s="75" t="s">
        <v>93</v>
      </c>
      <c r="I113" s="55" t="s">
        <v>1342</v>
      </c>
      <c r="J113" s="55" t="s">
        <v>1343</v>
      </c>
      <c r="K113" s="55" t="s">
        <v>1344</v>
      </c>
      <c r="L113" s="55" t="s">
        <v>1345</v>
      </c>
      <c r="M113" s="75" t="s">
        <v>93</v>
      </c>
      <c r="N113" s="55" t="s">
        <v>1346</v>
      </c>
      <c r="O113" s="55" t="s">
        <v>1347</v>
      </c>
      <c r="P113" s="53" t="s">
        <v>93</v>
      </c>
      <c r="Q113" s="53" t="s">
        <v>93</v>
      </c>
      <c r="R113" s="76">
        <f>COUNTIFS([1]Fleet!$E:$E,Table1[[#This Row],[Old Assy '#]])+COUNTIFS([1]OnDeck!$E:$E,Table1[[#This Row],[Old Assy '#]])</f>
        <v>1</v>
      </c>
      <c r="S113" s="77">
        <v>43860</v>
      </c>
      <c r="T113" s="78"/>
      <c r="U113" s="78"/>
      <c r="V113" s="78"/>
      <c r="W113" s="56" t="str">
        <f>IF(AND(Table1[[#This Row],[Phase Out]]="Y",Table1[[#This Row],[Zero Inventory]]="Y"),"Y","")</f>
        <v/>
      </c>
      <c r="X113" s="79">
        <v>14.75</v>
      </c>
      <c r="Y113" s="63" t="s">
        <v>856</v>
      </c>
      <c r="Z113" s="59" t="str">
        <f>IF(LEFT(Table1[[#This Row],[Model]],2)="NX","NX",IF(LEFT(Table1[[#This Row],[Model]],2)="CR","CR",""))</f>
        <v>CR</v>
      </c>
      <c r="AA113" s="59" t="str">
        <f>LEFT(SUBSTITUTE(SUBSTITUTE(Table1[[#This Row],[Model]],"NX",""),"CR",""),1)</f>
        <v>6</v>
      </c>
      <c r="AB113" s="59" t="str">
        <f>MID(SUBSTITUTE(SUBSTITUTE(Table1[[#This Row],[Model]],"NX",""),"CR",""),2,2)</f>
        <v>16</v>
      </c>
      <c r="AC113" s="64" t="str">
        <f>IF(ISNUMBER(FIND("M",Table1[[#This Row],[Model]])),"M","")</f>
        <v/>
      </c>
      <c r="AD113" s="64" t="str">
        <f>CONCATENATE(MID(Table1[[#This Row],[Model]],FIND("-",Table1[[#This Row],[Model]])+1,2),IF(RIGHT(MID(Table1[[#This Row],[Model]],FIND("-",Table1[[#This Row],[Model]])+1,3),1)="+","+",""))</f>
        <v>SR</v>
      </c>
      <c r="AE11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13" s="64" t="str">
        <f>IF(ISNUMBER(SEARCH("(K)",Table1[[#This Row],[Model]])),"(K)","")</f>
        <v>(K)</v>
      </c>
      <c r="AG113" s="64" t="str">
        <f>IF(ISNUMBER(SEARCH("(BR)",Table1[[#This Row],[Model]])),"(BR)","")</f>
        <v/>
      </c>
      <c r="AH113" s="32" t="s">
        <v>103</v>
      </c>
      <c r="AI113" s="32" t="s">
        <v>126</v>
      </c>
      <c r="AJ113" s="114" t="s">
        <v>452</v>
      </c>
      <c r="AK113" s="32"/>
      <c r="AL113" s="32" t="s">
        <v>106</v>
      </c>
      <c r="AM113" s="64" t="str">
        <f>SUBSTITUTE(INDEX('[2]M1 App'!$A$2:$R$349,MATCH(VALUE(LEFT(Table1[[#This Row],[Old Assy '#]],4)),'[2]M1 App'!$B$2:$B$349,0),MATCH(Table1[[#Headers],[App Interval Type]],'[2]M1 App'!$A$1:$R$1,0))," ","")</f>
        <v>Vertical</v>
      </c>
      <c r="AN113" s="64" t="s">
        <v>139</v>
      </c>
      <c r="AO113" s="65"/>
      <c r="AP113" s="66"/>
      <c r="AQ113" s="67">
        <f>VALUE(SUBSTITUTE(INDEX('[2]M1 App'!$A$2:$R$349,MATCH(VALUE(LEFT(Table1[[#This Row],[Old Assy '#]],4)),'[2]M1 App'!$B$2:$B$349,0),MATCH(Table1[[#Headers],[App Six Three]],'[2]M1 App'!$A$1:$R$1,0))," ",""))</f>
        <v>0</v>
      </c>
      <c r="AR113" s="68" t="s">
        <v>284</v>
      </c>
      <c r="AS113" s="32">
        <v>165432</v>
      </c>
      <c r="AT113" s="32">
        <v>14.25</v>
      </c>
      <c r="AU113" s="69">
        <f>IF(ISNUMBER(Table1[[#This Row],[Above gauge Ø]]),((Table1[[#This Row],[Size]]-Table1[[#This Row],[Above gauge Ø]])/2)-0.05,"")</f>
        <v>0.2</v>
      </c>
      <c r="AV113" s="70">
        <v>0.33</v>
      </c>
      <c r="AW113" s="32" t="s">
        <v>111</v>
      </c>
      <c r="AX113" s="32">
        <v>14.5625</v>
      </c>
      <c r="AY113" s="32" t="s">
        <v>411</v>
      </c>
      <c r="AZ113" s="32">
        <v>15</v>
      </c>
      <c r="BA113" s="32"/>
      <c r="BB113" s="82"/>
      <c r="BC113" s="82"/>
      <c r="BD113" s="82">
        <v>10</v>
      </c>
      <c r="BE113" s="82">
        <v>0</v>
      </c>
      <c r="BF113" s="32" t="s">
        <v>1222</v>
      </c>
      <c r="BG113" s="32">
        <v>20</v>
      </c>
      <c r="BH113" s="32" t="s">
        <v>1348</v>
      </c>
      <c r="BI113" s="32">
        <v>40</v>
      </c>
      <c r="BJ113" s="17" t="e">
        <f>CONCATENATE("► M1 Notes: ",#REF!," •-----► CL-SKF Notes: ",#REF!," •-----► DS Notes: ",#REF!)</f>
        <v>#REF!</v>
      </c>
      <c r="BK113" s="2"/>
      <c r="BL113" s="32">
        <v>6.5</v>
      </c>
      <c r="BM113" s="32" t="s">
        <v>115</v>
      </c>
      <c r="BN113" s="83">
        <v>96.38</v>
      </c>
      <c r="BO113" s="31">
        <v>56.22</v>
      </c>
      <c r="BP113" s="32" t="s">
        <v>116</v>
      </c>
      <c r="BQ113" s="32" t="s">
        <v>101</v>
      </c>
      <c r="BR113" s="32" t="s">
        <v>116</v>
      </c>
      <c r="BS113" s="32">
        <v>60</v>
      </c>
      <c r="BT113" s="32" t="s">
        <v>117</v>
      </c>
      <c r="BU113" s="32">
        <v>9</v>
      </c>
      <c r="BV113" s="32" t="s">
        <v>117</v>
      </c>
      <c r="BW113" s="103">
        <v>3.34</v>
      </c>
    </row>
    <row r="114" spans="2:75" x14ac:dyDescent="0.25">
      <c r="B114" s="1">
        <v>2265</v>
      </c>
      <c r="C114" s="2"/>
      <c r="D114" s="146" t="s">
        <v>93</v>
      </c>
      <c r="E114" s="75" t="s">
        <v>93</v>
      </c>
      <c r="F114" s="55" t="s">
        <v>1349</v>
      </c>
      <c r="G114" s="55" t="s">
        <v>1350</v>
      </c>
      <c r="H114" s="75" t="s">
        <v>93</v>
      </c>
      <c r="I114" s="55" t="s">
        <v>1351</v>
      </c>
      <c r="J114" s="55" t="s">
        <v>1352</v>
      </c>
      <c r="K114" s="55" t="s">
        <v>1353</v>
      </c>
      <c r="L114" s="55" t="s">
        <v>1354</v>
      </c>
      <c r="M114" s="55" t="s">
        <v>1355</v>
      </c>
      <c r="N114" s="55" t="s">
        <v>1356</v>
      </c>
      <c r="O114" s="55" t="s">
        <v>1357</v>
      </c>
      <c r="P114" s="53" t="s">
        <v>93</v>
      </c>
      <c r="Q114" s="53" t="s">
        <v>93</v>
      </c>
      <c r="R114" s="76">
        <f>COUNTIFS([1]Fleet!$E:$E,Table1[[#This Row],[Old Assy '#]])+COUNTIFS([1]OnDeck!$E:$E,Table1[[#This Row],[Old Assy '#]])</f>
        <v>1</v>
      </c>
      <c r="S114" s="77">
        <v>44130</v>
      </c>
      <c r="T114" s="78"/>
      <c r="U114" s="78"/>
      <c r="V114" s="78"/>
      <c r="W114" s="56" t="str">
        <f>IF(AND(Table1[[#This Row],[Phase Out]]="Y",Table1[[#This Row],[Zero Inventory]]="Y"),"Y","")</f>
        <v/>
      </c>
      <c r="X114" s="79">
        <v>12.25</v>
      </c>
      <c r="Y114" s="63" t="s">
        <v>728</v>
      </c>
      <c r="Z114" s="59" t="str">
        <f>IF(LEFT(Table1[[#This Row],[Model]],2)="NX","NX",IF(LEFT(Table1[[#This Row],[Model]],2)="CR","CR",""))</f>
        <v>CR</v>
      </c>
      <c r="AA114" s="59" t="str">
        <f>LEFT(SUBSTITUTE(SUBSTITUTE(Table1[[#This Row],[Model]],"NX",""),"CR",""),1)</f>
        <v>6</v>
      </c>
      <c r="AB114" s="59" t="str">
        <f>MID(SUBSTITUTE(SUBSTITUTE(Table1[[#This Row],[Model]],"NX",""),"CR",""),2,2)</f>
        <v>16</v>
      </c>
      <c r="AC114" s="64" t="str">
        <f>IF(ISNUMBER(FIND("M",Table1[[#This Row],[Model]])),"M","")</f>
        <v/>
      </c>
      <c r="AD114" s="64" t="str">
        <f>CONCATENATE(MID(Table1[[#This Row],[Model]],FIND("-",Table1[[#This Row],[Model]])+1,2),IF(RIGHT(MID(Table1[[#This Row],[Model]],FIND("-",Table1[[#This Row],[Model]])+1,3),1)="+","+",""))</f>
        <v>XR</v>
      </c>
      <c r="AE11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14" s="64" t="str">
        <f>IF(ISNUMBER(SEARCH("(K)",Table1[[#This Row],[Model]])),"(K)","")</f>
        <v>(K)</v>
      </c>
      <c r="AG114" s="64" t="str">
        <f>IF(ISNUMBER(SEARCH("(BR)",Table1[[#This Row],[Model]])),"(BR)","")</f>
        <v>(BR)</v>
      </c>
      <c r="AH114" s="32" t="s">
        <v>103</v>
      </c>
      <c r="AI114" s="95" t="s">
        <v>126</v>
      </c>
      <c r="AJ114" s="124" t="s">
        <v>452</v>
      </c>
      <c r="AK114" s="95"/>
      <c r="AL114" s="32" t="s">
        <v>106</v>
      </c>
      <c r="AM114" s="64" t="str">
        <f>SUBSTITUTE(INDEX('[2]M1 App'!$A$2:$R$349,MATCH(VALUE(LEFT(Table1[[#This Row],[Old Assy '#]],4)),'[2]M1 App'!$B$2:$B$349,0),MATCH(Table1[[#Headers],[App Interval Type]],'[2]M1 App'!$A$1:$R$1,0))," ","")</f>
        <v>Vertical</v>
      </c>
      <c r="AN114" s="64" t="s">
        <v>127</v>
      </c>
      <c r="AO114" s="65"/>
      <c r="AP114" s="66"/>
      <c r="AQ114" s="67">
        <f>VALUE(SUBSTITUTE(INDEX('[2]M1 App'!$A$2:$R$349,MATCH(VALUE(LEFT(Table1[[#This Row],[Old Assy '#]],4)),'[2]M1 App'!$B$2:$B$349,0),MATCH(Table1[[#Headers],[App Six Three]],'[2]M1 App'!$A$1:$R$1,0))," ",""))</f>
        <v>0.03</v>
      </c>
      <c r="AR114" s="68" t="s">
        <v>943</v>
      </c>
      <c r="AS114" s="32">
        <v>143652</v>
      </c>
      <c r="AT114" s="102">
        <v>11.875</v>
      </c>
      <c r="AU114" s="69">
        <f>IF(ISNUMBER(Table1[[#This Row],[Above gauge Ø]]),((Table1[[#This Row],[Size]]-Table1[[#This Row],[Above gauge Ø]])/2)-0.05,"")</f>
        <v>0.13750000000000001</v>
      </c>
      <c r="AV114" s="70">
        <v>0.33</v>
      </c>
      <c r="AW114" s="32" t="s">
        <v>111</v>
      </c>
      <c r="AX114" s="32">
        <v>12.07</v>
      </c>
      <c r="AY114" s="32" t="s">
        <v>944</v>
      </c>
      <c r="AZ114" s="32">
        <v>15</v>
      </c>
      <c r="BA114" s="32">
        <v>30</v>
      </c>
      <c r="BB114" s="82">
        <v>170</v>
      </c>
      <c r="BC114" s="82">
        <v>140</v>
      </c>
      <c r="BD114" s="82">
        <v>360</v>
      </c>
      <c r="BE114" s="82"/>
      <c r="BF114" s="32">
        <v>17.5</v>
      </c>
      <c r="BG114" s="32">
        <v>15</v>
      </c>
      <c r="BH114" s="32" t="s">
        <v>553</v>
      </c>
      <c r="BI114" s="32">
        <v>35</v>
      </c>
      <c r="BJ114" s="17" t="e">
        <f>CONCATENATE("► M1 Notes: ",#REF!," •-----► CL-SKF Notes: ",#REF!," •-----► DS Notes: ",#REF!)</f>
        <v>#REF!</v>
      </c>
      <c r="BK114" s="17"/>
      <c r="BL114" s="32">
        <v>6</v>
      </c>
      <c r="BM114" s="32" t="s">
        <v>115</v>
      </c>
      <c r="BN114" s="83">
        <v>64.459000000000003</v>
      </c>
      <c r="BO114" s="31">
        <v>33.840000000000003</v>
      </c>
      <c r="BP114" s="32" t="s">
        <v>116</v>
      </c>
      <c r="BQ114" s="32" t="s">
        <v>101</v>
      </c>
      <c r="BR114" s="32" t="s">
        <v>116</v>
      </c>
      <c r="BS114" s="32">
        <v>60</v>
      </c>
      <c r="BT114" s="32" t="s">
        <v>117</v>
      </c>
      <c r="BU114" s="32">
        <v>9</v>
      </c>
      <c r="BV114" s="32" t="s">
        <v>117</v>
      </c>
      <c r="BW114" s="103">
        <v>3.34</v>
      </c>
    </row>
    <row r="115" spans="2:75" x14ac:dyDescent="0.25">
      <c r="B115" s="1">
        <v>2266</v>
      </c>
      <c r="C115" s="2"/>
      <c r="D115" s="146" t="s">
        <v>93</v>
      </c>
      <c r="E115" s="75" t="s">
        <v>93</v>
      </c>
      <c r="F115" s="112" t="s">
        <v>1358</v>
      </c>
      <c r="G115" s="55" t="s">
        <v>1359</v>
      </c>
      <c r="H115" s="75" t="s">
        <v>93</v>
      </c>
      <c r="I115" s="55" t="s">
        <v>1360</v>
      </c>
      <c r="J115" s="55" t="s">
        <v>1361</v>
      </c>
      <c r="K115" s="55" t="s">
        <v>1362</v>
      </c>
      <c r="L115" s="55" t="s">
        <v>1363</v>
      </c>
      <c r="M115" s="55" t="s">
        <v>1364</v>
      </c>
      <c r="N115" s="55" t="s">
        <v>1365</v>
      </c>
      <c r="O115" s="55" t="s">
        <v>1366</v>
      </c>
      <c r="P115" s="54" t="s">
        <v>1367</v>
      </c>
      <c r="Q115" s="53" t="s">
        <v>93</v>
      </c>
      <c r="R115" s="76">
        <f>COUNTIFS([1]Fleet!$E:$E,Table1[[#This Row],[Old Assy '#]])+COUNTIFS([1]OnDeck!$E:$E,Table1[[#This Row],[Old Assy '#]])</f>
        <v>1</v>
      </c>
      <c r="S115" s="77">
        <v>44230</v>
      </c>
      <c r="T115" s="78"/>
      <c r="U115" s="78"/>
      <c r="V115" s="78"/>
      <c r="W115" s="56" t="str">
        <f>IF(AND(Table1[[#This Row],[Phase Out]]="Y",Table1[[#This Row],[Zero Inventory]]="Y"),"Y","")</f>
        <v/>
      </c>
      <c r="X115" s="79">
        <v>12.25</v>
      </c>
      <c r="Y115" s="63" t="s">
        <v>728</v>
      </c>
      <c r="Z115" s="59" t="str">
        <f>IF(LEFT(Table1[[#This Row],[Model]],2)="NX","NX",IF(LEFT(Table1[[#This Row],[Model]],2)="CR","CR",""))</f>
        <v>CR</v>
      </c>
      <c r="AA115" s="59" t="str">
        <f>LEFT(SUBSTITUTE(SUBSTITUTE(Table1[[#This Row],[Model]],"NX",""),"CR",""),1)</f>
        <v>6</v>
      </c>
      <c r="AB115" s="59" t="str">
        <f>MID(SUBSTITUTE(SUBSTITUTE(Table1[[#This Row],[Model]],"NX",""),"CR",""),2,2)</f>
        <v>16</v>
      </c>
      <c r="AC115" s="64" t="str">
        <f>IF(ISNUMBER(FIND("M",Table1[[#This Row],[Model]])),"M","")</f>
        <v/>
      </c>
      <c r="AD115" s="64" t="str">
        <f>CONCATENATE(MID(Table1[[#This Row],[Model]],FIND("-",Table1[[#This Row],[Model]])+1,2),IF(RIGHT(MID(Table1[[#This Row],[Model]],FIND("-",Table1[[#This Row],[Model]])+1,3),1)="+","+",""))</f>
        <v>XR</v>
      </c>
      <c r="AE115"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15" s="64" t="str">
        <f>IF(ISNUMBER(SEARCH("(K)",Table1[[#This Row],[Model]])),"(K)","")</f>
        <v>(K)</v>
      </c>
      <c r="AG115" s="64" t="str">
        <f>IF(ISNUMBER(SEARCH("(BR)",Table1[[#This Row],[Model]])),"(BR)","")</f>
        <v>(BR)</v>
      </c>
      <c r="AH115" s="32" t="s">
        <v>103</v>
      </c>
      <c r="AI115" s="32" t="s">
        <v>126</v>
      </c>
      <c r="AJ115" s="114" t="s">
        <v>452</v>
      </c>
      <c r="AK115" s="32"/>
      <c r="AL115" s="32" t="s">
        <v>106</v>
      </c>
      <c r="AM115" s="64" t="str">
        <f>SUBSTITUTE(INDEX('[2]M1 App'!$A$2:$R$349,MATCH(VALUE(LEFT(Table1[[#This Row],[Old Assy '#]],4)),'[2]M1 App'!$B$2:$B$349,0),MATCH(Table1[[#Headers],[App Interval Type]],'[2]M1 App'!$A$1:$R$1,0))," ","")</f>
        <v>Vertical</v>
      </c>
      <c r="AN115" s="64" t="s">
        <v>127</v>
      </c>
      <c r="AO115" s="65"/>
      <c r="AP115" s="66"/>
      <c r="AQ115" s="67">
        <f>VALUE(SUBSTITUTE(INDEX('[2]M1 App'!$A$2:$R$349,MATCH(VALUE(LEFT(Table1[[#This Row],[Old Assy '#]],4)),'[2]M1 App'!$B$2:$B$349,0),MATCH(Table1[[#Headers],[App Six Three]],'[2]M1 App'!$A$1:$R$1,0))," ",""))</f>
        <v>0.06</v>
      </c>
      <c r="AR115" s="68" t="s">
        <v>943</v>
      </c>
      <c r="AS115" s="32">
        <v>143652</v>
      </c>
      <c r="AT115" s="102">
        <v>11.875</v>
      </c>
      <c r="AU115" s="69">
        <f>IF(ISNUMBER(Table1[[#This Row],[Above gauge Ø]]),((Table1[[#This Row],[Size]]-Table1[[#This Row],[Above gauge Ø]])/2)-0.05,"")</f>
        <v>0.13750000000000001</v>
      </c>
      <c r="AV115" s="70">
        <v>0.33</v>
      </c>
      <c r="AW115" s="32" t="s">
        <v>111</v>
      </c>
      <c r="AX115" s="32">
        <v>12.07</v>
      </c>
      <c r="AY115" s="32" t="s">
        <v>944</v>
      </c>
      <c r="AZ115" s="32">
        <v>15</v>
      </c>
      <c r="BA115" s="32">
        <v>60</v>
      </c>
      <c r="BB115" s="82">
        <v>170</v>
      </c>
      <c r="BC115" s="82">
        <v>140</v>
      </c>
      <c r="BD115" s="82">
        <v>360</v>
      </c>
      <c r="BE115" s="82"/>
      <c r="BF115" s="32">
        <v>17.5</v>
      </c>
      <c r="BG115" s="32">
        <v>15</v>
      </c>
      <c r="BH115" s="32" t="s">
        <v>553</v>
      </c>
      <c r="BI115" s="32">
        <v>35</v>
      </c>
      <c r="BJ115" s="17" t="e">
        <f>CONCATENATE("► M1 Notes: ",#REF!," •-----► CL-SKF Notes: ",#REF!," •-----► DS Notes: ",#REF!)</f>
        <v>#REF!</v>
      </c>
      <c r="BK115" s="17"/>
      <c r="BL115" s="32">
        <v>6</v>
      </c>
      <c r="BM115" s="32" t="s">
        <v>115</v>
      </c>
      <c r="BN115" s="83">
        <v>63.6</v>
      </c>
      <c r="BO115" s="31">
        <v>33.840000000000003</v>
      </c>
      <c r="BP115" s="32" t="s">
        <v>116</v>
      </c>
      <c r="BQ115" s="32" t="s">
        <v>101</v>
      </c>
      <c r="BR115" s="32" t="s">
        <v>116</v>
      </c>
      <c r="BS115" s="32">
        <v>60</v>
      </c>
      <c r="BT115" s="32" t="s">
        <v>117</v>
      </c>
      <c r="BU115" s="32">
        <v>9</v>
      </c>
      <c r="BV115" s="32" t="s">
        <v>117</v>
      </c>
      <c r="BW115" s="103">
        <v>3.34</v>
      </c>
    </row>
    <row r="116" spans="2:75" x14ac:dyDescent="0.25">
      <c r="B116" s="1">
        <v>2267</v>
      </c>
      <c r="C116" s="2"/>
      <c r="D116" s="146" t="s">
        <v>93</v>
      </c>
      <c r="E116" s="75" t="s">
        <v>93</v>
      </c>
      <c r="F116" s="55" t="s">
        <v>1368</v>
      </c>
      <c r="G116" s="55" t="s">
        <v>1369</v>
      </c>
      <c r="H116" s="75" t="s">
        <v>93</v>
      </c>
      <c r="I116" s="55" t="s">
        <v>1370</v>
      </c>
      <c r="J116" s="55" t="s">
        <v>1371</v>
      </c>
      <c r="K116" s="55" t="s">
        <v>1372</v>
      </c>
      <c r="L116" s="55" t="s">
        <v>1373</v>
      </c>
      <c r="M116" s="55" t="s">
        <v>1374</v>
      </c>
      <c r="N116" s="55" t="s">
        <v>1375</v>
      </c>
      <c r="O116" s="55" t="s">
        <v>1376</v>
      </c>
      <c r="P116" s="53" t="s">
        <v>93</v>
      </c>
      <c r="Q116" s="53" t="s">
        <v>93</v>
      </c>
      <c r="R116" s="76">
        <f>COUNTIFS([1]Fleet!$E:$E,Table1[[#This Row],[Old Assy '#]])+COUNTIFS([1]OnDeck!$E:$E,Table1[[#This Row],[Old Assy '#]])</f>
        <v>1</v>
      </c>
      <c r="S116" s="77">
        <v>44230</v>
      </c>
      <c r="T116" s="78"/>
      <c r="U116" s="78"/>
      <c r="V116" s="78"/>
      <c r="W116" s="56" t="str">
        <f>IF(AND(Table1[[#This Row],[Phase Out]]="Y",Table1[[#This Row],[Zero Inventory]]="Y"),"Y","")</f>
        <v/>
      </c>
      <c r="X116" s="79">
        <v>12.25</v>
      </c>
      <c r="Y116" s="63" t="s">
        <v>728</v>
      </c>
      <c r="Z116" s="59" t="str">
        <f>IF(LEFT(Table1[[#This Row],[Model]],2)="NX","NX",IF(LEFT(Table1[[#This Row],[Model]],2)="CR","CR",""))</f>
        <v>CR</v>
      </c>
      <c r="AA116" s="59" t="str">
        <f>LEFT(SUBSTITUTE(SUBSTITUTE(Table1[[#This Row],[Model]],"NX",""),"CR",""),1)</f>
        <v>6</v>
      </c>
      <c r="AB116" s="59" t="str">
        <f>MID(SUBSTITUTE(SUBSTITUTE(Table1[[#This Row],[Model]],"NX",""),"CR",""),2,2)</f>
        <v>16</v>
      </c>
      <c r="AC116" s="64" t="str">
        <f>IF(ISNUMBER(FIND("M",Table1[[#This Row],[Model]])),"M","")</f>
        <v/>
      </c>
      <c r="AD116" s="64" t="str">
        <f>CONCATENATE(MID(Table1[[#This Row],[Model]],FIND("-",Table1[[#This Row],[Model]])+1,2),IF(RIGHT(MID(Table1[[#This Row],[Model]],FIND("-",Table1[[#This Row],[Model]])+1,3),1)="+","+",""))</f>
        <v>XR</v>
      </c>
      <c r="AE116"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16" s="64" t="str">
        <f>IF(ISNUMBER(SEARCH("(K)",Table1[[#This Row],[Model]])),"(K)","")</f>
        <v>(K)</v>
      </c>
      <c r="AG116" s="64" t="str">
        <f>IF(ISNUMBER(SEARCH("(BR)",Table1[[#This Row],[Model]])),"(BR)","")</f>
        <v>(BR)</v>
      </c>
      <c r="AH116" s="32" t="s">
        <v>103</v>
      </c>
      <c r="AI116" s="32" t="s">
        <v>126</v>
      </c>
      <c r="AJ116" s="114" t="s">
        <v>452</v>
      </c>
      <c r="AK116" s="32"/>
      <c r="AL116" s="32" t="s">
        <v>106</v>
      </c>
      <c r="AM116" s="64" t="str">
        <f>SUBSTITUTE(INDEX('[2]M1 App'!$A$2:$R$349,MATCH(VALUE(LEFT(Table1[[#This Row],[Old Assy '#]],4)),'[2]M1 App'!$B$2:$B$349,0),MATCH(Table1[[#Headers],[App Interval Type]],'[2]M1 App'!$A$1:$R$1,0))," ","")</f>
        <v>Vertical</v>
      </c>
      <c r="AN116" s="64" t="s">
        <v>127</v>
      </c>
      <c r="AO116" s="65"/>
      <c r="AP116" s="66"/>
      <c r="AQ116" s="67">
        <f>VALUE(SUBSTITUTE(INDEX('[2]M1 App'!$A$2:$R$349,MATCH(VALUE(LEFT(Table1[[#This Row],[Old Assy '#]],4)),'[2]M1 App'!$B$2:$B$349,0),MATCH(Table1[[#Headers],[App Six Three]],'[2]M1 App'!$A$1:$R$1,0))," ",""))</f>
        <v>0.09</v>
      </c>
      <c r="AR116" s="68" t="s">
        <v>943</v>
      </c>
      <c r="AS116" s="32">
        <v>143652</v>
      </c>
      <c r="AT116" s="102">
        <v>11.875</v>
      </c>
      <c r="AU116" s="69">
        <f>IF(ISNUMBER(Table1[[#This Row],[Above gauge Ø]]),((Table1[[#This Row],[Size]]-Table1[[#This Row],[Above gauge Ø]])/2)-0.05,"")</f>
        <v>0.13750000000000001</v>
      </c>
      <c r="AV116" s="70">
        <v>0.33</v>
      </c>
      <c r="AW116" s="32" t="s">
        <v>111</v>
      </c>
      <c r="AX116" s="32">
        <v>12.07</v>
      </c>
      <c r="AY116" s="32" t="s">
        <v>944</v>
      </c>
      <c r="AZ116" s="32">
        <v>15</v>
      </c>
      <c r="BA116" s="32">
        <v>90</v>
      </c>
      <c r="BB116" s="82">
        <v>170</v>
      </c>
      <c r="BC116" s="82">
        <v>140</v>
      </c>
      <c r="BD116" s="82">
        <v>360</v>
      </c>
      <c r="BE116" s="82"/>
      <c r="BF116" s="32">
        <v>17.5</v>
      </c>
      <c r="BG116" s="32">
        <v>15</v>
      </c>
      <c r="BH116" s="32" t="s">
        <v>553</v>
      </c>
      <c r="BI116" s="32">
        <v>35</v>
      </c>
      <c r="BJ116" s="17" t="e">
        <f>CONCATENATE("► M1 Notes: ",#REF!," •-----► CL-SKF Notes: ",#REF!," •-----► DS Notes: ",#REF!)</f>
        <v>#REF!</v>
      </c>
      <c r="BK116" s="2"/>
      <c r="BL116" s="32">
        <v>6</v>
      </c>
      <c r="BM116" s="32" t="s">
        <v>115</v>
      </c>
      <c r="BN116" s="83">
        <v>63.6</v>
      </c>
      <c r="BO116" s="31">
        <v>33.840000000000003</v>
      </c>
      <c r="BP116" s="32" t="s">
        <v>116</v>
      </c>
      <c r="BQ116" s="32" t="s">
        <v>101</v>
      </c>
      <c r="BR116" s="32" t="s">
        <v>116</v>
      </c>
      <c r="BS116" s="32">
        <v>60</v>
      </c>
      <c r="BT116" s="32" t="s">
        <v>117</v>
      </c>
      <c r="BU116" s="32">
        <v>9</v>
      </c>
      <c r="BV116" s="32" t="s">
        <v>117</v>
      </c>
      <c r="BW116" s="103">
        <v>3.34</v>
      </c>
    </row>
    <row r="117" spans="2:75" x14ac:dyDescent="0.25">
      <c r="B117" s="1">
        <v>2268</v>
      </c>
      <c r="C117" s="2"/>
      <c r="D117" s="146" t="s">
        <v>93</v>
      </c>
      <c r="E117" s="55" t="s">
        <v>1377</v>
      </c>
      <c r="F117" s="55" t="s">
        <v>1378</v>
      </c>
      <c r="G117" s="55" t="s">
        <v>1379</v>
      </c>
      <c r="H117" s="75" t="s">
        <v>93</v>
      </c>
      <c r="I117" s="55" t="s">
        <v>1380</v>
      </c>
      <c r="J117" s="55" t="s">
        <v>1381</v>
      </c>
      <c r="K117" s="116" t="s">
        <v>1382</v>
      </c>
      <c r="L117" s="55" t="s">
        <v>1383</v>
      </c>
      <c r="M117" s="55" t="s">
        <v>1384</v>
      </c>
      <c r="N117" s="55" t="s">
        <v>1385</v>
      </c>
      <c r="O117" s="55" t="s">
        <v>1386</v>
      </c>
      <c r="P117" s="75" t="s">
        <v>93</v>
      </c>
      <c r="Q117" s="53" t="s">
        <v>93</v>
      </c>
      <c r="R117" s="76">
        <f>COUNTIFS([1]Fleet!$E:$E,Table1[[#This Row],[Old Assy '#]])+COUNTIFS([1]OnDeck!$E:$E,Table1[[#This Row],[Old Assy '#]])</f>
        <v>1</v>
      </c>
      <c r="S117" s="77">
        <v>44321</v>
      </c>
      <c r="T117" s="78"/>
      <c r="U117" s="78"/>
      <c r="V117" s="78"/>
      <c r="W117" s="56" t="str">
        <f>IF(AND(Table1[[#This Row],[Phase Out]]="Y",Table1[[#This Row],[Zero Inventory]]="Y"),"Y","")</f>
        <v/>
      </c>
      <c r="X117" s="79">
        <v>7.875</v>
      </c>
      <c r="Y117" s="63" t="s">
        <v>763</v>
      </c>
      <c r="Z117" s="59" t="str">
        <f>IF(LEFT(Table1[[#This Row],[Model]],2)="NX","NX",IF(LEFT(Table1[[#This Row],[Model]],2)="CR","CR",""))</f>
        <v>CR</v>
      </c>
      <c r="AA117" s="59" t="str">
        <f>LEFT(SUBSTITUTE(SUBSTITUTE(Table1[[#This Row],[Model]],"NX",""),"CR",""),1)</f>
        <v>6</v>
      </c>
      <c r="AB117" s="59" t="str">
        <f>MID(SUBSTITUTE(SUBSTITUTE(Table1[[#This Row],[Model]],"NX",""),"CR",""),2,2)</f>
        <v>16</v>
      </c>
      <c r="AC117" s="64" t="str">
        <f>IF(ISNUMBER(FIND("M",Table1[[#This Row],[Model]])),"M","")</f>
        <v/>
      </c>
      <c r="AD117" s="64" t="str">
        <f>CONCATENATE(MID(Table1[[#This Row],[Model]],FIND("-",Table1[[#This Row],[Model]])+1,2),IF(RIGHT(MID(Table1[[#This Row],[Model]],FIND("-",Table1[[#This Row],[Model]])+1,3),1)="+","+",""))</f>
        <v>SR</v>
      </c>
      <c r="AE117"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17" s="64" t="str">
        <f>IF(ISNUMBER(SEARCH("(K)",Table1[[#This Row],[Model]])),"(K)","")</f>
        <v>(K)</v>
      </c>
      <c r="AG117" s="64" t="str">
        <f>IF(ISNUMBER(SEARCH("(BR)",Table1[[#This Row],[Model]])),"(BR)","")</f>
        <v/>
      </c>
      <c r="AH117" s="32" t="s">
        <v>103</v>
      </c>
      <c r="AI117" s="32" t="s">
        <v>104</v>
      </c>
      <c r="AJ117" s="32"/>
      <c r="AK117" s="32"/>
      <c r="AL117" s="32" t="s">
        <v>106</v>
      </c>
      <c r="AM117" s="64" t="str">
        <f>SUBSTITUTE(INDEX('[2]M1 App'!$A$2:$R$349,MATCH(VALUE(LEFT(Table1[[#This Row],[Old Assy '#]],4)),'[2]M1 App'!$B$2:$B$349,0),MATCH(Table1[[#Headers],[App Interval Type]],'[2]M1 App'!$A$1:$R$1,0))," ","")</f>
        <v>Vertical</v>
      </c>
      <c r="AN117" s="64" t="s">
        <v>127</v>
      </c>
      <c r="AO117" s="65"/>
      <c r="AP117" s="66"/>
      <c r="AQ117" s="67">
        <f>VALUE(SUBSTITUTE(INDEX('[2]M1 App'!$A$2:$R$349,MATCH(VALUE(LEFT(Table1[[#This Row],[Old Assy '#]],4)),'[2]M1 App'!$B$2:$B$349,0),MATCH(Table1[[#Headers],[App Six Three]],'[2]M1 App'!$A$1:$R$1,0))," ",""))</f>
        <v>0</v>
      </c>
      <c r="AR117" s="125" t="s">
        <v>943</v>
      </c>
      <c r="AS117" s="32">
        <v>143652</v>
      </c>
      <c r="AT117" s="32">
        <v>7.5</v>
      </c>
      <c r="AU117" s="69">
        <f>IF(ISNUMBER(Table1[[#This Row],[Above gauge Ø]]),((Table1[[#This Row],[Size]]-Table1[[#This Row],[Above gauge Ø]])/2)-0.05,"")</f>
        <v>0.13750000000000001</v>
      </c>
      <c r="AV117" s="70">
        <f>0.249/0.625</f>
        <v>0.39839999999999998</v>
      </c>
      <c r="AW117" s="32" t="s">
        <v>180</v>
      </c>
      <c r="AX117" s="32">
        <v>7.6890000000000001</v>
      </c>
      <c r="AY117" s="32" t="s">
        <v>112</v>
      </c>
      <c r="AZ117" s="32">
        <v>15</v>
      </c>
      <c r="BA117" s="32"/>
      <c r="BB117" s="82"/>
      <c r="BC117" s="82"/>
      <c r="BD117" s="82"/>
      <c r="BE117" s="82">
        <v>750</v>
      </c>
      <c r="BF117" s="32">
        <v>15</v>
      </c>
      <c r="BG117" s="32">
        <v>15</v>
      </c>
      <c r="BH117" s="32" t="s">
        <v>622</v>
      </c>
      <c r="BI117" s="32">
        <v>30</v>
      </c>
      <c r="BJ117" s="17" t="e">
        <f>CONCATENATE("► M1 Notes: ",#REF!," •-----► CL-SKF Notes: ",#REF!," •-----► DS Notes: ",#REF!)</f>
        <v>#REF!</v>
      </c>
      <c r="BK117" s="17"/>
      <c r="BL117" s="32">
        <v>4</v>
      </c>
      <c r="BM117" s="32" t="s">
        <v>115</v>
      </c>
      <c r="BN117" s="83">
        <v>35.024999999999999</v>
      </c>
      <c r="BO117" s="31">
        <v>10.23</v>
      </c>
      <c r="BP117" s="32" t="s">
        <v>116</v>
      </c>
      <c r="BQ117" s="32" t="s">
        <v>101</v>
      </c>
      <c r="BR117" s="32" t="s">
        <v>101</v>
      </c>
      <c r="BS117" s="32">
        <v>60</v>
      </c>
      <c r="BT117" s="32" t="s">
        <v>117</v>
      </c>
      <c r="BU117" s="32">
        <v>6</v>
      </c>
      <c r="BV117" s="32" t="s">
        <v>117</v>
      </c>
      <c r="BW117" s="103">
        <v>2.23</v>
      </c>
    </row>
    <row r="118" spans="2:75" x14ac:dyDescent="0.25">
      <c r="B118" s="1">
        <v>2270</v>
      </c>
      <c r="C118" s="2"/>
      <c r="D118" s="146" t="s">
        <v>93</v>
      </c>
      <c r="E118" s="55" t="s">
        <v>1387</v>
      </c>
      <c r="F118" s="55" t="s">
        <v>1388</v>
      </c>
      <c r="G118" s="55" t="s">
        <v>1389</v>
      </c>
      <c r="H118" s="75" t="s">
        <v>93</v>
      </c>
      <c r="I118" s="55" t="s">
        <v>1390</v>
      </c>
      <c r="J118" s="55" t="s">
        <v>1391</v>
      </c>
      <c r="K118" s="55" t="s">
        <v>1392</v>
      </c>
      <c r="L118" s="55" t="s">
        <v>1393</v>
      </c>
      <c r="M118" s="123" t="s">
        <v>93</v>
      </c>
      <c r="N118" s="55" t="s">
        <v>1394</v>
      </c>
      <c r="O118" s="55" t="s">
        <v>1395</v>
      </c>
      <c r="P118" s="53" t="s">
        <v>93</v>
      </c>
      <c r="Q118" s="53" t="s">
        <v>93</v>
      </c>
      <c r="R118" s="76">
        <f>COUNTIFS([1]Fleet!$E:$E,Table1[[#This Row],[Old Assy '#]])+COUNTIFS([1]OnDeck!$E:$E,Table1[[#This Row],[Old Assy '#]])</f>
        <v>1</v>
      </c>
      <c r="S118" s="77">
        <v>44314</v>
      </c>
      <c r="T118" s="78"/>
      <c r="U118" s="78" t="s">
        <v>101</v>
      </c>
      <c r="V118" s="78"/>
      <c r="W118" s="56" t="str">
        <f>IF(AND(Table1[[#This Row],[Phase Out]]="Y",Table1[[#This Row],[Zero Inventory]]="Y"),"Y","")</f>
        <v/>
      </c>
      <c r="X118" s="79">
        <v>6.75</v>
      </c>
      <c r="Y118" s="63" t="s">
        <v>920</v>
      </c>
      <c r="Z118" s="59" t="str">
        <f>IF(LEFT(Table1[[#This Row],[Model]],2)="NX","NX",IF(LEFT(Table1[[#This Row],[Model]],2)="CR","CR",""))</f>
        <v>CR</v>
      </c>
      <c r="AA118" s="59" t="str">
        <f>LEFT(SUBSTITUTE(SUBSTITUTE(Table1[[#This Row],[Model]],"NX",""),"CR",""),1)</f>
        <v>6</v>
      </c>
      <c r="AB118" s="59" t="str">
        <f>MID(SUBSTITUTE(SUBSTITUTE(Table1[[#This Row],[Model]],"NX",""),"CR",""),2,2)</f>
        <v>16</v>
      </c>
      <c r="AC118" s="64" t="str">
        <f>IF(ISNUMBER(FIND("M",Table1[[#This Row],[Model]])),"M","")</f>
        <v/>
      </c>
      <c r="AD118" s="64" t="str">
        <f>CONCATENATE(MID(Table1[[#This Row],[Model]],FIND("-",Table1[[#This Row],[Model]])+1,2),IF(RIGHT(MID(Table1[[#This Row],[Model]],FIND("-",Table1[[#This Row],[Model]])+1,3),1)="+","+",""))</f>
        <v>SR+</v>
      </c>
      <c r="AE118"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18" s="64" t="str">
        <f>IF(ISNUMBER(SEARCH("(K)",Table1[[#This Row],[Model]])),"(K)","")</f>
        <v>(K)</v>
      </c>
      <c r="AG118" s="64" t="str">
        <f>IF(ISNUMBER(SEARCH("(BR)",Table1[[#This Row],[Model]])),"(BR)","")</f>
        <v/>
      </c>
      <c r="AH118" s="32" t="s">
        <v>103</v>
      </c>
      <c r="AI118" s="32" t="s">
        <v>163</v>
      </c>
      <c r="AJ118" s="32"/>
      <c r="AK118" s="32" t="s">
        <v>911</v>
      </c>
      <c r="AL118" s="32" t="s">
        <v>106</v>
      </c>
      <c r="AM118" s="64" t="str">
        <f>SUBSTITUTE(INDEX('[2]M1 App'!$A$2:$R$349,MATCH(VALUE(LEFT(Table1[[#This Row],[Old Assy '#]],4)),'[2]M1 App'!$B$2:$B$349,0),MATCH(Table1[[#Headers],[App Interval Type]],'[2]M1 App'!$A$1:$R$1,0))," ","")</f>
        <v>Vertical</v>
      </c>
      <c r="AN118" s="64" t="s">
        <v>653</v>
      </c>
      <c r="AO118" s="65"/>
      <c r="AP118" s="66"/>
      <c r="AQ118" s="67">
        <f>VALUE(SUBSTITUTE(INDEX('[2]M1 App'!$A$2:$R$349,MATCH(VALUE(LEFT(Table1[[#This Row],[Old Assy '#]],4)),'[2]M1 App'!$B$2:$B$349,0),MATCH(Table1[[#Headers],[App Six Three]],'[2]M1 App'!$A$1:$R$1,0))," ",""))</f>
        <v>0</v>
      </c>
      <c r="AR118" s="125" t="s">
        <v>284</v>
      </c>
      <c r="AS118" s="32">
        <v>165432</v>
      </c>
      <c r="AT118" s="32">
        <v>6.375</v>
      </c>
      <c r="AU118" s="69">
        <f>IF(ISNUMBER(Table1[[#This Row],[Above gauge Ø]]),((Table1[[#This Row],[Size]]-Table1[[#This Row],[Above gauge Ø]])/2)-0.05,"")</f>
        <v>0.13750000000000001</v>
      </c>
      <c r="AV118" s="70">
        <v>0.33</v>
      </c>
      <c r="AW118" s="32" t="s">
        <v>180</v>
      </c>
      <c r="AX118" s="32">
        <v>6.57</v>
      </c>
      <c r="AY118" s="32" t="s">
        <v>541</v>
      </c>
      <c r="AZ118" s="32">
        <v>15</v>
      </c>
      <c r="BA118" s="32"/>
      <c r="BB118" s="82">
        <v>90</v>
      </c>
      <c r="BC118" s="82">
        <v>0</v>
      </c>
      <c r="BD118" s="82"/>
      <c r="BE118" s="82">
        <v>0</v>
      </c>
      <c r="BF118" s="32">
        <v>15</v>
      </c>
      <c r="BG118" s="32">
        <v>15</v>
      </c>
      <c r="BH118" s="32" t="s">
        <v>622</v>
      </c>
      <c r="BI118" s="32">
        <v>30</v>
      </c>
      <c r="BJ118" s="17" t="e">
        <f>CONCATENATE("► M1 Notes: ",#REF!," •-----► CL-SKF Notes: ",#REF!," •-----► DS Notes: ",#REF!)</f>
        <v>#REF!</v>
      </c>
      <c r="BK118" s="17"/>
      <c r="BL118" s="32">
        <v>2.5</v>
      </c>
      <c r="BM118" s="32" t="s">
        <v>115</v>
      </c>
      <c r="BN118" s="83">
        <v>18.449000000000002</v>
      </c>
      <c r="BO118" s="31">
        <v>11.36</v>
      </c>
      <c r="BP118" s="32" t="s">
        <v>116</v>
      </c>
      <c r="BQ118" s="32" t="s">
        <v>101</v>
      </c>
      <c r="BR118" s="32" t="s">
        <v>116</v>
      </c>
      <c r="BS118" s="32">
        <v>55</v>
      </c>
      <c r="BT118" s="32" t="s">
        <v>117</v>
      </c>
      <c r="BU118" s="32">
        <v>6</v>
      </c>
      <c r="BV118" s="32" t="s">
        <v>117</v>
      </c>
      <c r="BW118" s="103">
        <v>1.18</v>
      </c>
    </row>
    <row r="119" spans="2:75" x14ac:dyDescent="0.25">
      <c r="B119" s="126">
        <v>2272</v>
      </c>
      <c r="C119" s="2"/>
      <c r="D119" s="146" t="s">
        <v>93</v>
      </c>
      <c r="E119" s="86" t="s">
        <v>93</v>
      </c>
      <c r="F119" s="85" t="s">
        <v>1396</v>
      </c>
      <c r="G119" s="85" t="s">
        <v>1397</v>
      </c>
      <c r="H119" s="86" t="s">
        <v>93</v>
      </c>
      <c r="I119" s="85" t="s">
        <v>1398</v>
      </c>
      <c r="J119" s="85" t="s">
        <v>1399</v>
      </c>
      <c r="K119" s="85" t="s">
        <v>1400</v>
      </c>
      <c r="L119" s="85" t="s">
        <v>1401</v>
      </c>
      <c r="M119" s="85" t="s">
        <v>1402</v>
      </c>
      <c r="N119" s="85" t="s">
        <v>1403</v>
      </c>
      <c r="O119" s="85" t="s">
        <v>1404</v>
      </c>
      <c r="P119" s="53" t="s">
        <v>93</v>
      </c>
      <c r="Q119" s="53" t="s">
        <v>93</v>
      </c>
      <c r="R119" s="87">
        <f>COUNTIFS([1]Fleet!$E:$E,Table1[[#This Row],[Old Assy '#]])+COUNTIFS([1]OnDeck!$E:$E,Table1[[#This Row],[Old Assy '#]])</f>
        <v>1</v>
      </c>
      <c r="S119" s="88">
        <v>44389</v>
      </c>
      <c r="T119" s="89"/>
      <c r="U119" s="89"/>
      <c r="V119" s="89"/>
      <c r="W119" s="56" t="str">
        <f>IF(AND(Table1[[#This Row],[Phase Out]]="Y",Table1[[#This Row],[Zero Inventory]]="Y"),"Y","")</f>
        <v/>
      </c>
      <c r="X119" s="90">
        <v>7.875</v>
      </c>
      <c r="Y119" s="91" t="s">
        <v>763</v>
      </c>
      <c r="Z119" s="59" t="str">
        <f>IF(LEFT(Table1[[#This Row],[Model]],2)="NX","NX",IF(LEFT(Table1[[#This Row],[Model]],2)="CR","CR",""))</f>
        <v>CR</v>
      </c>
      <c r="AA119" s="59" t="str">
        <f>LEFT(SUBSTITUTE(SUBSTITUTE(Table1[[#This Row],[Model]],"NX",""),"CR",""),1)</f>
        <v>6</v>
      </c>
      <c r="AB119" s="59" t="str">
        <f>MID(SUBSTITUTE(SUBSTITUTE(Table1[[#This Row],[Model]],"NX",""),"CR",""),2,2)</f>
        <v>16</v>
      </c>
      <c r="AC119" s="59" t="str">
        <f>IF(ISNUMBER(FIND("M",Table1[[#This Row],[Model]])),"M","")</f>
        <v/>
      </c>
      <c r="AD119" s="59" t="str">
        <f>CONCATENATE(MID(Table1[[#This Row],[Model]],FIND("-",Table1[[#This Row],[Model]])+1,2),IF(RIGHT(MID(Table1[[#This Row],[Model]],FIND("-",Table1[[#This Row],[Model]])+1,3),1)="+","+",""))</f>
        <v>SR</v>
      </c>
      <c r="AE11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19" s="59" t="str">
        <f>IF(ISNUMBER(SEARCH("(K)",Table1[[#This Row],[Model]])),"(K)","")</f>
        <v>(K)</v>
      </c>
      <c r="AG119" s="59" t="str">
        <f>IF(ISNUMBER(SEARCH("(BR)",Table1[[#This Row],[Model]])),"(BR)","")</f>
        <v/>
      </c>
      <c r="AH119" s="95" t="s">
        <v>103</v>
      </c>
      <c r="AI119" s="95" t="s">
        <v>104</v>
      </c>
      <c r="AJ119" s="124" t="s">
        <v>452</v>
      </c>
      <c r="AK119" s="95"/>
      <c r="AL119" s="32" t="s">
        <v>106</v>
      </c>
      <c r="AM119" s="59" t="str">
        <f>SUBSTITUTE(INDEX('[2]M1 App'!$A$2:$R$349,MATCH(VALUE(LEFT(Table1[[#This Row],[Old Assy '#]],4)),'[2]M1 App'!$B$2:$B$349,0),MATCH(Table1[[#Headers],[App Interval Type]],'[2]M1 App'!$A$1:$R$1,0))," ","")</f>
        <v>Vertical</v>
      </c>
      <c r="AN119" s="59" t="s">
        <v>127</v>
      </c>
      <c r="AO119" s="92"/>
      <c r="AP119" s="93"/>
      <c r="AQ119" s="127">
        <f>VALUE(SUBSTITUTE(INDEX('[2]M1 App'!$A$2:$R$349,MATCH(VALUE(LEFT(Table1[[#This Row],[Old Assy '#]],4)),'[2]M1 App'!$B$2:$B$349,0),MATCH(Table1[[#Headers],[App Six Three]],'[2]M1 App'!$A$1:$R$1,0))," ",""))</f>
        <v>0</v>
      </c>
      <c r="AR119" s="68" t="s">
        <v>943</v>
      </c>
      <c r="AS119" s="95">
        <v>143652</v>
      </c>
      <c r="AT119" s="95">
        <v>7.5</v>
      </c>
      <c r="AU119" s="128">
        <f>IF(ISNUMBER(Table1[[#This Row],[Above gauge Ø]]),((Table1[[#This Row],[Size]]-Table1[[#This Row],[Above gauge Ø]])/2)-0.05,"")</f>
        <v>0.13750000000000001</v>
      </c>
      <c r="AV119" s="70">
        <v>0.33</v>
      </c>
      <c r="AW119" s="95" t="s">
        <v>180</v>
      </c>
      <c r="AX119" s="95">
        <v>7.6890000000000001</v>
      </c>
      <c r="AY119" s="95" t="s">
        <v>112</v>
      </c>
      <c r="AZ119" s="95">
        <v>15</v>
      </c>
      <c r="BA119" s="95"/>
      <c r="BB119" s="97"/>
      <c r="BC119" s="97"/>
      <c r="BD119" s="97"/>
      <c r="BE119" s="97">
        <v>0</v>
      </c>
      <c r="BF119" s="95">
        <v>20</v>
      </c>
      <c r="BG119" s="95">
        <v>20</v>
      </c>
      <c r="BH119" s="95" t="s">
        <v>1014</v>
      </c>
      <c r="BI119" s="95">
        <v>30</v>
      </c>
      <c r="BJ119" s="17" t="e">
        <f>CONCATENATE("► M1 Notes: ",#REF!," •-----► CL-SKF Notes: ",#REF!," •-----► DS Notes: ",#REF!)</f>
        <v>#REF!</v>
      </c>
      <c r="BK119" s="98"/>
      <c r="BL119" s="95">
        <v>4</v>
      </c>
      <c r="BM119" s="95" t="s">
        <v>115</v>
      </c>
      <c r="BN119" s="99">
        <v>35.024999999999999</v>
      </c>
      <c r="BO119" s="95">
        <v>10.23</v>
      </c>
      <c r="BP119" s="95" t="s">
        <v>116</v>
      </c>
      <c r="BQ119" s="95" t="s">
        <v>101</v>
      </c>
      <c r="BR119" s="95" t="s">
        <v>101</v>
      </c>
      <c r="BS119" s="95">
        <v>60</v>
      </c>
      <c r="BT119" s="95" t="s">
        <v>117</v>
      </c>
      <c r="BU119" s="95">
        <v>6</v>
      </c>
      <c r="BV119" s="95" t="s">
        <v>117</v>
      </c>
      <c r="BW119" s="129">
        <v>2.23</v>
      </c>
    </row>
    <row r="120" spans="2:75" x14ac:dyDescent="0.25">
      <c r="B120" s="126">
        <v>2362</v>
      </c>
      <c r="C120" s="2"/>
      <c r="D120" s="147" t="s">
        <v>1405</v>
      </c>
      <c r="E120" s="85" t="s">
        <v>1406</v>
      </c>
      <c r="F120" s="85" t="s">
        <v>1407</v>
      </c>
      <c r="G120" s="85" t="s">
        <v>1408</v>
      </c>
      <c r="H120" s="86" t="s">
        <v>93</v>
      </c>
      <c r="I120" s="85" t="s">
        <v>1409</v>
      </c>
      <c r="J120" s="85" t="s">
        <v>1410</v>
      </c>
      <c r="K120" s="85" t="s">
        <v>1411</v>
      </c>
      <c r="L120" s="85" t="s">
        <v>1412</v>
      </c>
      <c r="M120" s="86" t="s">
        <v>93</v>
      </c>
      <c r="N120" s="85" t="s">
        <v>1413</v>
      </c>
      <c r="O120" s="85" t="s">
        <v>1414</v>
      </c>
      <c r="P120" s="54" t="s">
        <v>1415</v>
      </c>
      <c r="Q120" s="53" t="s">
        <v>93</v>
      </c>
      <c r="R120" s="87">
        <f>COUNTIFS([1]Fleet!$E:$E,Table1[[#This Row],[Old Assy '#]])+COUNTIFS([1]OnDeck!$E:$E,Table1[[#This Row],[Old Assy '#]])</f>
        <v>1</v>
      </c>
      <c r="S120" s="88">
        <v>45772</v>
      </c>
      <c r="T120" s="89"/>
      <c r="U120" s="89"/>
      <c r="V120" s="89"/>
      <c r="W120" s="56" t="str">
        <f>IF(AND(Table1[[#This Row],[Phase Out]]="Y",Table1[[#This Row],[Zero Inventory]]="Y"),"Y","")</f>
        <v/>
      </c>
      <c r="X120" s="90">
        <v>9.625</v>
      </c>
      <c r="Y120" s="91" t="s">
        <v>1416</v>
      </c>
      <c r="Z120" s="59" t="str">
        <f>IF(LEFT(Table1[[#This Row],[Model]],2)="NX","NX",IF(LEFT(Table1[[#This Row],[Model]],2)="CR","CR",""))</f>
        <v>NX</v>
      </c>
      <c r="AA120" s="59" t="str">
        <f>LEFT(SUBSTITUTE(SUBSTITUTE(Table1[[#This Row],[Model]],"NX",""),"CR",""),1)</f>
        <v>6</v>
      </c>
      <c r="AB120" s="59" t="str">
        <f>MID(SUBSTITUTE(SUBSTITUTE(Table1[[#This Row],[Model]],"NX",""),"CR",""),2,2)</f>
        <v>16</v>
      </c>
      <c r="AC120" s="59" t="str">
        <f>IF(ISNUMBER(FIND("M",Table1[[#This Row],[Model]])),"M","")</f>
        <v/>
      </c>
      <c r="AD120" s="59" t="str">
        <f>CONCATENATE(MID(Table1[[#This Row],[Model]],FIND("-",Table1[[#This Row],[Model]])+1,2),IF(RIGHT(MID(Table1[[#This Row],[Model]],FIND("-",Table1[[#This Row],[Model]])+1,3),1)="+","+",""))</f>
        <v>XR</v>
      </c>
      <c r="AE120"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20" s="59" t="str">
        <f>IF(ISNUMBER(SEARCH("(K)",Table1[[#This Row],[Model]])),"(K)","")</f>
        <v>(K)</v>
      </c>
      <c r="AG120" s="59" t="str">
        <f>IF(ISNUMBER(SEARCH("(BR)",Table1[[#This Row],[Model]])),"(BR)","")</f>
        <v>(BR)</v>
      </c>
      <c r="AH120" s="95" t="s">
        <v>103</v>
      </c>
      <c r="AI120" s="32" t="s">
        <v>104</v>
      </c>
      <c r="AJ120" s="32"/>
      <c r="AK120" s="32"/>
      <c r="AL120" s="32" t="s">
        <v>106</v>
      </c>
      <c r="AM120" s="91" t="s">
        <v>107</v>
      </c>
      <c r="AN120" s="91" t="s">
        <v>127</v>
      </c>
      <c r="AO120" s="92"/>
      <c r="AP120" s="93"/>
      <c r="AQ120" s="94">
        <v>0</v>
      </c>
      <c r="AR120" s="68" t="s">
        <v>943</v>
      </c>
      <c r="AS120" s="95">
        <v>143652</v>
      </c>
      <c r="AT120" s="95">
        <f>9.5625-(9.875-9.625)</f>
        <v>9.3125</v>
      </c>
      <c r="AU120" s="128">
        <f>IF(ISNUMBER(Table1[[#This Row],[Above gauge Ø]]),((Table1[[#This Row],[Size]]-Table1[[#This Row],[Above gauge Ø]])/2)-0.05,"")</f>
        <v>0.10625</v>
      </c>
      <c r="AV120" s="70">
        <f>0.2676/0.625</f>
        <v>0.42815999999999999</v>
      </c>
      <c r="AW120" s="95" t="s">
        <v>111</v>
      </c>
      <c r="AX120" s="95">
        <f>9.725-(9.875-9.625)</f>
        <v>9.4749999999999996</v>
      </c>
      <c r="AY120" s="95" t="s">
        <v>692</v>
      </c>
      <c r="AZ120" s="95">
        <v>15</v>
      </c>
      <c r="BA120" s="95"/>
      <c r="BB120" s="97">
        <v>270</v>
      </c>
      <c r="BC120" s="97">
        <v>390</v>
      </c>
      <c r="BD120" s="130"/>
      <c r="BE120" s="130">
        <v>590</v>
      </c>
      <c r="BF120" s="95" t="s">
        <v>1417</v>
      </c>
      <c r="BG120" s="95">
        <v>16</v>
      </c>
      <c r="BH120" s="95" t="s">
        <v>1320</v>
      </c>
      <c r="BI120" s="95">
        <v>30</v>
      </c>
      <c r="BJ120" s="17" t="e">
        <f>CONCATENATE("► M1 Notes: ",#REF!," •-----► CL-SKF Notes: ",#REF!," •-----► DS Notes: ",#REF!)</f>
        <v>#REF!</v>
      </c>
      <c r="BK120" s="98"/>
      <c r="BL120" s="95">
        <v>4.63</v>
      </c>
      <c r="BM120" s="95" t="s">
        <v>115</v>
      </c>
      <c r="BN120" s="99">
        <f>8.805*6</f>
        <v>52.83</v>
      </c>
      <c r="BO120" s="95">
        <v>15.32</v>
      </c>
      <c r="BP120" s="95" t="s">
        <v>101</v>
      </c>
      <c r="BQ120" s="95" t="s">
        <v>101</v>
      </c>
      <c r="BR120" s="95" t="s">
        <v>101</v>
      </c>
      <c r="BS120" s="95">
        <v>60</v>
      </c>
      <c r="BT120" s="95" t="s">
        <v>117</v>
      </c>
      <c r="BU120" s="95">
        <v>9</v>
      </c>
      <c r="BV120" s="95" t="s">
        <v>117</v>
      </c>
      <c r="BW120" s="129">
        <v>3.34</v>
      </c>
    </row>
    <row r="121" spans="2:75" x14ac:dyDescent="0.25">
      <c r="B121" s="126">
        <v>2381</v>
      </c>
      <c r="C121" s="2"/>
      <c r="D121" s="146" t="s">
        <v>93</v>
      </c>
      <c r="E121" s="86" t="s">
        <v>93</v>
      </c>
      <c r="F121" s="85" t="s">
        <v>1418</v>
      </c>
      <c r="G121" s="85" t="s">
        <v>1419</v>
      </c>
      <c r="H121" s="86" t="s">
        <v>93</v>
      </c>
      <c r="I121" s="85" t="s">
        <v>1420</v>
      </c>
      <c r="J121" s="85" t="s">
        <v>1421</v>
      </c>
      <c r="K121" s="85" t="s">
        <v>1422</v>
      </c>
      <c r="L121" s="85" t="s">
        <v>1423</v>
      </c>
      <c r="M121" s="86" t="s">
        <v>93</v>
      </c>
      <c r="N121" s="85" t="s">
        <v>1424</v>
      </c>
      <c r="O121" s="85" t="s">
        <v>1425</v>
      </c>
      <c r="P121" s="53" t="s">
        <v>93</v>
      </c>
      <c r="Q121" s="53" t="s">
        <v>93</v>
      </c>
      <c r="R121" s="87">
        <f>COUNTIFS([1]Fleet!$E:$E,Table1[[#This Row],[Old Assy '#]])+COUNTIFS([1]OnDeck!$E:$E,Table1[[#This Row],[Old Assy '#]])</f>
        <v>2</v>
      </c>
      <c r="S121" s="88">
        <v>44782</v>
      </c>
      <c r="T121" s="89"/>
      <c r="U121" s="89"/>
      <c r="V121" s="89"/>
      <c r="W121" s="56" t="str">
        <f>IF(AND(Table1[[#This Row],[Phase Out]]="Y",Table1[[#This Row],[Zero Inventory]]="Y"),"Y","")</f>
        <v/>
      </c>
      <c r="X121" s="90">
        <v>17.5</v>
      </c>
      <c r="Y121" s="91" t="s">
        <v>868</v>
      </c>
      <c r="Z121" s="59" t="str">
        <f>IF(LEFT(Table1[[#This Row],[Model]],2)="NX","NX",IF(LEFT(Table1[[#This Row],[Model]],2)="CR","CR",""))</f>
        <v>CR</v>
      </c>
      <c r="AA121" s="59" t="str">
        <f>LEFT(SUBSTITUTE(SUBSTITUTE(Table1[[#This Row],[Model]],"NX",""),"CR",""),1)</f>
        <v>6</v>
      </c>
      <c r="AB121" s="59" t="str">
        <f>MID(SUBSTITUTE(SUBSTITUTE(Table1[[#This Row],[Model]],"NX",""),"CR",""),2,2)</f>
        <v>16</v>
      </c>
      <c r="AC121" s="59" t="str">
        <f>IF(ISNUMBER(FIND("M",Table1[[#This Row],[Model]])),"M","")</f>
        <v/>
      </c>
      <c r="AD121" s="59" t="str">
        <f>CONCATENATE(MID(Table1[[#This Row],[Model]],FIND("-",Table1[[#This Row],[Model]])+1,2),IF(RIGHT(MID(Table1[[#This Row],[Model]],FIND("-",Table1[[#This Row],[Model]])+1,3),1)="+","+",""))</f>
        <v>SR+</v>
      </c>
      <c r="AE12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21" s="59" t="str">
        <f>IF(ISNUMBER(SEARCH("(K)",Table1[[#This Row],[Model]])),"(K)","")</f>
        <v>(K)</v>
      </c>
      <c r="AG121" s="59" t="str">
        <f>IF(ISNUMBER(SEARCH("(BR)",Table1[[#This Row],[Model]])),"(BR)","")</f>
        <v/>
      </c>
      <c r="AH121" s="95" t="s">
        <v>103</v>
      </c>
      <c r="AI121" s="95" t="s">
        <v>126</v>
      </c>
      <c r="AJ121" s="95" t="s">
        <v>1426</v>
      </c>
      <c r="AK121" s="95"/>
      <c r="AL121" s="32" t="s">
        <v>106</v>
      </c>
      <c r="AM121" s="91" t="s">
        <v>107</v>
      </c>
      <c r="AN121" s="91" t="s">
        <v>107</v>
      </c>
      <c r="AO121" s="92"/>
      <c r="AP121" s="93"/>
      <c r="AQ121" s="94">
        <v>0</v>
      </c>
      <c r="AR121" s="68" t="s">
        <v>284</v>
      </c>
      <c r="AS121" s="95">
        <v>165432</v>
      </c>
      <c r="AT121" s="96">
        <v>17.125</v>
      </c>
      <c r="AU121" s="128">
        <v>0.13200000000000001</v>
      </c>
      <c r="AV121" s="70">
        <f>0.201/0.625</f>
        <v>0.3216</v>
      </c>
      <c r="AW121" s="95" t="s">
        <v>180</v>
      </c>
      <c r="AX121" s="95">
        <v>17.25</v>
      </c>
      <c r="AY121" s="95" t="s">
        <v>349</v>
      </c>
      <c r="AZ121" s="95">
        <v>15</v>
      </c>
      <c r="BA121" s="95"/>
      <c r="BB121" s="97">
        <v>310</v>
      </c>
      <c r="BC121" s="97">
        <v>330</v>
      </c>
      <c r="BD121" s="97">
        <v>230</v>
      </c>
      <c r="BE121" s="97">
        <v>0</v>
      </c>
      <c r="BF121" s="95" t="s">
        <v>113</v>
      </c>
      <c r="BG121" s="95" t="s">
        <v>114</v>
      </c>
      <c r="BH121" s="95" t="s">
        <v>1427</v>
      </c>
      <c r="BI121" s="95">
        <v>40</v>
      </c>
      <c r="BJ121" s="17" t="e">
        <f>CONCATENATE("► M1 Notes: ",#REF!," •-----► CL-SKF Notes: ",#REF!," •-----► DS Notes: ",#REF!)</f>
        <v>#REF!</v>
      </c>
      <c r="BK121" s="98"/>
      <c r="BL121" s="95">
        <v>6</v>
      </c>
      <c r="BM121" s="95" t="s">
        <v>115</v>
      </c>
      <c r="BN121" s="99">
        <v>89.796999999999997</v>
      </c>
      <c r="BO121" s="95">
        <v>64.040000000000006</v>
      </c>
      <c r="BP121" s="95" t="s">
        <v>116</v>
      </c>
      <c r="BQ121" s="95" t="s">
        <v>101</v>
      </c>
      <c r="BR121" s="95" t="s">
        <v>101</v>
      </c>
      <c r="BS121" s="95">
        <v>60</v>
      </c>
      <c r="BT121" s="95" t="s">
        <v>117</v>
      </c>
      <c r="BU121" s="95">
        <v>9</v>
      </c>
      <c r="BV121" s="95" t="s">
        <v>117</v>
      </c>
      <c r="BW121" s="129">
        <v>3.34</v>
      </c>
    </row>
    <row r="122" spans="2:75" x14ac:dyDescent="0.25">
      <c r="B122" s="126">
        <v>2556</v>
      </c>
      <c r="C122" s="2"/>
      <c r="D122" s="146" t="s">
        <v>93</v>
      </c>
      <c r="E122" s="86" t="s">
        <v>93</v>
      </c>
      <c r="F122" s="86" t="s">
        <v>93</v>
      </c>
      <c r="G122" s="85" t="s">
        <v>1428</v>
      </c>
      <c r="H122" s="86" t="s">
        <v>93</v>
      </c>
      <c r="I122" s="85" t="s">
        <v>1429</v>
      </c>
      <c r="J122" s="85" t="s">
        <v>1430</v>
      </c>
      <c r="K122" s="85" t="s">
        <v>1431</v>
      </c>
      <c r="L122" s="85" t="s">
        <v>1432</v>
      </c>
      <c r="M122" s="86" t="s">
        <v>93</v>
      </c>
      <c r="N122" s="85" t="s">
        <v>1433</v>
      </c>
      <c r="O122" s="85" t="s">
        <v>1434</v>
      </c>
      <c r="P122" s="85" t="s">
        <v>1435</v>
      </c>
      <c r="Q122" s="86" t="s">
        <v>93</v>
      </c>
      <c r="R122" s="87">
        <f>COUNTIFS([1]Fleet!$E:$E,Table1[[#This Row],[Old Assy '#]])+COUNTIFS([1]OnDeck!$E:$E,Table1[[#This Row],[Old Assy '#]])</f>
        <v>2</v>
      </c>
      <c r="S122" s="88">
        <v>45233</v>
      </c>
      <c r="T122" s="89"/>
      <c r="U122" s="89"/>
      <c r="V122" s="89"/>
      <c r="W122" s="56" t="str">
        <f>IF(AND(Table1[[#This Row],[Phase Out]]="Y",Table1[[#This Row],[Zero Inventory]]="Y"),"Y","")</f>
        <v/>
      </c>
      <c r="X122" s="90">
        <v>7.875</v>
      </c>
      <c r="Y122" s="91" t="s">
        <v>1436</v>
      </c>
      <c r="Z122" s="59" t="str">
        <f>IF(LEFT(Table1[[#This Row],[Model]],2)="NX","NX",IF(LEFT(Table1[[#This Row],[Model]],2)="CR","CR",""))</f>
        <v>NX</v>
      </c>
      <c r="AA122" s="59" t="str">
        <f>LEFT(SUBSTITUTE(SUBSTITUTE(Table1[[#This Row],[Model]],"NX",""),"CR",""),1)</f>
        <v>6</v>
      </c>
      <c r="AB122" s="59" t="str">
        <f>MID(SUBSTITUTE(SUBSTITUTE(Table1[[#This Row],[Model]],"NX",""),"CR",""),2,2)</f>
        <v>16</v>
      </c>
      <c r="AC122" s="59" t="str">
        <f>IF(ISNUMBER(FIND("M",Table1[[#This Row],[Model]])),"M","")</f>
        <v/>
      </c>
      <c r="AD122" s="59" t="str">
        <f>CONCATENATE(MID(Table1[[#This Row],[Model]],FIND("-",Table1[[#This Row],[Model]])+1,2),IF(RIGHT(MID(Table1[[#This Row],[Model]],FIND("-",Table1[[#This Row],[Model]])+1,3),1)="+","+",""))</f>
        <v>SR</v>
      </c>
      <c r="AE122"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22" s="59" t="str">
        <f>IF(ISNUMBER(SEARCH("(K)",Table1[[#This Row],[Model]])),"(K)","")</f>
        <v/>
      </c>
      <c r="AG122" s="59" t="str">
        <f>IF(ISNUMBER(SEARCH("(BR)",Table1[[#This Row],[Model]])),"(BR)","")</f>
        <v/>
      </c>
      <c r="AH122" s="95" t="s">
        <v>103</v>
      </c>
      <c r="AI122" s="95" t="s">
        <v>104</v>
      </c>
      <c r="AJ122" s="95"/>
      <c r="AK122" s="95"/>
      <c r="AL122" s="95" t="s">
        <v>106</v>
      </c>
      <c r="AM122" s="91" t="s">
        <v>107</v>
      </c>
      <c r="AN122" s="91" t="s">
        <v>108</v>
      </c>
      <c r="AO122" s="92"/>
      <c r="AP122" s="93"/>
      <c r="AQ122" s="94">
        <v>0</v>
      </c>
      <c r="AR122" s="68" t="s">
        <v>109</v>
      </c>
      <c r="AS122" s="95" t="s">
        <v>128</v>
      </c>
      <c r="AT122" s="95">
        <v>7.5875000000000004</v>
      </c>
      <c r="AU122" s="128">
        <f>IF(ISNUMBER(Table1[[#This Row],[Above gauge Ø]]),((Table1[[#This Row],[Size]]-Table1[[#This Row],[Above gauge Ø]])/2)-0.05,"")</f>
        <v>9.374999999999982E-2</v>
      </c>
      <c r="AV122" s="70">
        <f>0.2611/0.625</f>
        <v>0.41776000000000002</v>
      </c>
      <c r="AW122" s="95" t="s">
        <v>111</v>
      </c>
      <c r="AX122" s="95">
        <v>7.75</v>
      </c>
      <c r="AY122" s="95" t="s">
        <v>112</v>
      </c>
      <c r="AZ122" s="95">
        <v>15</v>
      </c>
      <c r="BA122" s="95"/>
      <c r="BB122" s="97"/>
      <c r="BC122" s="97"/>
      <c r="BD122" s="97"/>
      <c r="BE122" s="97"/>
      <c r="BF122" s="95">
        <v>15</v>
      </c>
      <c r="BG122" s="95">
        <v>15</v>
      </c>
      <c r="BH122" s="95" t="s">
        <v>167</v>
      </c>
      <c r="BI122" s="95">
        <v>30</v>
      </c>
      <c r="BJ122" s="17" t="e">
        <f>CONCATENATE("► M1 Notes: ",#REF!," •-----► CL-SKF Notes: ",#REF!," •-----► DS Notes: ",#REF!)</f>
        <v>#REF!</v>
      </c>
      <c r="BK122" s="98"/>
      <c r="BL122" s="95">
        <v>2</v>
      </c>
      <c r="BM122" s="95" t="s">
        <v>115</v>
      </c>
      <c r="BN122" s="99">
        <v>18.329999999999998</v>
      </c>
      <c r="BO122" s="95">
        <v>10.41</v>
      </c>
      <c r="BP122" s="95" t="s">
        <v>116</v>
      </c>
      <c r="BQ122" s="95" t="s">
        <v>101</v>
      </c>
      <c r="BR122" s="95" t="s">
        <v>101</v>
      </c>
      <c r="BS122" s="95">
        <v>60</v>
      </c>
      <c r="BT122" s="95" t="s">
        <v>117</v>
      </c>
      <c r="BU122" s="95">
        <v>6</v>
      </c>
      <c r="BV122" s="95" t="s">
        <v>117</v>
      </c>
      <c r="BW122" s="129">
        <v>2.23</v>
      </c>
    </row>
    <row r="123" spans="2:75" x14ac:dyDescent="0.25">
      <c r="B123" s="104">
        <v>2746</v>
      </c>
      <c r="C123" s="2"/>
      <c r="D123" s="147" t="s">
        <v>1437</v>
      </c>
      <c r="E123" s="86" t="s">
        <v>93</v>
      </c>
      <c r="F123" s="85" t="s">
        <v>1438</v>
      </c>
      <c r="G123" s="85" t="s">
        <v>1439</v>
      </c>
      <c r="H123" s="86" t="s">
        <v>93</v>
      </c>
      <c r="I123" s="85" t="s">
        <v>1440</v>
      </c>
      <c r="J123" s="85" t="s">
        <v>1441</v>
      </c>
      <c r="K123" s="85" t="s">
        <v>1442</v>
      </c>
      <c r="L123" s="85" t="s">
        <v>1443</v>
      </c>
      <c r="M123" s="86" t="s">
        <v>93</v>
      </c>
      <c r="N123" s="86" t="s">
        <v>93</v>
      </c>
      <c r="O123" s="85" t="s">
        <v>1444</v>
      </c>
      <c r="P123" s="86" t="s">
        <v>93</v>
      </c>
      <c r="Q123" s="85" t="s">
        <v>1445</v>
      </c>
      <c r="R123" s="87">
        <f>COUNTIFS([1]Fleet!$E:$E,Table1[[#This Row],[Old Assy '#]])+COUNTIFS([1]OnDeck!$E:$E,Table1[[#This Row],[Old Assy '#]])</f>
        <v>1</v>
      </c>
      <c r="S123" s="88">
        <v>46055</v>
      </c>
      <c r="T123" s="89"/>
      <c r="U123" s="89"/>
      <c r="V123" s="89"/>
      <c r="W123" s="56" t="str">
        <f>IF(AND(Table1[[#This Row],[Phase Out]]="Y",Table1[[#This Row],[Zero Inventory]]="Y"),"Y","")</f>
        <v/>
      </c>
      <c r="X123" s="79">
        <v>10.625</v>
      </c>
      <c r="Y123" s="63" t="s">
        <v>1446</v>
      </c>
      <c r="Z123" s="59" t="str">
        <f>IF(LEFT(Table1[[#This Row],[Model]],2)="NX","NX",IF(LEFT(Table1[[#This Row],[Model]],2)="CR","CR",""))</f>
        <v>NX</v>
      </c>
      <c r="AA123" s="59" t="str">
        <f>LEFT(SUBSTITUTE(SUBSTITUTE(Table1[[#This Row],[Model]],"NX",""),"CR",""),1)</f>
        <v>6</v>
      </c>
      <c r="AB123" s="59" t="str">
        <f>MID(SUBSTITUTE(SUBSTITUTE(Table1[[#This Row],[Model]],"NX",""),"CR",""),2,2)</f>
        <v>16</v>
      </c>
      <c r="AC123" s="64" t="str">
        <f>IF(ISNUMBER(FIND("M",Table1[[#This Row],[Model]])),"M","")</f>
        <v/>
      </c>
      <c r="AD123" s="64" t="str">
        <f>CONCATENATE(MID(Table1[[#This Row],[Model]],FIND("-",Table1[[#This Row],[Model]])+1,2),IF(RIGHT(MID(Table1[[#This Row],[Model]],FIND("-",Table1[[#This Row],[Model]])+1,3),1)="+","+",""))</f>
        <v>SR+</v>
      </c>
      <c r="AE12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23" s="64" t="str">
        <f>IF(ISNUMBER(SEARCH("(K)",Table1[[#This Row],[Model]])),"(K)","")</f>
        <v>(K)</v>
      </c>
      <c r="AG123" s="64" t="str">
        <f>IF(ISNUMBER(SEARCH("(BR)",Table1[[#This Row],[Model]])),"(BR)","")</f>
        <v>(BR)</v>
      </c>
      <c r="AH123" s="32" t="s">
        <v>103</v>
      </c>
      <c r="AI123" s="32" t="s">
        <v>126</v>
      </c>
      <c r="AJ123" s="95"/>
      <c r="AK123" s="95"/>
      <c r="AL123" s="32" t="s">
        <v>106</v>
      </c>
      <c r="AM123" s="63" t="s">
        <v>107</v>
      </c>
      <c r="AN123" s="64" t="s">
        <v>127</v>
      </c>
      <c r="AO123" s="65"/>
      <c r="AP123" s="106"/>
      <c r="AQ123" s="68">
        <v>3.5000000000000003E-2</v>
      </c>
      <c r="AR123" s="68" t="s">
        <v>284</v>
      </c>
      <c r="AS123" s="32">
        <v>165432</v>
      </c>
      <c r="AT123" s="32">
        <f>10.3125</f>
        <v>10.3125</v>
      </c>
      <c r="AU123" s="69">
        <f>IF(ISNUMBER(Table1[[#This Row],[Above gauge Ø]]),((Table1[[#This Row],[Size]]-Table1[[#This Row],[Above gauge Ø]])/2)-0.05,"")</f>
        <v>0.10625</v>
      </c>
      <c r="AV123" s="121">
        <f>0.26064/0.625</f>
        <v>0.41702399999999995</v>
      </c>
      <c r="AW123" s="32" t="s">
        <v>180</v>
      </c>
      <c r="AX123" s="32">
        <f>10.625-0.125</f>
        <v>10.5</v>
      </c>
      <c r="AY123" s="32" t="s">
        <v>1290</v>
      </c>
      <c r="AZ123" s="32">
        <v>15</v>
      </c>
      <c r="BA123" s="32">
        <v>35</v>
      </c>
      <c r="BB123" s="82">
        <v>720</v>
      </c>
      <c r="BC123" s="82">
        <v>760</v>
      </c>
      <c r="BD123" s="82">
        <v>770</v>
      </c>
      <c r="BE123" s="97">
        <v>800</v>
      </c>
      <c r="BF123" s="32" t="s">
        <v>113</v>
      </c>
      <c r="BG123" s="32">
        <v>15</v>
      </c>
      <c r="BH123" s="32" t="s">
        <v>322</v>
      </c>
      <c r="BI123" s="32">
        <v>30</v>
      </c>
      <c r="BJ123" s="17" t="e">
        <f>CONCATENATE("► M1 Notes: ",#REF!," •-----► CL-SKF Notes: ",#REF!," •-----► DS Notes: ",#REF!)</f>
        <v>#REF!</v>
      </c>
      <c r="BK123" s="17" t="s">
        <v>1447</v>
      </c>
      <c r="BL123" s="32">
        <v>6</v>
      </c>
      <c r="BM123" s="32" t="s">
        <v>115</v>
      </c>
      <c r="BN123" s="83">
        <f>11.184*6</f>
        <v>67.103999999999999</v>
      </c>
      <c r="BO123" s="32">
        <v>24.41</v>
      </c>
      <c r="BP123" s="32" t="s">
        <v>101</v>
      </c>
      <c r="BQ123" s="32" t="s">
        <v>101</v>
      </c>
      <c r="BR123" s="32" t="s">
        <v>101</v>
      </c>
      <c r="BS123" s="32">
        <v>60</v>
      </c>
      <c r="BT123" s="32" t="s">
        <v>117</v>
      </c>
      <c r="BU123" s="32">
        <v>9</v>
      </c>
      <c r="BV123" s="32" t="s">
        <v>117</v>
      </c>
      <c r="BW123" s="103">
        <v>3.34</v>
      </c>
    </row>
    <row r="124" spans="2:75" x14ac:dyDescent="0.25">
      <c r="B124" s="104">
        <v>3219</v>
      </c>
      <c r="C124" s="2"/>
      <c r="D124" s="146" t="s">
        <v>93</v>
      </c>
      <c r="E124" s="85" t="s">
        <v>1448</v>
      </c>
      <c r="F124" s="85" t="s">
        <v>1449</v>
      </c>
      <c r="G124" s="85" t="s">
        <v>1450</v>
      </c>
      <c r="H124" s="86" t="s">
        <v>93</v>
      </c>
      <c r="I124" s="85" t="s">
        <v>1451</v>
      </c>
      <c r="J124" s="85" t="s">
        <v>1452</v>
      </c>
      <c r="K124" s="85" t="s">
        <v>1453</v>
      </c>
      <c r="L124" s="85" t="s">
        <v>1454</v>
      </c>
      <c r="M124" s="86" t="s">
        <v>93</v>
      </c>
      <c r="N124" s="85" t="s">
        <v>1455</v>
      </c>
      <c r="O124" s="85" t="s">
        <v>1456</v>
      </c>
      <c r="P124" s="86" t="s">
        <v>93</v>
      </c>
      <c r="Q124" s="86" t="s">
        <v>93</v>
      </c>
      <c r="R124" s="87">
        <f>COUNTIFS([1]Fleet!$E:$E,Table1[[#This Row],[Old Assy '#]])+COUNTIFS([1]OnDeck!$E:$E,Table1[[#This Row],[Old Assy '#]])</f>
        <v>2</v>
      </c>
      <c r="S124" s="88">
        <v>45470</v>
      </c>
      <c r="T124" s="89"/>
      <c r="U124" s="89"/>
      <c r="V124" s="89"/>
      <c r="W124" s="56" t="str">
        <f>IF(AND(Table1[[#This Row],[Phase Out]]="Y",Table1[[#This Row],[Zero Inventory]]="Y"),"Y","")</f>
        <v/>
      </c>
      <c r="X124" s="79">
        <v>8.5</v>
      </c>
      <c r="Y124" s="63" t="s">
        <v>1457</v>
      </c>
      <c r="Z124" s="59" t="str">
        <f>IF(LEFT(Table1[[#This Row],[Model]],2)="NX","NX",IF(LEFT(Table1[[#This Row],[Model]],2)="CR","CR",""))</f>
        <v>NX</v>
      </c>
      <c r="AA124" s="59" t="str">
        <f>LEFT(SUBSTITUTE(SUBSTITUTE(Table1[[#This Row],[Model]],"NX",""),"CR",""),1)</f>
        <v>8</v>
      </c>
      <c r="AB124" s="59" t="str">
        <f>MID(SUBSTITUTE(SUBSTITUTE(Table1[[#This Row],[Model]],"NX",""),"CR",""),2,2)</f>
        <v>13</v>
      </c>
      <c r="AC124" s="64" t="str">
        <f>IF(ISNUMBER(FIND("M",Table1[[#This Row],[Model]])),"M","")</f>
        <v/>
      </c>
      <c r="AD124" s="64" t="str">
        <f>CONCATENATE(MID(Table1[[#This Row],[Model]],FIND("-",Table1[[#This Row],[Model]])+1,2),IF(RIGHT(MID(Table1[[#This Row],[Model]],FIND("-",Table1[[#This Row],[Model]])+1,3),1)="+","+",""))</f>
        <v>SR</v>
      </c>
      <c r="AE12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8</v>
      </c>
      <c r="AF124" s="64" t="str">
        <f>IF(ISNUMBER(SEARCH("(K)",Table1[[#This Row],[Model]])),"(K)","")</f>
        <v>(K)</v>
      </c>
      <c r="AG124" s="64" t="str">
        <f>IF(ISNUMBER(SEARCH("(BR)",Table1[[#This Row],[Model]])),"(BR)","")</f>
        <v>(BR)</v>
      </c>
      <c r="AH124" s="32" t="s">
        <v>103</v>
      </c>
      <c r="AI124" s="32" t="s">
        <v>104</v>
      </c>
      <c r="AJ124" s="95"/>
      <c r="AK124" s="95"/>
      <c r="AL124" s="32" t="s">
        <v>1458</v>
      </c>
      <c r="AM124" s="63" t="s">
        <v>1458</v>
      </c>
      <c r="AN124" s="63" t="s">
        <v>1458</v>
      </c>
      <c r="AO124" s="65"/>
      <c r="AP124" s="106"/>
      <c r="AQ124" s="68">
        <v>0</v>
      </c>
      <c r="AR124" s="68" t="s">
        <v>284</v>
      </c>
      <c r="AS124" s="32">
        <v>18765432</v>
      </c>
      <c r="AT124" s="102">
        <v>8.125</v>
      </c>
      <c r="AU124" s="69">
        <f>IF(ISNUMBER(Table1[[#This Row],[Above gauge Ø]]),((Table1[[#This Row],[Size]]-Table1[[#This Row],[Above gauge Ø]])/2)-0.05,"")</f>
        <v>0.13750000000000001</v>
      </c>
      <c r="AV124" s="121">
        <v>0.4</v>
      </c>
      <c r="AW124" s="32" t="s">
        <v>180</v>
      </c>
      <c r="AX124" s="32">
        <v>8.375</v>
      </c>
      <c r="AY124" s="32" t="s">
        <v>307</v>
      </c>
      <c r="AZ124" s="32">
        <v>7.5</v>
      </c>
      <c r="BA124" s="32"/>
      <c r="BB124" s="32"/>
      <c r="BC124" s="95"/>
      <c r="BD124" s="131">
        <v>220</v>
      </c>
      <c r="BE124" s="95"/>
      <c r="BF124" s="32" t="s">
        <v>1459</v>
      </c>
      <c r="BG124" s="32">
        <v>16</v>
      </c>
      <c r="BH124" s="32" t="s">
        <v>597</v>
      </c>
      <c r="BI124" s="32">
        <v>30.5</v>
      </c>
      <c r="BJ124" s="17" t="e">
        <f>CONCATENATE("► M1 Notes: ",#REF!," •-----► CL-SKF Notes: ",#REF!," •-----► DS Notes: ",#REF!)</f>
        <v>#REF!</v>
      </c>
      <c r="BK124" s="17"/>
      <c r="BL124" s="32">
        <v>2</v>
      </c>
      <c r="BM124" s="32" t="s">
        <v>184</v>
      </c>
      <c r="BN124" s="83">
        <v>16.8</v>
      </c>
      <c r="BO124" s="32">
        <v>13.91</v>
      </c>
      <c r="BP124" s="32" t="s">
        <v>116</v>
      </c>
      <c r="BQ124" s="32" t="s">
        <v>116</v>
      </c>
      <c r="BR124" s="32" t="s">
        <v>101</v>
      </c>
      <c r="BS124" s="32">
        <v>45</v>
      </c>
      <c r="BT124" s="32" t="s">
        <v>117</v>
      </c>
      <c r="BU124" s="32">
        <v>8</v>
      </c>
      <c r="BV124" s="32" t="s">
        <v>117</v>
      </c>
      <c r="BW124" s="103">
        <v>1.57</v>
      </c>
    </row>
    <row r="125" spans="2:75" x14ac:dyDescent="0.25">
      <c r="B125" s="126">
        <v>3336</v>
      </c>
      <c r="C125" s="2"/>
      <c r="D125" s="146" t="s">
        <v>93</v>
      </c>
      <c r="E125" s="86" t="s">
        <v>93</v>
      </c>
      <c r="F125" s="85" t="s">
        <v>1460</v>
      </c>
      <c r="G125" s="85" t="s">
        <v>1461</v>
      </c>
      <c r="H125" s="86" t="s">
        <v>93</v>
      </c>
      <c r="I125" s="85" t="s">
        <v>1462</v>
      </c>
      <c r="J125" s="85" t="s">
        <v>1463</v>
      </c>
      <c r="K125" s="85" t="s">
        <v>1464</v>
      </c>
      <c r="L125" s="85" t="s">
        <v>1465</v>
      </c>
      <c r="M125" s="86" t="s">
        <v>93</v>
      </c>
      <c r="N125" s="85" t="s">
        <v>1466</v>
      </c>
      <c r="O125" s="85" t="s">
        <v>1467</v>
      </c>
      <c r="P125" s="53" t="s">
        <v>93</v>
      </c>
      <c r="Q125" s="53" t="s">
        <v>93</v>
      </c>
      <c r="R125" s="87">
        <f>COUNTIFS([1]Fleet!$E:$E,Table1[[#This Row],[Old Assy '#]])+COUNTIFS([1]OnDeck!$E:$E,Table1[[#This Row],[Old Assy '#]])</f>
        <v>4</v>
      </c>
      <c r="S125" s="88">
        <v>45345</v>
      </c>
      <c r="T125" s="89"/>
      <c r="U125" s="89"/>
      <c r="V125" s="89"/>
      <c r="W125" s="56" t="str">
        <f>IF(AND(Table1[[#This Row],[Phase Out]]="Y",Table1[[#This Row],[Zero Inventory]]="Y"),"Y","")</f>
        <v/>
      </c>
      <c r="X125" s="90">
        <v>8.5</v>
      </c>
      <c r="Y125" s="91" t="s">
        <v>1468</v>
      </c>
      <c r="Z125" s="59" t="str">
        <f>IF(LEFT(Table1[[#This Row],[Model]],2)="NX","NX",IF(LEFT(Table1[[#This Row],[Model]],2)="CR","CR",""))</f>
        <v>NX</v>
      </c>
      <c r="AA125" s="59" t="str">
        <f>LEFT(SUBSTITUTE(SUBSTITUTE(Table1[[#This Row],[Model]],"NX",""),"CR",""),1)</f>
        <v>6</v>
      </c>
      <c r="AB125" s="59" t="str">
        <f>MID(SUBSTITUTE(SUBSTITUTE(Table1[[#This Row],[Model]],"NX",""),"CR",""),2,2)</f>
        <v>13</v>
      </c>
      <c r="AC125" s="59" t="str">
        <f>IF(ISNUMBER(FIND("M",Table1[[#This Row],[Model]])),"M","")</f>
        <v/>
      </c>
      <c r="AD125" s="59" t="str">
        <f>CONCATENATE(MID(Table1[[#This Row],[Model]],FIND("-",Table1[[#This Row],[Model]])+1,2),IF(RIGHT(MID(Table1[[#This Row],[Model]],FIND("-",Table1[[#This Row],[Model]])+1,3),1)="+","+",""))</f>
        <v>XR</v>
      </c>
      <c r="AE125" s="59">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25" s="59" t="str">
        <f>IF(ISNUMBER(SEARCH("(K)",Table1[[#This Row],[Model]])),"(K)","")</f>
        <v>(K)</v>
      </c>
      <c r="AG125" s="59" t="str">
        <f>IF(ISNUMBER(SEARCH("(BR)",Table1[[#This Row],[Model]])),"(BR)","")</f>
        <v>(BR)</v>
      </c>
      <c r="AH125" s="95" t="s">
        <v>103</v>
      </c>
      <c r="AI125" s="95" t="s">
        <v>104</v>
      </c>
      <c r="AJ125" s="95"/>
      <c r="AK125" s="95"/>
      <c r="AL125" s="95" t="s">
        <v>1458</v>
      </c>
      <c r="AM125" s="32" t="s">
        <v>1458</v>
      </c>
      <c r="AN125" s="63" t="s">
        <v>1458</v>
      </c>
      <c r="AO125" s="92"/>
      <c r="AP125" s="93"/>
      <c r="AQ125" s="94">
        <v>0</v>
      </c>
      <c r="AR125" s="125" t="s">
        <v>284</v>
      </c>
      <c r="AS125" s="95">
        <v>165432</v>
      </c>
      <c r="AT125" s="96">
        <v>8.125</v>
      </c>
      <c r="AU125" s="128">
        <f>IF(ISNUMBER(Table1[[#This Row],[Above gauge Ø]]),((Table1[[#This Row],[Size]]-Table1[[#This Row],[Above gauge Ø]])/2)-0.05,"")</f>
        <v>0.13750000000000001</v>
      </c>
      <c r="AV125" s="121">
        <v>0.4</v>
      </c>
      <c r="AW125" s="95" t="s">
        <v>180</v>
      </c>
      <c r="AX125" s="95">
        <v>8.375</v>
      </c>
      <c r="AY125" s="95" t="s">
        <v>307</v>
      </c>
      <c r="AZ125" s="95">
        <v>7.5</v>
      </c>
      <c r="BA125" s="95"/>
      <c r="BB125" s="97">
        <v>150</v>
      </c>
      <c r="BC125" s="97">
        <v>140</v>
      </c>
      <c r="BD125" s="97">
        <v>70</v>
      </c>
      <c r="BE125" s="97">
        <v>260</v>
      </c>
      <c r="BF125" s="95">
        <v>23</v>
      </c>
      <c r="BG125" s="95">
        <v>17</v>
      </c>
      <c r="BH125" s="95" t="s">
        <v>1469</v>
      </c>
      <c r="BI125" s="95">
        <v>30.5</v>
      </c>
      <c r="BJ125" s="17" t="e">
        <f>CONCATENATE("► M1 Notes: ",#REF!," •-----► CL-SKF Notes: ",#REF!," •-----► DS Notes: ",#REF!)</f>
        <v>#REF!</v>
      </c>
      <c r="BK125" s="98"/>
      <c r="BL125" s="95">
        <v>2</v>
      </c>
      <c r="BM125" s="95" t="s">
        <v>184</v>
      </c>
      <c r="BN125" s="99">
        <v>21.1</v>
      </c>
      <c r="BO125" s="95">
        <v>13.91</v>
      </c>
      <c r="BP125" s="95" t="s">
        <v>116</v>
      </c>
      <c r="BQ125" s="95" t="s">
        <v>101</v>
      </c>
      <c r="BR125" s="95" t="s">
        <v>101</v>
      </c>
      <c r="BS125" s="95">
        <v>60</v>
      </c>
      <c r="BT125" s="95" t="s">
        <v>117</v>
      </c>
      <c r="BU125" s="95">
        <v>6</v>
      </c>
      <c r="BV125" s="95" t="s">
        <v>117</v>
      </c>
      <c r="BW125" s="129">
        <v>2.23</v>
      </c>
    </row>
    <row r="126" spans="2:75" x14ac:dyDescent="0.25">
      <c r="B126" s="126">
        <v>3449</v>
      </c>
      <c r="C126" s="2"/>
      <c r="D126" s="146" t="s">
        <v>93</v>
      </c>
      <c r="E126" s="85" t="s">
        <v>1470</v>
      </c>
      <c r="F126" s="85" t="s">
        <v>1471</v>
      </c>
      <c r="G126" s="85" t="s">
        <v>1472</v>
      </c>
      <c r="H126" s="86" t="s">
        <v>93</v>
      </c>
      <c r="I126" s="85" t="s">
        <v>1473</v>
      </c>
      <c r="J126" s="85" t="s">
        <v>1474</v>
      </c>
      <c r="K126" s="85" t="s">
        <v>1475</v>
      </c>
      <c r="L126" s="85" t="s">
        <v>1476</v>
      </c>
      <c r="M126" s="86" t="s">
        <v>93</v>
      </c>
      <c r="N126" s="85" t="s">
        <v>1477</v>
      </c>
      <c r="O126" s="85" t="s">
        <v>1478</v>
      </c>
      <c r="P126" s="53" t="s">
        <v>93</v>
      </c>
      <c r="Q126" s="53" t="s">
        <v>93</v>
      </c>
      <c r="R126" s="87">
        <f>COUNTIFS([1]Fleet!$E:$E,Table1[[#This Row],[Old Assy '#]])+COUNTIFS([1]OnDeck!$E:$E,Table1[[#This Row],[Old Assy '#]])</f>
        <v>0</v>
      </c>
      <c r="S126" s="88">
        <v>45218</v>
      </c>
      <c r="T126" s="89"/>
      <c r="U126" s="89"/>
      <c r="V126" s="89" t="s">
        <v>101</v>
      </c>
      <c r="W126" s="56" t="str">
        <f>IF(AND(Table1[[#This Row],[Phase Out]]="Y",Table1[[#This Row],[Zero Inventory]]="Y"),"Y","")</f>
        <v/>
      </c>
      <c r="X126" s="90">
        <v>7.875</v>
      </c>
      <c r="Y126" s="91" t="s">
        <v>1479</v>
      </c>
      <c r="Z126" s="59" t="str">
        <f>IF(LEFT(Table1[[#This Row],[Model]],2)="NX","NX",IF(LEFT(Table1[[#This Row],[Model]],2)="CR","CR",""))</f>
        <v>CR</v>
      </c>
      <c r="AA126" s="59" t="str">
        <f>LEFT(SUBSTITUTE(SUBSTITUTE(Table1[[#This Row],[Model]],"NX",""),"CR",""),1)</f>
        <v>6</v>
      </c>
      <c r="AB126" s="59" t="str">
        <f>MID(SUBSTITUTE(SUBSTITUTE(Table1[[#This Row],[Model]],"NX",""),"CR",""),2,2)</f>
        <v>16</v>
      </c>
      <c r="AC126" s="59" t="str">
        <f>IF(ISNUMBER(FIND("M",Table1[[#This Row],[Model]])),"M","")</f>
        <v/>
      </c>
      <c r="AD126" s="59" t="str">
        <f>CONCATENATE(MID(Table1[[#This Row],[Model]],FIND("-",Table1[[#This Row],[Model]])+1,2),IF(RIGHT(MID(Table1[[#This Row],[Model]],FIND("-",Table1[[#This Row],[Model]])+1,3),1)="+","+",""))</f>
        <v>XR</v>
      </c>
      <c r="AE126" s="59">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26" s="59" t="str">
        <f>IF(ISNUMBER(SEARCH("(K)",Table1[[#This Row],[Model]])),"(K)","")</f>
        <v/>
      </c>
      <c r="AG126" s="59" t="str">
        <f>IF(ISNUMBER(SEARCH("(BR)",Table1[[#This Row],[Model]])),"(BR)","")</f>
        <v/>
      </c>
      <c r="AH126" s="95" t="s">
        <v>103</v>
      </c>
      <c r="AI126" s="95" t="s">
        <v>104</v>
      </c>
      <c r="AJ126" s="95" t="s">
        <v>1480</v>
      </c>
      <c r="AK126" s="95"/>
      <c r="AL126" s="95" t="s">
        <v>106</v>
      </c>
      <c r="AM126" s="63" t="s">
        <v>107</v>
      </c>
      <c r="AN126" s="63" t="s">
        <v>107</v>
      </c>
      <c r="AO126" s="92"/>
      <c r="AP126" s="93"/>
      <c r="AQ126" s="94">
        <v>0</v>
      </c>
      <c r="AR126" s="125" t="s">
        <v>943</v>
      </c>
      <c r="AS126" s="95">
        <v>143652</v>
      </c>
      <c r="AT126" s="95">
        <v>7.5</v>
      </c>
      <c r="AU126" s="128">
        <f>IF(ISNUMBER(Table1[[#This Row],[Above gauge Ø]]),((Table1[[#This Row],[Size]]-Table1[[#This Row],[Above gauge Ø]])/2)-0.05,"")</f>
        <v>0.13750000000000001</v>
      </c>
      <c r="AV126" s="70">
        <f>0.273/0.625</f>
        <v>0.43680000000000002</v>
      </c>
      <c r="AW126" s="95" t="s">
        <v>180</v>
      </c>
      <c r="AX126" s="95">
        <v>7.6890000000000001</v>
      </c>
      <c r="AY126" s="95" t="s">
        <v>112</v>
      </c>
      <c r="AZ126" s="95">
        <v>15</v>
      </c>
      <c r="BA126" s="95"/>
      <c r="BB126" s="97">
        <v>420</v>
      </c>
      <c r="BC126" s="97">
        <v>0</v>
      </c>
      <c r="BD126" s="97"/>
      <c r="BE126" s="97"/>
      <c r="BF126" s="95" t="s">
        <v>113</v>
      </c>
      <c r="BG126" s="95">
        <v>15</v>
      </c>
      <c r="BH126" s="95" t="s">
        <v>308</v>
      </c>
      <c r="BI126" s="95">
        <v>30</v>
      </c>
      <c r="BJ126" s="17" t="e">
        <f>CONCATENATE("► M1 Notes: ",#REF!," •-----► CL-SKF Notes: ",#REF!," •-----► DS Notes: ",#REF!)</f>
        <v>#REF!</v>
      </c>
      <c r="BK126" s="98"/>
      <c r="BL126" s="95">
        <v>4</v>
      </c>
      <c r="BM126" s="95" t="s">
        <v>115</v>
      </c>
      <c r="BN126" s="99">
        <v>32.826999999999998</v>
      </c>
      <c r="BO126" s="95">
        <v>9.6199999999999992</v>
      </c>
      <c r="BP126" s="95" t="s">
        <v>116</v>
      </c>
      <c r="BQ126" s="95" t="s">
        <v>101</v>
      </c>
      <c r="BR126" s="95" t="s">
        <v>101</v>
      </c>
      <c r="BS126" s="95">
        <v>60</v>
      </c>
      <c r="BT126" s="95" t="s">
        <v>117</v>
      </c>
      <c r="BU126" s="95">
        <v>6</v>
      </c>
      <c r="BV126" s="95" t="s">
        <v>117</v>
      </c>
      <c r="BW126" s="129">
        <v>2.23</v>
      </c>
    </row>
    <row r="127" spans="2:75" x14ac:dyDescent="0.25">
      <c r="B127" s="126">
        <v>3943</v>
      </c>
      <c r="C127" s="2"/>
      <c r="D127" s="146" t="s">
        <v>93</v>
      </c>
      <c r="E127" s="85" t="s">
        <v>1481</v>
      </c>
      <c r="F127" s="85" t="s">
        <v>1482</v>
      </c>
      <c r="G127" s="85" t="s">
        <v>1483</v>
      </c>
      <c r="H127" s="85" t="s">
        <v>1484</v>
      </c>
      <c r="I127" s="132" t="s">
        <v>1485</v>
      </c>
      <c r="J127" s="132" t="s">
        <v>1486</v>
      </c>
      <c r="K127" s="132" t="s">
        <v>1487</v>
      </c>
      <c r="L127" s="85" t="s">
        <v>1488</v>
      </c>
      <c r="M127" s="86" t="s">
        <v>93</v>
      </c>
      <c r="N127" s="85" t="s">
        <v>1489</v>
      </c>
      <c r="O127" s="85" t="s">
        <v>1490</v>
      </c>
      <c r="P127" s="53" t="s">
        <v>93</v>
      </c>
      <c r="Q127" s="53" t="s">
        <v>93</v>
      </c>
      <c r="R127" s="87">
        <f>COUNTIFS([1]Fleet!$E:$E,Table1[[#This Row],[Old Assy '#]])+COUNTIFS([1]OnDeck!$E:$E,Table1[[#This Row],[Old Assy '#]])</f>
        <v>0</v>
      </c>
      <c r="S127" s="88">
        <v>44876</v>
      </c>
      <c r="T127" s="89"/>
      <c r="U127" s="89" t="s">
        <v>101</v>
      </c>
      <c r="V127" s="89" t="s">
        <v>101</v>
      </c>
      <c r="W127" s="56" t="str">
        <f>IF(AND(Table1[[#This Row],[Phase Out]]="Y",Table1[[#This Row],[Zero Inventory]]="Y"),"Y","")</f>
        <v>Y</v>
      </c>
      <c r="X127" s="90">
        <v>7.875</v>
      </c>
      <c r="Y127" s="91" t="s">
        <v>1479</v>
      </c>
      <c r="Z127" s="59" t="str">
        <f>IF(LEFT(Table1[[#This Row],[Model]],2)="NX","NX",IF(LEFT(Table1[[#This Row],[Model]],2)="CR","CR",""))</f>
        <v>CR</v>
      </c>
      <c r="AA127" s="59" t="str">
        <f>LEFT(SUBSTITUTE(SUBSTITUTE(Table1[[#This Row],[Model]],"NX",""),"CR",""),1)</f>
        <v>6</v>
      </c>
      <c r="AB127" s="59" t="str">
        <f>MID(SUBSTITUTE(SUBSTITUTE(Table1[[#This Row],[Model]],"NX",""),"CR",""),2,2)</f>
        <v>16</v>
      </c>
      <c r="AC127" s="59" t="str">
        <f>IF(ISNUMBER(FIND("M",Table1[[#This Row],[Model]])),"M","")</f>
        <v/>
      </c>
      <c r="AD127" s="59" t="str">
        <f>CONCATENATE(MID(Table1[[#This Row],[Model]],FIND("-",Table1[[#This Row],[Model]])+1,2),IF(RIGHT(MID(Table1[[#This Row],[Model]],FIND("-",Table1[[#This Row],[Model]])+1,3),1)="+","+",""))</f>
        <v>XR</v>
      </c>
      <c r="AE127" s="60" t="str">
        <f>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27" s="59" t="str">
        <f>IF(ISNUMBER(SEARCH("(K)",Table1[[#This Row],[Model]])),"(K)","")</f>
        <v/>
      </c>
      <c r="AG127" s="59" t="str">
        <f>IF(ISNUMBER(SEARCH("(BR)",Table1[[#This Row],[Model]])),"(BR)","")</f>
        <v/>
      </c>
      <c r="AH127" s="95" t="s">
        <v>103</v>
      </c>
      <c r="AI127" s="95" t="s">
        <v>104</v>
      </c>
      <c r="AJ127" s="32" t="s">
        <v>1480</v>
      </c>
      <c r="AK127" s="95"/>
      <c r="AL127" s="95" t="s">
        <v>106</v>
      </c>
      <c r="AM127" s="63" t="s">
        <v>107</v>
      </c>
      <c r="AN127" s="91" t="s">
        <v>107</v>
      </c>
      <c r="AO127" s="92"/>
      <c r="AP127" s="66"/>
      <c r="AQ127" s="80">
        <v>0</v>
      </c>
      <c r="AR127" s="125" t="s">
        <v>943</v>
      </c>
      <c r="AS127" s="124">
        <v>143652</v>
      </c>
      <c r="AT127" s="95">
        <v>7.5</v>
      </c>
      <c r="AU127" s="128">
        <f>IF(ISNUMBER(Table1[[#This Row],[Above gauge Ø]]),((Table1[[#This Row],[Size]]-Table1[[#This Row],[Above gauge Ø]])/2)-0.05,"")</f>
        <v>0.13750000000000001</v>
      </c>
      <c r="AV127" s="133">
        <f>0.219/0.625</f>
        <v>0.35039999999999999</v>
      </c>
      <c r="AW127" s="95" t="s">
        <v>180</v>
      </c>
      <c r="AX127" s="95">
        <v>7.6890000000000001</v>
      </c>
      <c r="AY127" s="95" t="s">
        <v>112</v>
      </c>
      <c r="AZ127" s="95">
        <v>15</v>
      </c>
      <c r="BA127" s="95"/>
      <c r="BB127" s="82">
        <v>420</v>
      </c>
      <c r="BC127" s="97">
        <v>0</v>
      </c>
      <c r="BD127" s="97"/>
      <c r="BE127" s="97"/>
      <c r="BF127" s="95" t="s">
        <v>113</v>
      </c>
      <c r="BG127" s="95">
        <v>15</v>
      </c>
      <c r="BH127" s="95" t="s">
        <v>308</v>
      </c>
      <c r="BI127" s="95">
        <v>30</v>
      </c>
      <c r="BJ127" s="17" t="e">
        <f>CONCATENATE("► M1 Notes: ",#REF!," •-----► CL-SKF Notes: ",#REF!," •-----► DS Notes: ",#REF!)</f>
        <v>#REF!</v>
      </c>
      <c r="BK127" s="98"/>
      <c r="BL127" s="95">
        <v>4</v>
      </c>
      <c r="BM127" s="95" t="s">
        <v>115</v>
      </c>
      <c r="BN127" s="99">
        <v>32.826999999999998</v>
      </c>
      <c r="BO127" s="95">
        <v>9.6199999999999992</v>
      </c>
      <c r="BP127" s="95" t="s">
        <v>116</v>
      </c>
      <c r="BQ127" s="95" t="s">
        <v>101</v>
      </c>
      <c r="BR127" s="95" t="s">
        <v>101</v>
      </c>
      <c r="BS127" s="95">
        <v>60</v>
      </c>
      <c r="BT127" s="95" t="s">
        <v>117</v>
      </c>
      <c r="BU127" s="95">
        <v>6</v>
      </c>
      <c r="BV127" s="95" t="s">
        <v>117</v>
      </c>
      <c r="BW127" s="129">
        <v>2.23</v>
      </c>
    </row>
    <row r="128" spans="2:75" x14ac:dyDescent="0.25">
      <c r="B128" s="126">
        <v>4149</v>
      </c>
      <c r="C128" s="2"/>
      <c r="D128" s="147" t="s">
        <v>1491</v>
      </c>
      <c r="E128" s="86" t="s">
        <v>93</v>
      </c>
      <c r="F128" s="85" t="s">
        <v>1492</v>
      </c>
      <c r="G128" s="85" t="s">
        <v>1493</v>
      </c>
      <c r="H128" s="86" t="s">
        <v>93</v>
      </c>
      <c r="I128" s="85" t="s">
        <v>1494</v>
      </c>
      <c r="J128" s="85" t="s">
        <v>1495</v>
      </c>
      <c r="K128" s="85" t="s">
        <v>1496</v>
      </c>
      <c r="L128" s="85" t="s">
        <v>1497</v>
      </c>
      <c r="M128" s="86" t="s">
        <v>93</v>
      </c>
      <c r="N128" s="86" t="s">
        <v>93</v>
      </c>
      <c r="O128" s="85" t="s">
        <v>1498</v>
      </c>
      <c r="P128" s="53" t="s">
        <v>93</v>
      </c>
      <c r="Q128" s="54" t="s">
        <v>1499</v>
      </c>
      <c r="R128" s="87">
        <f>COUNTIFS([1]Fleet!$E:$E,Table1[[#This Row],[Old Assy '#]])+COUNTIFS([1]OnDeck!$E:$E,Table1[[#This Row],[Old Assy '#]])</f>
        <v>1</v>
      </c>
      <c r="S128" s="88">
        <v>46031</v>
      </c>
      <c r="T128" s="89"/>
      <c r="U128" s="89"/>
      <c r="V128" s="89"/>
      <c r="W128" s="56" t="str">
        <f>IF(AND(Table1[[#This Row],[Phase Out]]="Y",Table1[[#This Row],[Zero Inventory]]="Y"),"Y","")</f>
        <v/>
      </c>
      <c r="X128" s="90">
        <v>11</v>
      </c>
      <c r="Y128" s="91" t="s">
        <v>1500</v>
      </c>
      <c r="Z128" s="59" t="str">
        <f>IF(LEFT(Table1[[#This Row],[Model]],2)="NX","NX",IF(LEFT(Table1[[#This Row],[Model]],2)="CR","CR",""))</f>
        <v>NX</v>
      </c>
      <c r="AA128" s="59" t="str">
        <f>LEFT(SUBSTITUTE(SUBSTITUTE(Table1[[#This Row],[Model]],"NX",""),"CR",""),1)</f>
        <v>6</v>
      </c>
      <c r="AB128" s="59" t="str">
        <f>MID(SUBSTITUTE(SUBSTITUTE(Table1[[#This Row],[Model]],"NX",""),"CR",""),2,2)</f>
        <v>16</v>
      </c>
      <c r="AC128" s="59" t="str">
        <f>IF(ISNUMBER(FIND("M",Table1[[#This Row],[Model]])),"M","")</f>
        <v/>
      </c>
      <c r="AD128" s="59" t="str">
        <f>CONCATENATE(MID(Table1[[#This Row],[Model]],FIND("-",Table1[[#This Row],[Model]])+1,2),IF(RIGHT(MID(Table1[[#This Row],[Model]],FIND("-",Table1[[#This Row],[Model]])+1,3),1)="+","+",""))</f>
        <v>SR</v>
      </c>
      <c r="AE128"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28" s="59" t="str">
        <f>IF(ISNUMBER(SEARCH("(K)",Table1[[#This Row],[Model]])),"(K)","")</f>
        <v>(K)</v>
      </c>
      <c r="AG128" s="59" t="str">
        <f>IF(ISNUMBER(SEARCH("(BR)",Table1[[#This Row],[Model]])),"(BR)","")</f>
        <v/>
      </c>
      <c r="AH128" s="95" t="s">
        <v>103</v>
      </c>
      <c r="AI128" s="95" t="s">
        <v>126</v>
      </c>
      <c r="AJ128" s="95"/>
      <c r="AK128" s="95"/>
      <c r="AL128" s="95" t="s">
        <v>106</v>
      </c>
      <c r="AM128" s="91" t="s">
        <v>107</v>
      </c>
      <c r="AN128" s="59" t="s">
        <v>127</v>
      </c>
      <c r="AO128" s="92"/>
      <c r="AP128" s="93"/>
      <c r="AQ128" s="94">
        <v>8.3000000000000004E-2</v>
      </c>
      <c r="AR128" s="125" t="s">
        <v>109</v>
      </c>
      <c r="AS128" s="95" t="s">
        <v>128</v>
      </c>
      <c r="AT128" s="95">
        <v>10.75</v>
      </c>
      <c r="AU128" s="128">
        <f>IF(ISNUMBER(Table1[[#This Row],[Above gauge Ø]]),((Table1[[#This Row],[Size]]-Table1[[#This Row],[Above gauge Ø]])/2)-0.05,"")</f>
        <v>7.4999999999999997E-2</v>
      </c>
      <c r="AV128" s="121">
        <f>0.27008/0.625</f>
        <v>0.43212799999999996</v>
      </c>
      <c r="AW128" s="95" t="s">
        <v>180</v>
      </c>
      <c r="AX128" s="95">
        <v>10.875</v>
      </c>
      <c r="AY128" s="95" t="s">
        <v>857</v>
      </c>
      <c r="AZ128" s="95">
        <v>15</v>
      </c>
      <c r="BA128" s="95">
        <v>83</v>
      </c>
      <c r="BB128" s="95"/>
      <c r="BC128" s="95"/>
      <c r="BD128" s="97">
        <v>470</v>
      </c>
      <c r="BE128" s="97">
        <v>1080</v>
      </c>
      <c r="BF128" s="95">
        <v>15</v>
      </c>
      <c r="BG128" s="95">
        <v>15</v>
      </c>
      <c r="BH128" s="95" t="s">
        <v>377</v>
      </c>
      <c r="BI128" s="95">
        <v>30</v>
      </c>
      <c r="BJ128" s="17" t="e">
        <f>CONCATENATE("► M1 Notes: ",#REF!," •-----► CL-SKF Notes: ",#REF!," •-----► DS Notes: ",#REF!)</f>
        <v>#REF!</v>
      </c>
      <c r="BK128" s="98" t="s">
        <v>1501</v>
      </c>
      <c r="BL128" s="95">
        <v>3</v>
      </c>
      <c r="BM128" s="95" t="s">
        <v>115</v>
      </c>
      <c r="BN128" s="99">
        <v>45.683999999999997</v>
      </c>
      <c r="BO128" s="95">
        <v>26.08</v>
      </c>
      <c r="BP128" s="95" t="s">
        <v>101</v>
      </c>
      <c r="BQ128" s="95" t="s">
        <v>101</v>
      </c>
      <c r="BR128" s="95" t="s">
        <v>101</v>
      </c>
      <c r="BS128" s="95">
        <v>60</v>
      </c>
      <c r="BT128" s="95" t="s">
        <v>117</v>
      </c>
      <c r="BU128" s="95">
        <v>9</v>
      </c>
      <c r="BV128" s="95" t="s">
        <v>117</v>
      </c>
      <c r="BW128" s="129">
        <v>3.34</v>
      </c>
    </row>
    <row r="129" spans="2:75" x14ac:dyDescent="0.25">
      <c r="B129" s="126">
        <v>4206</v>
      </c>
      <c r="C129" s="2"/>
      <c r="D129" s="146" t="s">
        <v>93</v>
      </c>
      <c r="E129" s="86" t="s">
        <v>93</v>
      </c>
      <c r="F129" s="85" t="s">
        <v>1502</v>
      </c>
      <c r="G129" s="85" t="s">
        <v>1503</v>
      </c>
      <c r="H129" s="86" t="s">
        <v>93</v>
      </c>
      <c r="I129" s="85" t="s">
        <v>1504</v>
      </c>
      <c r="J129" s="85" t="s">
        <v>1505</v>
      </c>
      <c r="K129" s="85" t="s">
        <v>1506</v>
      </c>
      <c r="L129" s="85" t="s">
        <v>1507</v>
      </c>
      <c r="M129" s="86" t="s">
        <v>93</v>
      </c>
      <c r="N129" s="85" t="s">
        <v>1508</v>
      </c>
      <c r="O129" s="85" t="s">
        <v>1509</v>
      </c>
      <c r="P129" s="53" t="s">
        <v>93</v>
      </c>
      <c r="Q129" s="53" t="s">
        <v>93</v>
      </c>
      <c r="R129" s="87">
        <f>COUNTIFS([1]Fleet!$E:$E,Table1[[#This Row],[Old Assy '#]])+COUNTIFS([1]OnDeck!$E:$E,Table1[[#This Row],[Old Assy '#]])</f>
        <v>0</v>
      </c>
      <c r="S129" s="88">
        <v>44839</v>
      </c>
      <c r="T129" s="89"/>
      <c r="U129" s="89" t="s">
        <v>101</v>
      </c>
      <c r="V129" s="89" t="s">
        <v>101</v>
      </c>
      <c r="W129" s="56" t="str">
        <f>IF(AND(Table1[[#This Row],[Phase Out]]="Y",Table1[[#This Row],[Zero Inventory]]="Y"),"Y","")</f>
        <v>Y</v>
      </c>
      <c r="X129" s="90">
        <v>14.75</v>
      </c>
      <c r="Y129" s="91" t="s">
        <v>856</v>
      </c>
      <c r="Z129" s="59" t="str">
        <f>IF(LEFT(Table1[[#This Row],[Model]],2)="NX","NX",IF(LEFT(Table1[[#This Row],[Model]],2)="CR","CR",""))</f>
        <v>CR</v>
      </c>
      <c r="AA129" s="59" t="str">
        <f>LEFT(SUBSTITUTE(SUBSTITUTE(Table1[[#This Row],[Model]],"NX",""),"CR",""),1)</f>
        <v>6</v>
      </c>
      <c r="AB129" s="59" t="str">
        <f>MID(SUBSTITUTE(SUBSTITUTE(Table1[[#This Row],[Model]],"NX",""),"CR",""),2,2)</f>
        <v>16</v>
      </c>
      <c r="AC129" s="59" t="str">
        <f>IF(ISNUMBER(FIND("M",Table1[[#This Row],[Model]])),"M","")</f>
        <v/>
      </c>
      <c r="AD129" s="59" t="str">
        <f>CONCATENATE(MID(Table1[[#This Row],[Model]],FIND("-",Table1[[#This Row],[Model]])+1,2),IF(RIGHT(MID(Table1[[#This Row],[Model]],FIND("-",Table1[[#This Row],[Model]])+1,3),1)="+","+",""))</f>
        <v>SR</v>
      </c>
      <c r="AE129" s="59">
        <f>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29" s="59" t="str">
        <f>IF(ISNUMBER(SEARCH("(K)",Table1[[#This Row],[Model]])),"(K)","")</f>
        <v>(K)</v>
      </c>
      <c r="AG129" s="59" t="str">
        <f>IF(ISNUMBER(SEARCH("(BR)",Table1[[#This Row],[Model]])),"(BR)","")</f>
        <v/>
      </c>
      <c r="AH129" s="95" t="s">
        <v>103</v>
      </c>
      <c r="AI129" s="95" t="s">
        <v>126</v>
      </c>
      <c r="AJ129" s="95"/>
      <c r="AK129" s="95"/>
      <c r="AL129" s="95" t="s">
        <v>106</v>
      </c>
      <c r="AM129" s="63" t="s">
        <v>107</v>
      </c>
      <c r="AN129" s="91" t="s">
        <v>139</v>
      </c>
      <c r="AO129" s="92"/>
      <c r="AP129" s="93"/>
      <c r="AQ129" s="80">
        <v>0</v>
      </c>
      <c r="AR129" s="68" t="s">
        <v>109</v>
      </c>
      <c r="AS129" s="95" t="s">
        <v>128</v>
      </c>
      <c r="AT129" s="95">
        <v>14.375</v>
      </c>
      <c r="AU129" s="128">
        <f>IF(ISNUMBER(Table1[[#This Row],[Above gauge Ø]]),((Table1[[#This Row],[Size]]-Table1[[#This Row],[Above gauge Ø]])/2)-0.05,"")</f>
        <v>0.13750000000000001</v>
      </c>
      <c r="AV129" s="133">
        <f>0.19/0.625</f>
        <v>0.30399999999999999</v>
      </c>
      <c r="AW129" s="95" t="s">
        <v>180</v>
      </c>
      <c r="AX129" s="95">
        <v>14.75</v>
      </c>
      <c r="AY129" s="95" t="s">
        <v>411</v>
      </c>
      <c r="AZ129" s="95">
        <v>15</v>
      </c>
      <c r="BA129" s="95"/>
      <c r="BB129" s="97"/>
      <c r="BC129" s="97"/>
      <c r="BD129" s="97">
        <v>80</v>
      </c>
      <c r="BE129" s="97">
        <v>0</v>
      </c>
      <c r="BF129" s="95" t="s">
        <v>141</v>
      </c>
      <c r="BG129" s="95">
        <v>15</v>
      </c>
      <c r="BH129" s="95" t="s">
        <v>1510</v>
      </c>
      <c r="BI129" s="95">
        <v>29.4</v>
      </c>
      <c r="BJ129" s="17" t="e">
        <f>CONCATENATE("► M1 Notes: ",#REF!," •-----► CL-SKF Notes: ",#REF!," •-----► DS Notes: ",#REF!)</f>
        <v>#REF!</v>
      </c>
      <c r="BK129" s="98"/>
      <c r="BL129" s="95">
        <v>3</v>
      </c>
      <c r="BM129" s="95" t="s">
        <v>115</v>
      </c>
      <c r="BN129" s="99">
        <f>40.353</f>
        <v>40.353000000000002</v>
      </c>
      <c r="BO129" s="95">
        <v>57.17</v>
      </c>
      <c r="BP129" s="95" t="s">
        <v>101</v>
      </c>
      <c r="BQ129" s="95" t="s">
        <v>101</v>
      </c>
      <c r="BR129" s="95" t="s">
        <v>116</v>
      </c>
      <c r="BS129" s="95">
        <v>60</v>
      </c>
      <c r="BT129" s="95" t="s">
        <v>117</v>
      </c>
      <c r="BU129" s="95">
        <v>9</v>
      </c>
      <c r="BV129" s="95" t="s">
        <v>117</v>
      </c>
      <c r="BW129" s="129">
        <v>3.34</v>
      </c>
    </row>
    <row r="130" spans="2:75" x14ac:dyDescent="0.25">
      <c r="B130" s="134">
        <v>4288</v>
      </c>
      <c r="C130" s="2"/>
      <c r="D130" s="146" t="s">
        <v>93</v>
      </c>
      <c r="E130" s="55" t="s">
        <v>1511</v>
      </c>
      <c r="F130" s="55" t="s">
        <v>1512</v>
      </c>
      <c r="G130" s="55" t="s">
        <v>1513</v>
      </c>
      <c r="H130" s="75" t="s">
        <v>93</v>
      </c>
      <c r="I130" s="55" t="s">
        <v>1514</v>
      </c>
      <c r="J130" s="55" t="s">
        <v>1515</v>
      </c>
      <c r="K130" s="55" t="s">
        <v>1516</v>
      </c>
      <c r="L130" s="55" t="s">
        <v>1517</v>
      </c>
      <c r="M130" s="75" t="s">
        <v>93</v>
      </c>
      <c r="N130" s="55" t="s">
        <v>1518</v>
      </c>
      <c r="O130" s="55" t="s">
        <v>1519</v>
      </c>
      <c r="P130" s="53" t="s">
        <v>93</v>
      </c>
      <c r="Q130" s="53" t="s">
        <v>93</v>
      </c>
      <c r="R130" s="87">
        <f>COUNTIFS([1]Fleet!$E:$E,Table1[[#This Row],[Old Assy '#]])+COUNTIFS([1]OnDeck!$E:$E,Table1[[#This Row],[Old Assy '#]])</f>
        <v>2</v>
      </c>
      <c r="S130" s="88">
        <v>45510</v>
      </c>
      <c r="T130" s="89"/>
      <c r="U130" s="89"/>
      <c r="V130" s="89"/>
      <c r="W130" s="56" t="str">
        <f>IF(AND(Table1[[#This Row],[Phase Out]]="Y",Table1[[#This Row],[Zero Inventory]]="Y"),"Y","")</f>
        <v/>
      </c>
      <c r="X130" s="79">
        <v>17.5</v>
      </c>
      <c r="Y130" s="63" t="s">
        <v>1500</v>
      </c>
      <c r="Z130" s="59" t="str">
        <f>IF(LEFT(Table1[[#This Row],[Model]],2)="NX","NX",IF(LEFT(Table1[[#This Row],[Model]],2)="CR","CR",""))</f>
        <v>NX</v>
      </c>
      <c r="AA130" s="59" t="str">
        <f>LEFT(SUBSTITUTE(SUBSTITUTE(Table1[[#This Row],[Model]],"NX",""),"CR",""),1)</f>
        <v>6</v>
      </c>
      <c r="AB130" s="59" t="str">
        <f>MID(SUBSTITUTE(SUBSTITUTE(Table1[[#This Row],[Model]],"NX",""),"CR",""),2,2)</f>
        <v>16</v>
      </c>
      <c r="AC130" s="64" t="str">
        <f>IF(ISNUMBER(FIND("M",Table1[[#This Row],[Model]])),"M","")</f>
        <v/>
      </c>
      <c r="AD130" s="64" t="str">
        <f>CONCATENATE(MID(Table1[[#This Row],[Model]],FIND("-",Table1[[#This Row],[Model]])+1,2),IF(RIGHT(MID(Table1[[#This Row],[Model]],FIND("-",Table1[[#This Row],[Model]])+1,3),1)="+","+",""))</f>
        <v>SR</v>
      </c>
      <c r="AE130" s="64">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30" s="64" t="str">
        <f>IF(ISNUMBER(SEARCH("(K)",Table1[[#This Row],[Model]])),"(K)","")</f>
        <v>(K)</v>
      </c>
      <c r="AG130" s="64" t="str">
        <f>IF(ISNUMBER(SEARCH("(BR)",Table1[[#This Row],[Model]])),"(BR)","")</f>
        <v/>
      </c>
      <c r="AH130" s="32" t="s">
        <v>103</v>
      </c>
      <c r="AI130" s="32" t="s">
        <v>126</v>
      </c>
      <c r="AJ130" s="95" t="s">
        <v>1520</v>
      </c>
      <c r="AK130" s="95"/>
      <c r="AL130" s="32" t="s">
        <v>106</v>
      </c>
      <c r="AM130" s="63" t="s">
        <v>107</v>
      </c>
      <c r="AN130" s="63" t="s">
        <v>139</v>
      </c>
      <c r="AO130" s="65"/>
      <c r="AP130" s="106"/>
      <c r="AQ130" s="68">
        <v>0</v>
      </c>
      <c r="AR130" s="125" t="s">
        <v>109</v>
      </c>
      <c r="AS130" s="32" t="s">
        <v>128</v>
      </c>
      <c r="AT130" s="32">
        <v>17</v>
      </c>
      <c r="AU130" s="69">
        <f>IF(ISNUMBER(Table1[[#This Row],[Above gauge Ø]]),((Table1[[#This Row],[Size]]-Table1[[#This Row],[Above gauge Ø]])/2)-0.05,"")</f>
        <v>0.2</v>
      </c>
      <c r="AV130" s="70">
        <f>0.271/0.625</f>
        <v>0.43360000000000004</v>
      </c>
      <c r="AW130" s="32" t="s">
        <v>111</v>
      </c>
      <c r="AX130" s="32">
        <v>17.3125</v>
      </c>
      <c r="AY130" s="32" t="s">
        <v>1521</v>
      </c>
      <c r="AZ130" s="32">
        <v>15</v>
      </c>
      <c r="BA130" s="32"/>
      <c r="BB130" s="32"/>
      <c r="BC130" s="95"/>
      <c r="BD130" s="82">
        <v>400</v>
      </c>
      <c r="BE130" s="97">
        <v>720</v>
      </c>
      <c r="BF130" s="32" t="s">
        <v>113</v>
      </c>
      <c r="BG130" s="32">
        <v>15</v>
      </c>
      <c r="BH130" s="32" t="s">
        <v>1522</v>
      </c>
      <c r="BI130" s="32">
        <v>32.4</v>
      </c>
      <c r="BJ130" s="17" t="e">
        <f>CONCATENATE("► M1 Notes: ",#REF!," •-----► CL-SKF Notes: ",#REF!," •-----► DS Notes: ",#REF!)</f>
        <v>#REF!</v>
      </c>
      <c r="BK130" s="17"/>
      <c r="BL130" s="32">
        <v>4</v>
      </c>
      <c r="BM130" s="32" t="s">
        <v>115</v>
      </c>
      <c r="BN130" s="83">
        <f>10.607*6</f>
        <v>63.641999999999996</v>
      </c>
      <c r="BO130" s="32">
        <v>79.209999999999994</v>
      </c>
      <c r="BP130" s="32" t="s">
        <v>101</v>
      </c>
      <c r="BQ130" s="32" t="s">
        <v>101</v>
      </c>
      <c r="BR130" s="32" t="s">
        <v>101</v>
      </c>
      <c r="BS130" s="32">
        <v>60</v>
      </c>
      <c r="BT130" s="95" t="s">
        <v>117</v>
      </c>
      <c r="BU130" s="32">
        <v>9</v>
      </c>
      <c r="BV130" s="95" t="s">
        <v>117</v>
      </c>
      <c r="BW130" s="103">
        <v>3.34</v>
      </c>
    </row>
    <row r="131" spans="2:75" x14ac:dyDescent="0.25">
      <c r="B131" s="104">
        <v>4538</v>
      </c>
      <c r="C131" s="2"/>
      <c r="D131" s="146" t="s">
        <v>93</v>
      </c>
      <c r="E131" s="55" t="s">
        <v>1523</v>
      </c>
      <c r="F131" s="55" t="s">
        <v>1524</v>
      </c>
      <c r="G131" s="55" t="s">
        <v>1525</v>
      </c>
      <c r="H131" s="75" t="s">
        <v>93</v>
      </c>
      <c r="I131" s="55" t="s">
        <v>1526</v>
      </c>
      <c r="J131" s="55" t="s">
        <v>1527</v>
      </c>
      <c r="K131" s="55" t="s">
        <v>1528</v>
      </c>
      <c r="L131" s="55" t="s">
        <v>1529</v>
      </c>
      <c r="M131" s="75" t="s">
        <v>93</v>
      </c>
      <c r="N131" s="55" t="s">
        <v>1530</v>
      </c>
      <c r="O131" s="55" t="s">
        <v>1531</v>
      </c>
      <c r="P131" s="75" t="s">
        <v>93</v>
      </c>
      <c r="Q131" s="75" t="s">
        <v>93</v>
      </c>
      <c r="R131" s="87">
        <f>COUNTIFS([1]Fleet!$E:$E,Table1[[#This Row],[Old Assy '#]])+COUNTIFS([1]OnDeck!$E:$E,Table1[[#This Row],[Old Assy '#]])</f>
        <v>1</v>
      </c>
      <c r="S131" s="88">
        <v>45092</v>
      </c>
      <c r="T131" s="89"/>
      <c r="U131" s="89"/>
      <c r="V131" s="89"/>
      <c r="W131" s="56" t="str">
        <f>IF(AND(Table1[[#This Row],[Phase Out]]="Y",Table1[[#This Row],[Zero Inventory]]="Y"),"Y","")</f>
        <v/>
      </c>
      <c r="X131" s="79">
        <v>12.25</v>
      </c>
      <c r="Y131" s="63" t="s">
        <v>1416</v>
      </c>
      <c r="Z131" s="59" t="str">
        <f>IF(LEFT(Table1[[#This Row],[Model]],2)="NX","NX",IF(LEFT(Table1[[#This Row],[Model]],2)="CR","CR",""))</f>
        <v>NX</v>
      </c>
      <c r="AA131" s="59" t="str">
        <f>LEFT(SUBSTITUTE(SUBSTITUTE(Table1[[#This Row],[Model]],"NX",""),"CR",""),1)</f>
        <v>6</v>
      </c>
      <c r="AB131" s="59" t="str">
        <f>MID(SUBSTITUTE(SUBSTITUTE(Table1[[#This Row],[Model]],"NX",""),"CR",""),2,2)</f>
        <v>16</v>
      </c>
      <c r="AC131" s="64" t="str">
        <f>IF(ISNUMBER(FIND("M",Table1[[#This Row],[Model]])),"M","")</f>
        <v/>
      </c>
      <c r="AD131" s="64" t="str">
        <f>CONCATENATE(MID(Table1[[#This Row],[Model]],FIND("-",Table1[[#This Row],[Model]])+1,2),IF(RIGHT(MID(Table1[[#This Row],[Model]],FIND("-",Table1[[#This Row],[Model]])+1,3),1)="+","+",""))</f>
        <v>XR</v>
      </c>
      <c r="AE13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31" s="64" t="str">
        <f>IF(ISNUMBER(SEARCH("(K)",Table1[[#This Row],[Model]])),"(K)","")</f>
        <v>(K)</v>
      </c>
      <c r="AG131" s="64" t="str">
        <f>IF(ISNUMBER(SEARCH("(BR)",Table1[[#This Row],[Model]])),"(BR)","")</f>
        <v>(BR)</v>
      </c>
      <c r="AH131" s="32" t="s">
        <v>103</v>
      </c>
      <c r="AI131" s="32" t="s">
        <v>126</v>
      </c>
      <c r="AJ131" s="95"/>
      <c r="AK131" s="95"/>
      <c r="AL131" s="32" t="s">
        <v>106</v>
      </c>
      <c r="AM131" s="63" t="s">
        <v>107</v>
      </c>
      <c r="AN131" s="63" t="s">
        <v>127</v>
      </c>
      <c r="AO131" s="65"/>
      <c r="AP131" s="106"/>
      <c r="AQ131" s="68">
        <v>0</v>
      </c>
      <c r="AR131" s="125" t="s">
        <v>943</v>
      </c>
      <c r="AS131" s="32">
        <v>143652</v>
      </c>
      <c r="AT131" s="102">
        <v>12</v>
      </c>
      <c r="AU131" s="69">
        <f>IF(ISNUMBER(Table1[[#This Row],[Above gauge Ø]]),((Table1[[#This Row],[Size]]-Table1[[#This Row],[Above gauge Ø]])/2)-0.05,"")</f>
        <v>7.4999999999999997E-2</v>
      </c>
      <c r="AV131" s="70">
        <f>0.268/0.625</f>
        <v>0.42880000000000001</v>
      </c>
      <c r="AW131" s="32" t="s">
        <v>180</v>
      </c>
      <c r="AX131" s="32">
        <v>12.125</v>
      </c>
      <c r="AY131" s="32" t="s">
        <v>1532</v>
      </c>
      <c r="AZ131" s="32">
        <v>20</v>
      </c>
      <c r="BA131" s="32"/>
      <c r="BB131" s="82">
        <v>490</v>
      </c>
      <c r="BC131" s="97">
        <v>440</v>
      </c>
      <c r="BD131" s="82"/>
      <c r="BE131" s="97">
        <v>120</v>
      </c>
      <c r="BF131" s="32" t="s">
        <v>1533</v>
      </c>
      <c r="BG131" s="32">
        <v>15</v>
      </c>
      <c r="BH131" s="32" t="s">
        <v>322</v>
      </c>
      <c r="BI131" s="32">
        <v>30</v>
      </c>
      <c r="BJ131" s="17" t="e">
        <f>CONCATENATE("► M1 Notes: ",#REF!," •-----► CL-SKF Notes: ",#REF!," •-----► DS Notes: ",#REF!)</f>
        <v>#REF!</v>
      </c>
      <c r="BK131" s="109"/>
      <c r="BL131" s="32">
        <v>5.9</v>
      </c>
      <c r="BM131" s="32" t="s">
        <v>115</v>
      </c>
      <c r="BN131" s="83">
        <f>11.429*6</f>
        <v>68.573999999999998</v>
      </c>
      <c r="BO131" s="32">
        <v>28.94</v>
      </c>
      <c r="BP131" s="32" t="s">
        <v>101</v>
      </c>
      <c r="BQ131" s="32" t="s">
        <v>101</v>
      </c>
      <c r="BR131" s="32" t="s">
        <v>101</v>
      </c>
      <c r="BS131" s="32">
        <v>60</v>
      </c>
      <c r="BT131" s="32" t="s">
        <v>117</v>
      </c>
      <c r="BU131" s="32">
        <v>9</v>
      </c>
      <c r="BV131" s="32" t="s">
        <v>117</v>
      </c>
      <c r="BW131" s="103">
        <v>3.34</v>
      </c>
    </row>
    <row r="132" spans="2:75" x14ac:dyDescent="0.25">
      <c r="B132" s="104">
        <v>4720</v>
      </c>
      <c r="C132" s="2"/>
      <c r="D132" s="146" t="s">
        <v>93</v>
      </c>
      <c r="E132" s="55" t="s">
        <v>1534</v>
      </c>
      <c r="F132" s="55" t="s">
        <v>1535</v>
      </c>
      <c r="G132" s="55" t="s">
        <v>1536</v>
      </c>
      <c r="H132" s="75" t="s">
        <v>93</v>
      </c>
      <c r="I132" s="55" t="s">
        <v>1537</v>
      </c>
      <c r="J132" s="55" t="s">
        <v>1538</v>
      </c>
      <c r="K132" s="55" t="s">
        <v>1539</v>
      </c>
      <c r="L132" s="55" t="s">
        <v>1540</v>
      </c>
      <c r="M132" s="75" t="s">
        <v>93</v>
      </c>
      <c r="N132" s="55" t="s">
        <v>1541</v>
      </c>
      <c r="O132" s="55" t="s">
        <v>1542</v>
      </c>
      <c r="P132" s="75" t="s">
        <v>93</v>
      </c>
      <c r="Q132" s="75" t="s">
        <v>93</v>
      </c>
      <c r="R132" s="87">
        <f>COUNTIFS([1]Fleet!$E:$E,Table1[[#This Row],[Old Assy '#]])+COUNTIFS([1]OnDeck!$E:$E,Table1[[#This Row],[Old Assy '#]])</f>
        <v>1</v>
      </c>
      <c r="S132" s="88">
        <v>44834</v>
      </c>
      <c r="T132" s="89"/>
      <c r="U132" s="89"/>
      <c r="V132" s="89"/>
      <c r="W132" s="56" t="str">
        <f>IF(AND(Table1[[#This Row],[Phase Out]]="Y",Table1[[#This Row],[Zero Inventory]]="Y"),"Y","")</f>
        <v/>
      </c>
      <c r="X132" s="79">
        <v>7.875</v>
      </c>
      <c r="Y132" s="63" t="s">
        <v>1543</v>
      </c>
      <c r="Z132" s="59" t="str">
        <f>IF(LEFT(Table1[[#This Row],[Model]],2)="NX","NX",IF(LEFT(Table1[[#This Row],[Model]],2)="CR","CR",""))</f>
        <v>CR</v>
      </c>
      <c r="AA132" s="91">
        <v>8</v>
      </c>
      <c r="AB132" s="91">
        <v>13</v>
      </c>
      <c r="AC132" s="64" t="str">
        <f>IF(ISNUMBER(FIND("M",Table1[[#This Row],[Model]])),"M","")</f>
        <v/>
      </c>
      <c r="AD132" s="63" t="s">
        <v>1095</v>
      </c>
      <c r="AE132" s="58">
        <v>8</v>
      </c>
      <c r="AF132" s="64" t="str">
        <f>IF(ISNUMBER(SEARCH("(K)",Table1[[#This Row],[Model]])),"(K)","")</f>
        <v/>
      </c>
      <c r="AG132" s="64" t="str">
        <f>IF(ISNUMBER(SEARCH("(BR)",Table1[[#This Row],[Model]])),"(BR)","")</f>
        <v>(BR)</v>
      </c>
      <c r="AH132" s="32" t="s">
        <v>103</v>
      </c>
      <c r="AI132" s="32" t="s">
        <v>104</v>
      </c>
      <c r="AJ132" s="95" t="s">
        <v>1282</v>
      </c>
      <c r="AK132" s="32"/>
      <c r="AL132" s="32" t="s">
        <v>106</v>
      </c>
      <c r="AM132" s="63" t="s">
        <v>107</v>
      </c>
      <c r="AN132" s="63" t="s">
        <v>107</v>
      </c>
      <c r="AO132" s="65"/>
      <c r="AP132" s="106"/>
      <c r="AQ132" s="68">
        <v>0</v>
      </c>
      <c r="AR132" s="68" t="s">
        <v>284</v>
      </c>
      <c r="AS132" s="32">
        <v>1432</v>
      </c>
      <c r="AT132" s="32">
        <v>7.5</v>
      </c>
      <c r="AU132" s="69">
        <f>IF(ISNUMBER(Table1[[#This Row],[Above gauge Ø]]),((Table1[[#This Row],[Size]]-Table1[[#This Row],[Above gauge Ø]])/2)-0.05,"")</f>
        <v>0.13750000000000001</v>
      </c>
      <c r="AV132" s="70">
        <f>0.157/0.529</f>
        <v>0.29678638941398866</v>
      </c>
      <c r="AW132" s="32" t="s">
        <v>180</v>
      </c>
      <c r="AX132" s="32">
        <v>7.6890000000000001</v>
      </c>
      <c r="AY132" s="32" t="s">
        <v>112</v>
      </c>
      <c r="AZ132" s="32">
        <v>15</v>
      </c>
      <c r="BA132" s="32"/>
      <c r="BB132" s="82"/>
      <c r="BC132" s="97"/>
      <c r="BD132" s="82"/>
      <c r="BE132" s="97"/>
      <c r="BF132" s="32" t="s">
        <v>113</v>
      </c>
      <c r="BG132" s="32">
        <v>15</v>
      </c>
      <c r="BH132" s="32" t="s">
        <v>622</v>
      </c>
      <c r="BI132" s="32">
        <v>30</v>
      </c>
      <c r="BJ132" s="17" t="e">
        <f>CONCATENATE("► M1 Notes: ",#REF!," •-----► CL-SKF Notes: ",#REF!," •-----► DS Notes: ",#REF!)</f>
        <v>#REF!</v>
      </c>
      <c r="BK132" s="17"/>
      <c r="BL132" s="32">
        <v>4</v>
      </c>
      <c r="BM132" s="32" t="s">
        <v>115</v>
      </c>
      <c r="BN132" s="83">
        <v>26.126999999999999</v>
      </c>
      <c r="BO132" s="31">
        <v>9.2899999999999991</v>
      </c>
      <c r="BP132" s="32" t="s">
        <v>116</v>
      </c>
      <c r="BQ132" s="32" t="s">
        <v>101</v>
      </c>
      <c r="BR132" s="32" t="s">
        <v>101</v>
      </c>
      <c r="BS132" s="32">
        <v>45</v>
      </c>
      <c r="BT132" s="32" t="s">
        <v>117</v>
      </c>
      <c r="BU132" s="32">
        <v>8</v>
      </c>
      <c r="BV132" s="32" t="s">
        <v>117</v>
      </c>
      <c r="BW132" s="103">
        <v>1.57</v>
      </c>
    </row>
    <row r="133" spans="2:75" x14ac:dyDescent="0.25">
      <c r="B133" s="104">
        <v>4796</v>
      </c>
      <c r="C133" s="2"/>
      <c r="D133" s="147" t="s">
        <v>1544</v>
      </c>
      <c r="E133" s="85" t="s">
        <v>1545</v>
      </c>
      <c r="F133" s="55" t="s">
        <v>1546</v>
      </c>
      <c r="G133" s="55" t="s">
        <v>1547</v>
      </c>
      <c r="H133" s="75" t="s">
        <v>93</v>
      </c>
      <c r="I133" s="55" t="s">
        <v>1548</v>
      </c>
      <c r="J133" s="55" t="s">
        <v>1549</v>
      </c>
      <c r="K133" s="55" t="s">
        <v>1550</v>
      </c>
      <c r="L133" s="55" t="s">
        <v>1551</v>
      </c>
      <c r="M133" s="75" t="s">
        <v>93</v>
      </c>
      <c r="N133" s="75" t="s">
        <v>93</v>
      </c>
      <c r="O133" s="55" t="s">
        <v>1552</v>
      </c>
      <c r="P133" s="75" t="s">
        <v>93</v>
      </c>
      <c r="Q133" s="75" t="s">
        <v>93</v>
      </c>
      <c r="R133" s="87">
        <f>COUNTIFS([1]Fleet!$E:$E,Table1[[#This Row],[Old Assy '#]])+COUNTIFS([1]OnDeck!$E:$E,Table1[[#This Row],[Old Assy '#]])</f>
        <v>0</v>
      </c>
      <c r="S133" s="88">
        <v>46006</v>
      </c>
      <c r="T133" s="89"/>
      <c r="U133" s="89"/>
      <c r="V133" s="89"/>
      <c r="W133" s="56" t="str">
        <f>IF(AND(Table1[[#This Row],[Phase Out]]="Y",Table1[[#This Row],[Zero Inventory]]="Y"),"Y","")</f>
        <v/>
      </c>
      <c r="X133" s="79">
        <v>6.75</v>
      </c>
      <c r="Y133" s="63" t="s">
        <v>1553</v>
      </c>
      <c r="Z133" s="59" t="str">
        <f>IF(LEFT(Table1[[#This Row],[Model]],2)="NX","NX",IF(LEFT(Table1[[#This Row],[Model]],2)="CR","CR",""))</f>
        <v>NX</v>
      </c>
      <c r="AA133" s="59" t="str">
        <f>LEFT(SUBSTITUTE(SUBSTITUTE(Table1[[#This Row],[Model]],"NX",""),"CR",""),1)</f>
        <v>6</v>
      </c>
      <c r="AB133" s="59" t="str">
        <f>MID(SUBSTITUTE(SUBSTITUTE(Table1[[#This Row],[Model]],"NX",""),"CR",""),2,2)</f>
        <v>13</v>
      </c>
      <c r="AC133" s="64" t="str">
        <f>IF(ISNUMBER(FIND("M",Table1[[#This Row],[Model]])),"M","")</f>
        <v>M</v>
      </c>
      <c r="AD133" s="64" t="str">
        <f>CONCATENATE(MID(Table1[[#This Row],[Model]],FIND("-",Table1[[#This Row],[Model]])+1,2),IF(RIGHT(MID(Table1[[#This Row],[Model]],FIND("-",Table1[[#This Row],[Model]])+1,3),1)="+","+",""))</f>
        <v>SR+</v>
      </c>
      <c r="AE13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33" s="64" t="str">
        <f>IF(ISNUMBER(SEARCH("(K)",Table1[[#This Row],[Model]])),"(K)","")</f>
        <v>(K)</v>
      </c>
      <c r="AG133" s="64" t="str">
        <f>IF(ISNUMBER(SEARCH("(BR)",Table1[[#This Row],[Model]])),"(BR)","")</f>
        <v>(BR)</v>
      </c>
      <c r="AH133" s="32" t="s">
        <v>46</v>
      </c>
      <c r="AI133" s="32" t="s">
        <v>163</v>
      </c>
      <c r="AJ133" s="95"/>
      <c r="AK133" s="32"/>
      <c r="AL133" s="32" t="s">
        <v>259</v>
      </c>
      <c r="AM133" s="63" t="s">
        <v>653</v>
      </c>
      <c r="AN133" s="63" t="s">
        <v>653</v>
      </c>
      <c r="AO133" s="65"/>
      <c r="AP133" s="106"/>
      <c r="AQ133" s="68">
        <v>0</v>
      </c>
      <c r="AR133" s="68" t="s">
        <v>284</v>
      </c>
      <c r="AS133" s="32">
        <v>165432</v>
      </c>
      <c r="AT133" s="32">
        <v>6.4375</v>
      </c>
      <c r="AU133" s="68">
        <v>0.15625</v>
      </c>
      <c r="AV133" s="121">
        <f>0.2257/0.529</f>
        <v>0.4266540642722117</v>
      </c>
      <c r="AW133" s="32" t="s">
        <v>180</v>
      </c>
      <c r="AX133" s="32">
        <v>6.75</v>
      </c>
      <c r="AY133" s="32" t="s">
        <v>541</v>
      </c>
      <c r="AZ133" s="32">
        <v>20</v>
      </c>
      <c r="BA133" s="32"/>
      <c r="BB133" s="82"/>
      <c r="BC133" s="97">
        <v>290</v>
      </c>
      <c r="BD133" s="82"/>
      <c r="BE133" s="97">
        <v>340</v>
      </c>
      <c r="BF133" s="32" t="s">
        <v>1554</v>
      </c>
      <c r="BG133" s="32">
        <v>15</v>
      </c>
      <c r="BH133" s="32" t="s">
        <v>322</v>
      </c>
      <c r="BI133" s="32">
        <v>30</v>
      </c>
      <c r="BJ133" s="109" t="e">
        <f>CONCATENATE("► M1 Notes: ",#REF!," •-----► CL-SKF Notes: ",#REF!," •-----► DS Notes: ",#REF!)</f>
        <v>#REF!</v>
      </c>
      <c r="BK133" s="109" t="s">
        <v>517</v>
      </c>
      <c r="BL133" s="32">
        <v>4</v>
      </c>
      <c r="BM133" s="32" t="s">
        <v>184</v>
      </c>
      <c r="BN133" s="83">
        <f>(3.243+0.137)*6</f>
        <v>20.28</v>
      </c>
      <c r="BO133" s="31">
        <v>10.67</v>
      </c>
      <c r="BP133" s="32" t="s">
        <v>101</v>
      </c>
      <c r="BQ133" s="32" t="s">
        <v>101</v>
      </c>
      <c r="BR133" s="32" t="s">
        <v>101</v>
      </c>
      <c r="BS133" s="32">
        <v>45</v>
      </c>
      <c r="BT133" s="32" t="s">
        <v>117</v>
      </c>
      <c r="BU133" s="32">
        <v>6</v>
      </c>
      <c r="BV133" s="32" t="s">
        <v>117</v>
      </c>
      <c r="BW133" s="103">
        <v>1.1779999999999999</v>
      </c>
    </row>
    <row r="134" spans="2:75" x14ac:dyDescent="0.25">
      <c r="B134" s="126">
        <v>5132</v>
      </c>
      <c r="C134" s="2"/>
      <c r="D134" s="146" t="s">
        <v>93</v>
      </c>
      <c r="E134" s="85" t="s">
        <v>1555</v>
      </c>
      <c r="F134" s="85" t="s">
        <v>1556</v>
      </c>
      <c r="G134" s="85" t="s">
        <v>1557</v>
      </c>
      <c r="H134" s="105" t="s">
        <v>93</v>
      </c>
      <c r="I134" s="85" t="s">
        <v>1558</v>
      </c>
      <c r="J134" s="85" t="s">
        <v>1559</v>
      </c>
      <c r="K134" s="85" t="s">
        <v>1560</v>
      </c>
      <c r="L134" s="85" t="s">
        <v>1561</v>
      </c>
      <c r="M134" s="135" t="s">
        <v>93</v>
      </c>
      <c r="N134" s="85" t="s">
        <v>1562</v>
      </c>
      <c r="O134" s="85" t="s">
        <v>1563</v>
      </c>
      <c r="P134" s="136" t="s">
        <v>93</v>
      </c>
      <c r="Q134" s="136" t="s">
        <v>93</v>
      </c>
      <c r="R134" s="87">
        <f>COUNTIFS([1]Fleet!$E:$E,Table1[[#This Row],[Old Assy '#]])+COUNTIFS([1]OnDeck!$E:$E,Table1[[#This Row],[Old Assy '#]])</f>
        <v>2</v>
      </c>
      <c r="S134" s="88">
        <v>45534</v>
      </c>
      <c r="T134" s="89"/>
      <c r="U134" s="89"/>
      <c r="V134" s="89"/>
      <c r="W134" s="56" t="str">
        <f>IF(AND(Table1[[#This Row],[Phase Out]]="Y",Table1[[#This Row],[Zero Inventory]]="Y"),"Y","")</f>
        <v/>
      </c>
      <c r="X134" s="90">
        <v>8.5</v>
      </c>
      <c r="Y134" s="91" t="s">
        <v>1468</v>
      </c>
      <c r="Z134" s="59" t="str">
        <f>IF(LEFT(Table1[[#This Row],[Model]],2)="NX","NX",IF(LEFT(Table1[[#This Row],[Model]],2)="CR","CR",""))</f>
        <v>NX</v>
      </c>
      <c r="AA134" s="59" t="str">
        <f>LEFT(SUBSTITUTE(SUBSTITUTE(Table1[[#This Row],[Model]],"NX",""),"CR",""),1)</f>
        <v>6</v>
      </c>
      <c r="AB134" s="59" t="str">
        <f>MID(SUBSTITUTE(SUBSTITUTE(Table1[[#This Row],[Model]],"NX",""),"CR",""),2,2)</f>
        <v>13</v>
      </c>
      <c r="AC134" s="59" t="str">
        <f>IF(ISNUMBER(FIND("M",Table1[[#This Row],[Model]])),"M","")</f>
        <v/>
      </c>
      <c r="AD134" s="59" t="str">
        <f>CONCATENATE(MID(Table1[[#This Row],[Model]],FIND("-",Table1[[#This Row],[Model]])+1,2),IF(RIGHT(MID(Table1[[#This Row],[Model]],FIND("-",Table1[[#This Row],[Model]])+1,3),1)="+","+",""))</f>
        <v>XR</v>
      </c>
      <c r="AE13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34" s="59" t="str">
        <f>IF(ISNUMBER(SEARCH("(K)",Table1[[#This Row],[Model]])),"(K)","")</f>
        <v>(K)</v>
      </c>
      <c r="AG134" s="59" t="str">
        <f>IF(ISNUMBER(SEARCH("(BR)",Table1[[#This Row],[Model]])),"(BR)","")</f>
        <v>(BR)</v>
      </c>
      <c r="AH134" s="95" t="s">
        <v>103</v>
      </c>
      <c r="AI134" s="95" t="s">
        <v>104</v>
      </c>
      <c r="AJ134" s="95"/>
      <c r="AK134" s="95"/>
      <c r="AL134" s="95" t="s">
        <v>1458</v>
      </c>
      <c r="AM134" s="32" t="s">
        <v>1458</v>
      </c>
      <c r="AN134" s="63" t="s">
        <v>1458</v>
      </c>
      <c r="AO134" s="92"/>
      <c r="AP134" s="137"/>
      <c r="AQ134" s="80">
        <v>0</v>
      </c>
      <c r="AR134" s="125" t="s">
        <v>284</v>
      </c>
      <c r="AS134" s="95">
        <v>165432</v>
      </c>
      <c r="AT134" s="96">
        <v>8.125</v>
      </c>
      <c r="AU134" s="128">
        <f>IF(ISNUMBER(Table1[[#This Row],[Above gauge Ø]]),((Table1[[#This Row],[Size]]-Table1[[#This Row],[Above gauge Ø]])/2)-0.05,"")</f>
        <v>0.13750000000000001</v>
      </c>
      <c r="AV134" s="121">
        <v>0.4</v>
      </c>
      <c r="AW134" s="32" t="s">
        <v>180</v>
      </c>
      <c r="AX134" s="95">
        <v>8.375</v>
      </c>
      <c r="AY134" s="95" t="s">
        <v>307</v>
      </c>
      <c r="AZ134" s="95">
        <v>7.5</v>
      </c>
      <c r="BA134" s="95"/>
      <c r="BB134" s="97">
        <v>140</v>
      </c>
      <c r="BC134" s="97">
        <v>140</v>
      </c>
      <c r="BD134" s="97">
        <v>70</v>
      </c>
      <c r="BE134" s="97">
        <v>260</v>
      </c>
      <c r="BF134" s="95">
        <v>23</v>
      </c>
      <c r="BG134" s="95">
        <v>17</v>
      </c>
      <c r="BH134" s="95" t="s">
        <v>1469</v>
      </c>
      <c r="BI134" s="95">
        <v>30.5</v>
      </c>
      <c r="BJ134" s="98" t="e">
        <f>CONCATENATE("► M1 Notes: ",#REF!," •-----► CL-SKF Notes: ",#REF!," •-----► DS Notes: ",#REF!)</f>
        <v>#REF!</v>
      </c>
      <c r="BK134" s="98"/>
      <c r="BL134" s="95">
        <v>2</v>
      </c>
      <c r="BM134" s="95" t="s">
        <v>184</v>
      </c>
      <c r="BN134" s="99">
        <v>21.1</v>
      </c>
      <c r="BO134" s="95">
        <v>13.91</v>
      </c>
      <c r="BP134" s="95" t="s">
        <v>116</v>
      </c>
      <c r="BQ134" s="95" t="s">
        <v>101</v>
      </c>
      <c r="BR134" s="95" t="s">
        <v>101</v>
      </c>
      <c r="BS134" s="95">
        <v>60</v>
      </c>
      <c r="BT134" s="95" t="s">
        <v>117</v>
      </c>
      <c r="BU134" s="95">
        <v>6</v>
      </c>
      <c r="BV134" s="95" t="s">
        <v>117</v>
      </c>
      <c r="BW134" s="129">
        <v>2.23</v>
      </c>
    </row>
    <row r="135" spans="2:75" x14ac:dyDescent="0.25">
      <c r="B135" s="104">
        <v>5481</v>
      </c>
      <c r="C135" s="2"/>
      <c r="D135" s="146" t="s">
        <v>93</v>
      </c>
      <c r="E135" s="55" t="s">
        <v>1564</v>
      </c>
      <c r="F135" s="55" t="s">
        <v>1565</v>
      </c>
      <c r="G135" s="55" t="s">
        <v>1566</v>
      </c>
      <c r="H135" s="75" t="s">
        <v>93</v>
      </c>
      <c r="I135" s="55" t="s">
        <v>1567</v>
      </c>
      <c r="J135" s="55" t="s">
        <v>1568</v>
      </c>
      <c r="K135" s="55" t="s">
        <v>1569</v>
      </c>
      <c r="L135" s="55" t="s">
        <v>1570</v>
      </c>
      <c r="M135" s="75" t="s">
        <v>93</v>
      </c>
      <c r="N135" s="55" t="s">
        <v>1571</v>
      </c>
      <c r="O135" s="55" t="s">
        <v>1572</v>
      </c>
      <c r="P135" s="53" t="s">
        <v>93</v>
      </c>
      <c r="Q135" s="53" t="s">
        <v>93</v>
      </c>
      <c r="R135" s="87">
        <f>COUNTIFS([1]Fleet!$E:$E,Table1[[#This Row],[Old Assy '#]])+COUNTIFS([1]OnDeck!$E:$E,Table1[[#This Row],[Old Assy '#]])</f>
        <v>0</v>
      </c>
      <c r="S135" s="88">
        <v>44922</v>
      </c>
      <c r="T135" s="89"/>
      <c r="U135" s="89"/>
      <c r="V135" s="89"/>
      <c r="W135" s="56" t="str">
        <f>IF(AND(Table1[[#This Row],[Phase Out]]="Y",Table1[[#This Row],[Zero Inventory]]="Y"),"Y","")</f>
        <v/>
      </c>
      <c r="X135" s="79">
        <v>7.875</v>
      </c>
      <c r="Y135" s="63" t="s">
        <v>166</v>
      </c>
      <c r="Z135" s="59" t="str">
        <f>IF(LEFT(Table1[[#This Row],[Model]],2)="NX","NX",IF(LEFT(Table1[[#This Row],[Model]],2)="CR","CR",""))</f>
        <v>CR</v>
      </c>
      <c r="AA135" s="59" t="str">
        <f>LEFT(SUBSTITUTE(SUBSTITUTE(Table1[[#This Row],[Model]],"NX",""),"CR",""),1)</f>
        <v>6</v>
      </c>
      <c r="AB135" s="59" t="str">
        <f>MID(SUBSTITUTE(SUBSTITUTE(Table1[[#This Row],[Model]],"NX",""),"CR",""),2,2)</f>
        <v>16</v>
      </c>
      <c r="AC135" s="64" t="str">
        <f>IF(ISNUMBER(FIND("M",Table1[[#This Row],[Model]])),"M","")</f>
        <v/>
      </c>
      <c r="AD135" s="64" t="str">
        <f>CONCATENATE(MID(Table1[[#This Row],[Model]],FIND("-",Table1[[#This Row],[Model]])+1,2),IF(RIGHT(MID(Table1[[#This Row],[Model]],FIND("-",Table1[[#This Row],[Model]])+1,3),1)="+","+",""))</f>
        <v>SR</v>
      </c>
      <c r="AE135"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35" s="64" t="str">
        <f>IF(ISNUMBER(SEARCH("(K)",Table1[[#This Row],[Model]])),"(K)","")</f>
        <v/>
      </c>
      <c r="AG135" s="64" t="str">
        <f>IF(ISNUMBER(SEARCH("(BR)",Table1[[#This Row],[Model]])),"(BR)","")</f>
        <v/>
      </c>
      <c r="AH135" s="32" t="s">
        <v>103</v>
      </c>
      <c r="AI135" s="95" t="s">
        <v>104</v>
      </c>
      <c r="AJ135" s="95" t="s">
        <v>1573</v>
      </c>
      <c r="AK135" s="95"/>
      <c r="AL135" s="32" t="s">
        <v>106</v>
      </c>
      <c r="AM135" s="63" t="s">
        <v>107</v>
      </c>
      <c r="AN135" s="63" t="s">
        <v>107</v>
      </c>
      <c r="AO135" s="65"/>
      <c r="AP135" s="106"/>
      <c r="AQ135" s="68">
        <v>0</v>
      </c>
      <c r="AR135" s="125" t="s">
        <v>943</v>
      </c>
      <c r="AS135" s="95">
        <v>143652</v>
      </c>
      <c r="AT135" s="32">
        <v>7.625</v>
      </c>
      <c r="AU135" s="69">
        <f>IF(ISNUMBER(Table1[[#This Row],[Above gauge Ø]]),((Table1[[#This Row],[Size]]-Table1[[#This Row],[Above gauge Ø]])/2)-0.05,"")</f>
        <v>7.4999999999999997E-2</v>
      </c>
      <c r="AV135" s="70">
        <f>0.199/0.625</f>
        <v>0.31840000000000002</v>
      </c>
      <c r="AW135" s="32" t="s">
        <v>180</v>
      </c>
      <c r="AX135" s="32">
        <v>7.75</v>
      </c>
      <c r="AY135" s="32" t="s">
        <v>112</v>
      </c>
      <c r="AZ135" s="32">
        <v>20</v>
      </c>
      <c r="BA135" s="32"/>
      <c r="BB135" s="82"/>
      <c r="BC135" s="97"/>
      <c r="BD135" s="82"/>
      <c r="BE135" s="97"/>
      <c r="BF135" s="32" t="s">
        <v>1533</v>
      </c>
      <c r="BG135" s="32">
        <v>15</v>
      </c>
      <c r="BH135" s="32" t="s">
        <v>622</v>
      </c>
      <c r="BI135" s="32">
        <v>30</v>
      </c>
      <c r="BJ135" s="17" t="e">
        <f>CONCATENATE("► M1 Notes: ",#REF!," •-----► CL-SKF Notes: ",#REF!," •-----► DS Notes: ",#REF!)</f>
        <v>#REF!</v>
      </c>
      <c r="BK135" s="17"/>
      <c r="BL135" s="32">
        <v>4</v>
      </c>
      <c r="BM135" s="32" t="s">
        <v>115</v>
      </c>
      <c r="BN135" s="83">
        <v>35.4</v>
      </c>
      <c r="BO135" s="32">
        <v>10.3</v>
      </c>
      <c r="BP135" s="32" t="s">
        <v>116</v>
      </c>
      <c r="BQ135" s="32" t="s">
        <v>101</v>
      </c>
      <c r="BR135" s="32" t="s">
        <v>101</v>
      </c>
      <c r="BS135" s="32">
        <v>60</v>
      </c>
      <c r="BT135" s="32" t="s">
        <v>117</v>
      </c>
      <c r="BU135" s="32">
        <v>6</v>
      </c>
      <c r="BV135" s="32" t="s">
        <v>117</v>
      </c>
      <c r="BW135" s="103">
        <v>2.23</v>
      </c>
    </row>
    <row r="136" spans="2:75" x14ac:dyDescent="0.25">
      <c r="B136" s="104">
        <v>5646</v>
      </c>
      <c r="C136" s="2"/>
      <c r="D136" s="146" t="s">
        <v>93</v>
      </c>
      <c r="E136" s="138" t="s">
        <v>93</v>
      </c>
      <c r="F136" s="55" t="s">
        <v>1574</v>
      </c>
      <c r="G136" s="55" t="s">
        <v>1575</v>
      </c>
      <c r="H136" s="75" t="s">
        <v>93</v>
      </c>
      <c r="I136" s="55" t="s">
        <v>1576</v>
      </c>
      <c r="J136" s="55" t="s">
        <v>1577</v>
      </c>
      <c r="K136" s="55" t="s">
        <v>1578</v>
      </c>
      <c r="L136" s="55" t="s">
        <v>1579</v>
      </c>
      <c r="M136" s="75" t="s">
        <v>93</v>
      </c>
      <c r="N136" s="55" t="s">
        <v>1580</v>
      </c>
      <c r="O136" s="55" t="s">
        <v>1581</v>
      </c>
      <c r="P136" s="75" t="s">
        <v>93</v>
      </c>
      <c r="Q136" s="75" t="s">
        <v>93</v>
      </c>
      <c r="R136" s="87">
        <f>COUNTIFS([1]Fleet!$E:$E,Table1[[#This Row],[Old Assy '#]])+COUNTIFS([1]OnDeck!$E:$E,Table1[[#This Row],[Old Assy '#]])</f>
        <v>0</v>
      </c>
      <c r="S136" s="88">
        <v>45331</v>
      </c>
      <c r="T136" s="89"/>
      <c r="U136" s="89" t="s">
        <v>101</v>
      </c>
      <c r="V136" s="89" t="s">
        <v>101</v>
      </c>
      <c r="W136" s="56" t="str">
        <f>IF(AND(Table1[[#This Row],[Phase Out]]="Y",Table1[[#This Row],[Zero Inventory]]="Y"),"Y","")</f>
        <v>Y</v>
      </c>
      <c r="X136" s="79">
        <v>8.5</v>
      </c>
      <c r="Y136" s="63" t="s">
        <v>798</v>
      </c>
      <c r="Z136" s="59" t="str">
        <f>IF(LEFT(Table1[[#This Row],[Model]],2)="NX","NX",IF(LEFT(Table1[[#This Row],[Model]],2)="CR","CR",""))</f>
        <v>CR</v>
      </c>
      <c r="AA136" s="59" t="str">
        <f>LEFT(SUBSTITUTE(SUBSTITUTE(Table1[[#This Row],[Model]],"NX",""),"CR",""),1)</f>
        <v>6</v>
      </c>
      <c r="AB136" s="59" t="str">
        <f>MID(SUBSTITUTE(SUBSTITUTE(Table1[[#This Row],[Model]],"NX",""),"CR",""),2,2)</f>
        <v>13</v>
      </c>
      <c r="AC136" s="64" t="str">
        <f>IF(ISNUMBER(FIND("M",Table1[[#This Row],[Model]])),"M","")</f>
        <v/>
      </c>
      <c r="AD136" s="64" t="str">
        <f>CONCATENATE(MID(Table1[[#This Row],[Model]],FIND("-",Table1[[#This Row],[Model]])+1,2),IF(RIGHT(MID(Table1[[#This Row],[Model]],FIND("-",Table1[[#This Row],[Model]])+1,3),1)="+","+",""))</f>
        <v>XR</v>
      </c>
      <c r="AE136" s="60" t="str">
        <f>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36" s="64" t="str">
        <f>IF(ISNUMBER(SEARCH("(K)",Table1[[#This Row],[Model]])),"(K)","")</f>
        <v>(K)</v>
      </c>
      <c r="AG136" s="64" t="str">
        <f>IF(ISNUMBER(SEARCH("(BR)",Table1[[#This Row],[Model]])),"(BR)","")</f>
        <v>(BR)</v>
      </c>
      <c r="AH136" s="32" t="s">
        <v>103</v>
      </c>
      <c r="AI136" s="95" t="s">
        <v>104</v>
      </c>
      <c r="AJ136" s="95"/>
      <c r="AK136" s="95" t="s">
        <v>1582</v>
      </c>
      <c r="AL136" s="32" t="s">
        <v>182</v>
      </c>
      <c r="AM136" s="63" t="s">
        <v>107</v>
      </c>
      <c r="AN136" s="63" t="s">
        <v>107</v>
      </c>
      <c r="AO136" s="65"/>
      <c r="AP136" s="106"/>
      <c r="AQ136" s="68">
        <v>0</v>
      </c>
      <c r="AR136" s="68" t="s">
        <v>284</v>
      </c>
      <c r="AS136" s="95">
        <v>165432</v>
      </c>
      <c r="AT136" s="102">
        <v>8.125</v>
      </c>
      <c r="AU136" s="69">
        <f>IF(ISNUMBER(Table1[[#This Row],[Above gauge Ø]]),((Table1[[#This Row],[Size]]-Table1[[#This Row],[Above gauge Ø]])/2)-0.05,"")</f>
        <v>0.13750000000000001</v>
      </c>
      <c r="AV136" s="70">
        <f>0.1511/0.529</f>
        <v>0.28563327032136104</v>
      </c>
      <c r="AW136" s="32" t="s">
        <v>180</v>
      </c>
      <c r="AX136" s="32">
        <v>8.375</v>
      </c>
      <c r="AY136" s="32" t="s">
        <v>307</v>
      </c>
      <c r="AZ136" s="32">
        <v>7.5</v>
      </c>
      <c r="BA136" s="32"/>
      <c r="BB136" s="82">
        <v>0</v>
      </c>
      <c r="BC136" s="97">
        <v>0</v>
      </c>
      <c r="BD136" s="82">
        <v>80</v>
      </c>
      <c r="BE136" s="97"/>
      <c r="BF136" s="32">
        <v>25</v>
      </c>
      <c r="BG136" s="32">
        <v>17</v>
      </c>
      <c r="BH136" s="32" t="s">
        <v>1583</v>
      </c>
      <c r="BI136" s="32">
        <v>30.5</v>
      </c>
      <c r="BJ136" s="17" t="e">
        <f>CONCATENATE("► M1 Notes: ",#REF!," •-----► CL-SKF Notes: ",#REF!," •-----► DS Notes: ",#REF!)</f>
        <v>#REF!</v>
      </c>
      <c r="BK136" s="17"/>
      <c r="BL136" s="32">
        <v>2</v>
      </c>
      <c r="BM136" s="32" t="s">
        <v>184</v>
      </c>
      <c r="BN136" s="83">
        <v>17.478000000000002</v>
      </c>
      <c r="BO136" s="32">
        <v>15.47</v>
      </c>
      <c r="BP136" s="32" t="s">
        <v>116</v>
      </c>
      <c r="BQ136" s="32" t="s">
        <v>101</v>
      </c>
      <c r="BR136" s="32" t="s">
        <v>116</v>
      </c>
      <c r="BS136" s="32">
        <v>60</v>
      </c>
      <c r="BT136" s="32" t="s">
        <v>117</v>
      </c>
      <c r="BU136" s="32">
        <v>6</v>
      </c>
      <c r="BV136" s="32" t="s">
        <v>117</v>
      </c>
      <c r="BW136" s="103">
        <v>2.23</v>
      </c>
    </row>
    <row r="137" spans="2:75" x14ac:dyDescent="0.25">
      <c r="B137" s="126">
        <v>5674</v>
      </c>
      <c r="C137" s="2"/>
      <c r="D137" s="146" t="s">
        <v>93</v>
      </c>
      <c r="E137" s="85" t="s">
        <v>1584</v>
      </c>
      <c r="F137" s="85" t="s">
        <v>1585</v>
      </c>
      <c r="G137" s="85" t="s">
        <v>1586</v>
      </c>
      <c r="H137" s="86" t="s">
        <v>93</v>
      </c>
      <c r="I137" s="85" t="s">
        <v>1587</v>
      </c>
      <c r="J137" s="85" t="s">
        <v>1588</v>
      </c>
      <c r="K137" s="85" t="s">
        <v>1589</v>
      </c>
      <c r="L137" s="85" t="s">
        <v>1590</v>
      </c>
      <c r="M137" s="86" t="s">
        <v>93</v>
      </c>
      <c r="N137" s="85" t="s">
        <v>1591</v>
      </c>
      <c r="O137" s="85" t="s">
        <v>1592</v>
      </c>
      <c r="P137" s="86" t="s">
        <v>93</v>
      </c>
      <c r="Q137" s="138" t="s">
        <v>93</v>
      </c>
      <c r="R137" s="87">
        <f>COUNTIFS([1]Fleet!$E:$E,Table1[[#This Row],[Old Assy '#]])+COUNTIFS([1]OnDeck!$E:$E,Table1[[#This Row],[Old Assy '#]])</f>
        <v>0</v>
      </c>
      <c r="S137" s="88">
        <v>45280</v>
      </c>
      <c r="T137" s="89"/>
      <c r="U137" s="89"/>
      <c r="V137" s="89" t="s">
        <v>101</v>
      </c>
      <c r="W137" s="56" t="str">
        <f>IF(AND(Table1[[#This Row],[Phase Out]]="Y",Table1[[#This Row],[Zero Inventory]]="Y"),"Y","")</f>
        <v/>
      </c>
      <c r="X137" s="79">
        <v>14.75</v>
      </c>
      <c r="Y137" s="63" t="s">
        <v>856</v>
      </c>
      <c r="Z137" s="59" t="str">
        <f>IF(LEFT(Table1[[#This Row],[Model]],2)="NX","NX",IF(LEFT(Table1[[#This Row],[Model]],2)="CR","CR",""))</f>
        <v>CR</v>
      </c>
      <c r="AA137" s="59" t="str">
        <f>LEFT(SUBSTITUTE(SUBSTITUTE(Table1[[#This Row],[Model]],"NX",""),"CR",""),1)</f>
        <v>6</v>
      </c>
      <c r="AB137" s="59" t="str">
        <f>MID(SUBSTITUTE(SUBSTITUTE(Table1[[#This Row],[Model]],"NX",""),"CR",""),2,2)</f>
        <v>16</v>
      </c>
      <c r="AC137" s="64" t="str">
        <f>IF(ISNUMBER(FIND("M",Table1[[#This Row],[Model]])),"M","")</f>
        <v/>
      </c>
      <c r="AD137" s="64" t="str">
        <f>CONCATENATE(MID(Table1[[#This Row],[Model]],FIND("-",Table1[[#This Row],[Model]])+1,2),IF(RIGHT(MID(Table1[[#This Row],[Model]],FIND("-",Table1[[#This Row],[Model]])+1,3),1)="+","+",""))</f>
        <v>SR</v>
      </c>
      <c r="AE137"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37" s="64" t="str">
        <f>IF(ISNUMBER(SEARCH("(K)",Table1[[#This Row],[Model]])),"(K)","")</f>
        <v>(K)</v>
      </c>
      <c r="AG137" s="64" t="str">
        <f>IF(ISNUMBER(SEARCH("(BR)",Table1[[#This Row],[Model]])),"(BR)","")</f>
        <v/>
      </c>
      <c r="AH137" s="32" t="s">
        <v>103</v>
      </c>
      <c r="AI137" s="32" t="s">
        <v>126</v>
      </c>
      <c r="AJ137" s="32"/>
      <c r="AK137" s="32"/>
      <c r="AL137" s="32" t="s">
        <v>106</v>
      </c>
      <c r="AM137" s="63" t="s">
        <v>107</v>
      </c>
      <c r="AN137" s="63" t="s">
        <v>139</v>
      </c>
      <c r="AO137" s="63"/>
      <c r="AP137" s="66"/>
      <c r="AQ137" s="80">
        <v>0</v>
      </c>
      <c r="AR137" s="68" t="s">
        <v>109</v>
      </c>
      <c r="AS137" s="32" t="s">
        <v>128</v>
      </c>
      <c r="AT137" s="32">
        <v>14.25</v>
      </c>
      <c r="AU137" s="69">
        <f>IF(ISNUMBER(Table1[[#This Row],[Above gauge Ø]]),((Table1[[#This Row],[Size]]-Table1[[#This Row],[Above gauge Ø]])/2)-0.05,"")</f>
        <v>0.2</v>
      </c>
      <c r="AV137" s="70">
        <f>0.253/0.625</f>
        <v>0.40479999999999999</v>
      </c>
      <c r="AW137" s="32" t="s">
        <v>111</v>
      </c>
      <c r="AX137" s="32">
        <v>14.5625</v>
      </c>
      <c r="AY137" s="32" t="s">
        <v>411</v>
      </c>
      <c r="AZ137" s="32">
        <v>15</v>
      </c>
      <c r="BA137" s="32"/>
      <c r="BB137" s="82"/>
      <c r="BC137" s="82"/>
      <c r="BD137" s="131">
        <v>430</v>
      </c>
      <c r="BE137" s="130">
        <v>510</v>
      </c>
      <c r="BF137" s="32" t="s">
        <v>1593</v>
      </c>
      <c r="BG137" s="32">
        <v>15</v>
      </c>
      <c r="BH137" s="32" t="s">
        <v>1143</v>
      </c>
      <c r="BI137" s="32">
        <v>32</v>
      </c>
      <c r="BJ137" s="2" t="e">
        <f>CONCATENATE("► M1 Notes: ",#REF!," •-----► CL-SKF Notes: ",#REF!," •-----► DS Notes: ",#REF!)</f>
        <v>#REF!</v>
      </c>
      <c r="BK137" s="17"/>
      <c r="BL137" s="32">
        <v>6</v>
      </c>
      <c r="BM137" s="32" t="s">
        <v>115</v>
      </c>
      <c r="BN137" s="83">
        <v>80.010000000000005</v>
      </c>
      <c r="BO137" s="31">
        <v>55.64</v>
      </c>
      <c r="BP137" s="32" t="s">
        <v>116</v>
      </c>
      <c r="BQ137" s="32" t="s">
        <v>116</v>
      </c>
      <c r="BR137" s="32" t="s">
        <v>101</v>
      </c>
      <c r="BS137" s="32">
        <v>60</v>
      </c>
      <c r="BT137" s="32" t="s">
        <v>117</v>
      </c>
      <c r="BU137" s="32">
        <v>9</v>
      </c>
      <c r="BV137" s="32" t="s">
        <v>117</v>
      </c>
      <c r="BW137" s="103">
        <v>3.34</v>
      </c>
    </row>
    <row r="138" spans="2:75" x14ac:dyDescent="0.25">
      <c r="B138" s="126">
        <v>5749</v>
      </c>
      <c r="C138" s="2"/>
      <c r="D138" s="147" t="s">
        <v>1594</v>
      </c>
      <c r="E138" s="139" t="s">
        <v>1595</v>
      </c>
      <c r="F138" s="85" t="s">
        <v>1596</v>
      </c>
      <c r="G138" s="85" t="s">
        <v>1597</v>
      </c>
      <c r="H138" s="86" t="s">
        <v>93</v>
      </c>
      <c r="I138" s="85" t="s">
        <v>1598</v>
      </c>
      <c r="J138" s="85" t="s">
        <v>1599</v>
      </c>
      <c r="K138" s="85" t="s">
        <v>1600</v>
      </c>
      <c r="L138" s="85" t="s">
        <v>1601</v>
      </c>
      <c r="M138" s="86" t="s">
        <v>93</v>
      </c>
      <c r="N138" s="85" t="s">
        <v>1602</v>
      </c>
      <c r="O138" s="85" t="s">
        <v>1603</v>
      </c>
      <c r="P138" s="86" t="s">
        <v>93</v>
      </c>
      <c r="Q138" s="138" t="s">
        <v>93</v>
      </c>
      <c r="R138" s="87">
        <f>COUNTIFS([1]Fleet!$E:$E,Table1[[#This Row],[Old Assy '#]])+COUNTIFS([1]OnDeck!$E:$E,Table1[[#This Row],[Old Assy '#]])</f>
        <v>0</v>
      </c>
      <c r="S138" s="88">
        <v>45545</v>
      </c>
      <c r="T138" s="89"/>
      <c r="U138" s="89"/>
      <c r="V138" s="89" t="s">
        <v>101</v>
      </c>
      <c r="W138" s="56" t="str">
        <f>IF(AND(Table1[[#This Row],[Phase Out]]="Y",Table1[[#This Row],[Zero Inventory]]="Y"),"Y","")</f>
        <v/>
      </c>
      <c r="X138" s="90">
        <v>9.875</v>
      </c>
      <c r="Y138" s="91" t="s">
        <v>1416</v>
      </c>
      <c r="Z138" s="59" t="str">
        <f>IF(LEFT(Table1[[#This Row],[Model]],2)="NX","NX",IF(LEFT(Table1[[#This Row],[Model]],2)="CR","CR",""))</f>
        <v>NX</v>
      </c>
      <c r="AA138" s="59" t="str">
        <f>LEFT(SUBSTITUTE(SUBSTITUTE(Table1[[#This Row],[Model]],"NX",""),"CR",""),1)</f>
        <v>6</v>
      </c>
      <c r="AB138" s="59" t="str">
        <f>MID(SUBSTITUTE(SUBSTITUTE(Table1[[#This Row],[Model]],"NX",""),"CR",""),2,2)</f>
        <v>16</v>
      </c>
      <c r="AC138" s="59" t="str">
        <f>IF(ISNUMBER(FIND("M",Table1[[#This Row],[Model]])),"M","")</f>
        <v/>
      </c>
      <c r="AD138" s="59" t="str">
        <f>CONCATENATE(MID(Table1[[#This Row],[Model]],FIND("-",Table1[[#This Row],[Model]])+1,2),IF(RIGHT(MID(Table1[[#This Row],[Model]],FIND("-",Table1[[#This Row],[Model]])+1,3),1)="+","+",""))</f>
        <v>XR</v>
      </c>
      <c r="AE138"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38" s="59" t="str">
        <f>IF(ISNUMBER(SEARCH("(K)",Table1[[#This Row],[Model]])),"(K)","")</f>
        <v>(K)</v>
      </c>
      <c r="AG138" s="59" t="str">
        <f>IF(ISNUMBER(SEARCH("(BR)",Table1[[#This Row],[Model]])),"(BR)","")</f>
        <v>(BR)</v>
      </c>
      <c r="AH138" s="95" t="s">
        <v>103</v>
      </c>
      <c r="AI138" s="95" t="s">
        <v>126</v>
      </c>
      <c r="AJ138" s="95"/>
      <c r="AK138" s="95"/>
      <c r="AL138" s="95" t="s">
        <v>106</v>
      </c>
      <c r="AM138" s="63" t="s">
        <v>107</v>
      </c>
      <c r="AN138" s="91" t="s">
        <v>127</v>
      </c>
      <c r="AO138" s="92"/>
      <c r="AP138" s="93"/>
      <c r="AQ138" s="94">
        <v>0</v>
      </c>
      <c r="AR138" s="125" t="s">
        <v>284</v>
      </c>
      <c r="AS138" s="95">
        <v>165432</v>
      </c>
      <c r="AT138" s="95">
        <v>9.5625</v>
      </c>
      <c r="AU138" s="128">
        <f>IF(ISNUMBER(Table1[[#This Row],[Above gauge Ø]]),((Table1[[#This Row],[Size]]-Table1[[#This Row],[Above gauge Ø]])/2)-0.05,"")</f>
        <v>0.10625</v>
      </c>
      <c r="AV138" s="70">
        <f>0.2676/0.625</f>
        <v>0.42815999999999999</v>
      </c>
      <c r="AW138" s="95" t="s">
        <v>111</v>
      </c>
      <c r="AX138" s="95">
        <v>9.7249999999999996</v>
      </c>
      <c r="AY138" s="95" t="s">
        <v>692</v>
      </c>
      <c r="AZ138" s="95">
        <v>15</v>
      </c>
      <c r="BA138" s="95"/>
      <c r="BB138" s="97">
        <v>270</v>
      </c>
      <c r="BC138" s="97">
        <v>390</v>
      </c>
      <c r="BD138" s="130"/>
      <c r="BE138" s="130">
        <v>310</v>
      </c>
      <c r="BF138" s="95" t="s">
        <v>1417</v>
      </c>
      <c r="BG138" s="95">
        <v>16</v>
      </c>
      <c r="BH138" s="95" t="s">
        <v>1320</v>
      </c>
      <c r="BI138" s="95">
        <v>30</v>
      </c>
      <c r="BJ138" s="17" t="e">
        <f>CONCATENATE("► M1 Notes: ",#REF!," •-----► CL-SKF Notes: ",#REF!," •-----► DS Notes: ",#REF!)</f>
        <v>#REF!</v>
      </c>
      <c r="BK138" s="98"/>
      <c r="BL138" s="95">
        <v>4.75</v>
      </c>
      <c r="BM138" s="95" t="s">
        <v>115</v>
      </c>
      <c r="BN138" s="99">
        <f>9.122*6</f>
        <v>54.731999999999999</v>
      </c>
      <c r="BO138" s="95">
        <v>17.36</v>
      </c>
      <c r="BP138" s="95" t="s">
        <v>101</v>
      </c>
      <c r="BQ138" s="95" t="s">
        <v>101</v>
      </c>
      <c r="BR138" s="95" t="s">
        <v>101</v>
      </c>
      <c r="BS138" s="95">
        <v>60</v>
      </c>
      <c r="BT138" s="95" t="s">
        <v>117</v>
      </c>
      <c r="BU138" s="95">
        <v>9</v>
      </c>
      <c r="BV138" s="95" t="s">
        <v>117</v>
      </c>
      <c r="BW138" s="129">
        <v>3.34</v>
      </c>
    </row>
    <row r="139" spans="2:75" x14ac:dyDescent="0.25">
      <c r="B139" s="126">
        <v>5911</v>
      </c>
      <c r="C139" s="2"/>
      <c r="D139" s="146" t="s">
        <v>93</v>
      </c>
      <c r="E139" s="75" t="s">
        <v>93</v>
      </c>
      <c r="F139" s="75" t="s">
        <v>93</v>
      </c>
      <c r="G139" s="55" t="s">
        <v>1604</v>
      </c>
      <c r="H139" s="75" t="s">
        <v>93</v>
      </c>
      <c r="I139" s="55" t="s">
        <v>1605</v>
      </c>
      <c r="J139" s="55" t="s">
        <v>1606</v>
      </c>
      <c r="K139" s="55" t="s">
        <v>1607</v>
      </c>
      <c r="L139" s="55" t="s">
        <v>1608</v>
      </c>
      <c r="M139" s="75" t="s">
        <v>93</v>
      </c>
      <c r="N139" s="55" t="s">
        <v>1609</v>
      </c>
      <c r="O139" s="55" t="s">
        <v>1610</v>
      </c>
      <c r="P139" s="53" t="s">
        <v>93</v>
      </c>
      <c r="Q139" s="53" t="s">
        <v>93</v>
      </c>
      <c r="R139" s="76">
        <f>COUNTIFS([1]Fleet!$E:$E,Table1[[#This Row],[Old Assy '#]])+COUNTIFS([1]OnDeck!$E:$E,Table1[[#This Row],[Old Assy '#]])</f>
        <v>0</v>
      </c>
      <c r="S139" s="77">
        <v>45246</v>
      </c>
      <c r="T139" s="78"/>
      <c r="U139" s="78"/>
      <c r="V139" s="78" t="s">
        <v>101</v>
      </c>
      <c r="W139" s="56" t="str">
        <f>IF(AND(Table1[[#This Row],[Phase Out]]="Y",Table1[[#This Row],[Zero Inventory]]="Y"),"Y","")</f>
        <v/>
      </c>
      <c r="X139" s="79">
        <v>9.875</v>
      </c>
      <c r="Y139" s="63" t="s">
        <v>882</v>
      </c>
      <c r="Z139" s="59" t="str">
        <f>IF(LEFT(Table1[[#This Row],[Model]],2)="NX","NX",IF(LEFT(Table1[[#This Row],[Model]],2)="CR","CR",""))</f>
        <v>CR</v>
      </c>
      <c r="AA139" s="59" t="str">
        <f>LEFT(SUBSTITUTE(SUBSTITUTE(Table1[[#This Row],[Model]],"NX",""),"CR",""),1)</f>
        <v>6</v>
      </c>
      <c r="AB139" s="59" t="str">
        <f>MID(SUBSTITUTE(SUBSTITUTE(Table1[[#This Row],[Model]],"NX",""),"CR",""),2,2)</f>
        <v>16</v>
      </c>
      <c r="AC139" s="64" t="str">
        <f>IF(ISNUMBER(FIND("M",Table1[[#This Row],[Model]])),"M","")</f>
        <v/>
      </c>
      <c r="AD139" s="64" t="str">
        <f>CONCATENATE(MID(Table1[[#This Row],[Model]],FIND("-",Table1[[#This Row],[Model]])+1,2),IF(RIGHT(MID(Table1[[#This Row],[Model]],FIND("-",Table1[[#This Row],[Model]])+1,3),1)="+","+",""))</f>
        <v>XR</v>
      </c>
      <c r="AE13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39" s="64" t="str">
        <f>IF(ISNUMBER(SEARCH("(K)",Table1[[#This Row],[Model]])),"(K)","")</f>
        <v>(K)</v>
      </c>
      <c r="AG139" s="64" t="str">
        <f>IF(ISNUMBER(SEARCH("(BR)",Table1[[#This Row],[Model]])),"(BR)","")</f>
        <v>(BR)</v>
      </c>
      <c r="AH139" s="32" t="s">
        <v>103</v>
      </c>
      <c r="AI139" s="32" t="s">
        <v>126</v>
      </c>
      <c r="AJ139" s="32"/>
      <c r="AK139" s="32"/>
      <c r="AL139" s="32" t="s">
        <v>106</v>
      </c>
      <c r="AM139" s="63" t="s">
        <v>107</v>
      </c>
      <c r="AN139" s="63" t="s">
        <v>127</v>
      </c>
      <c r="AO139" s="65"/>
      <c r="AP139" s="66"/>
      <c r="AQ139" s="80">
        <v>0</v>
      </c>
      <c r="AR139" s="68" t="s">
        <v>284</v>
      </c>
      <c r="AS139" s="32">
        <v>165432</v>
      </c>
      <c r="AT139" s="32">
        <v>9.6231000000000009</v>
      </c>
      <c r="AU139" s="69">
        <f>IF(ISNUMBER(Table1[[#This Row],[Above gauge Ø]]),((Table1[[#This Row],[Size]]-Table1[[#This Row],[Above gauge Ø]])/2)-0.05,"")</f>
        <v>7.594999999999956E-2</v>
      </c>
      <c r="AV139" s="70">
        <v>0.33</v>
      </c>
      <c r="AW139" s="32" t="s">
        <v>111</v>
      </c>
      <c r="AX139" s="32">
        <f>4.8438*2</f>
        <v>9.6875999999999998</v>
      </c>
      <c r="AY139" s="32" t="s">
        <v>692</v>
      </c>
      <c r="AZ139" s="32">
        <v>15</v>
      </c>
      <c r="BA139" s="32"/>
      <c r="BB139" s="131">
        <v>220</v>
      </c>
      <c r="BC139" s="131">
        <v>300</v>
      </c>
      <c r="BD139" s="131">
        <v>300</v>
      </c>
      <c r="BE139" s="131"/>
      <c r="BF139" s="32" t="s">
        <v>113</v>
      </c>
      <c r="BG139" s="32">
        <v>15</v>
      </c>
      <c r="BH139" s="32" t="s">
        <v>897</v>
      </c>
      <c r="BI139" s="32">
        <v>31.9</v>
      </c>
      <c r="BJ139" s="98" t="e">
        <f>CONCATENATE("► M1 Notes: ",#REF!," •-----► CL-SKF Notes: ",#REF!," •-----► DS Notes: ",#REF!)</f>
        <v>#REF!</v>
      </c>
      <c r="BK139" s="17"/>
      <c r="BL139" s="32">
        <v>4</v>
      </c>
      <c r="BM139" s="32" t="s">
        <v>115</v>
      </c>
      <c r="BN139" s="83">
        <v>56.69</v>
      </c>
      <c r="BO139" s="31">
        <v>18.52</v>
      </c>
      <c r="BP139" s="32" t="s">
        <v>116</v>
      </c>
      <c r="BQ139" s="32" t="s">
        <v>101</v>
      </c>
      <c r="BR139" s="32" t="s">
        <v>101</v>
      </c>
      <c r="BS139" s="32">
        <v>60</v>
      </c>
      <c r="BT139" s="32" t="s">
        <v>117</v>
      </c>
      <c r="BU139" s="32">
        <v>6</v>
      </c>
      <c r="BV139" s="32" t="s">
        <v>117</v>
      </c>
      <c r="BW139" s="129">
        <v>2.23</v>
      </c>
    </row>
    <row r="140" spans="2:75" x14ac:dyDescent="0.25">
      <c r="B140" s="140">
        <v>6135</v>
      </c>
      <c r="C140" s="2"/>
      <c r="D140" s="147" t="s">
        <v>1611</v>
      </c>
      <c r="E140" s="86" t="s">
        <v>93</v>
      </c>
      <c r="F140" s="86" t="s">
        <v>93</v>
      </c>
      <c r="G140" s="85" t="s">
        <v>1612</v>
      </c>
      <c r="H140" s="86" t="s">
        <v>93</v>
      </c>
      <c r="I140" s="85" t="s">
        <v>1613</v>
      </c>
      <c r="J140" s="85" t="s">
        <v>1614</v>
      </c>
      <c r="K140" s="85" t="s">
        <v>1615</v>
      </c>
      <c r="L140" s="85" t="s">
        <v>1616</v>
      </c>
      <c r="M140" s="86" t="s">
        <v>93</v>
      </c>
      <c r="N140" s="86" t="s">
        <v>93</v>
      </c>
      <c r="O140" s="85" t="s">
        <v>1617</v>
      </c>
      <c r="P140" s="86" t="s">
        <v>93</v>
      </c>
      <c r="Q140" s="85" t="s">
        <v>1618</v>
      </c>
      <c r="R140" s="87">
        <f>COUNTIFS([1]Fleet!$E:$E,Table1[[#This Row],[Old Assy '#]])+COUNTIFS([1]OnDeck!$E:$E,Table1[[#This Row],[Old Assy '#]])</f>
        <v>1</v>
      </c>
      <c r="S140" s="88">
        <v>45819</v>
      </c>
      <c r="T140" s="89"/>
      <c r="U140" s="89"/>
      <c r="V140" s="89"/>
      <c r="W140" s="56" t="str">
        <f>IF(AND(Table1[[#This Row],[Phase Out]]="Y",Table1[[#This Row],[Zero Inventory]]="Y"),"Y","")</f>
        <v/>
      </c>
      <c r="X140" s="90">
        <v>14.75</v>
      </c>
      <c r="Y140" s="91" t="s">
        <v>1500</v>
      </c>
      <c r="Z140" s="59" t="str">
        <f>IF(LEFT(Table1[[#This Row],[Model]],2)="NX","NX",IF(LEFT(Table1[[#This Row],[Model]],2)="CR","CR",""))</f>
        <v>NX</v>
      </c>
      <c r="AA140" s="59" t="str">
        <f>LEFT(SUBSTITUTE(SUBSTITUTE(Table1[[#This Row],[Model]],"NX",""),"CR",""),1)</f>
        <v>6</v>
      </c>
      <c r="AB140" s="59" t="str">
        <f>MID(SUBSTITUTE(SUBSTITUTE(Table1[[#This Row],[Model]],"NX",""),"CR",""),2,2)</f>
        <v>16</v>
      </c>
      <c r="AC140" s="59" t="str">
        <f>IF(ISNUMBER(FIND("M",Table1[[#This Row],[Model]])),"M","")</f>
        <v/>
      </c>
      <c r="AD140" s="59" t="str">
        <f>CONCATENATE(MID(Table1[[#This Row],[Model]],FIND("-",Table1[[#This Row],[Model]])+1,2),IF(RIGHT(MID(Table1[[#This Row],[Model]],FIND("-",Table1[[#This Row],[Model]])+1,3),1)="+","+",""))</f>
        <v>SR</v>
      </c>
      <c r="AE140" s="59">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40" s="59" t="str">
        <f>IF(ISNUMBER(SEARCH("(K)",Table1[[#This Row],[Model]])),"(K)","")</f>
        <v>(K)</v>
      </c>
      <c r="AG140" s="59" t="str">
        <f>IF(ISNUMBER(SEARCH("(BR)",Table1[[#This Row],[Model]])),"(BR)","")</f>
        <v/>
      </c>
      <c r="AH140" s="95" t="s">
        <v>103</v>
      </c>
      <c r="AI140" s="95" t="s">
        <v>126</v>
      </c>
      <c r="AJ140" s="95" t="s">
        <v>1520</v>
      </c>
      <c r="AK140" s="95"/>
      <c r="AL140" s="95" t="s">
        <v>106</v>
      </c>
      <c r="AM140" s="64" t="s">
        <v>107</v>
      </c>
      <c r="AN140" s="64" t="s">
        <v>139</v>
      </c>
      <c r="AO140" s="106"/>
      <c r="AP140" s="137"/>
      <c r="AQ140" s="125">
        <v>3.7999999999999999E-2</v>
      </c>
      <c r="AR140" s="128" t="s">
        <v>109</v>
      </c>
      <c r="AS140" s="95" t="s">
        <v>128</v>
      </c>
      <c r="AT140" s="32">
        <v>14.25</v>
      </c>
      <c r="AU140" s="128">
        <f>IF(ISNUMBER(Table1[[#This Row],[Above gauge Ø]]),((Table1[[#This Row],[Size]]-Table1[[#This Row],[Above gauge Ø]])/2)-0.05,"")</f>
        <v>0.2</v>
      </c>
      <c r="AV140" s="70">
        <f>0.271/0.625</f>
        <v>0.43360000000000004</v>
      </c>
      <c r="AW140" s="32" t="s">
        <v>111</v>
      </c>
      <c r="AX140" s="32">
        <v>14.5625</v>
      </c>
      <c r="AY140" s="32" t="s">
        <v>411</v>
      </c>
      <c r="AZ140" s="95">
        <v>15</v>
      </c>
      <c r="BA140" s="95">
        <v>38</v>
      </c>
      <c r="BB140" s="95"/>
      <c r="BC140" s="97"/>
      <c r="BD140" s="97">
        <v>400</v>
      </c>
      <c r="BE140" s="97">
        <v>640</v>
      </c>
      <c r="BF140" s="95" t="s">
        <v>113</v>
      </c>
      <c r="BG140" s="95">
        <v>15</v>
      </c>
      <c r="BH140" s="95" t="s">
        <v>1522</v>
      </c>
      <c r="BI140" s="95">
        <v>32.4</v>
      </c>
      <c r="BJ140" s="98" t="e">
        <f>CONCATENATE("► M1 Notes: ",#REF!," •-----► CL-SKF Notes: ",#REF!," •-----► DS Notes: ",#REF!)</f>
        <v>#REF!</v>
      </c>
      <c r="BK140" s="98"/>
      <c r="BL140" s="95">
        <v>4</v>
      </c>
      <c r="BM140" s="32" t="s">
        <v>115</v>
      </c>
      <c r="BN140" s="83">
        <v>52.6</v>
      </c>
      <c r="BO140" s="31">
        <v>55.66</v>
      </c>
      <c r="BP140" s="32" t="s">
        <v>101</v>
      </c>
      <c r="BQ140" s="32" t="s">
        <v>101</v>
      </c>
      <c r="BR140" s="32" t="s">
        <v>101</v>
      </c>
      <c r="BS140" s="32">
        <v>60</v>
      </c>
      <c r="BT140" s="32" t="s">
        <v>117</v>
      </c>
      <c r="BU140" s="32">
        <v>9</v>
      </c>
      <c r="BV140" s="32" t="s">
        <v>117</v>
      </c>
      <c r="BW140" s="103">
        <v>3.34</v>
      </c>
    </row>
    <row r="141" spans="2:75" x14ac:dyDescent="0.25">
      <c r="B141" s="134">
        <v>6150</v>
      </c>
      <c r="C141" s="2"/>
      <c r="D141" s="146" t="s">
        <v>93</v>
      </c>
      <c r="E141" s="75" t="s">
        <v>93</v>
      </c>
      <c r="F141" s="85" t="s">
        <v>1619</v>
      </c>
      <c r="G141" s="85" t="s">
        <v>1620</v>
      </c>
      <c r="H141" s="86" t="s">
        <v>93</v>
      </c>
      <c r="I141" s="85" t="s">
        <v>1621</v>
      </c>
      <c r="J141" s="85" t="s">
        <v>1622</v>
      </c>
      <c r="K141" s="85" t="s">
        <v>1623</v>
      </c>
      <c r="L141" s="85" t="s">
        <v>1624</v>
      </c>
      <c r="M141" s="86" t="s">
        <v>93</v>
      </c>
      <c r="N141" s="85" t="s">
        <v>1625</v>
      </c>
      <c r="O141" s="85" t="s">
        <v>1626</v>
      </c>
      <c r="P141" s="86" t="s">
        <v>93</v>
      </c>
      <c r="Q141" s="86" t="s">
        <v>93</v>
      </c>
      <c r="R141" s="87">
        <f>COUNTIFS([1]Fleet!$E:$E,Table1[[#This Row],[Old Assy '#]])+COUNTIFS([1]OnDeck!$E:$E,Table1[[#This Row],[Old Assy '#]])</f>
        <v>2</v>
      </c>
      <c r="S141" s="88">
        <v>45324</v>
      </c>
      <c r="T141" s="89"/>
      <c r="U141" s="89"/>
      <c r="V141" s="89"/>
      <c r="W141" s="56" t="str">
        <f>IF(AND(Table1[[#This Row],[Phase Out]]="Y",Table1[[#This Row],[Zero Inventory]]="Y"),"Y","")</f>
        <v/>
      </c>
      <c r="X141" s="79">
        <v>17.5</v>
      </c>
      <c r="Y141" s="63" t="s">
        <v>1500</v>
      </c>
      <c r="Z141" s="59" t="str">
        <f>IF(LEFT(Table1[[#This Row],[Model]],2)="NX","NX",IF(LEFT(Table1[[#This Row],[Model]],2)="CR","CR",""))</f>
        <v>NX</v>
      </c>
      <c r="AA141" s="59" t="str">
        <f>LEFT(SUBSTITUTE(SUBSTITUTE(Table1[[#This Row],[Model]],"NX",""),"CR",""),1)</f>
        <v>6</v>
      </c>
      <c r="AB141" s="59" t="str">
        <f>MID(SUBSTITUTE(SUBSTITUTE(Table1[[#This Row],[Model]],"NX",""),"CR",""),2,2)</f>
        <v>16</v>
      </c>
      <c r="AC141" s="64" t="str">
        <f>IF(ISNUMBER(FIND("M",Table1[[#This Row],[Model]])),"M","")</f>
        <v/>
      </c>
      <c r="AD141" s="64" t="str">
        <f>CONCATENATE(MID(Table1[[#This Row],[Model]],FIND("-",Table1[[#This Row],[Model]])+1,2),IF(RIGHT(MID(Table1[[#This Row],[Model]],FIND("-",Table1[[#This Row],[Model]])+1,3),1)="+","+",""))</f>
        <v>SR</v>
      </c>
      <c r="AE14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41" s="64" t="str">
        <f>IF(ISNUMBER(SEARCH("(K)",Table1[[#This Row],[Model]])),"(K)","")</f>
        <v>(K)</v>
      </c>
      <c r="AG141" s="64" t="str">
        <f>IF(ISNUMBER(SEARCH("(BR)",Table1[[#This Row],[Model]])),"(BR)","")</f>
        <v/>
      </c>
      <c r="AH141" s="95" t="s">
        <v>103</v>
      </c>
      <c r="AI141" s="95" t="s">
        <v>126</v>
      </c>
      <c r="AJ141" s="95" t="s">
        <v>1520</v>
      </c>
      <c r="AK141" s="95"/>
      <c r="AL141" s="32" t="s">
        <v>106</v>
      </c>
      <c r="AM141" s="63" t="s">
        <v>107</v>
      </c>
      <c r="AN141" s="91" t="s">
        <v>139</v>
      </c>
      <c r="AO141" s="92"/>
      <c r="AP141" s="106"/>
      <c r="AQ141" s="80">
        <v>0</v>
      </c>
      <c r="AR141" s="68" t="s">
        <v>109</v>
      </c>
      <c r="AS141" s="32" t="s">
        <v>348</v>
      </c>
      <c r="AT141" s="32">
        <v>17.125</v>
      </c>
      <c r="AU141" s="69">
        <f>IF(ISNUMBER(Table1[[#This Row],[Above gauge Ø]]),((Table1[[#This Row],[Size]]-Table1[[#This Row],[Above gauge Ø]])/2)-0.05,"")</f>
        <v>0.13750000000000001</v>
      </c>
      <c r="AV141" s="70">
        <f>0.271/0.625</f>
        <v>0.43360000000000004</v>
      </c>
      <c r="AW141" s="95" t="s">
        <v>180</v>
      </c>
      <c r="AX141" s="32">
        <v>17.3125</v>
      </c>
      <c r="AY141" s="95" t="s">
        <v>349</v>
      </c>
      <c r="AZ141" s="32">
        <v>15</v>
      </c>
      <c r="BA141" s="32"/>
      <c r="BB141" s="32"/>
      <c r="BC141" s="95"/>
      <c r="BD141" s="131">
        <v>420</v>
      </c>
      <c r="BE141" s="130">
        <v>640</v>
      </c>
      <c r="BF141" s="95" t="s">
        <v>113</v>
      </c>
      <c r="BG141" s="95">
        <v>15</v>
      </c>
      <c r="BH141" s="95" t="s">
        <v>1522</v>
      </c>
      <c r="BI141" s="95">
        <v>32.4</v>
      </c>
      <c r="BJ141" s="17" t="e">
        <f>CONCATENATE("► M1 Notes: ",#REF!," •-----► CL-SKF Notes: ",#REF!," •-----► DS Notes: ",#REF!)</f>
        <v>#REF!</v>
      </c>
      <c r="BK141" s="17"/>
      <c r="BL141" s="32">
        <v>4</v>
      </c>
      <c r="BM141" s="32" t="s">
        <v>115</v>
      </c>
      <c r="BN141" s="83">
        <v>53.78</v>
      </c>
      <c r="BO141" s="32">
        <v>71.63</v>
      </c>
      <c r="BP141" s="32" t="s">
        <v>101</v>
      </c>
      <c r="BQ141" s="32" t="s">
        <v>101</v>
      </c>
      <c r="BR141" s="32" t="s">
        <v>101</v>
      </c>
      <c r="BS141" s="32">
        <v>60</v>
      </c>
      <c r="BT141" s="95" t="s">
        <v>117</v>
      </c>
      <c r="BU141" s="95">
        <v>9</v>
      </c>
      <c r="BV141" s="95" t="s">
        <v>117</v>
      </c>
      <c r="BW141" s="129">
        <v>3.34</v>
      </c>
    </row>
    <row r="142" spans="2:75" x14ac:dyDescent="0.25">
      <c r="B142" s="126">
        <v>6207</v>
      </c>
      <c r="C142" s="2"/>
      <c r="D142" s="146" t="s">
        <v>93</v>
      </c>
      <c r="E142" s="86" t="s">
        <v>93</v>
      </c>
      <c r="F142" s="85" t="s">
        <v>1627</v>
      </c>
      <c r="G142" s="85" t="s">
        <v>1628</v>
      </c>
      <c r="H142" s="86" t="s">
        <v>93</v>
      </c>
      <c r="I142" s="85" t="s">
        <v>1629</v>
      </c>
      <c r="J142" s="85" t="s">
        <v>1630</v>
      </c>
      <c r="K142" s="85" t="s">
        <v>1631</v>
      </c>
      <c r="L142" s="85" t="s">
        <v>1632</v>
      </c>
      <c r="M142" s="86" t="s">
        <v>93</v>
      </c>
      <c r="N142" s="85" t="s">
        <v>1633</v>
      </c>
      <c r="O142" s="85" t="s">
        <v>1634</v>
      </c>
      <c r="P142" s="86" t="s">
        <v>93</v>
      </c>
      <c r="Q142" s="86" t="s">
        <v>93</v>
      </c>
      <c r="R142" s="87">
        <f>COUNTIFS([1]Fleet!$E:$E,Table1[[#This Row],[Old Assy '#]])+COUNTIFS([1]OnDeck!$E:$E,Table1[[#This Row],[Old Assy '#]])</f>
        <v>0</v>
      </c>
      <c r="S142" s="88">
        <v>44798</v>
      </c>
      <c r="T142" s="89"/>
      <c r="U142" s="89"/>
      <c r="V142" s="89"/>
      <c r="W142" s="56" t="str">
        <f>IF(AND(Table1[[#This Row],[Phase Out]]="Y",Table1[[#This Row],[Zero Inventory]]="Y"),"Y","")</f>
        <v/>
      </c>
      <c r="X142" s="90">
        <v>7.875</v>
      </c>
      <c r="Y142" s="91" t="s">
        <v>920</v>
      </c>
      <c r="Z142" s="59" t="str">
        <f>IF(LEFT(Table1[[#This Row],[Model]],2)="NX","NX",IF(LEFT(Table1[[#This Row],[Model]],2)="CR","CR",""))</f>
        <v>CR</v>
      </c>
      <c r="AA142" s="59" t="str">
        <f>LEFT(SUBSTITUTE(SUBSTITUTE(Table1[[#This Row],[Model]],"NX",""),"CR",""),1)</f>
        <v>6</v>
      </c>
      <c r="AB142" s="59" t="str">
        <f>MID(SUBSTITUTE(SUBSTITUTE(Table1[[#This Row],[Model]],"NX",""),"CR",""),2,2)</f>
        <v>16</v>
      </c>
      <c r="AC142" s="59" t="str">
        <f>IF(ISNUMBER(FIND("M",Table1[[#This Row],[Model]])),"M","")</f>
        <v/>
      </c>
      <c r="AD142" s="59" t="str">
        <f>CONCATENATE(MID(Table1[[#This Row],[Model]],FIND("-",Table1[[#This Row],[Model]])+1,2),IF(RIGHT(MID(Table1[[#This Row],[Model]],FIND("-",Table1[[#This Row],[Model]])+1,3),1)="+","+",""))</f>
        <v>SR+</v>
      </c>
      <c r="AE142" s="59">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42" s="59" t="str">
        <f>IF(ISNUMBER(SEARCH("(K)",Table1[[#This Row],[Model]])),"(K)","")</f>
        <v>(K)</v>
      </c>
      <c r="AG142" s="59" t="str">
        <f>IF(ISNUMBER(SEARCH("(BR)",Table1[[#This Row],[Model]])),"(BR)","")</f>
        <v/>
      </c>
      <c r="AH142" s="95" t="s">
        <v>103</v>
      </c>
      <c r="AI142" s="95" t="s">
        <v>104</v>
      </c>
      <c r="AJ142" s="95"/>
      <c r="AK142" s="95"/>
      <c r="AL142" s="95" t="s">
        <v>106</v>
      </c>
      <c r="AM142" s="63" t="s">
        <v>107</v>
      </c>
      <c r="AN142" s="63" t="s">
        <v>107</v>
      </c>
      <c r="AO142" s="65"/>
      <c r="AP142" s="137"/>
      <c r="AQ142" s="80">
        <v>0.01</v>
      </c>
      <c r="AR142" s="68" t="s">
        <v>284</v>
      </c>
      <c r="AS142" s="95">
        <v>165432</v>
      </c>
      <c r="AT142" s="32">
        <v>7.5</v>
      </c>
      <c r="AU142" s="128">
        <f>IF(ISNUMBER(Table1[[#This Row],[Above gauge Ø]]),((Table1[[#This Row],[Size]]-Table1[[#This Row],[Above gauge Ø]])/2)-0.05,"")</f>
        <v>0.13750000000000001</v>
      </c>
      <c r="AV142" s="70">
        <f>0.192/0.625</f>
        <v>0.30720000000000003</v>
      </c>
      <c r="AW142" s="32" t="s">
        <v>180</v>
      </c>
      <c r="AX142" s="32">
        <v>7.6890000000000001</v>
      </c>
      <c r="AY142" s="32" t="s">
        <v>112</v>
      </c>
      <c r="AZ142" s="95">
        <v>15</v>
      </c>
      <c r="BA142" s="95">
        <v>10</v>
      </c>
      <c r="BB142" s="97">
        <v>110</v>
      </c>
      <c r="BC142" s="97">
        <v>90</v>
      </c>
      <c r="BD142" s="97">
        <v>100</v>
      </c>
      <c r="BE142" s="97">
        <v>30</v>
      </c>
      <c r="BF142" s="95" t="s">
        <v>113</v>
      </c>
      <c r="BG142" s="95">
        <v>15</v>
      </c>
      <c r="BH142" s="95" t="s">
        <v>1635</v>
      </c>
      <c r="BI142" s="95">
        <v>30</v>
      </c>
      <c r="BJ142" s="98" t="e">
        <f>CONCATENATE("► M1 Notes: ",#REF!," •-----► CL-SKF Notes: ",#REF!," •-----► DS Notes: ",#REF!)</f>
        <v>#REF!</v>
      </c>
      <c r="BK142" s="98"/>
      <c r="BL142" s="95">
        <v>4</v>
      </c>
      <c r="BM142" s="32" t="s">
        <v>115</v>
      </c>
      <c r="BN142" s="83">
        <v>35</v>
      </c>
      <c r="BO142" s="31">
        <v>10.23</v>
      </c>
      <c r="BP142" s="32" t="s">
        <v>116</v>
      </c>
      <c r="BQ142" s="32" t="s">
        <v>101</v>
      </c>
      <c r="BR142" s="32" t="s">
        <v>101</v>
      </c>
      <c r="BS142" s="32">
        <v>60</v>
      </c>
      <c r="BT142" s="32" t="s">
        <v>117</v>
      </c>
      <c r="BU142" s="32">
        <v>6</v>
      </c>
      <c r="BV142" s="32" t="s">
        <v>117</v>
      </c>
      <c r="BW142" s="103">
        <v>2.23</v>
      </c>
    </row>
    <row r="143" spans="2:75" x14ac:dyDescent="0.25">
      <c r="B143" s="126">
        <v>6513</v>
      </c>
      <c r="C143" s="2"/>
      <c r="D143" s="146" t="s">
        <v>93</v>
      </c>
      <c r="E143" s="85" t="s">
        <v>1636</v>
      </c>
      <c r="F143" s="85" t="s">
        <v>1637</v>
      </c>
      <c r="G143" s="85" t="s">
        <v>1638</v>
      </c>
      <c r="H143" s="86" t="s">
        <v>93</v>
      </c>
      <c r="I143" s="85" t="s">
        <v>1639</v>
      </c>
      <c r="J143" s="85" t="s">
        <v>1640</v>
      </c>
      <c r="K143" s="85" t="s">
        <v>1641</v>
      </c>
      <c r="L143" s="85" t="s">
        <v>1642</v>
      </c>
      <c r="M143" s="86" t="s">
        <v>93</v>
      </c>
      <c r="N143" s="85" t="s">
        <v>1643</v>
      </c>
      <c r="O143" s="85" t="s">
        <v>1644</v>
      </c>
      <c r="P143" s="86" t="s">
        <v>93</v>
      </c>
      <c r="Q143" s="138" t="s">
        <v>93</v>
      </c>
      <c r="R143" s="87">
        <f>COUNTIFS([1]Fleet!$E:$E,Table1[[#This Row],[Old Assy '#]])+COUNTIFS([1]OnDeck!$E:$E,Table1[[#This Row],[Old Assy '#]])</f>
        <v>1</v>
      </c>
      <c r="S143" s="88">
        <v>45118</v>
      </c>
      <c r="T143" s="89"/>
      <c r="U143" s="89"/>
      <c r="V143" s="89"/>
      <c r="W143" s="56" t="str">
        <f>IF(AND(Table1[[#This Row],[Phase Out]]="Y",Table1[[#This Row],[Zero Inventory]]="Y"),"Y","")</f>
        <v/>
      </c>
      <c r="X143" s="90">
        <v>17.5</v>
      </c>
      <c r="Y143" s="91" t="s">
        <v>727</v>
      </c>
      <c r="Z143" s="59" t="str">
        <f>IF(LEFT(Table1[[#This Row],[Model]],2)="NX","NX",IF(LEFT(Table1[[#This Row],[Model]],2)="CR","CR",""))</f>
        <v>CR</v>
      </c>
      <c r="AA143" s="59" t="str">
        <f>LEFT(SUBSTITUTE(SUBSTITUTE(Table1[[#This Row],[Model]],"NX",""),"CR",""),1)</f>
        <v>5</v>
      </c>
      <c r="AB143" s="59" t="str">
        <f>MID(SUBSTITUTE(SUBSTITUTE(Table1[[#This Row],[Model]],"NX",""),"CR",""),2,2)</f>
        <v>19</v>
      </c>
      <c r="AC143" s="59" t="str">
        <f>IF(ISNUMBER(FIND("M",Table1[[#This Row],[Model]])),"M","")</f>
        <v/>
      </c>
      <c r="AD143" s="59" t="str">
        <f>CONCATENATE(MID(Table1[[#This Row],[Model]],FIND("-",Table1[[#This Row],[Model]])+1,2),IF(RIGHT(MID(Table1[[#This Row],[Model]],FIND("-",Table1[[#This Row],[Model]])+1,3),1)="+","+",""))</f>
        <v>SR</v>
      </c>
      <c r="AE143"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8</v>
      </c>
      <c r="AF143" s="59" t="str">
        <f>IF(ISNUMBER(SEARCH("(K)",Table1[[#This Row],[Model]])),"(K)","")</f>
        <v/>
      </c>
      <c r="AG143" s="59" t="str">
        <f>IF(ISNUMBER(SEARCH("(BR)",Table1[[#This Row],[Model]])),"(BR)","")</f>
        <v/>
      </c>
      <c r="AH143" s="95" t="s">
        <v>103</v>
      </c>
      <c r="AI143" s="95" t="s">
        <v>126</v>
      </c>
      <c r="AJ143" s="95"/>
      <c r="AK143" s="95"/>
      <c r="AL143" s="95" t="s">
        <v>106</v>
      </c>
      <c r="AM143" s="63" t="s">
        <v>107</v>
      </c>
      <c r="AN143" s="63" t="s">
        <v>107</v>
      </c>
      <c r="AO143" s="65"/>
      <c r="AP143" s="137"/>
      <c r="AQ143" s="125">
        <v>0</v>
      </c>
      <c r="AR143" s="68" t="s">
        <v>179</v>
      </c>
      <c r="AS143" s="95">
        <v>12345</v>
      </c>
      <c r="AT143" s="32">
        <f>8.5625*2</f>
        <v>17.125</v>
      </c>
      <c r="AU143" s="128">
        <f>IF(ISNUMBER(Table1[[#This Row],[Above gauge Ø]]),((Table1[[#This Row],[Size]]-Table1[[#This Row],[Above gauge Ø]])/2)-0.05,"")</f>
        <v>0.13750000000000001</v>
      </c>
      <c r="AV143" s="70">
        <v>0.47</v>
      </c>
      <c r="AW143" s="32" t="s">
        <v>180</v>
      </c>
      <c r="AX143" s="32">
        <v>17.25</v>
      </c>
      <c r="AY143" s="32" t="s">
        <v>349</v>
      </c>
      <c r="AZ143" s="95">
        <v>20</v>
      </c>
      <c r="BA143" s="95"/>
      <c r="BB143" s="97"/>
      <c r="BC143" s="97"/>
      <c r="BD143" s="97"/>
      <c r="BE143" s="97"/>
      <c r="BF143" s="95" t="s">
        <v>113</v>
      </c>
      <c r="BG143" s="95" t="s">
        <v>1645</v>
      </c>
      <c r="BH143" s="95" t="s">
        <v>1055</v>
      </c>
      <c r="BI143" s="95">
        <v>30</v>
      </c>
      <c r="BJ143" s="98" t="e">
        <f>CONCATENATE("► M1 Notes: ",#REF!," •-----► CL-SKF Notes: ",#REF!," •-----► DS Notes: ",#REF!)</f>
        <v>#REF!</v>
      </c>
      <c r="BK143" s="98" t="s">
        <v>1646</v>
      </c>
      <c r="BL143" s="95">
        <v>4</v>
      </c>
      <c r="BM143" s="32" t="s">
        <v>115</v>
      </c>
      <c r="BN143" s="83">
        <v>51.508000000000003</v>
      </c>
      <c r="BO143" s="31">
        <v>76.540000000000006</v>
      </c>
      <c r="BP143" s="32" t="s">
        <v>101</v>
      </c>
      <c r="BQ143" s="32" t="s">
        <v>101</v>
      </c>
      <c r="BR143" s="32" t="s">
        <v>101</v>
      </c>
      <c r="BS143" s="32">
        <v>60</v>
      </c>
      <c r="BT143" s="32" t="s">
        <v>117</v>
      </c>
      <c r="BU143" s="32">
        <v>8</v>
      </c>
      <c r="BV143" s="32" t="s">
        <v>117</v>
      </c>
      <c r="BW143" s="103">
        <v>2.97</v>
      </c>
    </row>
    <row r="144" spans="2:75" x14ac:dyDescent="0.25">
      <c r="B144" s="126">
        <v>6536</v>
      </c>
      <c r="C144" s="2"/>
      <c r="D144" s="146" t="s">
        <v>93</v>
      </c>
      <c r="E144" s="86" t="s">
        <v>93</v>
      </c>
      <c r="F144" s="86" t="s">
        <v>93</v>
      </c>
      <c r="G144" s="86" t="s">
        <v>93</v>
      </c>
      <c r="H144" s="86" t="s">
        <v>93</v>
      </c>
      <c r="I144" s="86" t="s">
        <v>93</v>
      </c>
      <c r="J144" s="86" t="s">
        <v>93</v>
      </c>
      <c r="K144" s="86" t="s">
        <v>93</v>
      </c>
      <c r="L144" s="86" t="s">
        <v>93</v>
      </c>
      <c r="M144" s="86" t="s">
        <v>93</v>
      </c>
      <c r="N144" s="86" t="s">
        <v>93</v>
      </c>
      <c r="O144" s="86" t="s">
        <v>93</v>
      </c>
      <c r="P144" s="86" t="s">
        <v>93</v>
      </c>
      <c r="Q144" s="138" t="s">
        <v>93</v>
      </c>
      <c r="R144" s="87">
        <f>COUNTIFS([1]Fleet!$E:$E,Table1[[#This Row],[Old Assy '#]])+COUNTIFS([1]OnDeck!$E:$E,Table1[[#This Row],[Old Assy '#]])</f>
        <v>3</v>
      </c>
      <c r="S144" s="88">
        <v>45874</v>
      </c>
      <c r="T144" s="89"/>
      <c r="U144" s="89"/>
      <c r="V144" s="89"/>
      <c r="W144" s="56" t="str">
        <f>IF(AND(Table1[[#This Row],[Phase Out]]="Y",Table1[[#This Row],[Zero Inventory]]="Y"),"Y","")</f>
        <v/>
      </c>
      <c r="X144" s="90">
        <v>12.25</v>
      </c>
      <c r="Y144" s="91" t="s">
        <v>1647</v>
      </c>
      <c r="Z144" s="59" t="str">
        <f>IF(LEFT(Table1[[#This Row],[Model]],2)="NX","NX",IF(LEFT(Table1[[#This Row],[Model]],2)="CR","CR",""))</f>
        <v>CR</v>
      </c>
      <c r="AA144" s="59" t="str">
        <f>LEFT(SUBSTITUTE(SUBSTITUTE(Table1[[#This Row],[Model]],"NX",""),"CR",""),1)</f>
        <v>6</v>
      </c>
      <c r="AB144" s="59" t="str">
        <f>MID(SUBSTITUTE(SUBSTITUTE(Table1[[#This Row],[Model]],"NX",""),"CR",""),2,2)</f>
        <v>16</v>
      </c>
      <c r="AC144" s="59" t="str">
        <f>IF(ISNUMBER(FIND("M",Table1[[#This Row],[Model]])),"M","")</f>
        <v/>
      </c>
      <c r="AD144" s="59" t="str">
        <f>CONCATENATE(MID(Table1[[#This Row],[Model]],FIND("-",Table1[[#This Row],[Model]])+1,2),IF(RIGHT(MID(Table1[[#This Row],[Model]],FIND("-",Table1[[#This Row],[Model]])+1,3),1)="+","+",""))</f>
        <v>SR+</v>
      </c>
      <c r="AE144"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44" s="59" t="str">
        <f>IF(ISNUMBER(SEARCH("(K)",Table1[[#This Row],[Model]])),"(K)","")</f>
        <v>(K)</v>
      </c>
      <c r="AG144" s="59" t="str">
        <f>IF(ISNUMBER(SEARCH("(BR)",Table1[[#This Row],[Model]])),"(BR)","")</f>
        <v>(BR)</v>
      </c>
      <c r="AH144" s="95" t="s">
        <v>103</v>
      </c>
      <c r="AI144" s="95" t="s">
        <v>126</v>
      </c>
      <c r="AJ144" s="124" t="s">
        <v>452</v>
      </c>
      <c r="AK144" s="95"/>
      <c r="AL144" s="95" t="s">
        <v>106</v>
      </c>
      <c r="AM144" s="63" t="s">
        <v>127</v>
      </c>
      <c r="AN144" s="59" t="s">
        <v>127</v>
      </c>
      <c r="AO144" s="92"/>
      <c r="AP144" s="137"/>
      <c r="AQ144" s="125">
        <v>0</v>
      </c>
      <c r="AR144" s="68" t="s">
        <v>284</v>
      </c>
      <c r="AS144" s="95">
        <v>165432</v>
      </c>
      <c r="AT144" s="96">
        <f>5.9688*2</f>
        <v>11.9376</v>
      </c>
      <c r="AU144" s="128">
        <f>IF(ISNUMBER(Table1[[#This Row],[Above gauge Ø]]),((Table1[[#This Row],[Size]]-Table1[[#This Row],[Above gauge Ø]])/2)-0.05,"")</f>
        <v>0.10620000000000011</v>
      </c>
      <c r="AV144" s="141">
        <v>0.33</v>
      </c>
      <c r="AW144" s="95" t="s">
        <v>111</v>
      </c>
      <c r="AX144" s="95">
        <f>6.0938*2</f>
        <v>12.1876</v>
      </c>
      <c r="AY144" s="95" t="s">
        <v>692</v>
      </c>
      <c r="AZ144" s="95">
        <v>15</v>
      </c>
      <c r="BA144" s="95"/>
      <c r="BB144" s="97">
        <v>200</v>
      </c>
      <c r="BC144" s="97">
        <v>250</v>
      </c>
      <c r="BD144" s="97">
        <v>330</v>
      </c>
      <c r="BE144" s="97"/>
      <c r="BF144" s="95">
        <v>15</v>
      </c>
      <c r="BG144" s="95">
        <v>15</v>
      </c>
      <c r="BH144" s="95" t="s">
        <v>167</v>
      </c>
      <c r="BI144" s="95">
        <v>40</v>
      </c>
      <c r="BJ144" s="98" t="e">
        <f>CONCATENATE("► M1 Notes: ",#REF!," •-----► CL-SKF Notes: ",#REF!," •-----► DS Notes: ",#REF!)</f>
        <v>#REF!</v>
      </c>
      <c r="BK144" s="119"/>
      <c r="BL144" s="95">
        <v>4</v>
      </c>
      <c r="BM144" s="95" t="s">
        <v>115</v>
      </c>
      <c r="BN144" s="99">
        <v>56.88</v>
      </c>
      <c r="BO144" s="95">
        <v>40.770000000000003</v>
      </c>
      <c r="BP144" s="95" t="s">
        <v>116</v>
      </c>
      <c r="BQ144" s="95" t="s">
        <v>101</v>
      </c>
      <c r="BR144" s="95" t="s">
        <v>116</v>
      </c>
      <c r="BS144" s="95">
        <v>60</v>
      </c>
      <c r="BT144" s="95" t="s">
        <v>117</v>
      </c>
      <c r="BU144" s="95">
        <v>9</v>
      </c>
      <c r="BV144" s="95" t="s">
        <v>117</v>
      </c>
      <c r="BW144" s="129">
        <v>3.34</v>
      </c>
    </row>
    <row r="145" spans="2:75" x14ac:dyDescent="0.25">
      <c r="B145" s="126">
        <v>6653</v>
      </c>
      <c r="C145" s="2"/>
      <c r="D145" s="147" t="s">
        <v>1648</v>
      </c>
      <c r="E145" s="86" t="s">
        <v>93</v>
      </c>
      <c r="F145" s="85" t="s">
        <v>1649</v>
      </c>
      <c r="G145" s="85" t="s">
        <v>1650</v>
      </c>
      <c r="H145" s="86" t="s">
        <v>93</v>
      </c>
      <c r="I145" s="85" t="s">
        <v>1651</v>
      </c>
      <c r="J145" s="85" t="s">
        <v>1652</v>
      </c>
      <c r="K145" s="85" t="s">
        <v>1653</v>
      </c>
      <c r="L145" s="85" t="s">
        <v>1654</v>
      </c>
      <c r="M145" s="86" t="s">
        <v>93</v>
      </c>
      <c r="N145" s="85" t="s">
        <v>1655</v>
      </c>
      <c r="O145" s="85" t="s">
        <v>1656</v>
      </c>
      <c r="P145" s="86" t="s">
        <v>93</v>
      </c>
      <c r="Q145" s="86" t="s">
        <v>93</v>
      </c>
      <c r="R145" s="76">
        <f>COUNTIFS([1]Fleet!$E:$E,Table1[[#This Row],[Old Assy '#]])+COUNTIFS([1]OnDeck!$E:$E,Table1[[#This Row],[Old Assy '#]])</f>
        <v>2</v>
      </c>
      <c r="S145" s="77">
        <v>45565</v>
      </c>
      <c r="T145" s="78"/>
      <c r="U145" s="78"/>
      <c r="V145" s="78"/>
      <c r="W145" s="56" t="str">
        <f>IF(AND(Table1[[#This Row],[Phase Out]]="Y",Table1[[#This Row],[Zero Inventory]]="Y"),"Y","")</f>
        <v/>
      </c>
      <c r="X145" s="79">
        <v>12.25</v>
      </c>
      <c r="Y145" s="63" t="s">
        <v>1446</v>
      </c>
      <c r="Z145" s="59" t="str">
        <f>IF(LEFT(Table1[[#This Row],[Model]],2)="NX","NX",IF(LEFT(Table1[[#This Row],[Model]],2)="CR","CR",""))</f>
        <v>NX</v>
      </c>
      <c r="AA145" s="59" t="str">
        <f>LEFT(SUBSTITUTE(SUBSTITUTE(Table1[[#This Row],[Model]],"NX",""),"CR",""),1)</f>
        <v>6</v>
      </c>
      <c r="AB145" s="59" t="str">
        <f>MID(SUBSTITUTE(SUBSTITUTE(Table1[[#This Row],[Model]],"NX",""),"CR",""),2,2)</f>
        <v>16</v>
      </c>
      <c r="AC145" s="59" t="str">
        <f>IF(ISNUMBER(FIND("M",Table1[[#This Row],[Model]])),"M","")</f>
        <v/>
      </c>
      <c r="AD145" s="59" t="str">
        <f>CONCATENATE(MID(Table1[[#This Row],[Model]],FIND("-",Table1[[#This Row],[Model]])+1,2),IF(RIGHT(MID(Table1[[#This Row],[Model]],FIND("-",Table1[[#This Row],[Model]])+1,3),1)="+","+",""))</f>
        <v>SR+</v>
      </c>
      <c r="AE145"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45" s="59" t="str">
        <f>IF(ISNUMBER(SEARCH("(K)",Table1[[#This Row],[Model]])),"(K)","")</f>
        <v>(K)</v>
      </c>
      <c r="AG145" s="59" t="str">
        <f>IF(ISNUMBER(SEARCH("(BR)",Table1[[#This Row],[Model]])),"(BR)","")</f>
        <v>(BR)</v>
      </c>
      <c r="AH145" s="32" t="s">
        <v>103</v>
      </c>
      <c r="AI145" s="32" t="s">
        <v>126</v>
      </c>
      <c r="AJ145" s="95"/>
      <c r="AK145" s="95"/>
      <c r="AL145" s="95" t="s">
        <v>106</v>
      </c>
      <c r="AM145" s="91" t="s">
        <v>107</v>
      </c>
      <c r="AN145" s="63" t="s">
        <v>127</v>
      </c>
      <c r="AO145" s="92"/>
      <c r="AP145" s="137"/>
      <c r="AQ145" s="125">
        <v>0</v>
      </c>
      <c r="AR145" s="68" t="s">
        <v>284</v>
      </c>
      <c r="AS145" s="32">
        <v>165432</v>
      </c>
      <c r="AT145" s="32">
        <v>12</v>
      </c>
      <c r="AU145" s="128">
        <f>IF(ISNUMBER(Table1[[#This Row],[Above gauge Ø]]),((Table1[[#This Row],[Size]]-Table1[[#This Row],[Above gauge Ø]])/2)-0.05,"")</f>
        <v>7.4999999999999997E-2</v>
      </c>
      <c r="AV145" s="141">
        <f>0.268/0.625</f>
        <v>0.42880000000000001</v>
      </c>
      <c r="AW145" s="32" t="s">
        <v>180</v>
      </c>
      <c r="AX145" s="32">
        <v>12.125</v>
      </c>
      <c r="AY145" s="32" t="s">
        <v>1532</v>
      </c>
      <c r="AZ145" s="95">
        <v>20</v>
      </c>
      <c r="BA145" s="95"/>
      <c r="BB145" s="97">
        <v>300</v>
      </c>
      <c r="BC145" s="97">
        <v>360</v>
      </c>
      <c r="BD145" s="97">
        <v>270</v>
      </c>
      <c r="BE145" s="97">
        <v>320</v>
      </c>
      <c r="BF145" s="32" t="s">
        <v>1533</v>
      </c>
      <c r="BG145" s="32">
        <v>15</v>
      </c>
      <c r="BH145" s="32" t="s">
        <v>322</v>
      </c>
      <c r="BI145" s="32">
        <v>30</v>
      </c>
      <c r="BJ145" s="98" t="e">
        <f>CONCATENATE("► M1 Notes: ",#REF!," •-----► CL-SKF Notes: ",#REF!," •-----► DS Notes: ",#REF!)</f>
        <v>#REF!</v>
      </c>
      <c r="BK145" s="98"/>
      <c r="BL145" s="95">
        <v>6</v>
      </c>
      <c r="BM145" s="95" t="s">
        <v>115</v>
      </c>
      <c r="BN145" s="99">
        <f>11.625*6</f>
        <v>69.75</v>
      </c>
      <c r="BO145" s="95">
        <v>29.69</v>
      </c>
      <c r="BP145" s="95" t="s">
        <v>101</v>
      </c>
      <c r="BQ145" s="95" t="s">
        <v>101</v>
      </c>
      <c r="BR145" s="95" t="s">
        <v>101</v>
      </c>
      <c r="BS145" s="32">
        <v>60</v>
      </c>
      <c r="BT145" s="32" t="s">
        <v>117</v>
      </c>
      <c r="BU145" s="32">
        <v>9</v>
      </c>
      <c r="BV145" s="32" t="s">
        <v>117</v>
      </c>
      <c r="BW145" s="103">
        <v>3.34</v>
      </c>
    </row>
    <row r="146" spans="2:75" x14ac:dyDescent="0.25">
      <c r="B146" s="104">
        <v>6841</v>
      </c>
      <c r="C146" s="2"/>
      <c r="D146" s="147" t="s">
        <v>1657</v>
      </c>
      <c r="E146" s="55" t="s">
        <v>1658</v>
      </c>
      <c r="F146" s="55" t="s">
        <v>1659</v>
      </c>
      <c r="G146" s="55" t="s">
        <v>1660</v>
      </c>
      <c r="H146" s="75" t="s">
        <v>93</v>
      </c>
      <c r="I146" s="55" t="s">
        <v>1661</v>
      </c>
      <c r="J146" s="55" t="s">
        <v>1662</v>
      </c>
      <c r="K146" s="55" t="s">
        <v>1663</v>
      </c>
      <c r="L146" s="55" t="s">
        <v>1664</v>
      </c>
      <c r="M146" s="75" t="s">
        <v>93</v>
      </c>
      <c r="N146" s="75" t="s">
        <v>93</v>
      </c>
      <c r="O146" s="85" t="s">
        <v>1665</v>
      </c>
      <c r="P146" s="75" t="s">
        <v>93</v>
      </c>
      <c r="Q146" s="55" t="s">
        <v>1666</v>
      </c>
      <c r="R146" s="87">
        <f>COUNTIFS([1]Fleet!$E:$E,Table1[[#This Row],[Old Assy '#]])+COUNTIFS([1]OnDeck!$E:$E,Table1[[#This Row],[Old Assy '#]])</f>
        <v>2</v>
      </c>
      <c r="S146" s="88">
        <v>45945</v>
      </c>
      <c r="T146" s="89"/>
      <c r="U146" s="89"/>
      <c r="V146" s="89"/>
      <c r="W146" s="56" t="str">
        <f>IF(AND(Table1[[#This Row],[Phase Out]]="Y",Table1[[#This Row],[Zero Inventory]]="Y"),"Y","")</f>
        <v/>
      </c>
      <c r="X146" s="79">
        <v>7.875</v>
      </c>
      <c r="Y146" s="63" t="s">
        <v>1667</v>
      </c>
      <c r="Z146" s="59" t="str">
        <f>IF(LEFT(Table1[[#This Row],[Model]],2)="NX","NX",IF(LEFT(Table1[[#This Row],[Model]],2)="CR","CR",""))</f>
        <v>NX</v>
      </c>
      <c r="AA146" s="59" t="str">
        <f>LEFT(SUBSTITUTE(SUBSTITUTE(Table1[[#This Row],[Model]],"NX",""),"CR",""),1)</f>
        <v>5</v>
      </c>
      <c r="AB146" s="59" t="str">
        <f>MID(SUBSTITUTE(SUBSTITUTE(Table1[[#This Row],[Model]],"NX",""),"CR",""),2,2)</f>
        <v>16</v>
      </c>
      <c r="AC146" s="64" t="str">
        <f>IF(ISNUMBER(FIND("M",Table1[[#This Row],[Model]])),"M","")</f>
        <v>M</v>
      </c>
      <c r="AD146" s="64" t="str">
        <f>CONCATENATE(MID(Table1[[#This Row],[Model]],FIND("-",Table1[[#This Row],[Model]])+1,2),IF(RIGHT(MID(Table1[[#This Row],[Model]],FIND("-",Table1[[#This Row],[Model]])+1,3),1)="+","+",""))</f>
        <v>SR</v>
      </c>
      <c r="AE146"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146" s="64" t="str">
        <f>IF(ISNUMBER(SEARCH("(K)",Table1[[#This Row],[Model]])),"(K)","")</f>
        <v>(K)</v>
      </c>
      <c r="AG146" s="64" t="str">
        <f>IF(ISNUMBER(SEARCH("(BR)",Table1[[#This Row],[Model]])),"(BR)","")</f>
        <v>(BR)</v>
      </c>
      <c r="AH146" s="32" t="s">
        <v>1668</v>
      </c>
      <c r="AI146" s="95" t="s">
        <v>104</v>
      </c>
      <c r="AJ146" s="95"/>
      <c r="AK146" s="95"/>
      <c r="AL146" s="32" t="s">
        <v>1458</v>
      </c>
      <c r="AM146" s="32" t="s">
        <v>1458</v>
      </c>
      <c r="AN146" s="63" t="s">
        <v>1458</v>
      </c>
      <c r="AO146" s="65"/>
      <c r="AP146" s="106"/>
      <c r="AQ146" s="68">
        <v>0</v>
      </c>
      <c r="AR146" s="68" t="s">
        <v>284</v>
      </c>
      <c r="AS146" s="95">
        <v>15432</v>
      </c>
      <c r="AT146" s="102">
        <v>7.5</v>
      </c>
      <c r="AU146" s="69">
        <f>IF(ISNUMBER(Table1[[#This Row],[Above gauge Ø]]),((Table1[[#This Row],[Size]]-Table1[[#This Row],[Above gauge Ø]])/2)-0.05,"")</f>
        <v>0.13750000000000001</v>
      </c>
      <c r="AV146" s="121">
        <f>0.2775/0.625</f>
        <v>0.44400000000000006</v>
      </c>
      <c r="AW146" s="32" t="s">
        <v>180</v>
      </c>
      <c r="AX146" s="32">
        <v>7.75</v>
      </c>
      <c r="AY146" s="32" t="s">
        <v>112</v>
      </c>
      <c r="AZ146" s="32">
        <v>20</v>
      </c>
      <c r="BA146" s="32"/>
      <c r="BB146" s="32"/>
      <c r="BC146" s="95"/>
      <c r="BD146" s="32"/>
      <c r="BE146" s="97">
        <v>670</v>
      </c>
      <c r="BF146" s="32">
        <v>23</v>
      </c>
      <c r="BG146" s="32">
        <v>17</v>
      </c>
      <c r="BH146" s="32" t="s">
        <v>1469</v>
      </c>
      <c r="BI146" s="32">
        <v>30.5</v>
      </c>
      <c r="BJ146" s="17" t="e">
        <f>CONCATENATE("► M1 Notes: ",#REF!," •-----► CL-SKF Notes: ",#REF!," •-----► DS Notes: ",#REF!)</f>
        <v>#REF!</v>
      </c>
      <c r="BK146" s="17" t="s">
        <v>93</v>
      </c>
      <c r="BL146" s="32">
        <v>4</v>
      </c>
      <c r="BM146" s="32" t="s">
        <v>184</v>
      </c>
      <c r="BN146" s="83">
        <f>6.29*5</f>
        <v>31.45</v>
      </c>
      <c r="BO146" s="32">
        <v>12.52</v>
      </c>
      <c r="BP146" s="32" t="s">
        <v>116</v>
      </c>
      <c r="BQ146" s="32" t="s">
        <v>116</v>
      </c>
      <c r="BR146" s="32" t="s">
        <v>101</v>
      </c>
      <c r="BS146" s="32">
        <v>55</v>
      </c>
      <c r="BT146" s="32" t="s">
        <v>117</v>
      </c>
      <c r="BU146" s="32">
        <v>7</v>
      </c>
      <c r="BV146" s="32" t="s">
        <v>117</v>
      </c>
      <c r="BW146" s="103">
        <v>1.74</v>
      </c>
    </row>
    <row r="147" spans="2:75" x14ac:dyDescent="0.25">
      <c r="B147" s="126">
        <v>7182</v>
      </c>
      <c r="C147" s="2"/>
      <c r="D147" s="147" t="s">
        <v>1669</v>
      </c>
      <c r="E147" s="85" t="s">
        <v>1670</v>
      </c>
      <c r="F147" s="85" t="s">
        <v>1671</v>
      </c>
      <c r="G147" s="85" t="s">
        <v>1672</v>
      </c>
      <c r="H147" s="86" t="s">
        <v>93</v>
      </c>
      <c r="I147" s="85" t="s">
        <v>1673</v>
      </c>
      <c r="J147" s="85" t="s">
        <v>1674</v>
      </c>
      <c r="K147" s="85" t="s">
        <v>1675</v>
      </c>
      <c r="L147" s="85" t="s">
        <v>1676</v>
      </c>
      <c r="M147" s="86" t="s">
        <v>93</v>
      </c>
      <c r="N147" s="85" t="s">
        <v>1677</v>
      </c>
      <c r="O147" s="85" t="s">
        <v>1678</v>
      </c>
      <c r="P147" s="85" t="s">
        <v>1679</v>
      </c>
      <c r="Q147" s="86" t="s">
        <v>93</v>
      </c>
      <c r="R147" s="87">
        <f>COUNTIFS([1]Fleet!$E:$E,Table1[[#This Row],[Old Assy '#]])+COUNTIFS([1]OnDeck!$E:$E,Table1[[#This Row],[Old Assy '#]])</f>
        <v>1</v>
      </c>
      <c r="S147" s="88">
        <v>45747</v>
      </c>
      <c r="T147" s="89"/>
      <c r="U147" s="89" t="s">
        <v>101</v>
      </c>
      <c r="V147" s="89"/>
      <c r="W147" s="56" t="str">
        <f>IF(AND(Table1[[#This Row],[Phase Out]]="Y",Table1[[#This Row],[Zero Inventory]]="Y"),"Y","")</f>
        <v/>
      </c>
      <c r="X147" s="90">
        <v>7.875</v>
      </c>
      <c r="Y147" s="91" t="s">
        <v>1680</v>
      </c>
      <c r="Z147" s="59" t="str">
        <f>IF(LEFT(Table1[[#This Row],[Model]],2)="NX","NX",IF(LEFT(Table1[[#This Row],[Model]],2)="CR","CR",""))</f>
        <v>NX</v>
      </c>
      <c r="AA147" s="59" t="str">
        <f>LEFT(SUBSTITUTE(SUBSTITUTE(Table1[[#This Row],[Model]],"NX",""),"CR",""),1)</f>
        <v>5</v>
      </c>
      <c r="AB147" s="59" t="str">
        <f>MID(SUBSTITUTE(SUBSTITUTE(Table1[[#This Row],[Model]],"NX",""),"CR",""),2,2)</f>
        <v>14</v>
      </c>
      <c r="AC147" s="59" t="str">
        <f>IF(ISNUMBER(FIND("M",Table1[[#This Row],[Model]])),"M","")</f>
        <v/>
      </c>
      <c r="AD147" s="59" t="str">
        <f>CONCATENATE(MID(Table1[[#This Row],[Model]],FIND("-",Table1[[#This Row],[Model]])+1,2),IF(RIGHT(MID(Table1[[#This Row],[Model]],FIND("-",Table1[[#This Row],[Model]])+1,3),1)="+","+",""))</f>
        <v>XR</v>
      </c>
      <c r="AE147"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7</v>
      </c>
      <c r="AF147" s="59" t="str">
        <f>IF(ISNUMBER(SEARCH("(K)",Table1[[#This Row],[Model]])),"(K)","")</f>
        <v>(K)</v>
      </c>
      <c r="AG147" s="59" t="str">
        <f>IF(ISNUMBER(SEARCH("(BR)",Table1[[#This Row],[Model]])),"(BR)","")</f>
        <v>(BR)</v>
      </c>
      <c r="AH147" s="95" t="s">
        <v>103</v>
      </c>
      <c r="AI147" s="95" t="s">
        <v>104</v>
      </c>
      <c r="AJ147" s="32"/>
      <c r="AK147" s="95"/>
      <c r="AL147" s="95" t="s">
        <v>1458</v>
      </c>
      <c r="AM147" s="32" t="s">
        <v>1458</v>
      </c>
      <c r="AN147" s="91" t="s">
        <v>1458</v>
      </c>
      <c r="AO147" s="92"/>
      <c r="AP147" s="66"/>
      <c r="AQ147" s="80">
        <v>0</v>
      </c>
      <c r="AR147" s="125" t="s">
        <v>284</v>
      </c>
      <c r="AS147" s="32">
        <v>15432</v>
      </c>
      <c r="AT147" s="96">
        <v>7.5</v>
      </c>
      <c r="AU147" s="128">
        <f>IF(ISNUMBER(Table1[[#This Row],[Above gauge Ø]]),((Table1[[#This Row],[Size]]-Table1[[#This Row],[Above gauge Ø]])/2)-0.05,"")</f>
        <v>0.13750000000000001</v>
      </c>
      <c r="AV147" s="121">
        <f>0.25/0.57</f>
        <v>0.43859649122807021</v>
      </c>
      <c r="AW147" s="95" t="s">
        <v>180</v>
      </c>
      <c r="AX147" s="95">
        <v>7.75</v>
      </c>
      <c r="AY147" s="95" t="s">
        <v>112</v>
      </c>
      <c r="AZ147" s="95">
        <v>20</v>
      </c>
      <c r="BA147" s="95"/>
      <c r="BB147" s="82">
        <v>320</v>
      </c>
      <c r="BC147" s="82">
        <v>340</v>
      </c>
      <c r="BD147" s="97">
        <v>300</v>
      </c>
      <c r="BE147" s="97">
        <v>530</v>
      </c>
      <c r="BF147" s="32">
        <v>23</v>
      </c>
      <c r="BG147" s="32">
        <v>17</v>
      </c>
      <c r="BH147" s="32" t="s">
        <v>1469</v>
      </c>
      <c r="BI147" s="32">
        <v>30.5</v>
      </c>
      <c r="BJ147" s="17" t="e">
        <f>CONCATENATE("► M1 Notes: ",#REF!," •-----► CL-SKF Notes: ",#REF!," •-----► DS Notes: ",#REF!)</f>
        <v>#REF!</v>
      </c>
      <c r="BK147" s="98" t="s">
        <v>93</v>
      </c>
      <c r="BL147" s="95">
        <v>3</v>
      </c>
      <c r="BM147" s="95" t="s">
        <v>184</v>
      </c>
      <c r="BN147" s="99">
        <f>4.859*5</f>
        <v>24.295000000000002</v>
      </c>
      <c r="BO147" s="95">
        <v>10.89</v>
      </c>
      <c r="BP147" s="95" t="s">
        <v>116</v>
      </c>
      <c r="BQ147" s="95" t="s">
        <v>101</v>
      </c>
      <c r="BR147" s="95" t="s">
        <v>101</v>
      </c>
      <c r="BS147" s="95">
        <v>55</v>
      </c>
      <c r="BT147" s="95" t="s">
        <v>117</v>
      </c>
      <c r="BU147" s="95">
        <v>7</v>
      </c>
      <c r="BV147" s="95" t="s">
        <v>117</v>
      </c>
      <c r="BW147" s="129">
        <v>1.37</v>
      </c>
    </row>
    <row r="148" spans="2:75" x14ac:dyDescent="0.25">
      <c r="B148" s="134">
        <v>7273</v>
      </c>
      <c r="C148" s="2"/>
      <c r="D148" s="146" t="s">
        <v>93</v>
      </c>
      <c r="E148" s="86" t="s">
        <v>93</v>
      </c>
      <c r="F148" s="85" t="s">
        <v>1681</v>
      </c>
      <c r="G148" s="85" t="s">
        <v>1682</v>
      </c>
      <c r="H148" s="86" t="s">
        <v>93</v>
      </c>
      <c r="I148" s="85" t="s">
        <v>1683</v>
      </c>
      <c r="J148" s="85" t="s">
        <v>1684</v>
      </c>
      <c r="K148" s="85" t="s">
        <v>1685</v>
      </c>
      <c r="L148" s="85" t="s">
        <v>1686</v>
      </c>
      <c r="M148" s="86" t="s">
        <v>93</v>
      </c>
      <c r="N148" s="85" t="s">
        <v>1687</v>
      </c>
      <c r="O148" s="85" t="s">
        <v>1688</v>
      </c>
      <c r="P148" s="86" t="s">
        <v>93</v>
      </c>
      <c r="Q148" s="86" t="s">
        <v>93</v>
      </c>
      <c r="R148" s="87">
        <f>COUNTIFS([1]Fleet!$E:$E,Table1[[#This Row],[Old Assy '#]])+COUNTIFS([1]OnDeck!$E:$E,Table1[[#This Row],[Old Assy '#]])</f>
        <v>4</v>
      </c>
      <c r="S148" s="88">
        <v>45350</v>
      </c>
      <c r="T148" s="89"/>
      <c r="U148" s="89"/>
      <c r="V148" s="89"/>
      <c r="W148" s="56" t="str">
        <f>IF(AND(Table1[[#This Row],[Phase Out]]="Y",Table1[[#This Row],[Zero Inventory]]="Y"),"Y","")</f>
        <v/>
      </c>
      <c r="X148" s="90">
        <v>14.75</v>
      </c>
      <c r="Y148" s="91" t="s">
        <v>1500</v>
      </c>
      <c r="Z148" s="59" t="str">
        <f>IF(LEFT(Table1[[#This Row],[Model]],2)="NX","NX",IF(LEFT(Table1[[#This Row],[Model]],2)="CR","CR",""))</f>
        <v>NX</v>
      </c>
      <c r="AA148" s="59" t="str">
        <f>LEFT(SUBSTITUTE(SUBSTITUTE(Table1[[#This Row],[Model]],"NX",""),"CR",""),1)</f>
        <v>6</v>
      </c>
      <c r="AB148" s="59" t="str">
        <f>MID(SUBSTITUTE(SUBSTITUTE(Table1[[#This Row],[Model]],"NX",""),"CR",""),2,2)</f>
        <v>16</v>
      </c>
      <c r="AC148" s="59" t="str">
        <f>IF(ISNUMBER(FIND("M",Table1[[#This Row],[Model]])),"M","")</f>
        <v/>
      </c>
      <c r="AD148" s="59" t="str">
        <f>CONCATENATE(MID(Table1[[#This Row],[Model]],FIND("-",Table1[[#This Row],[Model]])+1,2),IF(RIGHT(MID(Table1[[#This Row],[Model]],FIND("-",Table1[[#This Row],[Model]])+1,3),1)="+","+",""))</f>
        <v>SR</v>
      </c>
      <c r="AE148" s="59">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48" s="59" t="str">
        <f>IF(ISNUMBER(SEARCH("(K)",Table1[[#This Row],[Model]])),"(K)","")</f>
        <v>(K)</v>
      </c>
      <c r="AG148" s="59" t="str">
        <f>IF(ISNUMBER(SEARCH("(BR)",Table1[[#This Row],[Model]])),"(BR)","")</f>
        <v/>
      </c>
      <c r="AH148" s="95" t="s">
        <v>103</v>
      </c>
      <c r="AI148" s="95" t="s">
        <v>126</v>
      </c>
      <c r="AJ148" s="32" t="s">
        <v>1520</v>
      </c>
      <c r="AK148" s="95"/>
      <c r="AL148" s="95" t="s">
        <v>106</v>
      </c>
      <c r="AM148" s="63" t="s">
        <v>107</v>
      </c>
      <c r="AN148" s="91" t="s">
        <v>139</v>
      </c>
      <c r="AO148" s="92"/>
      <c r="AP148" s="66"/>
      <c r="AQ148" s="80">
        <v>0</v>
      </c>
      <c r="AR148" s="125" t="s">
        <v>109</v>
      </c>
      <c r="AS148" s="32" t="s">
        <v>128</v>
      </c>
      <c r="AT148" s="95">
        <v>14.25</v>
      </c>
      <c r="AU148" s="128">
        <f>IF(ISNUMBER(Table1[[#This Row],[Above gauge Ø]]),((Table1[[#This Row],[Size]]-Table1[[#This Row],[Above gauge Ø]])/2)-0.05,"")</f>
        <v>0.2</v>
      </c>
      <c r="AV148" s="70">
        <f>0.271/0.625</f>
        <v>0.43360000000000004</v>
      </c>
      <c r="AW148" s="95" t="s">
        <v>111</v>
      </c>
      <c r="AX148" s="95">
        <v>14.5625</v>
      </c>
      <c r="AY148" s="95" t="s">
        <v>411</v>
      </c>
      <c r="AZ148" s="95">
        <v>15</v>
      </c>
      <c r="BA148" s="95"/>
      <c r="BB148" s="32"/>
      <c r="BC148" s="32"/>
      <c r="BD148" s="97">
        <v>400</v>
      </c>
      <c r="BE148" s="97">
        <v>640</v>
      </c>
      <c r="BF148" s="32" t="s">
        <v>113</v>
      </c>
      <c r="BG148" s="32">
        <v>15</v>
      </c>
      <c r="BH148" s="32" t="s">
        <v>1522</v>
      </c>
      <c r="BI148" s="32">
        <v>32.4</v>
      </c>
      <c r="BJ148" s="17" t="e">
        <f>CONCATENATE("► M1 Notes: ",#REF!," •-----► CL-SKF Notes: ",#REF!," •-----► DS Notes: ",#REF!)</f>
        <v>#REF!</v>
      </c>
      <c r="BK148" s="98"/>
      <c r="BL148" s="95">
        <v>4</v>
      </c>
      <c r="BM148" s="95" t="s">
        <v>115</v>
      </c>
      <c r="BN148" s="99">
        <v>52.6</v>
      </c>
      <c r="BO148" s="95">
        <v>55.66</v>
      </c>
      <c r="BP148" s="95" t="s">
        <v>101</v>
      </c>
      <c r="BQ148" s="95" t="s">
        <v>101</v>
      </c>
      <c r="BR148" s="95" t="s">
        <v>101</v>
      </c>
      <c r="BS148" s="95">
        <v>60</v>
      </c>
      <c r="BT148" s="95" t="s">
        <v>117</v>
      </c>
      <c r="BU148" s="95">
        <v>9</v>
      </c>
      <c r="BV148" s="95" t="s">
        <v>117</v>
      </c>
      <c r="BW148" s="129">
        <v>3.34</v>
      </c>
    </row>
    <row r="149" spans="2:75" x14ac:dyDescent="0.25">
      <c r="B149" s="104">
        <v>7823</v>
      </c>
      <c r="C149" s="2"/>
      <c r="D149" s="146" t="s">
        <v>93</v>
      </c>
      <c r="E149" s="85" t="s">
        <v>1689</v>
      </c>
      <c r="F149" s="86" t="s">
        <v>93</v>
      </c>
      <c r="G149" s="85" t="s">
        <v>1690</v>
      </c>
      <c r="H149" s="86" t="s">
        <v>93</v>
      </c>
      <c r="I149" s="85" t="s">
        <v>1691</v>
      </c>
      <c r="J149" s="85" t="s">
        <v>1692</v>
      </c>
      <c r="K149" s="85" t="s">
        <v>1693</v>
      </c>
      <c r="L149" s="85" t="s">
        <v>1694</v>
      </c>
      <c r="M149" s="86" t="s">
        <v>93</v>
      </c>
      <c r="N149" s="85" t="s">
        <v>1695</v>
      </c>
      <c r="O149" s="85" t="s">
        <v>1696</v>
      </c>
      <c r="P149" s="86" t="s">
        <v>93</v>
      </c>
      <c r="Q149" s="86" t="s">
        <v>93</v>
      </c>
      <c r="R149" s="87">
        <f>COUNTIFS([1]Fleet!$E:$E,Table1[[#This Row],[Old Assy '#]])+COUNTIFS([1]OnDeck!$E:$E,Table1[[#This Row],[Old Assy '#]])</f>
        <v>0</v>
      </c>
      <c r="S149" s="88">
        <v>45257</v>
      </c>
      <c r="T149" s="89"/>
      <c r="U149" s="89"/>
      <c r="V149" s="89" t="s">
        <v>101</v>
      </c>
      <c r="W149" s="56" t="str">
        <f>IF(AND(Table1[[#This Row],[Phase Out]]="Y",Table1[[#This Row],[Zero Inventory]]="Y"),"Y","")</f>
        <v/>
      </c>
      <c r="X149" s="79">
        <v>17.5</v>
      </c>
      <c r="Y149" s="63" t="s">
        <v>856</v>
      </c>
      <c r="Z149" s="59" t="str">
        <f>IF(LEFT(Table1[[#This Row],[Model]],2)="NX","NX",IF(LEFT(Table1[[#This Row],[Model]],2)="CR","CR",""))</f>
        <v>CR</v>
      </c>
      <c r="AA149" s="59" t="str">
        <f>LEFT(SUBSTITUTE(SUBSTITUTE(Table1[[#This Row],[Model]],"NX",""),"CR",""),1)</f>
        <v>6</v>
      </c>
      <c r="AB149" s="59" t="str">
        <f>MID(SUBSTITUTE(SUBSTITUTE(Table1[[#This Row],[Model]],"NX",""),"CR",""),2,2)</f>
        <v>16</v>
      </c>
      <c r="AC149" s="64" t="str">
        <f>IF(ISNUMBER(FIND("M",Table1[[#This Row],[Model]])),"M","")</f>
        <v/>
      </c>
      <c r="AD149" s="64" t="str">
        <f>CONCATENATE(MID(Table1[[#This Row],[Model]],FIND("-",Table1[[#This Row],[Model]])+1,2),IF(RIGHT(MID(Table1[[#This Row],[Model]],FIND("-",Table1[[#This Row],[Model]])+1,3),1)="+","+",""))</f>
        <v>SR</v>
      </c>
      <c r="AE149"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49" s="64" t="str">
        <f>IF(ISNUMBER(SEARCH("(K)",Table1[[#This Row],[Model]])),"(K)","")</f>
        <v>(K)</v>
      </c>
      <c r="AG149" s="64" t="str">
        <f>IF(ISNUMBER(SEARCH("(BR)",Table1[[#This Row],[Model]])),"(BR)","")</f>
        <v/>
      </c>
      <c r="AH149" s="32" t="s">
        <v>103</v>
      </c>
      <c r="AI149" s="32" t="s">
        <v>126</v>
      </c>
      <c r="AJ149" s="95"/>
      <c r="AK149" s="95"/>
      <c r="AL149" s="32" t="s">
        <v>106</v>
      </c>
      <c r="AM149" s="63" t="s">
        <v>107</v>
      </c>
      <c r="AN149" s="63" t="s">
        <v>139</v>
      </c>
      <c r="AO149" s="65"/>
      <c r="AP149" s="137"/>
      <c r="AQ149" s="68">
        <v>0</v>
      </c>
      <c r="AR149" s="69" t="s">
        <v>109</v>
      </c>
      <c r="AS149" s="32" t="s">
        <v>348</v>
      </c>
      <c r="AT149" s="32">
        <v>17.125</v>
      </c>
      <c r="AU149" s="69">
        <f>IF(ISNUMBER(Table1[[#This Row],[Above gauge Ø]]),((Table1[[#This Row],[Size]]-Table1[[#This Row],[Above gauge Ø]])/2)-0.05,"")</f>
        <v>0.13750000000000001</v>
      </c>
      <c r="AV149" s="70">
        <f>0.268/0.625</f>
        <v>0.42880000000000001</v>
      </c>
      <c r="AW149" s="32" t="s">
        <v>180</v>
      </c>
      <c r="AX149" s="32">
        <v>17.25</v>
      </c>
      <c r="AY149" s="32" t="s">
        <v>349</v>
      </c>
      <c r="AZ149" s="32">
        <v>15</v>
      </c>
      <c r="BA149" s="32"/>
      <c r="BB149" s="82"/>
      <c r="BC149" s="97"/>
      <c r="BD149" s="82">
        <v>340</v>
      </c>
      <c r="BE149" s="97">
        <v>350</v>
      </c>
      <c r="BF149" s="32" t="s">
        <v>1533</v>
      </c>
      <c r="BG149" s="32">
        <v>15</v>
      </c>
      <c r="BH149" s="32" t="s">
        <v>114</v>
      </c>
      <c r="BI149" s="32">
        <v>30</v>
      </c>
      <c r="BJ149" s="17" t="e">
        <f>CONCATENATE("► M1 Notes: ",#REF!," •-----► CL-SKF Notes: ",#REF!," •-----► DS Notes: ",#REF!)</f>
        <v>#REF!</v>
      </c>
      <c r="BK149" s="17" t="s">
        <v>1697</v>
      </c>
      <c r="BL149" s="32">
        <v>5.7</v>
      </c>
      <c r="BM149" s="32" t="s">
        <v>115</v>
      </c>
      <c r="BN149" s="83">
        <v>76.5</v>
      </c>
      <c r="BO149" s="32">
        <v>72.44</v>
      </c>
      <c r="BP149" s="32" t="s">
        <v>116</v>
      </c>
      <c r="BQ149" s="32" t="s">
        <v>101</v>
      </c>
      <c r="BR149" s="32" t="s">
        <v>101</v>
      </c>
      <c r="BS149" s="32">
        <v>60</v>
      </c>
      <c r="BT149" s="32" t="s">
        <v>117</v>
      </c>
      <c r="BU149" s="32">
        <v>9</v>
      </c>
      <c r="BV149" s="32" t="s">
        <v>117</v>
      </c>
      <c r="BW149" s="103">
        <v>3.34</v>
      </c>
    </row>
    <row r="150" spans="2:75" x14ac:dyDescent="0.25">
      <c r="B150" s="126">
        <v>8479</v>
      </c>
      <c r="C150" s="2"/>
      <c r="D150" s="146" t="s">
        <v>93</v>
      </c>
      <c r="E150" s="85" t="s">
        <v>1698</v>
      </c>
      <c r="F150" s="86" t="s">
        <v>93</v>
      </c>
      <c r="G150" s="85" t="s">
        <v>1699</v>
      </c>
      <c r="H150" s="86" t="s">
        <v>93</v>
      </c>
      <c r="I150" s="85" t="s">
        <v>1700</v>
      </c>
      <c r="J150" s="85" t="s">
        <v>1701</v>
      </c>
      <c r="K150" s="85" t="s">
        <v>1702</v>
      </c>
      <c r="L150" s="85" t="s">
        <v>1703</v>
      </c>
      <c r="M150" s="86" t="s">
        <v>93</v>
      </c>
      <c r="N150" s="85" t="s">
        <v>1704</v>
      </c>
      <c r="O150" s="85" t="s">
        <v>1705</v>
      </c>
      <c r="P150" s="86" t="s">
        <v>93</v>
      </c>
      <c r="Q150" s="86" t="s">
        <v>93</v>
      </c>
      <c r="R150" s="87">
        <f>COUNTIFS([1]Fleet!$E:$E,Table1[[#This Row],[Old Assy '#]])+COUNTIFS([1]OnDeck!$E:$E,Table1[[#This Row],[Old Assy '#]])</f>
        <v>1</v>
      </c>
      <c r="S150" s="88">
        <v>44796</v>
      </c>
      <c r="T150" s="89"/>
      <c r="U150" s="89"/>
      <c r="V150" s="89"/>
      <c r="W150" s="56" t="str">
        <f>IF(AND(Table1[[#This Row],[Phase Out]]="Y",Table1[[#This Row],[Zero Inventory]]="Y"),"Y","")</f>
        <v/>
      </c>
      <c r="X150" s="90">
        <v>7.875</v>
      </c>
      <c r="Y150" s="91" t="s">
        <v>920</v>
      </c>
      <c r="Z150" s="59" t="str">
        <f>IF(LEFT(Table1[[#This Row],[Model]],2)="NX","NX",IF(LEFT(Table1[[#This Row],[Model]],2)="CR","CR",""))</f>
        <v>CR</v>
      </c>
      <c r="AA150" s="59" t="str">
        <f>LEFT(SUBSTITUTE(SUBSTITUTE(Table1[[#This Row],[Model]],"NX",""),"CR",""),1)</f>
        <v>6</v>
      </c>
      <c r="AB150" s="59" t="str">
        <f>MID(SUBSTITUTE(SUBSTITUTE(Table1[[#This Row],[Model]],"NX",""),"CR",""),2,2)</f>
        <v>16</v>
      </c>
      <c r="AC150" s="59" t="str">
        <f>IF(ISNUMBER(FIND("M",Table1[[#This Row],[Model]])),"M","")</f>
        <v/>
      </c>
      <c r="AD150" s="59" t="str">
        <f>CONCATENATE(MID(Table1[[#This Row],[Model]],FIND("-",Table1[[#This Row],[Model]])+1,2),IF(RIGHT(MID(Table1[[#This Row],[Model]],FIND("-",Table1[[#This Row],[Model]])+1,3),1)="+","+",""))</f>
        <v>SR+</v>
      </c>
      <c r="AE150"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50" s="59" t="str">
        <f>IF(ISNUMBER(SEARCH("(K)",Table1[[#This Row],[Model]])),"(K)","")</f>
        <v>(K)</v>
      </c>
      <c r="AG150" s="59" t="str">
        <f>IF(ISNUMBER(SEARCH("(BR)",Table1[[#This Row],[Model]])),"(BR)","")</f>
        <v/>
      </c>
      <c r="AH150" s="95" t="s">
        <v>103</v>
      </c>
      <c r="AI150" s="95" t="s">
        <v>104</v>
      </c>
      <c r="AJ150" s="95"/>
      <c r="AK150" s="95"/>
      <c r="AL150" s="95" t="s">
        <v>106</v>
      </c>
      <c r="AM150" s="63" t="s">
        <v>107</v>
      </c>
      <c r="AN150" s="63" t="s">
        <v>107</v>
      </c>
      <c r="AO150" s="65"/>
      <c r="AP150" s="137"/>
      <c r="AQ150" s="125">
        <v>0</v>
      </c>
      <c r="AR150" s="68" t="s">
        <v>284</v>
      </c>
      <c r="AS150" s="95">
        <v>165432</v>
      </c>
      <c r="AT150" s="32">
        <v>7.5</v>
      </c>
      <c r="AU150" s="128">
        <f>IF(ISNUMBER(Table1[[#This Row],[Above gauge Ø]]),((Table1[[#This Row],[Size]]-Table1[[#This Row],[Above gauge Ø]])/2)-0.05,"")</f>
        <v>0.13750000000000001</v>
      </c>
      <c r="AV150" s="70">
        <f>0.192/0.625</f>
        <v>0.30720000000000003</v>
      </c>
      <c r="AW150" s="32" t="s">
        <v>180</v>
      </c>
      <c r="AX150" s="32">
        <v>7.6890000000000001</v>
      </c>
      <c r="AY150" s="32" t="s">
        <v>112</v>
      </c>
      <c r="AZ150" s="95">
        <v>15</v>
      </c>
      <c r="BA150" s="95"/>
      <c r="BB150" s="97">
        <v>110</v>
      </c>
      <c r="BC150" s="97">
        <v>90</v>
      </c>
      <c r="BD150" s="97">
        <v>100</v>
      </c>
      <c r="BE150" s="97">
        <v>30</v>
      </c>
      <c r="BF150" s="95" t="s">
        <v>113</v>
      </c>
      <c r="BG150" s="95">
        <v>15</v>
      </c>
      <c r="BH150" s="95" t="s">
        <v>308</v>
      </c>
      <c r="BI150" s="95">
        <v>30</v>
      </c>
      <c r="BJ150" s="98" t="e">
        <f>CONCATENATE("► M1 Notes: ",#REF!," •-----► CL-SKF Notes: ",#REF!," •-----► DS Notes: ",#REF!)</f>
        <v>#REF!</v>
      </c>
      <c r="BK150" s="98"/>
      <c r="BL150" s="95">
        <v>4</v>
      </c>
      <c r="BM150" s="32" t="s">
        <v>115</v>
      </c>
      <c r="BN150" s="83">
        <v>35.048999999999999</v>
      </c>
      <c r="BO150" s="31">
        <v>10.23</v>
      </c>
      <c r="BP150" s="32" t="s">
        <v>116</v>
      </c>
      <c r="BQ150" s="32" t="s">
        <v>101</v>
      </c>
      <c r="BR150" s="32" t="s">
        <v>101</v>
      </c>
      <c r="BS150" s="32">
        <v>60</v>
      </c>
      <c r="BT150" s="32" t="s">
        <v>117</v>
      </c>
      <c r="BU150" s="32">
        <v>6</v>
      </c>
      <c r="BV150" s="32" t="s">
        <v>117</v>
      </c>
      <c r="BW150" s="103">
        <v>2.23</v>
      </c>
    </row>
    <row r="151" spans="2:75" x14ac:dyDescent="0.25">
      <c r="B151" s="126">
        <v>8896</v>
      </c>
      <c r="C151" s="2"/>
      <c r="D151" s="146" t="s">
        <v>93</v>
      </c>
      <c r="E151" s="86" t="s">
        <v>93</v>
      </c>
      <c r="F151" s="85" t="s">
        <v>1706</v>
      </c>
      <c r="G151" s="85" t="s">
        <v>1707</v>
      </c>
      <c r="H151" s="86" t="s">
        <v>93</v>
      </c>
      <c r="I151" s="85" t="s">
        <v>1708</v>
      </c>
      <c r="J151" s="85" t="s">
        <v>1709</v>
      </c>
      <c r="K151" s="85" t="s">
        <v>1710</v>
      </c>
      <c r="L151" s="85" t="s">
        <v>1711</v>
      </c>
      <c r="M151" s="86" t="s">
        <v>93</v>
      </c>
      <c r="N151" s="85" t="s">
        <v>1712</v>
      </c>
      <c r="O151" s="85" t="s">
        <v>1713</v>
      </c>
      <c r="P151" s="85" t="s">
        <v>1714</v>
      </c>
      <c r="Q151" s="138" t="s">
        <v>93</v>
      </c>
      <c r="R151" s="87">
        <f>COUNTIFS([1]Fleet!$E:$E,Table1[[#This Row],[Old Assy '#]])+COUNTIFS([1]OnDeck!$E:$E,Table1[[#This Row],[Old Assy '#]])</f>
        <v>1</v>
      </c>
      <c r="S151" s="88">
        <v>45726</v>
      </c>
      <c r="T151" s="89"/>
      <c r="U151" s="89"/>
      <c r="V151" s="89"/>
      <c r="W151" s="56" t="str">
        <f>IF(AND(Table1[[#This Row],[Phase Out]]="Y",Table1[[#This Row],[Zero Inventory]]="Y"),"Y","")</f>
        <v/>
      </c>
      <c r="X151" s="90">
        <v>9.875</v>
      </c>
      <c r="Y151" s="91" t="s">
        <v>1416</v>
      </c>
      <c r="Z151" s="59" t="str">
        <f>IF(LEFT(Table1[[#This Row],[Model]],2)="NX","NX",IF(LEFT(Table1[[#This Row],[Model]],2)="CR","CR",""))</f>
        <v>NX</v>
      </c>
      <c r="AA151" s="59" t="str">
        <f>LEFT(SUBSTITUTE(SUBSTITUTE(Table1[[#This Row],[Model]],"NX",""),"CR",""),1)</f>
        <v>6</v>
      </c>
      <c r="AB151" s="59" t="str">
        <f>MID(SUBSTITUTE(SUBSTITUTE(Table1[[#This Row],[Model]],"NX",""),"CR",""),2,2)</f>
        <v>16</v>
      </c>
      <c r="AC151" s="59" t="str">
        <f>IF(ISNUMBER(FIND("M",Table1[[#This Row],[Model]])),"M","")</f>
        <v/>
      </c>
      <c r="AD151" s="59" t="str">
        <f>CONCATENATE(MID(Table1[[#This Row],[Model]],FIND("-",Table1[[#This Row],[Model]])+1,2),IF(RIGHT(MID(Table1[[#This Row],[Model]],FIND("-",Table1[[#This Row],[Model]])+1,3),1)="+","+",""))</f>
        <v>XR</v>
      </c>
      <c r="AE151"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51" s="59" t="str">
        <f>IF(ISNUMBER(SEARCH("(K)",Table1[[#This Row],[Model]])),"(K)","")</f>
        <v>(K)</v>
      </c>
      <c r="AG151" s="59" t="str">
        <f>IF(ISNUMBER(SEARCH("(BR)",Table1[[#This Row],[Model]])),"(BR)","")</f>
        <v>(BR)</v>
      </c>
      <c r="AH151" s="95" t="s">
        <v>103</v>
      </c>
      <c r="AI151" s="95" t="s">
        <v>126</v>
      </c>
      <c r="AJ151" s="95"/>
      <c r="AK151" s="95"/>
      <c r="AL151" s="95" t="s">
        <v>106</v>
      </c>
      <c r="AM151" s="91" t="s">
        <v>107</v>
      </c>
      <c r="AN151" s="91" t="s">
        <v>127</v>
      </c>
      <c r="AO151" s="92"/>
      <c r="AP151" s="137"/>
      <c r="AQ151" s="125">
        <v>0</v>
      </c>
      <c r="AR151" s="68" t="s">
        <v>943</v>
      </c>
      <c r="AS151" s="95">
        <v>143652</v>
      </c>
      <c r="AT151" s="95">
        <v>9.5625</v>
      </c>
      <c r="AU151" s="128">
        <f>IF(ISNUMBER(Table1[[#This Row],[Above gauge Ø]]),((Table1[[#This Row],[Size]]-Table1[[#This Row],[Above gauge Ø]])/2)-0.05,"")</f>
        <v>0.10625</v>
      </c>
      <c r="AV151" s="141">
        <f>0.2676/0.625</f>
        <v>0.42815999999999999</v>
      </c>
      <c r="AW151" s="95" t="s">
        <v>111</v>
      </c>
      <c r="AX151" s="95">
        <v>9.7249999999999996</v>
      </c>
      <c r="AY151" s="95" t="s">
        <v>692</v>
      </c>
      <c r="AZ151" s="95">
        <v>15</v>
      </c>
      <c r="BA151" s="95"/>
      <c r="BB151" s="97">
        <v>270</v>
      </c>
      <c r="BC151" s="97">
        <v>390</v>
      </c>
      <c r="BD151" s="130"/>
      <c r="BE151" s="130">
        <v>590</v>
      </c>
      <c r="BF151" s="95" t="s">
        <v>1417</v>
      </c>
      <c r="BG151" s="95">
        <v>16</v>
      </c>
      <c r="BH151" s="95" t="s">
        <v>1320</v>
      </c>
      <c r="BI151" s="95">
        <v>30</v>
      </c>
      <c r="BJ151" s="98" t="e">
        <f>CONCATENATE("► M1 Notes: ",#REF!," •-----► CL-SKF Notes: ",#REF!," •-----► DS Notes: ",#REF!)</f>
        <v>#REF!</v>
      </c>
      <c r="BK151" s="98"/>
      <c r="BL151" s="95">
        <v>4.75</v>
      </c>
      <c r="BM151" s="95" t="s">
        <v>115</v>
      </c>
      <c r="BN151" s="99">
        <f>9.122*6</f>
        <v>54.731999999999999</v>
      </c>
      <c r="BO151" s="95">
        <v>17.36</v>
      </c>
      <c r="BP151" s="95" t="s">
        <v>101</v>
      </c>
      <c r="BQ151" s="95" t="s">
        <v>101</v>
      </c>
      <c r="BR151" s="95" t="s">
        <v>101</v>
      </c>
      <c r="BS151" s="95">
        <v>60</v>
      </c>
      <c r="BT151" s="95" t="s">
        <v>117</v>
      </c>
      <c r="BU151" s="95">
        <v>9</v>
      </c>
      <c r="BV151" s="95" t="s">
        <v>117</v>
      </c>
      <c r="BW151" s="129">
        <v>3.34</v>
      </c>
    </row>
    <row r="152" spans="2:75" x14ac:dyDescent="0.25">
      <c r="B152" s="126">
        <v>9023</v>
      </c>
      <c r="C152" s="2"/>
      <c r="D152" s="146" t="s">
        <v>93</v>
      </c>
      <c r="E152" s="85" t="s">
        <v>1715</v>
      </c>
      <c r="F152" s="85" t="s">
        <v>1716</v>
      </c>
      <c r="G152" s="85" t="s">
        <v>1717</v>
      </c>
      <c r="H152" s="86" t="s">
        <v>93</v>
      </c>
      <c r="I152" s="85" t="s">
        <v>1718</v>
      </c>
      <c r="J152" s="85" t="s">
        <v>1719</v>
      </c>
      <c r="K152" s="85" t="s">
        <v>1720</v>
      </c>
      <c r="L152" s="85" t="s">
        <v>1721</v>
      </c>
      <c r="M152" s="86" t="s">
        <v>93</v>
      </c>
      <c r="N152" s="85" t="s">
        <v>1722</v>
      </c>
      <c r="O152" s="85" t="s">
        <v>1723</v>
      </c>
      <c r="P152" s="86" t="s">
        <v>93</v>
      </c>
      <c r="Q152" s="138" t="s">
        <v>93</v>
      </c>
      <c r="R152" s="142">
        <f>COUNTIFS([1]Fleet!$E:$E,Table1[[#This Row],[Old Assy '#]])+COUNTIFS([1]OnDeck!$E:$E,Table1[[#This Row],[Old Assy '#]])</f>
        <v>0</v>
      </c>
      <c r="S152" s="88" t="s">
        <v>93</v>
      </c>
      <c r="T152" s="89"/>
      <c r="U152" s="89"/>
      <c r="V152" s="89" t="s">
        <v>101</v>
      </c>
      <c r="W152" s="143" t="str">
        <f>IF(AND(Table1[[#This Row],[Phase Out]]="Y",Table1[[#This Row],[Zero Inventory]]="Y"),"Y","")</f>
        <v/>
      </c>
      <c r="X152" s="90">
        <v>7.875</v>
      </c>
      <c r="Y152" s="91" t="s">
        <v>1724</v>
      </c>
      <c r="Z152" s="59" t="str">
        <f>IF(LEFT(Table1[[#This Row],[Model]],2)="NX","NX",IF(LEFT(Table1[[#This Row],[Model]],2)="CR","CR",""))</f>
        <v>CR</v>
      </c>
      <c r="AA152" s="59" t="str">
        <f>LEFT(SUBSTITUTE(SUBSTITUTE(Table1[[#This Row],[Model]],"NX",""),"CR",""),1)</f>
        <v>6</v>
      </c>
      <c r="AB152" s="59" t="str">
        <f>MID(SUBSTITUTE(SUBSTITUTE(Table1[[#This Row],[Model]],"NX",""),"CR",""),2,2)</f>
        <v>13</v>
      </c>
      <c r="AC152" s="59" t="str">
        <f>IF(ISNUMBER(FIND("M",Table1[[#This Row],[Model]])),"M","")</f>
        <v/>
      </c>
      <c r="AD152" s="59" t="str">
        <f>CONCATENATE(MID(Table1[[#This Row],[Model]],FIND("-",Table1[[#This Row],[Model]])+1,2),IF(RIGHT(MID(Table1[[#This Row],[Model]],FIND("-",Table1[[#This Row],[Model]])+1,3),1)="+","+",""))</f>
        <v>SR</v>
      </c>
      <c r="AE152" s="59">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52" s="59" t="str">
        <f>IF(ISNUMBER(SEARCH("(K)",Table1[[#This Row],[Model]])),"(K)","")</f>
        <v>(K)</v>
      </c>
      <c r="AG152" s="59" t="str">
        <f>IF(ISNUMBER(SEARCH("(BR)",Table1[[#This Row],[Model]])),"(BR)","")</f>
        <v>(BR)</v>
      </c>
      <c r="AH152" s="95" t="s">
        <v>103</v>
      </c>
      <c r="AI152" s="95" t="s">
        <v>104</v>
      </c>
      <c r="AJ152" s="95" t="s">
        <v>1458</v>
      </c>
      <c r="AK152" s="95"/>
      <c r="AL152" s="95" t="s">
        <v>1458</v>
      </c>
      <c r="AM152" s="91" t="s">
        <v>653</v>
      </c>
      <c r="AN152" s="91" t="s">
        <v>653</v>
      </c>
      <c r="AO152" s="92"/>
      <c r="AP152" s="137"/>
      <c r="AQ152" s="125">
        <v>0</v>
      </c>
      <c r="AR152" s="68" t="s">
        <v>284</v>
      </c>
      <c r="AS152" s="95">
        <v>165432</v>
      </c>
      <c r="AT152" s="95">
        <v>7.5625</v>
      </c>
      <c r="AU152" s="128">
        <f>IF(ISNUMBER(Table1[[#This Row],[Above gauge Ø]]),((Table1[[#This Row],[Size]]-Table1[[#This Row],[Above gauge Ø]])/2)-0.05,"")</f>
        <v>0.10625</v>
      </c>
      <c r="AV152" s="141">
        <v>0.42</v>
      </c>
      <c r="AW152" s="95" t="s">
        <v>180</v>
      </c>
      <c r="AX152" s="95">
        <v>7.75</v>
      </c>
      <c r="AY152" s="95" t="s">
        <v>454</v>
      </c>
      <c r="AZ152" s="95">
        <v>12.5</v>
      </c>
      <c r="BA152" s="95"/>
      <c r="BB152" s="97"/>
      <c r="BC152" s="97"/>
      <c r="BD152" s="97">
        <v>160</v>
      </c>
      <c r="BE152" s="97">
        <v>220</v>
      </c>
      <c r="BF152" s="95" t="s">
        <v>113</v>
      </c>
      <c r="BG152" s="95">
        <v>15</v>
      </c>
      <c r="BH152" s="95" t="s">
        <v>883</v>
      </c>
      <c r="BI152" s="95">
        <v>30</v>
      </c>
      <c r="BJ152" s="98" t="e">
        <f>CONCATENATE("► M1 Notes: ",#REF!," •-----► CL-SKF Notes: ",#REF!," •-----► DS Notes: ",#REF!)</f>
        <v>#REF!</v>
      </c>
      <c r="BK152" s="98"/>
      <c r="BL152" s="95">
        <v>4</v>
      </c>
      <c r="BM152" s="95" t="s">
        <v>115</v>
      </c>
      <c r="BN152" s="99">
        <v>26.765999999999998</v>
      </c>
      <c r="BO152" s="95">
        <v>12.6</v>
      </c>
      <c r="BP152" s="95" t="s">
        <v>116</v>
      </c>
      <c r="BQ152" s="95" t="s">
        <v>101</v>
      </c>
      <c r="BR152" s="95" t="s">
        <v>101</v>
      </c>
      <c r="BS152" s="95">
        <v>60</v>
      </c>
      <c r="BT152" s="95" t="s">
        <v>117</v>
      </c>
      <c r="BU152" s="95">
        <v>6</v>
      </c>
      <c r="BV152" s="95" t="s">
        <v>117</v>
      </c>
      <c r="BW152" s="129">
        <v>2.23</v>
      </c>
    </row>
    <row r="153" spans="2:75" x14ac:dyDescent="0.25">
      <c r="B153" s="126">
        <v>9387</v>
      </c>
      <c r="C153" s="2"/>
      <c r="D153" s="147" t="s">
        <v>1725</v>
      </c>
      <c r="E153" s="85" t="s">
        <v>1726</v>
      </c>
      <c r="F153" s="85" t="s">
        <v>1727</v>
      </c>
      <c r="G153" s="85" t="s">
        <v>1728</v>
      </c>
      <c r="H153" s="86" t="s">
        <v>93</v>
      </c>
      <c r="I153" s="85" t="s">
        <v>1729</v>
      </c>
      <c r="J153" s="85" t="s">
        <v>1730</v>
      </c>
      <c r="K153" s="85" t="s">
        <v>1731</v>
      </c>
      <c r="L153" s="85" t="s">
        <v>1732</v>
      </c>
      <c r="M153" s="86" t="s">
        <v>93</v>
      </c>
      <c r="N153" s="86" t="s">
        <v>93</v>
      </c>
      <c r="O153" s="86" t="s">
        <v>93</v>
      </c>
      <c r="P153" s="85" t="s">
        <v>1733</v>
      </c>
      <c r="Q153" s="138" t="s">
        <v>93</v>
      </c>
      <c r="R153" s="142">
        <f>COUNTIFS([1]Fleet!$E:$E,Table1[[#This Row],[Old Assy '#]])+COUNTIFS([1]OnDeck!$E:$E,Table1[[#This Row],[Old Assy '#]])</f>
        <v>1</v>
      </c>
      <c r="S153" s="88">
        <v>45834</v>
      </c>
      <c r="T153" s="89"/>
      <c r="U153" s="89"/>
      <c r="V153" s="89" t="s">
        <v>101</v>
      </c>
      <c r="W153" s="143" t="str">
        <f>IF(AND(Table1[[#This Row],[Phase Out]]="Y",Table1[[#This Row],[Zero Inventory]]="Y"),"Y","")</f>
        <v/>
      </c>
      <c r="X153" s="90">
        <v>7.875</v>
      </c>
      <c r="Y153" s="91" t="s">
        <v>1734</v>
      </c>
      <c r="Z153" s="59" t="str">
        <f>IF(LEFT(Table1[[#This Row],[Model]],2)="NX","NX",IF(LEFT(Table1[[#This Row],[Model]],2)="CR","CR",""))</f>
        <v>NX</v>
      </c>
      <c r="AA153" s="59" t="str">
        <f>LEFT(SUBSTITUTE(SUBSTITUTE(Table1[[#This Row],[Model]],"NX",""),"CR",""),1)</f>
        <v>6</v>
      </c>
      <c r="AB153" s="59" t="str">
        <f>MID(SUBSTITUTE(SUBSTITUTE(Table1[[#This Row],[Model]],"NX",""),"CR",""),2,2)</f>
        <v>13</v>
      </c>
      <c r="AC153" s="59" t="str">
        <f>IF(ISNUMBER(FIND("M",Table1[[#This Row],[Model]])),"M","")</f>
        <v/>
      </c>
      <c r="AD153" s="59" t="str">
        <f>CONCATENATE(MID(Table1[[#This Row],[Model]],FIND("-",Table1[[#This Row],[Model]])+1,2),IF(RIGHT(MID(Table1[[#This Row],[Model]],FIND("-",Table1[[#This Row],[Model]])+1,3),1)="+","+",""))</f>
        <v>SR+</v>
      </c>
      <c r="AE153" s="59">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53" s="59" t="str">
        <f>IF(ISNUMBER(SEARCH("(K)",Table1[[#This Row],[Model]])),"(K)","")</f>
        <v>(K)</v>
      </c>
      <c r="AG153" s="59" t="str">
        <f>IF(ISNUMBER(SEARCH("(BR)",Table1[[#This Row],[Model]])),"(BR)","")</f>
        <v>(BR)</v>
      </c>
      <c r="AH153" s="95" t="s">
        <v>103</v>
      </c>
      <c r="AI153" s="95" t="s">
        <v>104</v>
      </c>
      <c r="AJ153" s="95"/>
      <c r="AK153" s="95"/>
      <c r="AL153" s="95" t="s">
        <v>259</v>
      </c>
      <c r="AM153" s="59" t="s">
        <v>653</v>
      </c>
      <c r="AN153" s="59" t="s">
        <v>653</v>
      </c>
      <c r="AO153" s="92"/>
      <c r="AP153" s="137"/>
      <c r="AQ153" s="128">
        <v>0</v>
      </c>
      <c r="AR153" s="125" t="s">
        <v>284</v>
      </c>
      <c r="AS153" s="95">
        <v>165432</v>
      </c>
      <c r="AT153" s="95">
        <v>7.5625</v>
      </c>
      <c r="AU153" s="128">
        <f>IF(ISNUMBER(Table1[[#This Row],[Above gauge Ø]]),((Table1[[#This Row],[Size]]-Table1[[#This Row],[Above gauge Ø]])/2)-0.05,"")</f>
        <v>0.10625</v>
      </c>
      <c r="AV153" s="141">
        <f>0.2223/0.529</f>
        <v>0.42022684310018898</v>
      </c>
      <c r="AW153" s="95" t="s">
        <v>180</v>
      </c>
      <c r="AX153" s="95">
        <v>7.75</v>
      </c>
      <c r="AY153" s="95" t="s">
        <v>454</v>
      </c>
      <c r="AZ153" s="95">
        <v>20</v>
      </c>
      <c r="BA153" s="95"/>
      <c r="BB153" s="97"/>
      <c r="BC153" s="97">
        <v>280</v>
      </c>
      <c r="BD153" s="97"/>
      <c r="BE153" s="97"/>
      <c r="BF153" s="95" t="s">
        <v>113</v>
      </c>
      <c r="BG153" s="95">
        <v>15</v>
      </c>
      <c r="BH153" s="95" t="s">
        <v>883</v>
      </c>
      <c r="BI153" s="95">
        <v>30</v>
      </c>
      <c r="BJ153" s="98" t="e">
        <f>CONCATENATE("► M1 Notes: ",#REF!," •-----► CL-SKF Notes: ",#REF!," •-----► DS Notes: ",#REF!)</f>
        <v>#REF!</v>
      </c>
      <c r="BK153" s="98"/>
      <c r="BL153" s="95">
        <v>4</v>
      </c>
      <c r="BM153" s="95" t="s">
        <v>115</v>
      </c>
      <c r="BN153" s="99">
        <v>26.765999999999998</v>
      </c>
      <c r="BO153" s="95">
        <v>12.6</v>
      </c>
      <c r="BP153" s="95" t="s">
        <v>116</v>
      </c>
      <c r="BQ153" s="95" t="s">
        <v>101</v>
      </c>
      <c r="BR153" s="95" t="s">
        <v>101</v>
      </c>
      <c r="BS153" s="95">
        <v>55</v>
      </c>
      <c r="BT153" s="95" t="s">
        <v>117</v>
      </c>
      <c r="BU153" s="95">
        <v>6</v>
      </c>
      <c r="BV153" s="95" t="s">
        <v>117</v>
      </c>
      <c r="BW153" s="129">
        <v>1.49</v>
      </c>
    </row>
    <row r="154" spans="2:75" x14ac:dyDescent="0.25">
      <c r="B154" s="126">
        <v>9427</v>
      </c>
      <c r="C154" s="2"/>
      <c r="D154" s="148" t="s">
        <v>93</v>
      </c>
      <c r="E154" s="85" t="s">
        <v>1735</v>
      </c>
      <c r="F154" s="86" t="s">
        <v>93</v>
      </c>
      <c r="G154" s="85" t="s">
        <v>1736</v>
      </c>
      <c r="H154" s="135" t="s">
        <v>93</v>
      </c>
      <c r="I154" s="85" t="s">
        <v>1737</v>
      </c>
      <c r="J154" s="85" t="s">
        <v>1738</v>
      </c>
      <c r="K154" s="85" t="s">
        <v>1739</v>
      </c>
      <c r="L154" s="85" t="s">
        <v>1740</v>
      </c>
      <c r="M154" s="86" t="s">
        <v>93</v>
      </c>
      <c r="N154" s="85" t="s">
        <v>1741</v>
      </c>
      <c r="O154" s="85" t="s">
        <v>1742</v>
      </c>
      <c r="P154" s="86" t="s">
        <v>93</v>
      </c>
      <c r="Q154" s="138" t="s">
        <v>93</v>
      </c>
      <c r="R154" s="142">
        <f>COUNTIFS([1]Fleet!$E:$E,Table1[[#This Row],[Old Assy '#]])+COUNTIFS([1]OnDeck!$E:$E,Table1[[#This Row],[Old Assy '#]])</f>
        <v>2</v>
      </c>
      <c r="S154" s="88">
        <v>45063</v>
      </c>
      <c r="T154" s="89"/>
      <c r="U154" s="89"/>
      <c r="V154" s="89"/>
      <c r="W154" s="143" t="str">
        <f>IF(AND(Table1[[#This Row],[Phase Out]]="Y",Table1[[#This Row],[Zero Inventory]]="Y"),"Y","")</f>
        <v/>
      </c>
      <c r="X154" s="90">
        <v>17.5</v>
      </c>
      <c r="Y154" s="91" t="s">
        <v>1743</v>
      </c>
      <c r="Z154" s="59" t="str">
        <f>IF(LEFT(Table1[[#This Row],[Model]],2)="NX","NX",IF(LEFT(Table1[[#This Row],[Model]],2)="CR","CR",""))</f>
        <v>NX</v>
      </c>
      <c r="AA154" s="59" t="str">
        <f>LEFT(SUBSTITUTE(SUBSTITUTE(Table1[[#This Row],[Model]],"NX",""),"CR",""),1)</f>
        <v>6</v>
      </c>
      <c r="AB154" s="59" t="str">
        <f>MID(SUBSTITUTE(SUBSTITUTE(Table1[[#This Row],[Model]],"NX",""),"CR",""),2,2)</f>
        <v>16</v>
      </c>
      <c r="AC154" s="59" t="str">
        <f>IF(ISNUMBER(FIND("M",Table1[[#This Row],[Model]])),"M","")</f>
        <v/>
      </c>
      <c r="AD154" s="59" t="str">
        <f>CONCATENATE(MID(Table1[[#This Row],[Model]],FIND("-",Table1[[#This Row],[Model]])+1,2),IF(RIGHT(MID(Table1[[#This Row],[Model]],FIND("-",Table1[[#This Row],[Model]])+1,3),1)="+","+",""))</f>
        <v>SR</v>
      </c>
      <c r="AE154" s="59">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54" s="59" t="str">
        <f>IF(ISNUMBER(SEARCH("(K)",Table1[[#This Row],[Model]])),"(K)","")</f>
        <v/>
      </c>
      <c r="AG154" s="59" t="str">
        <f>IF(ISNUMBER(SEARCH("(BR)",Table1[[#This Row],[Model]])),"(BR)","")</f>
        <v/>
      </c>
      <c r="AH154" s="95" t="s">
        <v>103</v>
      </c>
      <c r="AI154" s="95" t="s">
        <v>126</v>
      </c>
      <c r="AJ154" s="95"/>
      <c r="AK154" s="95"/>
      <c r="AL154" s="95" t="s">
        <v>106</v>
      </c>
      <c r="AM154" s="91" t="s">
        <v>107</v>
      </c>
      <c r="AN154" s="91" t="s">
        <v>139</v>
      </c>
      <c r="AO154" s="92"/>
      <c r="AP154" s="137"/>
      <c r="AQ154" s="125">
        <v>0</v>
      </c>
      <c r="AR154" s="128" t="s">
        <v>109</v>
      </c>
      <c r="AS154" s="95" t="s">
        <v>348</v>
      </c>
      <c r="AT154" s="95">
        <v>17.125</v>
      </c>
      <c r="AU154" s="128">
        <f>IF(ISNUMBER(Table1[[#This Row],[Above gauge Ø]]),((Table1[[#This Row],[Size]]-Table1[[#This Row],[Above gauge Ø]])/2)-0.05,"")</f>
        <v>0.13750000000000001</v>
      </c>
      <c r="AV154" s="141">
        <f>0.268/0.625</f>
        <v>0.42880000000000001</v>
      </c>
      <c r="AW154" s="95" t="s">
        <v>180</v>
      </c>
      <c r="AX154" s="95">
        <v>17.25</v>
      </c>
      <c r="AY154" s="95" t="s">
        <v>349</v>
      </c>
      <c r="AZ154" s="95">
        <v>15</v>
      </c>
      <c r="BA154" s="95"/>
      <c r="BB154" s="97"/>
      <c r="BC154" s="97"/>
      <c r="BD154" s="97"/>
      <c r="BE154" s="97"/>
      <c r="BF154" s="95" t="s">
        <v>1533</v>
      </c>
      <c r="BG154" s="95">
        <v>15</v>
      </c>
      <c r="BH154" s="95" t="s">
        <v>114</v>
      </c>
      <c r="BI154" s="95">
        <v>30</v>
      </c>
      <c r="BJ154" s="98" t="e">
        <f>CONCATENATE("► M1 Notes: ",#REF!," •-----► CL-SKF Notes: ",#REF!," •-----► DS Notes: ",#REF!)</f>
        <v>#REF!</v>
      </c>
      <c r="BK154" s="98" t="s">
        <v>1697</v>
      </c>
      <c r="BL154" s="95">
        <v>5.7</v>
      </c>
      <c r="BM154" s="95" t="s">
        <v>115</v>
      </c>
      <c r="BN154" s="99">
        <v>76.5</v>
      </c>
      <c r="BO154" s="95">
        <v>72.44</v>
      </c>
      <c r="BP154" s="95" t="s">
        <v>101</v>
      </c>
      <c r="BQ154" s="95" t="s">
        <v>101</v>
      </c>
      <c r="BR154" s="95" t="s">
        <v>101</v>
      </c>
      <c r="BS154" s="95">
        <v>60</v>
      </c>
      <c r="BT154" s="95" t="s">
        <v>117</v>
      </c>
      <c r="BU154" s="95">
        <v>9</v>
      </c>
      <c r="BV154" s="95" t="s">
        <v>117</v>
      </c>
      <c r="BW154" s="129">
        <v>3.34</v>
      </c>
    </row>
    <row r="155" spans="2:75" x14ac:dyDescent="0.25">
      <c r="B155" s="126">
        <v>9692</v>
      </c>
      <c r="C155" s="2"/>
      <c r="D155" s="147" t="s">
        <v>1744</v>
      </c>
      <c r="E155" s="85" t="s">
        <v>1745</v>
      </c>
      <c r="F155" s="85" t="s">
        <v>1746</v>
      </c>
      <c r="G155" s="85" t="s">
        <v>1747</v>
      </c>
      <c r="H155" s="86" t="s">
        <v>93</v>
      </c>
      <c r="I155" s="85" t="s">
        <v>1748</v>
      </c>
      <c r="J155" s="85" t="s">
        <v>1749</v>
      </c>
      <c r="K155" s="85" t="s">
        <v>1750</v>
      </c>
      <c r="L155" s="85" t="s">
        <v>1751</v>
      </c>
      <c r="M155" s="86" t="s">
        <v>93</v>
      </c>
      <c r="N155" s="85" t="s">
        <v>1752</v>
      </c>
      <c r="O155" s="85" t="s">
        <v>1753</v>
      </c>
      <c r="P155" s="86" t="s">
        <v>93</v>
      </c>
      <c r="Q155" s="85" t="s">
        <v>1754</v>
      </c>
      <c r="R155" s="142">
        <f>COUNTIFS([1]Fleet!$E:$E,Table1[[#This Row],[Old Assy '#]])+COUNTIFS([1]OnDeck!$E:$E,Table1[[#This Row],[Old Assy '#]])</f>
        <v>0</v>
      </c>
      <c r="S155" s="88">
        <v>45621</v>
      </c>
      <c r="T155" s="89"/>
      <c r="U155" s="89"/>
      <c r="V155" s="89"/>
      <c r="W155" s="143" t="str">
        <f>IF(AND(Table1[[#This Row],[Phase Out]]="Y",Table1[[#This Row],[Zero Inventory]]="Y"),"Y","")</f>
        <v/>
      </c>
      <c r="X155" s="90">
        <v>7.875</v>
      </c>
      <c r="Y155" s="91" t="s">
        <v>1468</v>
      </c>
      <c r="Z155" s="59" t="str">
        <f>IF(LEFT(Table1[[#This Row],[Model]],2)="NX","NX",IF(LEFT(Table1[[#This Row],[Model]],2)="CR","CR",""))</f>
        <v>NX</v>
      </c>
      <c r="AA155" s="59" t="str">
        <f>LEFT(SUBSTITUTE(SUBSTITUTE(Table1[[#This Row],[Model]],"NX",""),"CR",""),1)</f>
        <v>6</v>
      </c>
      <c r="AB155" s="59" t="str">
        <f>MID(SUBSTITUTE(SUBSTITUTE(Table1[[#This Row],[Model]],"NX",""),"CR",""),2,2)</f>
        <v>13</v>
      </c>
      <c r="AC155" s="59" t="str">
        <f>IF(ISNUMBER(FIND("M",Table1[[#This Row],[Model]])),"M","")</f>
        <v/>
      </c>
      <c r="AD155" s="59" t="str">
        <f>CONCATENATE(MID(Table1[[#This Row],[Model]],FIND("-",Table1[[#This Row],[Model]])+1,2),IF(RIGHT(MID(Table1[[#This Row],[Model]],FIND("-",Table1[[#This Row],[Model]])+1,3),1)="+","+",""))</f>
        <v>XR</v>
      </c>
      <c r="AE155" s="59">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6</v>
      </c>
      <c r="AF155" s="59" t="str">
        <f>IF(ISNUMBER(SEARCH("(K)",Table1[[#This Row],[Model]])),"(K)","")</f>
        <v>(K)</v>
      </c>
      <c r="AG155" s="59" t="str">
        <f>IF(ISNUMBER(SEARCH("(BR)",Table1[[#This Row],[Model]])),"(BR)","")</f>
        <v>(BR)</v>
      </c>
      <c r="AH155" s="95" t="s">
        <v>103</v>
      </c>
      <c r="AI155" s="95" t="s">
        <v>104</v>
      </c>
      <c r="AJ155" s="95" t="s">
        <v>1458</v>
      </c>
      <c r="AK155" s="95"/>
      <c r="AL155" s="95" t="s">
        <v>1458</v>
      </c>
      <c r="AM155" s="95" t="s">
        <v>1458</v>
      </c>
      <c r="AN155" s="91" t="s">
        <v>1458</v>
      </c>
      <c r="AO155" s="92"/>
      <c r="AP155" s="137"/>
      <c r="AQ155" s="125">
        <v>0</v>
      </c>
      <c r="AR155" s="68" t="s">
        <v>284</v>
      </c>
      <c r="AS155" s="95">
        <v>165432</v>
      </c>
      <c r="AT155" s="96">
        <v>7.5</v>
      </c>
      <c r="AU155" s="128">
        <f>IF(ISNUMBER(Table1[[#This Row],[Above gauge Ø]]),((Table1[[#This Row],[Size]]-Table1[[#This Row],[Above gauge Ø]])/2)-0.05,"")</f>
        <v>0.13750000000000001</v>
      </c>
      <c r="AV155" s="144">
        <v>0.43</v>
      </c>
      <c r="AW155" s="95" t="s">
        <v>180</v>
      </c>
      <c r="AX155" s="95">
        <v>7.75</v>
      </c>
      <c r="AY155" s="95" t="s">
        <v>112</v>
      </c>
      <c r="AZ155" s="95">
        <v>7.5</v>
      </c>
      <c r="BA155" s="95"/>
      <c r="BB155" s="97">
        <v>170</v>
      </c>
      <c r="BC155" s="97">
        <v>160</v>
      </c>
      <c r="BD155" s="97">
        <v>80</v>
      </c>
      <c r="BE155" s="97">
        <v>290</v>
      </c>
      <c r="BF155" s="95">
        <v>23</v>
      </c>
      <c r="BG155" s="95">
        <v>17</v>
      </c>
      <c r="BH155" s="95" t="s">
        <v>1469</v>
      </c>
      <c r="BI155" s="95">
        <v>30.5</v>
      </c>
      <c r="BJ155" s="98" t="e">
        <f>CONCATENATE("► M1 Notes: ",#REF!," •-----► CL-SKF Notes: ",#REF!," •-----► DS Notes: ",#REF!)</f>
        <v>#REF!</v>
      </c>
      <c r="BK155" s="98" t="s">
        <v>93</v>
      </c>
      <c r="BL155" s="95">
        <v>2</v>
      </c>
      <c r="BM155" s="95" t="s">
        <v>184</v>
      </c>
      <c r="BN155" s="99">
        <f>3.001*6</f>
        <v>18.006</v>
      </c>
      <c r="BO155" s="95">
        <v>10.5</v>
      </c>
      <c r="BP155" s="95" t="s">
        <v>116</v>
      </c>
      <c r="BQ155" s="95" t="s">
        <v>101</v>
      </c>
      <c r="BR155" s="95" t="s">
        <v>101</v>
      </c>
      <c r="BS155" s="95">
        <v>60</v>
      </c>
      <c r="BT155" s="95" t="s">
        <v>117</v>
      </c>
      <c r="BU155" s="95">
        <v>6</v>
      </c>
      <c r="BV155" s="95" t="s">
        <v>117</v>
      </c>
      <c r="BW155" s="129">
        <v>2.23</v>
      </c>
    </row>
    <row r="156" spans="2:75" x14ac:dyDescent="0.25">
      <c r="B156" s="126">
        <v>9944</v>
      </c>
      <c r="C156" s="2"/>
      <c r="D156" s="146" t="s">
        <v>93</v>
      </c>
      <c r="E156" s="86" t="s">
        <v>93</v>
      </c>
      <c r="F156" s="85" t="s">
        <v>1755</v>
      </c>
      <c r="G156" s="85" t="s">
        <v>1756</v>
      </c>
      <c r="H156" s="86" t="s">
        <v>93</v>
      </c>
      <c r="I156" s="85" t="s">
        <v>1757</v>
      </c>
      <c r="J156" s="85" t="s">
        <v>1758</v>
      </c>
      <c r="K156" s="85" t="s">
        <v>1759</v>
      </c>
      <c r="L156" s="85" t="s">
        <v>1760</v>
      </c>
      <c r="M156" s="86" t="s">
        <v>93</v>
      </c>
      <c r="N156" s="86" t="s">
        <v>93</v>
      </c>
      <c r="O156" s="85" t="s">
        <v>1761</v>
      </c>
      <c r="P156" s="86" t="s">
        <v>93</v>
      </c>
      <c r="Q156" s="86" t="s">
        <v>93</v>
      </c>
      <c r="R156" s="87">
        <f>COUNTIFS([1]Fleet!$E:$E,Table1[[#This Row],[Old Assy '#]])+COUNTIFS([1]OnDeck!$E:$E,Table1[[#This Row],[Old Assy '#]])</f>
        <v>1</v>
      </c>
      <c r="S156" s="88">
        <v>46084</v>
      </c>
      <c r="T156" s="89"/>
      <c r="U156" s="89"/>
      <c r="V156" s="89"/>
      <c r="W156" s="56" t="str">
        <f>IF(AND(Table1[[#This Row],[Phase Out]]="Y",Table1[[#This Row],[Zero Inventory]]="Y"),"Y","")</f>
        <v/>
      </c>
      <c r="X156" s="79">
        <v>10.625</v>
      </c>
      <c r="Y156" s="63" t="s">
        <v>1446</v>
      </c>
      <c r="Z156" s="59" t="str">
        <f>IF(LEFT(Table1[[#This Row],[Model]],2)="NX","NX",IF(LEFT(Table1[[#This Row],[Model]],2)="CR","CR",""))</f>
        <v>NX</v>
      </c>
      <c r="AA156" s="59" t="str">
        <f>LEFT(SUBSTITUTE(SUBSTITUTE(Table1[[#This Row],[Model]],"NX",""),"CR",""),1)</f>
        <v>6</v>
      </c>
      <c r="AB156" s="59" t="str">
        <f>MID(SUBSTITUTE(SUBSTITUTE(Table1[[#This Row],[Model]],"NX",""),"CR",""),2,2)</f>
        <v>16</v>
      </c>
      <c r="AC156" s="64" t="str">
        <f>IF(ISNUMBER(FIND("M",Table1[[#This Row],[Model]])),"M","")</f>
        <v/>
      </c>
      <c r="AD156" s="64" t="str">
        <f>CONCATENATE(MID(Table1[[#This Row],[Model]],FIND("-",Table1[[#This Row],[Model]])+1,2),IF(RIGHT(MID(Table1[[#This Row],[Model]],FIND("-",Table1[[#This Row],[Model]])+1,3),1)="+","+",""))</f>
        <v>SR+</v>
      </c>
      <c r="AE156" s="60">
        <f>VALUE(IF(ISNUMBER(VALUE(CONCATENATE(IF(ISNUMBER(VALUE(MID(Table1[[#This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Type]])+1,1),"")))),VALUE(CONCATENATE(IF(ISNUMBER(VALUE(MID(Table1[[#This Row],[Model]],FIND(Table1[[#This Row],[Model Type]],Table1[[#This Row],[Model]])+LEN(Table1[[#This Row],[Model Type]]),1))),MID(Table1[[#This Row],[Model]],FIND(Table1[[#This Row],[Model Type]],Table1[[#This Row],[Model]])+LEN(Table1[[#This Row],[Model Type]]),1),""),IF(ISNUMBER(VALUE(MID(Table1[[#This Row],[Model]],FIND(Table1[[#This Row],[Model Type]],Table1[[#This Row],[Model]])+LEN(Table1[[#This Row],[Model Type]])+1,1))),MID(Table1[[#This Row],[Model]],FIND(Table1[[#This Row],[Model Type]],Table1[[#This Row],[Model]])+LEN(Table1[[#This Row],[Model Type]])+1,1),""))),Table1[[#This Row],[Blade Count]]))</f>
        <v>9</v>
      </c>
      <c r="AF156" s="64" t="str">
        <f>IF(ISNUMBER(SEARCH("(K)",Table1[[#This Row],[Model]])),"(K)","")</f>
        <v>(K)</v>
      </c>
      <c r="AG156" s="64" t="str">
        <f>IF(ISNUMBER(SEARCH("(BR)",Table1[[#This Row],[Model]])),"(BR)","")</f>
        <v>(BR)</v>
      </c>
      <c r="AH156" s="32" t="s">
        <v>103</v>
      </c>
      <c r="AI156" s="32" t="s">
        <v>126</v>
      </c>
      <c r="AJ156" s="95"/>
      <c r="AK156" s="95"/>
      <c r="AL156" s="32" t="s">
        <v>106</v>
      </c>
      <c r="AM156" s="63" t="s">
        <v>107</v>
      </c>
      <c r="AN156" s="64" t="s">
        <v>127</v>
      </c>
      <c r="AO156" s="65"/>
      <c r="AP156" s="106"/>
      <c r="AQ156" s="68">
        <v>0</v>
      </c>
      <c r="AR156" s="68" t="s">
        <v>284</v>
      </c>
      <c r="AS156" s="32">
        <v>165432</v>
      </c>
      <c r="AT156" s="32">
        <f>10.3125</f>
        <v>10.3125</v>
      </c>
      <c r="AU156" s="69">
        <f>IF(ISNUMBER(Table1[[#This Row],[Above gauge Ø]]),((Table1[[#This Row],[Size]]-Table1[[#This Row],[Above gauge Ø]])/2)-0.05,"")</f>
        <v>0.10625</v>
      </c>
      <c r="AV156" s="121">
        <f>0.25813/0.625</f>
        <v>0.41300800000000004</v>
      </c>
      <c r="AW156" s="32" t="s">
        <v>180</v>
      </c>
      <c r="AX156" s="32">
        <f>10.625-0.125</f>
        <v>10.5</v>
      </c>
      <c r="AY156" s="32" t="s">
        <v>1290</v>
      </c>
      <c r="AZ156" s="32">
        <v>15</v>
      </c>
      <c r="BA156" s="32">
        <v>35</v>
      </c>
      <c r="BB156" s="82">
        <v>720</v>
      </c>
      <c r="BC156" s="82">
        <v>760</v>
      </c>
      <c r="BD156" s="82">
        <v>770</v>
      </c>
      <c r="BE156" s="97">
        <v>930</v>
      </c>
      <c r="BF156" s="32" t="s">
        <v>113</v>
      </c>
      <c r="BG156" s="32">
        <v>15</v>
      </c>
      <c r="BH156" s="32" t="s">
        <v>322</v>
      </c>
      <c r="BI156" s="32">
        <v>30</v>
      </c>
      <c r="BJ156" s="17" t="e">
        <f>CONCATENATE("► M1 Notes: ",#REF!," •-----► CL-SKF Notes: ",#REF!," •-----► DS Notes: ",#REF!)</f>
        <v>#REF!</v>
      </c>
      <c r="BK156" s="17" t="s">
        <v>1762</v>
      </c>
      <c r="BL156" s="32">
        <v>6</v>
      </c>
      <c r="BM156" s="32" t="s">
        <v>115</v>
      </c>
      <c r="BN156" s="83">
        <f>11.184*6</f>
        <v>67.103999999999999</v>
      </c>
      <c r="BO156" s="32">
        <v>24.41</v>
      </c>
      <c r="BP156" s="32" t="s">
        <v>101</v>
      </c>
      <c r="BQ156" s="32" t="s">
        <v>101</v>
      </c>
      <c r="BR156" s="32" t="s">
        <v>101</v>
      </c>
      <c r="BS156" s="32">
        <v>60</v>
      </c>
      <c r="BT156" s="32" t="s">
        <v>117</v>
      </c>
      <c r="BU156" s="32">
        <v>9</v>
      </c>
      <c r="BV156" s="32" t="s">
        <v>117</v>
      </c>
      <c r="BW156" s="103">
        <v>3.34</v>
      </c>
    </row>
  </sheetData>
  <mergeCells count="11">
    <mergeCell ref="BP3:BS3"/>
    <mergeCell ref="BT3:BW3"/>
    <mergeCell ref="D1:BW1"/>
    <mergeCell ref="D2:R2"/>
    <mergeCell ref="X2:BW2"/>
    <mergeCell ref="I3:J3"/>
    <mergeCell ref="M3:P3"/>
    <mergeCell ref="X3:AI3"/>
    <mergeCell ref="AW3:BA3"/>
    <mergeCell ref="BB3:BJ3"/>
    <mergeCell ref="BM3:BO3"/>
  </mergeCells>
  <conditionalFormatting sqref="B142">
    <cfRule type="duplicateValues" dxfId="1" priority="1"/>
  </conditionalFormatting>
  <conditionalFormatting sqref="B145 B147:B150 B152:B153">
    <cfRule type="duplicateValues" dxfId="0" priority="2"/>
  </conditionalFormatting>
  <hyperlinks>
    <hyperlink ref="E117" r:id="rId1" xr:uid="{3E654788-91F8-4180-95CC-F37F6A53EE04}"/>
    <hyperlink ref="F119" r:id="rId2" xr:uid="{EBC2CF1A-B543-4654-8548-0F445666B8A2}"/>
    <hyperlink ref="E68" r:id="rId3" xr:uid="{C18ADF2C-51FE-473C-BE66-C4978C9B9774}"/>
    <hyperlink ref="E65" r:id="rId4" xr:uid="{5D83A5E0-D4CB-4B09-9640-CFB93C09B78E}"/>
    <hyperlink ref="E7" r:id="rId5" xr:uid="{21C118DC-529A-4ECD-A32C-3417F6967222}"/>
    <hyperlink ref="E50" r:id="rId6" xr:uid="{40D0B8BD-F002-46CC-8F49-59A76A36533D}"/>
    <hyperlink ref="E56" r:id="rId7" xr:uid="{9EAB3C41-BB78-43A9-9627-229F8C16D3C6}"/>
    <hyperlink ref="E16" r:id="rId8" xr:uid="{DD33CBC3-7433-44CD-9CBF-223182BF53CB}"/>
    <hyperlink ref="E58" r:id="rId9" xr:uid="{2C3581B8-88BC-4676-9D84-0A89ACDAA58D}"/>
    <hyperlink ref="E57" r:id="rId10" xr:uid="{7BD0A8E6-4846-40CC-932A-7AB374470A9C}"/>
    <hyperlink ref="E62" r:id="rId11" xr:uid="{3CE6BB30-42EB-41E8-894D-FC01364DF006}"/>
    <hyperlink ref="E64" r:id="rId12" xr:uid="{FF7538F7-BA4C-4516-A844-EF0F35B2E543}"/>
    <hyperlink ref="E30" r:id="rId13" xr:uid="{28AC7166-9857-4F0B-B383-4583D34BD876}"/>
    <hyperlink ref="E34" r:id="rId14" xr:uid="{B828F94F-0791-4EC0-87F2-235AC2278AE1}"/>
    <hyperlink ref="E8" r:id="rId15" xr:uid="{6F864E30-2256-4FE7-B656-4DA766B7F851}"/>
    <hyperlink ref="E9" r:id="rId16" xr:uid="{3D268122-E4F0-49A8-9369-91B964C768BC}"/>
    <hyperlink ref="E10" r:id="rId17" xr:uid="{8672BCD3-BEAF-44DA-B2D1-DEFC99B38C68}"/>
    <hyperlink ref="E13" r:id="rId18" xr:uid="{A63922C3-7BDC-48F5-A882-9B1E911147DB}"/>
    <hyperlink ref="E14" r:id="rId19" xr:uid="{BB1780CD-5B9D-42C9-ACE1-62914D88617A}"/>
    <hyperlink ref="E15" r:id="rId20" xr:uid="{72188EBF-4DAB-4005-ADB1-F675159F6448}"/>
    <hyperlink ref="E19" r:id="rId21" xr:uid="{CE48DEE3-CFB9-427C-BC12-4DD7F11AC54D}"/>
    <hyperlink ref="E31" r:id="rId22" xr:uid="{71001E19-6D4F-41C8-B142-8941D37DE7B0}"/>
    <hyperlink ref="E33" r:id="rId23" xr:uid="{2A2048E9-EE7C-4679-9351-BFBA61739F9D}"/>
    <hyperlink ref="E35" r:id="rId24" xr:uid="{85DCB153-D740-4418-B94B-37AA58D3C797}"/>
    <hyperlink ref="E36" r:id="rId25" xr:uid="{F8926EAD-5816-47DC-9397-61EE2FC3C2FB}"/>
    <hyperlink ref="E54" r:id="rId26" xr:uid="{5750C9D6-D799-40CB-9BC1-30D96098D87C}"/>
    <hyperlink ref="E63" r:id="rId27" xr:uid="{9DAD368D-0904-4A8E-8A1E-39DD58B6B15E}"/>
    <hyperlink ref="E67" r:id="rId28" xr:uid="{B3F64F58-FD08-49F0-8FB9-678248C5797A}"/>
    <hyperlink ref="E69" r:id="rId29" xr:uid="{0E47FDD5-0CB7-4B3A-9CD4-85B881184545}"/>
    <hyperlink ref="E71" r:id="rId30" xr:uid="{46069D2D-BD56-4BB8-8A5C-D7698F5595AD}"/>
    <hyperlink ref="E81" r:id="rId31" xr:uid="{578DC982-A239-478D-98B7-0C6F5918771B}"/>
    <hyperlink ref="E89" r:id="rId32" xr:uid="{C85255CE-B215-4130-A23B-D8A3E27006A0}"/>
    <hyperlink ref="E91" r:id="rId33" xr:uid="{C9EFA8F2-C0F0-4B1C-964B-D121E6AC72C7}"/>
    <hyperlink ref="E97" r:id="rId34" xr:uid="{45375FE1-8E55-41F5-8194-EDAAF428104B}"/>
    <hyperlink ref="E108" r:id="rId35" xr:uid="{F153F82A-7460-4A11-9DB8-EAADE2382AC2}"/>
    <hyperlink ref="E118" r:id="rId36" xr:uid="{7AE2E262-3E16-4873-9522-A3EBB04D319F}"/>
    <hyperlink ref="F117" r:id="rId37" xr:uid="{D8D87F6E-7B02-4E0A-8F07-141740FA7C84}"/>
    <hyperlink ref="F114" r:id="rId38" xr:uid="{16C406C4-91BE-440B-8FFF-2B7E917FBE9B}"/>
    <hyperlink ref="F116" r:id="rId39" xr:uid="{EFE32291-08AD-4B79-A8FC-5BB4D1C44AC3}"/>
    <hyperlink ref="F68" r:id="rId40" xr:uid="{8FFC917D-61B5-46C7-9436-D10FBC12BA6F}"/>
    <hyperlink ref="F93" r:id="rId41" xr:uid="{AAB6A9B2-62E1-4002-BB0A-7A76EFDBCF9D}"/>
    <hyperlink ref="F50" r:id="rId42" xr:uid="{863C8C43-44A1-4386-B931-77F6F157E1A8}"/>
    <hyperlink ref="F56" r:id="rId43" xr:uid="{89148183-473B-41D2-8407-3E4DAFF44005}"/>
    <hyperlink ref="F60" r:id="rId44" xr:uid="{5A70B808-60EB-40FD-BBED-A44BC76B7913}"/>
    <hyperlink ref="F16" r:id="rId45" xr:uid="{F5BF3E9E-EB22-4116-ADA0-11E6019BE302}"/>
    <hyperlink ref="F58" r:id="rId46" xr:uid="{8DC74F61-398C-4619-AD26-3E8998C305ED}"/>
    <hyperlink ref="F57" r:id="rId47" xr:uid="{DD6C1BD8-0C13-4CBB-9DFA-45B23E28E4D3}"/>
    <hyperlink ref="F62" r:id="rId48" xr:uid="{82B345ED-5E02-41CB-A6AB-B5D0D9E8BC21}"/>
    <hyperlink ref="F64" r:id="rId49" xr:uid="{0668DE3A-0858-48E0-B38A-00C4A9AFA386}"/>
    <hyperlink ref="F115" r:id="rId50" xr:uid="{B3C4945F-F0C1-4F02-A411-D46B620DDAF0}"/>
    <hyperlink ref="F111" r:id="rId51" xr:uid="{DCF55C22-73CE-41E3-B87A-C807F21A6798}"/>
    <hyperlink ref="F30" r:id="rId52" xr:uid="{78E0531B-ED98-429C-8A8D-EACC208FFADF}"/>
    <hyperlink ref="F34" r:id="rId53" xr:uid="{FAC08AF1-E91A-487E-A38D-D893736F9D6F}"/>
    <hyperlink ref="F8" r:id="rId54" xr:uid="{375927E2-C4EA-4BA0-8DA4-E0A6C2D0468F}"/>
    <hyperlink ref="F9" r:id="rId55" xr:uid="{56E9124D-24E9-4212-908D-AE7F489B10AC}"/>
    <hyperlink ref="F10" r:id="rId56" xr:uid="{FCD84CA5-7317-4893-B60B-691D112BE57A}"/>
    <hyperlink ref="F13" r:id="rId57" xr:uid="{0182B069-567B-43E0-9E98-F38D654FD727}"/>
    <hyperlink ref="F14" r:id="rId58" xr:uid="{ED008B7B-856B-4117-827D-3CCB75DC7EFE}"/>
    <hyperlink ref="F15" r:id="rId59" xr:uid="{C047BA50-FB7B-4986-9440-C34F04F2F4FC}"/>
    <hyperlink ref="F19" r:id="rId60" xr:uid="{6E34E43A-8CA7-4604-A0AD-E60B0F172211}"/>
    <hyperlink ref="F31" r:id="rId61" xr:uid="{95298893-4E45-497A-A758-6E471DD06771}"/>
    <hyperlink ref="F33" r:id="rId62" xr:uid="{E98DC677-A093-4B82-B257-2AB6D8459A1A}"/>
    <hyperlink ref="F35" r:id="rId63" xr:uid="{8F55A090-D67A-445F-A872-B9EE74878EDE}"/>
    <hyperlink ref="F36" r:id="rId64" xr:uid="{EBD6A7CD-A5A4-4AFC-BAD2-BDCD16730B34}"/>
    <hyperlink ref="F38" r:id="rId65" xr:uid="{A0434F28-E948-4374-A524-81556C56B3AB}"/>
    <hyperlink ref="F53" r:id="rId66" xr:uid="{261613DF-37B8-4396-B36E-1DFCAEDA1F54}"/>
    <hyperlink ref="F54" r:id="rId67" xr:uid="{AC2A4EC4-E6DE-41FC-907A-DAFEAFEC873A}"/>
    <hyperlink ref="F61" r:id="rId68" xr:uid="{EE2CB025-D8F5-4709-9820-60D10EFDBDF8}"/>
    <hyperlink ref="F63" r:id="rId69" xr:uid="{2DFE20B7-A186-438F-8B45-8C3C7098F1F3}"/>
    <hyperlink ref="F67" r:id="rId70" xr:uid="{39E888FB-E682-436B-88C5-E7B51810F05B}"/>
    <hyperlink ref="F69" r:id="rId71" xr:uid="{E907F022-1B80-4232-9D0C-92805B632946}"/>
    <hyperlink ref="F71" r:id="rId72" xr:uid="{0BBEB2DF-07FD-49FE-BEF5-58D154F3BB40}"/>
    <hyperlink ref="F81" r:id="rId73" xr:uid="{569998F0-2A36-4AC8-AA58-9677CBEA70A5}"/>
    <hyperlink ref="F89" r:id="rId74" xr:uid="{89E86F20-340B-43FF-AB36-A83EC090A1D5}"/>
    <hyperlink ref="F97" r:id="rId75" xr:uid="{F60F5B36-346D-4472-84D1-6B4EA07551CE}"/>
    <hyperlink ref="F108" r:id="rId76" xr:uid="{D4D8625D-D5D1-4EB5-A0AE-8C579F910D8D}"/>
    <hyperlink ref="F118" r:id="rId77" xr:uid="{DBACDB8F-49D7-4E66-AE4C-DB048D4674EF}"/>
    <hyperlink ref="H72" r:id="rId78" xr:uid="{6D5A881C-1760-43FE-9D64-535549B204B6}"/>
    <hyperlink ref="H68" r:id="rId79" xr:uid="{CB749950-42B6-4F47-A9A9-DBAA3E8D5826}"/>
    <hyperlink ref="H77" r:id="rId80" xr:uid="{B93168FC-6D01-4988-876B-2526FE683A97}"/>
    <hyperlink ref="H65" r:id="rId81" xr:uid="{29AC7801-DDD8-49F3-9C88-3A14BB075D69}"/>
    <hyperlink ref="H23" r:id="rId82" xr:uid="{051669FA-2400-443F-9ED8-47CACEBAE78A}"/>
    <hyperlink ref="H11" r:id="rId83" xr:uid="{467D32FA-709A-4ED4-949D-D18218D4153B}"/>
    <hyperlink ref="H17" r:id="rId84" xr:uid="{9E331031-73A1-4692-A8A5-0F929B6C8B19}"/>
    <hyperlink ref="H26" r:id="rId85" xr:uid="{1FE9DF7B-95CF-486E-A27A-D18030A1F575}"/>
    <hyperlink ref="H47" r:id="rId86" xr:uid="{E2589ABE-D151-430E-A699-3D9C45CF1FAD}"/>
    <hyperlink ref="H50" r:id="rId87" xr:uid="{5905CEA1-50C5-4F6D-A1DE-8887185DB96B}"/>
    <hyperlink ref="H56" r:id="rId88" xr:uid="{0FA98CBB-58B5-44FD-833C-09FAAE4FD2B8}"/>
    <hyperlink ref="H60" r:id="rId89" xr:uid="{1A5E0135-93DA-4CF7-9F3C-C52EE680ECB5}"/>
    <hyperlink ref="H12" r:id="rId90" xr:uid="{9E6D30A9-E298-4226-AD2A-F900BD0DE3FA}"/>
    <hyperlink ref="H16" r:id="rId91" xr:uid="{DF566991-7BB9-42CC-B4E2-1FD9A597DEC8}"/>
    <hyperlink ref="H44" r:id="rId92" xr:uid="{5F612DE4-E1D3-425C-8061-6BD3902ACE71}"/>
    <hyperlink ref="H57" r:id="rId93" xr:uid="{AABD55C9-FF58-4E92-8246-B9B8B6B9E0B2}"/>
    <hyperlink ref="H62" r:id="rId94" xr:uid="{5E525EAA-C061-4D99-A727-DD0C76FF1180}"/>
    <hyperlink ref="H64" r:id="rId95" xr:uid="{BE49E9A5-830E-4BFE-8578-8B3CA9AB4C4A}"/>
    <hyperlink ref="H66" r:id="rId96" xr:uid="{555A3B82-AB74-4DD9-9B2A-1EBD8347BD87}"/>
    <hyperlink ref="H109" r:id="rId97" xr:uid="{6D27AD76-4906-4C61-A158-34D22F6B8F9A}"/>
    <hyperlink ref="H29" r:id="rId98" xr:uid="{F17AE97B-68AD-4393-B758-C73EA1221C05}"/>
    <hyperlink ref="H30" r:id="rId99" xr:uid="{26662EF2-71F7-462F-86CD-3B997F8B1DBB}"/>
    <hyperlink ref="H34" r:id="rId100" xr:uid="{2CCC1B24-7109-4E35-B906-4C76E1190229}"/>
    <hyperlink ref="H10" r:id="rId101" xr:uid="{41A23D09-CB3F-4FF2-BC36-6C0DB892F67B}"/>
    <hyperlink ref="H18" r:id="rId102" xr:uid="{A7B25353-8456-4ACB-A30D-944628FD8C32}"/>
    <hyperlink ref="H20" r:id="rId103" xr:uid="{1D88A9AF-C582-4244-B5FB-921C129E87AC}"/>
    <hyperlink ref="H21" r:id="rId104" xr:uid="{4B3CB73F-0CBF-4955-93AB-668B6E1C3622}"/>
    <hyperlink ref="H22" r:id="rId105" xr:uid="{9F5246C2-BC74-4BBD-9C7B-EDF17004D3F9}"/>
    <hyperlink ref="H24" r:id="rId106" xr:uid="{F38587E6-4D06-4F6E-B6C6-177E9C284BCA}"/>
    <hyperlink ref="H25" r:id="rId107" xr:uid="{FA0157DA-679C-4D47-BDED-A728C7E74ADC}"/>
    <hyperlink ref="H27" r:id="rId108" xr:uid="{E72984D6-FE6C-4E06-A307-9DCB8D5D3115}"/>
    <hyperlink ref="H28" r:id="rId109" xr:uid="{3A4A8472-BDF3-4AB8-AC1B-CA28CFBD1F78}"/>
    <hyperlink ref="H31" r:id="rId110" xr:uid="{AD5F6752-6B19-4D31-ABC2-D9DCD104A84F}"/>
    <hyperlink ref="H32" r:id="rId111" xr:uid="{80A36338-F8E1-4A0C-827D-5D30970A6094}"/>
    <hyperlink ref="H33" r:id="rId112" xr:uid="{E07C722F-BC38-47E1-AEDE-14666EFD3D5D}"/>
    <hyperlink ref="H35" r:id="rId113" xr:uid="{813D8273-187F-4193-9DCC-74166BE0589C}"/>
    <hyperlink ref="H36" r:id="rId114" xr:uid="{42D3C9CA-385F-41F8-AFC8-093884F7CA3C}"/>
    <hyperlink ref="H37" r:id="rId115" xr:uid="{99068122-DFAD-4A14-8F5A-196FBA61706B}"/>
    <hyperlink ref="H39" r:id="rId116" xr:uid="{9BE3B447-0351-40BA-9EF2-B9F2A127206F}"/>
    <hyperlink ref="H40" r:id="rId117" xr:uid="{CC8A58FB-017C-4659-A6EA-82A9A03B0DBC}"/>
    <hyperlink ref="H41" r:id="rId118" xr:uid="{6EEFA1BE-D997-4960-9A1A-4B1120719FD3}"/>
    <hyperlink ref="H42" r:id="rId119" xr:uid="{66B7AF09-C464-45EB-AEE6-C49891BFAFC4}"/>
    <hyperlink ref="H43" r:id="rId120" xr:uid="{4CBD6A4A-AD36-4553-8373-124CBA0B7F06}"/>
    <hyperlink ref="H45" r:id="rId121" xr:uid="{1A7D784A-93FD-49F1-BE27-F17E7006543A}"/>
    <hyperlink ref="H46" r:id="rId122" xr:uid="{65590696-29ED-4AAB-AA28-59D3D181AFBD}"/>
    <hyperlink ref="H48" r:id="rId123" xr:uid="{AFD21A2A-F9CF-425D-9379-85752D4EC12A}"/>
    <hyperlink ref="H49" r:id="rId124" xr:uid="{E9DDF75B-3E01-4862-87DA-03197BF2FCC1}"/>
    <hyperlink ref="H51" r:id="rId125" xr:uid="{9E1E8BBB-DC99-40BB-9BCF-AA7C42D8E4C6}"/>
    <hyperlink ref="H52" r:id="rId126" xr:uid="{816909D3-7A9B-4063-B5C6-8DBD9B828809}"/>
    <hyperlink ref="H53" r:id="rId127" xr:uid="{B005DC1A-A3FA-4547-A687-90A2B114FF26}"/>
    <hyperlink ref="H61" r:id="rId128" xr:uid="{113C94E2-69CB-4CD4-865C-537F3571E158}"/>
    <hyperlink ref="H63" r:id="rId129" xr:uid="{E3E42E96-ADC6-4ABF-BB1C-6B6844683481}"/>
    <hyperlink ref="H67" r:id="rId130" xr:uid="{098475F2-5F8D-471D-89C3-224EDE725828}"/>
    <hyperlink ref="H70" r:id="rId131" xr:uid="{1A97F3D3-A039-4B48-A2C8-FDF7658D8234}"/>
    <hyperlink ref="H73" r:id="rId132" xr:uid="{C14D6CCE-F7EE-4DE8-B743-12916436F9EB}"/>
    <hyperlink ref="H74" r:id="rId133" xr:uid="{5CDB93F4-9A7C-4FEF-8598-2C17AE2D9072}"/>
    <hyperlink ref="H75" r:id="rId134" xr:uid="{B85D4078-5C22-4E0D-B512-9FABF58F9FE9}"/>
    <hyperlink ref="H78" r:id="rId135" xr:uid="{C4F3595C-BA94-439D-8D2D-1C954ADB352F}"/>
    <hyperlink ref="H79" r:id="rId136" xr:uid="{4D39EE0B-1014-4ED6-89B0-D59D1DF1A24E}"/>
    <hyperlink ref="H80" r:id="rId137" xr:uid="{15F9F2E0-3978-450F-848F-A1FF94B2B00E}"/>
    <hyperlink ref="H81" r:id="rId138" xr:uid="{58D38AAC-317B-4CB9-A45E-F432089F107C}"/>
    <hyperlink ref="H82" r:id="rId139" xr:uid="{DDC9376D-0A65-44AE-98F8-AF1395793198}"/>
    <hyperlink ref="H84" r:id="rId140" xr:uid="{0B44C5C2-F541-4AA0-919E-6B45250598D4}"/>
    <hyperlink ref="H85" r:id="rId141" xr:uid="{5A096E2F-C665-43D0-85DC-9C30DE1EC147}"/>
    <hyperlink ref="H86" r:id="rId142" xr:uid="{2223ECFB-E943-4237-AC59-596F3B872181}"/>
    <hyperlink ref="H88" r:id="rId143" xr:uid="{9F70CB79-18E4-4064-89A0-D84DF16D69B3}"/>
    <hyperlink ref="H89" r:id="rId144" xr:uid="{E2BD6CEB-C800-4757-B8FB-C741BCF5DD80}"/>
    <hyperlink ref="H90" r:id="rId145" xr:uid="{3D4E6D7F-DBF3-4E5D-9DBD-EE28744D6342}"/>
    <hyperlink ref="H92" r:id="rId146" xr:uid="{AFFAE037-E863-46AA-805A-12185BC944E0}"/>
    <hyperlink ref="H94" r:id="rId147" xr:uid="{0BAD4360-7453-485B-ADEE-9EBEA058C503}"/>
    <hyperlink ref="H95" r:id="rId148" xr:uid="{B726F2A0-F797-450C-81C4-5D373A601685}"/>
    <hyperlink ref="H96" r:id="rId149" xr:uid="{FA603A96-7CA5-4FAB-B135-D6DD28959FF1}"/>
    <hyperlink ref="H98" r:id="rId150" xr:uid="{F6BD9B6B-51AA-42E1-84C4-8C70C4DD2212}"/>
    <hyperlink ref="H100" r:id="rId151" xr:uid="{934CB495-5521-48E3-9F12-BBA7BF8D5700}"/>
    <hyperlink ref="H101" r:id="rId152" xr:uid="{71A67BAE-DBB3-472C-8764-BEE45167EFCC}"/>
    <hyperlink ref="H102" r:id="rId153" xr:uid="{9F3E2CCE-E56B-44D0-A14E-87B40BBADDBB}"/>
    <hyperlink ref="H104" r:id="rId154" xr:uid="{33CB7747-05B4-4B61-90A2-9DDD80134622}"/>
    <hyperlink ref="H105" r:id="rId155" xr:uid="{E97B392A-4EDF-4FC5-A9D6-6F2DF3ABAEB1}"/>
    <hyperlink ref="H106" r:id="rId156" xr:uid="{8C66A970-A4C7-449C-957B-E6D0A3FD2CD1}"/>
    <hyperlink ref="H107" r:id="rId157" xr:uid="{23959728-F6C3-4649-B366-2DC55B5F8181}"/>
    <hyperlink ref="H112" r:id="rId158" xr:uid="{91F473ED-7EB6-4651-B2C9-544C01315E6B}"/>
    <hyperlink ref="D68" r:id="rId159" xr:uid="{969E80C6-DCF3-48BF-91B6-F79C66681AAF}"/>
    <hyperlink ref="D23" r:id="rId160" xr:uid="{917BAAB2-769A-432C-80ED-0E57C8BEE1D2}"/>
    <hyperlink ref="D17" r:id="rId161" xr:uid="{F242E95E-0931-4C3E-A491-9EC590D8FFC5}"/>
    <hyperlink ref="D12" r:id="rId162" xr:uid="{F4932286-2E58-45E2-8DAD-CE77695D5246}"/>
    <hyperlink ref="D16" r:id="rId163" xr:uid="{804C7B3C-078A-40AB-BF04-927C1B27D3CA}"/>
    <hyperlink ref="D29" r:id="rId164" xr:uid="{A1AD0BB2-BA9A-4479-9191-EC6B10274AD4}"/>
    <hyperlink ref="D30" r:id="rId165" xr:uid="{182F3DB2-FA82-44B8-97E7-609F4A280D31}"/>
    <hyperlink ref="D13" r:id="rId166" xr:uid="{AFB0D52C-4711-41CB-ABD9-936FAA65D116}"/>
    <hyperlink ref="D14" r:id="rId167" xr:uid="{0E590BF5-AB57-4F04-B68E-00DFBA5FF656}"/>
    <hyperlink ref="D15" r:id="rId168" xr:uid="{7BE286C2-A82B-4E76-85B5-3E0C6E049CD6}"/>
    <hyperlink ref="D18" r:id="rId169" xr:uid="{14F2ECAC-4FE9-4A4D-8485-AA0D559720B3}"/>
    <hyperlink ref="D19" r:id="rId170" xr:uid="{12861247-E61D-446B-8D7B-A4D60C15C64E}"/>
    <hyperlink ref="D22" r:id="rId171" xr:uid="{EA2DD495-1867-40CD-BAC6-84D62F5CA837}"/>
    <hyperlink ref="D24" r:id="rId172" xr:uid="{E2BAB2B5-F5DE-48E1-BEA7-C3789B1EFB39}"/>
    <hyperlink ref="D25" r:id="rId173" xr:uid="{DB1E1C2E-C9AC-4ED9-9F46-D9617E05DFF7}"/>
    <hyperlink ref="D36" r:id="rId174" xr:uid="{FBB4E38B-D0B9-49E8-8500-49E4AAE196C2}"/>
    <hyperlink ref="D48" r:id="rId175" xr:uid="{5F492837-5393-4263-91D2-240FA686D891}"/>
    <hyperlink ref="D67" r:id="rId176" xr:uid="{E26E57DF-35FA-4A4E-A826-5B5D44CE0134}"/>
    <hyperlink ref="D69" r:id="rId177" xr:uid="{EB0870AA-9CDB-4AFF-89B8-23F14B7996C9}"/>
    <hyperlink ref="D71" r:id="rId178" xr:uid="{AEECCA41-1016-44B6-955A-ECCDB9DBECB6}"/>
    <hyperlink ref="D73" r:id="rId179" xr:uid="{1853D586-4D1E-4AF3-AEB5-76DE1D8BAF03}"/>
    <hyperlink ref="D75" r:id="rId180" xr:uid="{2AC7F9F6-2F6B-4F60-9FC6-A421BE4FA02D}"/>
    <hyperlink ref="D78" r:id="rId181" xr:uid="{E8EE0314-CFA0-472C-9642-2B4009E7C250}"/>
    <hyperlink ref="D79" r:id="rId182" xr:uid="{07948E18-7B70-46C6-AE78-40B8FC17CF0A}"/>
    <hyperlink ref="D80" r:id="rId183" xr:uid="{6A5DE027-6E70-4101-B7CB-3AB154DC3F49}"/>
    <hyperlink ref="D81" r:id="rId184" xr:uid="{EF2CB914-F257-4F94-9464-8B18761217B3}"/>
    <hyperlink ref="D82" r:id="rId185" xr:uid="{AE87A6B4-0B44-411A-868B-9E56813BE733}"/>
    <hyperlink ref="D84" r:id="rId186" xr:uid="{0AAF3335-EFE5-4079-9A0D-DB8BC7639FB2}"/>
    <hyperlink ref="D85" r:id="rId187" xr:uid="{98421973-A383-44EA-9E9B-1E1C0BA3BF02}"/>
    <hyperlink ref="D88" r:id="rId188" xr:uid="{AFCBE233-D96D-4E03-8459-B25ACC32ADA3}"/>
    <hyperlink ref="D90" r:id="rId189" xr:uid="{A0B2A2DA-738C-47FD-BACD-169129A71349}"/>
    <hyperlink ref="D91" r:id="rId190" xr:uid="{C49E46A8-B3EA-4794-9914-58AE2B8DC5CE}"/>
    <hyperlink ref="D92" r:id="rId191" xr:uid="{809BD607-28C2-4E02-A375-9ABCB7A78E95}"/>
    <hyperlink ref="D94" r:id="rId192" xr:uid="{44984503-7A01-4AD7-A621-BBD73AB83A26}"/>
    <hyperlink ref="D98" r:id="rId193" xr:uid="{5A188596-DC34-46D8-B228-79BC99F79D7F}"/>
    <hyperlink ref="D100" r:id="rId194" xr:uid="{1FE8D757-0CEB-4E38-BB32-0D33D165BE2F}"/>
    <hyperlink ref="I5" r:id="rId195" xr:uid="{0144D892-49A3-4AD9-8E88-161BF57D38E3}"/>
    <hyperlink ref="I6" r:id="rId196" xr:uid="{7D670C82-A324-4812-9763-2F97AB6F9642}"/>
    <hyperlink ref="I7" r:id="rId197" xr:uid="{0CF75CDE-3849-4488-B126-1BE6B57B7E22}"/>
    <hyperlink ref="I8" r:id="rId198" xr:uid="{CDE484C9-9268-44FB-AFAE-2F19BE2D4BB8}"/>
    <hyperlink ref="I10" r:id="rId199" xr:uid="{A3BFF481-E343-45E0-960A-9529DA51B117}"/>
    <hyperlink ref="I11" r:id="rId200" xr:uid="{E7D0B36F-03F7-418A-BC6B-5CF2AB448E8B}"/>
    <hyperlink ref="I12" r:id="rId201" xr:uid="{02B6BA13-878F-4AFF-B9CF-43F310F03BB3}"/>
    <hyperlink ref="I13" r:id="rId202" xr:uid="{2B722110-7B2D-48BD-8B72-B3AA595EC94F}"/>
    <hyperlink ref="I15" r:id="rId203" xr:uid="{BBF87CC3-DEAF-4FC8-8C59-C5548C3DD231}"/>
    <hyperlink ref="I16" r:id="rId204" xr:uid="{AD00E7B8-CA22-4D4D-A521-A0F83998D1C8}"/>
    <hyperlink ref="I18" r:id="rId205" xr:uid="{A37866BC-6AD9-49B0-802D-C2600CBB28D6}"/>
    <hyperlink ref="I19" r:id="rId206" xr:uid="{E5474AAA-0E6B-40FB-9CFE-2535E2F384B7}"/>
    <hyperlink ref="I20" r:id="rId207" xr:uid="{3CDE52D3-CBDD-4A9E-8A90-B5888D729F49}"/>
    <hyperlink ref="I21" r:id="rId208" xr:uid="{70DB1AD5-A582-447E-A22B-7FA5F56C530F}"/>
    <hyperlink ref="I22" r:id="rId209" xr:uid="{6B2135B7-06A7-47C9-B968-3F01E7D26D5D}"/>
    <hyperlink ref="I23" r:id="rId210" xr:uid="{F1983C3B-C85F-464D-BC75-E12F6440839B}"/>
    <hyperlink ref="I24" r:id="rId211" xr:uid="{48390CE8-E389-4D15-9C0C-4BEABBF67860}"/>
    <hyperlink ref="I25" r:id="rId212" xr:uid="{3156D32E-C8FE-4B37-AA6D-D70F0D0B833B}"/>
    <hyperlink ref="I27" r:id="rId213" xr:uid="{EA59352E-764C-4B52-8E66-0B957430C4BE}"/>
    <hyperlink ref="I28" r:id="rId214" xr:uid="{23C33DED-8535-4F0F-95A4-7690A931193F}"/>
    <hyperlink ref="I29" r:id="rId215" xr:uid="{9CAFCB7D-EECF-48E1-9808-B876AFFF0DA1}"/>
    <hyperlink ref="I30" r:id="rId216" xr:uid="{4F2D8822-6E7C-470A-BA73-303B4474CFB3}"/>
    <hyperlink ref="I31" r:id="rId217" xr:uid="{CC5E1D81-D1BC-41C3-944C-50262E38C420}"/>
    <hyperlink ref="I32" r:id="rId218" xr:uid="{DA48113F-451F-406B-B7F9-3135CE138C81}"/>
    <hyperlink ref="I33" r:id="rId219" xr:uid="{451DCFD7-D66C-4FDE-9623-1C9D8A06FE77}"/>
    <hyperlink ref="I34" r:id="rId220" xr:uid="{0B50214A-F234-4E03-98BF-4637D833FC56}"/>
    <hyperlink ref="I36" r:id="rId221" xr:uid="{934A3C21-F034-4939-A8E5-72938D4F0E21}"/>
    <hyperlink ref="I37" r:id="rId222" xr:uid="{400C4C85-1CC1-4213-BA25-4638E6E81596}"/>
    <hyperlink ref="I38" r:id="rId223" xr:uid="{5ADEF9DE-39DC-43E9-9B42-0A355CD9ADE8}"/>
    <hyperlink ref="I39" r:id="rId224" xr:uid="{0BEB536F-1258-4654-96CE-5DD476C17C5E}"/>
    <hyperlink ref="I40" r:id="rId225" xr:uid="{82D132BE-9B52-48DC-A8A8-9CB3475D447E}"/>
    <hyperlink ref="I41" r:id="rId226" xr:uid="{1149BCC1-94DD-4839-90AB-B257192268CE}"/>
    <hyperlink ref="I42" r:id="rId227" xr:uid="{ABECBCDB-3D8E-4840-A1E6-38BD7B97913F}"/>
    <hyperlink ref="I43" r:id="rId228" xr:uid="{E280E191-E15B-43B6-B341-03F123AF709A}"/>
    <hyperlink ref="I45" r:id="rId229" xr:uid="{9F7F3319-2673-4A0E-B97C-D9DBE4DA6A04}"/>
    <hyperlink ref="I46" r:id="rId230" xr:uid="{738D884E-1EA4-482C-9A0F-3B911211EB61}"/>
    <hyperlink ref="I47" r:id="rId231" xr:uid="{E13197D8-8932-4882-ADA4-CC0D6B947C69}"/>
    <hyperlink ref="I48" r:id="rId232" xr:uid="{59C1AC12-E150-49CF-AC18-18DCEF07AF8F}"/>
    <hyperlink ref="I49" r:id="rId233" xr:uid="{51797E54-3489-4C19-A21F-BF09316BAF8E}"/>
    <hyperlink ref="I50" r:id="rId234" xr:uid="{B2582DF5-693F-4D22-98D7-00C75906CBF3}"/>
    <hyperlink ref="I51" r:id="rId235" xr:uid="{A9001F3E-874F-4B3D-8973-E5F8445CFCB2}"/>
    <hyperlink ref="I52" r:id="rId236" xr:uid="{FA45C49A-C4D4-4191-A208-5A813B3D3CD1}"/>
    <hyperlink ref="I53" r:id="rId237" xr:uid="{9ED50767-5144-4CB4-9F3B-A552A1B37825}"/>
    <hyperlink ref="I54" r:id="rId238" xr:uid="{FCB30623-A017-4A2D-A136-D44125CE0AEB}"/>
    <hyperlink ref="I55" r:id="rId239" xr:uid="{1FEEC319-DD0A-4D9E-AAF5-A2A51EC54866}"/>
    <hyperlink ref="I56" r:id="rId240" xr:uid="{43758083-44A7-4767-963C-D9959EC17663}"/>
    <hyperlink ref="I57" r:id="rId241" xr:uid="{37D986A7-8949-4B0C-BE7A-F7137281DA40}"/>
    <hyperlink ref="I58" r:id="rId242" xr:uid="{8DFB3BBA-1202-49A2-A49C-A59F9268BB42}"/>
    <hyperlink ref="I60" r:id="rId243" xr:uid="{3B113FB9-8CF0-48B8-8993-BDD2F2E60C26}"/>
    <hyperlink ref="I61" r:id="rId244" xr:uid="{C6DD500F-3024-4CE9-9971-CE444B7AA8C2}"/>
    <hyperlink ref="I62" r:id="rId245" xr:uid="{D1B76873-E34D-4B96-A7BB-B64EB28E3F97}"/>
    <hyperlink ref="I63" r:id="rId246" xr:uid="{2CF5F252-6058-46DF-BCFF-DA2A6F0A80EE}"/>
    <hyperlink ref="I64" r:id="rId247" xr:uid="{3F20466C-0F6D-48F4-A8FF-1CB234E6B490}"/>
    <hyperlink ref="I65" r:id="rId248" xr:uid="{676E06B3-84A6-4B98-97E6-59D190122812}"/>
    <hyperlink ref="I66" r:id="rId249" xr:uid="{01195F0B-0B5B-42CA-9773-98F49D92C967}"/>
    <hyperlink ref="I67" r:id="rId250" xr:uid="{D295049A-5FC5-483C-9901-8A07F43CC82C}"/>
    <hyperlink ref="I68" r:id="rId251" xr:uid="{0E3FE10F-119F-4300-8F26-096DBF02A674}"/>
    <hyperlink ref="I69" r:id="rId252" xr:uid="{7EA9852A-791B-43F4-896A-C335129A12BF}"/>
    <hyperlink ref="I72" r:id="rId253" xr:uid="{1E10B157-6EAE-4D93-AF72-202A04F1553C}"/>
    <hyperlink ref="I77" r:id="rId254" xr:uid="{28DB7054-0169-4250-9331-A4ABE1191349}"/>
    <hyperlink ref="I83" r:id="rId255" xr:uid="{09A1D849-88DB-4BBF-9C33-67FAFEEBCC1E}"/>
    <hyperlink ref="I87" r:id="rId256" xr:uid="{77B23A61-53CA-41E2-B49F-29393E81322F}"/>
    <hyperlink ref="I93" r:id="rId257" xr:uid="{24EE9B04-9237-4BCF-BBBD-1DF453987635}"/>
    <hyperlink ref="I109" r:id="rId258" xr:uid="{622B481A-CCF4-4253-8703-C0BF89C6768A}"/>
    <hyperlink ref="I111" r:id="rId259" xr:uid="{EFCF0B9C-5FCC-4D89-B579-E60193AC7B8C}"/>
    <hyperlink ref="I114" r:id="rId260" xr:uid="{27D6A6C4-51A3-491E-B76A-89AFAA65EAA0}"/>
    <hyperlink ref="I115" r:id="rId261" xr:uid="{D8BA0E9F-F3F8-437F-B98B-2C8B26AD71E3}"/>
    <hyperlink ref="I116" r:id="rId262" xr:uid="{5394F1DD-642F-4B9B-947F-2A6D7714A63F}"/>
    <hyperlink ref="I117" r:id="rId263" xr:uid="{6C7BF885-15E7-4ACA-8035-9C28D319DB65}"/>
    <hyperlink ref="I119" r:id="rId264" xr:uid="{CA235989-272A-4C91-B7C4-63FCA627E59F}"/>
    <hyperlink ref="I17" r:id="rId265" xr:uid="{C0FFB00A-9BBA-4E28-BD58-7D54C773F813}"/>
    <hyperlink ref="I26" r:id="rId266" xr:uid="{2084BA0B-9713-4749-9D94-E1CF4E4F412F}"/>
    <hyperlink ref="M117" r:id="rId267" xr:uid="{6C31C306-1125-4A80-AA6E-7DDFE573DF3E}"/>
    <hyperlink ref="M119" r:id="rId268" xr:uid="{6CA33BD3-A9C8-4949-87A4-C36114C61B4E}"/>
    <hyperlink ref="M114" r:id="rId269" xr:uid="{1C651F87-5939-4461-BAC0-21585A70528F}"/>
    <hyperlink ref="M116" r:id="rId270" xr:uid="{49512475-8402-46F5-A8C7-58442D0AFFA7}"/>
    <hyperlink ref="M68" r:id="rId271" xr:uid="{A1169D40-DE8A-4818-B8DF-0E319645D88B}"/>
    <hyperlink ref="M23" r:id="rId272" xr:uid="{670BBA79-BE2F-454E-B321-BC9D2A99620E}"/>
    <hyperlink ref="M17" r:id="rId273" xr:uid="{C1447CFE-0158-403C-8A92-3B2B0AEAD1CE}"/>
    <hyperlink ref="M26" r:id="rId274" xr:uid="{ADF6700A-65FE-4D93-9DFE-81789F552792}"/>
    <hyperlink ref="M47" r:id="rId275" xr:uid="{EC1C00AB-50EA-4E9C-95F6-A9678A48E137}"/>
    <hyperlink ref="M50" r:id="rId276" xr:uid="{1F13B554-7CA6-4569-B1E8-DCE500FC4087}"/>
    <hyperlink ref="M56" r:id="rId277" xr:uid="{FD11B72B-DA31-4797-A42E-2C7FA7911529}"/>
    <hyperlink ref="M60" r:id="rId278" xr:uid="{36353566-8698-4EA8-BA21-C6032FF78206}"/>
    <hyperlink ref="M16" r:id="rId279" xr:uid="{73595614-5375-442B-A65D-77E547EAE332}"/>
    <hyperlink ref="M44" r:id="rId280" xr:uid="{00D6DC52-5A5B-486D-969F-5F5AC4888EF2}"/>
    <hyperlink ref="M58" r:id="rId281" xr:uid="{390F33FF-2EC0-4AAB-9982-909C5310B657}"/>
    <hyperlink ref="M57" r:id="rId282" xr:uid="{33AF3CD4-E1F3-45E5-8F8B-0649F5E042E5}"/>
    <hyperlink ref="M62" r:id="rId283" xr:uid="{6A9F3C26-5E05-45D8-B22F-F5B6D40043D4}"/>
    <hyperlink ref="M64" r:id="rId284" xr:uid="{6EEFBB8E-87D4-47E7-A6C0-8695F6C6926B}"/>
    <hyperlink ref="M115" r:id="rId285" xr:uid="{95B38736-011B-4468-AC4D-C490FDEBA809}"/>
    <hyperlink ref="M111" r:id="rId286" xr:uid="{93136626-2740-4DE2-ADE7-0D6624B87552}"/>
    <hyperlink ref="M29" r:id="rId287" xr:uid="{3BDA97E2-5F01-4AD2-B8CF-F48D22B3EF32}"/>
    <hyperlink ref="M30" r:id="rId288" xr:uid="{60EB8515-FAE9-4B21-B80F-5E0F90BBFD01}"/>
    <hyperlink ref="M34" r:id="rId289" xr:uid="{FB2D22DB-C12F-49E0-87C1-2AA6467AEE83}"/>
    <hyperlink ref="M14" r:id="rId290" xr:uid="{217CEC55-7415-4A76-9BFE-77EAC3814628}"/>
    <hyperlink ref="M18" r:id="rId291" xr:uid="{4E59DAA9-3E0C-48A5-A299-BDBC00EA38F2}"/>
    <hyperlink ref="M19" r:id="rId292" xr:uid="{DB33F4C7-59F8-4363-AE3A-4FB215014EBB}"/>
    <hyperlink ref="M20" r:id="rId293" xr:uid="{C47A72F0-382A-4461-B8EE-E514F68C7F39}"/>
    <hyperlink ref="M21" r:id="rId294" xr:uid="{7A76837A-2BF4-4EF4-B262-6E9EE5E03CD3}"/>
    <hyperlink ref="M22" r:id="rId295" xr:uid="{F96DADC6-DBE0-47D3-97B2-1E8B20ABA9EA}"/>
    <hyperlink ref="M24" r:id="rId296" xr:uid="{7DEE2C9E-842C-4A57-8A4B-37128AC15479}"/>
    <hyperlink ref="M25" r:id="rId297" xr:uid="{5FF94B43-7C5C-4E2C-87FE-DE3368EB189F}"/>
    <hyperlink ref="M27" r:id="rId298" xr:uid="{C9028DB7-02DA-4DB7-BA0A-03550710A33E}"/>
    <hyperlink ref="M28" r:id="rId299" xr:uid="{DD11F758-E990-44A4-819F-99FEE7166A8D}"/>
    <hyperlink ref="M31" r:id="rId300" xr:uid="{3AC4DF5D-57EC-4F4C-A024-25F9BA98C9D2}"/>
    <hyperlink ref="M32" r:id="rId301" xr:uid="{1A7B9546-AA1D-4C23-A180-EF92DD3423FD}"/>
    <hyperlink ref="M33" r:id="rId302" xr:uid="{E3628E98-4DD6-45A3-8D8C-79C52D5F5BBA}"/>
    <hyperlink ref="M35" r:id="rId303" xr:uid="{5E3CDF9A-B2AD-4814-82A9-ABA945611FBA}"/>
    <hyperlink ref="M36" r:id="rId304" xr:uid="{C4D62C61-6F98-4E6B-B245-B4D339775D51}"/>
    <hyperlink ref="M37" r:id="rId305" xr:uid="{29758F6B-1CBF-4DF4-9F2B-B538C17ECC6A}"/>
    <hyperlink ref="M38" r:id="rId306" xr:uid="{693AF123-6229-45F6-9316-C526B538AAED}"/>
    <hyperlink ref="M39" r:id="rId307" xr:uid="{7BCEE3E8-DAD7-44FE-84AA-2CB062760B20}"/>
    <hyperlink ref="M40" r:id="rId308" xr:uid="{F2B2B5EB-3375-40F1-A223-F9812A693EF0}"/>
    <hyperlink ref="M41" r:id="rId309" xr:uid="{6024766F-ADA0-4C0E-B478-100BFDC8F08A}"/>
    <hyperlink ref="M42" r:id="rId310" xr:uid="{CA2CED46-443A-48C9-80C4-777C94B36CD9}"/>
    <hyperlink ref="M43" r:id="rId311" xr:uid="{CC32C32C-35BC-4EB2-8D4A-79B1F4BEDD96}"/>
    <hyperlink ref="M45" r:id="rId312" xr:uid="{46243B12-CECF-4FD3-8EB3-C2F50C36A9C8}"/>
    <hyperlink ref="M46" r:id="rId313" xr:uid="{619C75F9-0349-47AB-9976-F6EC04C9A16B}"/>
    <hyperlink ref="M48" r:id="rId314" xr:uid="{BA996F28-BB90-447D-8425-BD49DE2459B9}"/>
    <hyperlink ref="M49" r:id="rId315" xr:uid="{44CF10EB-A60B-4604-A749-61E068FDBA46}"/>
    <hyperlink ref="M51" r:id="rId316" xr:uid="{683D3FC8-D0BC-4D71-B777-53E8B44FD34B}"/>
    <hyperlink ref="M52" r:id="rId317" xr:uid="{3676FF42-D4DE-42D3-A85B-A905717D5339}"/>
    <hyperlink ref="M53" r:id="rId318" xr:uid="{2EBCB2DD-6728-49C4-A6A8-384A793E8413}"/>
    <hyperlink ref="M54" r:id="rId319" xr:uid="{7DC2371E-013A-40F1-9DA5-69B0E7B1DA15}"/>
    <hyperlink ref="M55" r:id="rId320" xr:uid="{BBDE7A1D-ECE7-4BFB-88E6-F17A0236DE4A}"/>
    <hyperlink ref="M59" r:id="rId321" xr:uid="{2486F30D-C11A-498F-B348-1DC84102B312}"/>
    <hyperlink ref="M61" r:id="rId322" xr:uid="{37CE70B4-E355-4D48-BA09-AF53DBFA2815}"/>
    <hyperlink ref="M63" r:id="rId323" xr:uid="{4EB807D0-93B7-4BD6-B62E-451A7519FD19}"/>
    <hyperlink ref="M67" r:id="rId324" xr:uid="{A6574206-55CB-43AA-90AD-D97DD431C7E1}"/>
    <hyperlink ref="M69" r:id="rId325" xr:uid="{A17E0E98-E4D2-44E4-8334-2E6177670080}"/>
    <hyperlink ref="M81" r:id="rId326" xr:uid="{FDD8EB05-AF0B-4BD7-AC67-A79C76F48E22}"/>
    <hyperlink ref="M91" r:id="rId327" xr:uid="{9B87F77B-C316-4A64-9FD8-B3283B904AA0}"/>
    <hyperlink ref="M97" r:id="rId328" xr:uid="{DF9F51C2-12F9-42D1-9CB7-36C413C3567F}"/>
    <hyperlink ref="M103" r:id="rId329" xr:uid="{39BE82D8-4463-42FC-B4BB-0AE958719A15}"/>
    <hyperlink ref="P16" r:id="rId330" xr:uid="{FF6EA6C1-14E5-4892-9127-B4B49951F7D2}"/>
    <hyperlink ref="P115" r:id="rId331" xr:uid="{7A78D311-7EC8-45C7-9E8A-3CEA8343DA2D}"/>
    <hyperlink ref="P22" r:id="rId332" xr:uid="{F80617F2-FB67-42BF-8DC5-53CC19122202}"/>
    <hyperlink ref="P24" r:id="rId333" xr:uid="{BB674B95-F33D-49B1-9F4F-EFF02C8AE0C8}"/>
    <hyperlink ref="P53" r:id="rId334" xr:uid="{011BB194-8A7F-4120-9333-BB80A2295D0A}"/>
    <hyperlink ref="P55" r:id="rId335" xr:uid="{5E743BC4-65FF-476F-BA72-C61229C7AF13}"/>
    <hyperlink ref="P59" r:id="rId336" xr:uid="{48035808-4341-43FB-9220-7AFC5DD04102}"/>
    <hyperlink ref="P69" r:id="rId337" xr:uid="{93348C12-26BF-43AD-82B8-073A5ED41A9B}"/>
    <hyperlink ref="J5" r:id="rId338" xr:uid="{AABE69AD-1225-4594-AE37-4F3F7758A3B8}"/>
    <hyperlink ref="J6" r:id="rId339" xr:uid="{9D00E8FA-2A5C-4A43-8759-AC13BF121283}"/>
    <hyperlink ref="J7" r:id="rId340" xr:uid="{913951C5-949D-47E6-ABF0-DFAEBC9FEC9A}"/>
    <hyperlink ref="J8" r:id="rId341" xr:uid="{B93541B6-9B9D-4C95-B267-B79DCDC852EC}"/>
    <hyperlink ref="J10" r:id="rId342" xr:uid="{81B6725A-1CBF-4140-84DE-5B3FB206EB06}"/>
    <hyperlink ref="J11" r:id="rId343" xr:uid="{3CB831C0-848F-4D41-8ED9-6AF7570C2125}"/>
    <hyperlink ref="J12" r:id="rId344" xr:uid="{9836E674-BF31-41A3-968A-C1DF854D1574}"/>
    <hyperlink ref="J13" r:id="rId345" xr:uid="{C925F0B4-2467-4C14-A33A-91B3F994F06E}"/>
    <hyperlink ref="J15" r:id="rId346" xr:uid="{1BBE036E-2FED-445A-8CDF-DBCA4F42BFE0}"/>
    <hyperlink ref="J16" r:id="rId347" xr:uid="{1D4328F6-8DB1-4D83-B559-75117C64B48D}"/>
    <hyperlink ref="J18" r:id="rId348" xr:uid="{0E591865-6A16-45C1-89A0-7C60FA8DE310}"/>
    <hyperlink ref="J19" r:id="rId349" xr:uid="{D7FE97A3-A3C4-440E-9CDD-7F80DFEC9C56}"/>
    <hyperlink ref="J20" r:id="rId350" xr:uid="{5EAEB57B-F757-4BAC-BFB1-BAB814D2ADCA}"/>
    <hyperlink ref="J21" r:id="rId351" xr:uid="{FBA050FF-CFCA-4D27-9678-FDD361715E56}"/>
    <hyperlink ref="J22" r:id="rId352" xr:uid="{376A3F22-16BA-4DAF-99A0-D6B05225FA2F}"/>
    <hyperlink ref="J23" r:id="rId353" xr:uid="{D5D7908F-AA0D-4B59-A7E3-0A7F01EB6481}"/>
    <hyperlink ref="J24" r:id="rId354" xr:uid="{F52B92EF-76EA-4217-A6C7-0853BD6A6A4A}"/>
    <hyperlink ref="J25" r:id="rId355" xr:uid="{51310B14-FCC8-4174-8E11-77F16805A072}"/>
    <hyperlink ref="J27" r:id="rId356" xr:uid="{C734BE0E-F403-48BE-A7FF-5BDD333C6AA8}"/>
    <hyperlink ref="J28" r:id="rId357" xr:uid="{28928099-C6AB-4E59-A50F-0EE46E36F73D}"/>
    <hyperlink ref="J29" r:id="rId358" xr:uid="{939F6C56-54D1-4EA4-9A32-06EE37407614}"/>
    <hyperlink ref="J30" r:id="rId359" xr:uid="{4AAD4B0D-C8EA-4536-80DF-7B3DA88A24D1}"/>
    <hyperlink ref="J31" r:id="rId360" xr:uid="{4F3770AE-BDCF-4D50-86BC-4E5E44CA1D9B}"/>
    <hyperlink ref="J32" r:id="rId361" xr:uid="{5C921B8A-6118-4718-876A-517420C6AC1E}"/>
    <hyperlink ref="J33" r:id="rId362" xr:uid="{889E2D1E-A56A-4AAE-A96B-5846C7ED3297}"/>
    <hyperlink ref="J34" r:id="rId363" xr:uid="{425EE28C-17D6-415F-9806-CB0A7AC6239C}"/>
    <hyperlink ref="J36" r:id="rId364" xr:uid="{06A86982-8EAE-4095-BBC4-A6EC1914D1B6}"/>
    <hyperlink ref="J37" r:id="rId365" xr:uid="{7BF2DE0B-972D-459A-8876-D03CBEF44734}"/>
    <hyperlink ref="J38" r:id="rId366" xr:uid="{A80FD1A1-EF19-43CC-AAEC-528E81B7A98C}"/>
    <hyperlink ref="J39" r:id="rId367" xr:uid="{11989839-BD35-4428-9448-67BC74610343}"/>
    <hyperlink ref="J40" r:id="rId368" xr:uid="{64C9C92D-308D-4635-B3D9-EF4FDC93AB99}"/>
    <hyperlink ref="J41" r:id="rId369" xr:uid="{10556602-64DA-438C-A459-1A3DE3B5A691}"/>
    <hyperlink ref="J42" r:id="rId370" xr:uid="{07849135-9A41-432B-84B3-99507472F803}"/>
    <hyperlink ref="J43" r:id="rId371" xr:uid="{EE0CBAD2-0133-4E7E-92E3-1BB6F89DCB78}"/>
    <hyperlink ref="J44" r:id="rId372" xr:uid="{4F2A538C-D285-4A33-B8AD-E6C3DCBE1BC5}"/>
    <hyperlink ref="J45" r:id="rId373" xr:uid="{0C8440B7-A509-4F9B-9DBD-030D20902015}"/>
    <hyperlink ref="J46" r:id="rId374" xr:uid="{1ACFDDA0-5D5A-4408-9F0E-70FAB01E8834}"/>
    <hyperlink ref="J47" r:id="rId375" xr:uid="{F7CE89DC-CDFF-499A-8C6A-300983B40E61}"/>
    <hyperlink ref="J48" r:id="rId376" xr:uid="{6613421C-6CA6-45CF-8C1C-37622D11DC37}"/>
    <hyperlink ref="J49" r:id="rId377" xr:uid="{300B22F4-8BF5-49AA-AA59-9DAEED06065E}"/>
    <hyperlink ref="J50" r:id="rId378" xr:uid="{C3ADF987-740D-4AAC-8C7F-A3692029B333}"/>
    <hyperlink ref="J51" r:id="rId379" xr:uid="{1C3DC26D-5E8D-4196-A3DC-066B47549B4E}"/>
    <hyperlink ref="J52" r:id="rId380" xr:uid="{98316CF8-8AF8-479C-BBA1-E797B0E5E8AF}"/>
    <hyperlink ref="J53" r:id="rId381" xr:uid="{16B29777-03B8-4A3E-B1A2-6224910A3AD3}"/>
    <hyperlink ref="J54" r:id="rId382" xr:uid="{B744B2F9-833A-425A-99FA-21BDF2675D90}"/>
    <hyperlink ref="J55" r:id="rId383" xr:uid="{4011C177-8C4A-4FB2-B819-FA18F7BED19F}"/>
    <hyperlink ref="J56" r:id="rId384" xr:uid="{E14609AB-0A34-4395-8965-8B4F67755CD6}"/>
    <hyperlink ref="J57" r:id="rId385" xr:uid="{DA21FDEE-308C-4230-A07A-5FD01F03331F}"/>
    <hyperlink ref="J58" r:id="rId386" xr:uid="{622EE1FD-AEF8-4857-BBC2-55DBFC5E6BF4}"/>
    <hyperlink ref="J60" r:id="rId387" xr:uid="{20D9AE66-6979-4741-B9AD-0BDDFDF98779}"/>
    <hyperlink ref="J61" r:id="rId388" xr:uid="{E6DEAD7A-3CA5-4738-A1EE-C1CBBCC5AA46}"/>
    <hyperlink ref="J62" r:id="rId389" xr:uid="{E319986B-2248-4B3E-8909-5D5B41E280BB}"/>
    <hyperlink ref="J63" r:id="rId390" xr:uid="{794B001E-100D-419D-9CD5-00A633260AFE}"/>
    <hyperlink ref="J64" r:id="rId391" xr:uid="{7EE14961-9F23-4DA6-A48C-716DF43318FF}"/>
    <hyperlink ref="J65" r:id="rId392" xr:uid="{8B5EFA11-5D84-4773-B545-C0FADB1A36B2}"/>
    <hyperlink ref="J66" r:id="rId393" xr:uid="{330DE660-5EA6-4176-A315-65BE0A423D55}"/>
    <hyperlink ref="J67" r:id="rId394" xr:uid="{0EE1CF7B-A37E-4304-AC05-6005F353B935}"/>
    <hyperlink ref="J68" r:id="rId395" xr:uid="{3AB8FCDC-53B0-48C3-B3A1-B6124EF001D8}"/>
    <hyperlink ref="J69" r:id="rId396" xr:uid="{DA3B4BF5-73FB-40C9-9E68-A33E05CF9A42}"/>
    <hyperlink ref="J72" r:id="rId397" xr:uid="{45965C98-3ED6-4394-9929-B5AE6B18ECF7}"/>
    <hyperlink ref="J77" r:id="rId398" xr:uid="{D3AFB415-29C0-4819-96B9-591A91BD9536}"/>
    <hyperlink ref="J83" r:id="rId399" xr:uid="{2411C8BC-FFCB-4078-AA48-8D9BFDE9500B}"/>
    <hyperlink ref="J87" r:id="rId400" xr:uid="{1AAEE407-2C59-4A38-BA68-C808DE88116C}"/>
    <hyperlink ref="J93" r:id="rId401" xr:uid="{E8D83460-0C60-4547-B6C4-61D0BE044F5A}"/>
    <hyperlink ref="J109" r:id="rId402" xr:uid="{45E15AC6-AEB4-4E03-BDF6-48E063A1FE70}"/>
    <hyperlink ref="J111" r:id="rId403" xr:uid="{48D1E978-5A1F-4639-B16F-CA20EDA6BD2A}"/>
    <hyperlink ref="J114" r:id="rId404" xr:uid="{248FD715-E7B8-4F6A-839C-ACAF2F029ADA}"/>
    <hyperlink ref="J115" r:id="rId405" xr:uid="{485B877C-0871-4E82-82B1-3B51EAF43635}"/>
    <hyperlink ref="J116" r:id="rId406" xr:uid="{46C20273-B30C-4B68-8523-611CADC9F154}"/>
    <hyperlink ref="J117" r:id="rId407" xr:uid="{50CF026F-2059-4244-839E-743CC18FB5AC}"/>
    <hyperlink ref="J119" r:id="rId408" xr:uid="{D59FBAF9-C65E-49AB-810B-9763065BDBCD}"/>
    <hyperlink ref="J17" r:id="rId409" xr:uid="{A5BC6403-54C3-4723-9612-5984C6B8AD9F}"/>
    <hyperlink ref="J26" r:id="rId410" xr:uid="{55A84730-5268-4F7E-9745-DC75816E0FC2}"/>
    <hyperlink ref="N119" r:id="rId411" xr:uid="{6ED82094-E43A-466B-883E-D46FCD3F83DD}"/>
    <hyperlink ref="K6" r:id="rId412" xr:uid="{5C88E40C-06D4-44E6-8E10-F9B25C4CAFBB}"/>
    <hyperlink ref="K102" r:id="rId413" xr:uid="{1A00B543-4B67-4E67-920B-C6AC51721F1C}"/>
    <hyperlink ref="K23" r:id="rId414" xr:uid="{963AE839-07B9-4EB9-A506-0EB17C95F73F}"/>
    <hyperlink ref="K30" r:id="rId415" xr:uid="{681DB4CD-95C8-44ED-AF1C-72D591E60AD4}"/>
    <hyperlink ref="K65" r:id="rId416" xr:uid="{A195A54F-787F-4DB4-945D-FC102A97305E}"/>
    <hyperlink ref="K87" r:id="rId417" xr:uid="{CAF1059E-EA60-4B2E-AF30-295C399D2069}"/>
    <hyperlink ref="K96" r:id="rId418" xr:uid="{812B3C59-30C4-4FF7-AA15-7728B4CB47C6}"/>
    <hyperlink ref="K39" r:id="rId419" xr:uid="{5E096C41-4F48-4593-BC57-FF8A08867E01}"/>
    <hyperlink ref="K112" r:id="rId420" xr:uid="{E7E453E8-2BF6-4C08-8208-C8314464CE8C}"/>
    <hyperlink ref="K12" r:id="rId421" xr:uid="{448146A5-4D7D-498F-A5CE-289ECD2F8F03}"/>
    <hyperlink ref="K34" r:id="rId422" xr:uid="{9D0FDCEA-F94E-4A52-A031-757FB401A2E5}"/>
    <hyperlink ref="K105" r:id="rId423" xr:uid="{25749DA3-22DF-46AC-A84E-864316592161}"/>
    <hyperlink ref="K13" r:id="rId424" xr:uid="{2A88BD9C-4A53-44E2-911A-C65A13BA0209}"/>
    <hyperlink ref="K58" r:id="rId425" xr:uid="{657ADF64-BD4E-42F5-AC7C-30B262AEFBF2}"/>
    <hyperlink ref="K114" r:id="rId426" xr:uid="{948A87D4-F601-40AD-9D5C-59A9E43D3B59}"/>
    <hyperlink ref="K92" r:id="rId427" xr:uid="{B5E46A0F-E70A-4285-B9A0-D8C3FBB9989B}"/>
    <hyperlink ref="K54" r:id="rId428" xr:uid="{696FEE0C-22BF-4514-BD69-A63D9089ABBA}"/>
    <hyperlink ref="K60" r:id="rId429" xr:uid="{5305B056-299D-482E-847F-08DB44C5EAF8}"/>
    <hyperlink ref="K56" r:id="rId430" xr:uid="{47EE2569-429C-4822-8966-FA0CD99FEE41}"/>
    <hyperlink ref="K91" r:id="rId431" xr:uid="{317C2AFC-F711-4B87-866A-61CB06722266}"/>
    <hyperlink ref="K36" r:id="rId432" xr:uid="{E6986E93-2854-429E-824F-6824D6FF43A6}"/>
    <hyperlink ref="K110" r:id="rId433" xr:uid="{FA1D907B-AE57-4DB0-81F4-E656B051697D}"/>
    <hyperlink ref="K90" r:id="rId434" xr:uid="{2E97F32C-7C78-4BC6-A117-81234A7B8290}"/>
    <hyperlink ref="K99" r:id="rId435" xr:uid="{0CB3FD07-38A1-47A0-A0A5-D04507B5F3F4}"/>
    <hyperlink ref="K107" r:id="rId436" xr:uid="{9B930876-241C-4320-A527-E208AD988624}"/>
    <hyperlink ref="K93" r:id="rId437" xr:uid="{19767881-292E-406F-9D1A-E48ABCC82526}"/>
    <hyperlink ref="K41" r:id="rId438" xr:uid="{C7BA3C80-6747-44E8-8486-85FC2F9B379A}"/>
    <hyperlink ref="K22" r:id="rId439" xr:uid="{632C6889-AC2A-4D5F-BE41-EF900431E255}"/>
    <hyperlink ref="K70" r:id="rId440" xr:uid="{EB81972B-D689-4555-8958-307989951AFC}"/>
    <hyperlink ref="K16" r:id="rId441" xr:uid="{3CC3A705-2E73-4CFF-939D-BED4651F9543}"/>
    <hyperlink ref="K55" r:id="rId442" xr:uid="{0E82623F-242B-4223-BEE5-126553FAA7A6}"/>
    <hyperlink ref="K8" r:id="rId443" xr:uid="{39B1620F-8482-4616-911A-244075D90E72}"/>
    <hyperlink ref="K101" r:id="rId444" xr:uid="{F3CC2AD4-9E1B-47FB-B567-AAF6B26F0EB3}"/>
    <hyperlink ref="K97" r:id="rId445" xr:uid="{590EE860-076E-4BEC-9147-435724D099F2}"/>
    <hyperlink ref="K38" r:id="rId446" xr:uid="{9C5A6F89-223F-4C58-B4F5-019F7FBCEB4A}"/>
    <hyperlink ref="K88" r:id="rId447" xr:uid="{A639B753-DBE6-424B-92A2-C4C5E9659188}"/>
    <hyperlink ref="K31" r:id="rId448" xr:uid="{E2719CC8-956D-4C83-A7F0-9A6C3DB67C65}"/>
    <hyperlink ref="K27" r:id="rId449" xr:uid="{14857625-D898-4A34-901A-AC68433EECAE}"/>
    <hyperlink ref="K63" r:id="rId450" xr:uid="{4EBB095E-EC28-4B97-BCFD-15CB28FEBF2B}"/>
    <hyperlink ref="K66" r:id="rId451" xr:uid="{B5068D16-607B-4D85-9B1F-CE52B56F8DDB}"/>
    <hyperlink ref="K73" r:id="rId452" xr:uid="{E228719C-7C9C-473E-A1AD-A1C6796A7DB2}"/>
    <hyperlink ref="K118" r:id="rId453" xr:uid="{BDD4D4A4-FE2F-4ACE-9D31-E70DDDE10445}"/>
    <hyperlink ref="K49" r:id="rId454" xr:uid="{37F929E7-8A85-448F-A1E6-001C4F397126}"/>
    <hyperlink ref="K44" r:id="rId455" xr:uid="{381659F5-9BFE-4ED9-A36F-3EEC7DDFBAB8}"/>
    <hyperlink ref="K43" r:id="rId456" xr:uid="{BCD537E5-5165-4DDF-B239-5F9ECE1E3C7A}"/>
    <hyperlink ref="K47" r:id="rId457" xr:uid="{5921A602-2D01-4A4E-8240-36C0A7B006A0}"/>
    <hyperlink ref="K28" r:id="rId458" xr:uid="{6A8555A5-DA76-4505-946E-E577B93CAED5}"/>
    <hyperlink ref="K72" r:id="rId459" xr:uid="{2C34102C-A4BE-4BD6-894B-85E2441A95E8}"/>
    <hyperlink ref="K40" r:id="rId460" xr:uid="{C1709E13-1357-4B9F-BA82-4C6D61D1DE2A}"/>
    <hyperlink ref="K15" r:id="rId461" xr:uid="{0A9CE0E7-CBAA-4500-9BE1-1DEFDE3BE3A3}"/>
    <hyperlink ref="K94" r:id="rId462" xr:uid="{D1CDCE9D-D6B5-4CA4-9043-DFD76485728F}"/>
    <hyperlink ref="K10" r:id="rId463" xr:uid="{B058DC70-9D77-47EE-AE0F-7E1CBD7F51A3}"/>
    <hyperlink ref="K89" r:id="rId464" xr:uid="{4FC24BA9-DA4A-42BC-AC47-34D86203DADD}"/>
    <hyperlink ref="K61" r:id="rId465" xr:uid="{6340EB85-EACD-4A6F-A1C5-CDF98F2D7FCD}"/>
    <hyperlink ref="K103" r:id="rId466" xr:uid="{54D8CD50-3C9F-44CA-A8E5-05947FABBFFA}"/>
    <hyperlink ref="K83" r:id="rId467" xr:uid="{35A25D43-ED63-4840-8E95-5EDB54D81950}"/>
    <hyperlink ref="K85" r:id="rId468" xr:uid="{3AA0E22C-9D97-4B2A-A709-96A73B429CD1}"/>
    <hyperlink ref="K52" r:id="rId469" xr:uid="{784EAE22-39FE-4103-8E4C-F27C6FC7E5BA}"/>
    <hyperlink ref="K24" r:id="rId470" xr:uid="{00CBC4D2-0F63-4A36-8BE0-6B9D864311A2}"/>
    <hyperlink ref="K69" r:id="rId471" xr:uid="{19D958F2-40A6-43FC-A314-684514465247}"/>
    <hyperlink ref="K51" r:id="rId472" xr:uid="{5C231E27-C1F2-4B5A-9896-F00882EE6291}"/>
    <hyperlink ref="K95" r:id="rId473" xr:uid="{31B91AE8-7E87-4D69-88C7-E902726CA753}"/>
    <hyperlink ref="K9" r:id="rId474" xr:uid="{29A7A3D0-BE75-4759-B461-C0F284FCA2C4}"/>
    <hyperlink ref="K119" r:id="rId475" xr:uid="{E1EFD3E2-2877-48F2-9478-C3FFB236E3F3}"/>
    <hyperlink ref="K115" r:id="rId476" xr:uid="{611EF6D0-003B-4A69-BA92-92C2EE4825E6}"/>
    <hyperlink ref="K19" r:id="rId477" xr:uid="{A7B72C3A-D559-49F3-9603-ECEB22B8AB45}"/>
    <hyperlink ref="K29" r:id="rId478" xr:uid="{8F8F0F6C-14DD-460F-A1CB-6C9980E90EF7}"/>
    <hyperlink ref="K109" r:id="rId479" xr:uid="{84C7F27A-3330-4C56-BA87-C50FC37553D1}"/>
    <hyperlink ref="K37" r:id="rId480" xr:uid="{ECD27910-36CF-47D8-8CE0-1626B3E59D6D}"/>
    <hyperlink ref="K45" r:id="rId481" xr:uid="{31049159-0DC3-4E2F-A7FE-7403094D2184}"/>
    <hyperlink ref="K21" r:id="rId482" xr:uid="{C0DF4BD5-A721-4778-B729-E60748DE4E45}"/>
    <hyperlink ref="K5" r:id="rId483" xr:uid="{D60F4286-74D5-46B9-BCF5-DD2DF7208508}"/>
    <hyperlink ref="K71" r:id="rId484" xr:uid="{10D4E063-DA28-4F77-8F38-1DE348F3F4BD}"/>
    <hyperlink ref="K84" r:id="rId485" xr:uid="{30E05C94-7B31-4A69-973F-EB1E14471781}"/>
    <hyperlink ref="K50" r:id="rId486" xr:uid="{E3BC4121-B23F-415C-B0A7-2A572D0E3009}"/>
    <hyperlink ref="K42" r:id="rId487" xr:uid="{17EE1491-3AC6-4C8C-B9D4-BEC1512FCF8A}"/>
    <hyperlink ref="K116" r:id="rId488" xr:uid="{288D75F4-6596-4F11-A14B-F11586E94AED}"/>
    <hyperlink ref="K68" r:id="rId489" xr:uid="{036BC139-209B-49C8-B367-9BE420EEFACC}"/>
    <hyperlink ref="K75" r:id="rId490" xr:uid="{3CA06CF4-395B-4FA6-AD68-81A7A8F4D2A4}"/>
    <hyperlink ref="K11" r:id="rId491" xr:uid="{6DC10C42-D2E3-4152-BB71-2F6895E53BBB}"/>
    <hyperlink ref="K57" r:id="rId492" xr:uid="{892F48B9-F22E-4E9B-9C4A-774DAE70D39C}"/>
    <hyperlink ref="K53" r:id="rId493" xr:uid="{BAA850E1-6769-4121-BE39-6FA9889992A3}"/>
    <hyperlink ref="K17" r:id="rId494" xr:uid="{08840F0B-7CFF-4BAA-B5E7-7D2F21FABB66}"/>
    <hyperlink ref="K67" r:id="rId495" xr:uid="{CA460192-3ACB-4EC7-9938-0C6FD0CADD09}"/>
    <hyperlink ref="K48" r:id="rId496" xr:uid="{3D5A0F07-E2E9-454C-B07A-74A99287F8BB}"/>
    <hyperlink ref="K74" r:id="rId497" xr:uid="{8203CE61-5F59-4B5A-9CBE-2B432D10D08D}"/>
    <hyperlink ref="K104" r:id="rId498" xr:uid="{78700A1A-84F1-40F5-A26B-2F3569BF3709}"/>
    <hyperlink ref="K26" r:id="rId499" xr:uid="{048474FD-073F-450B-9607-F404A42ACEB7}"/>
    <hyperlink ref="K18" r:id="rId500" xr:uid="{94AD3B79-BB70-4DC3-98BA-39823EBD4CC1}"/>
    <hyperlink ref="K20" r:id="rId501" xr:uid="{8BE40817-5E08-4259-BF18-7F7485795CDE}"/>
    <hyperlink ref="K64" r:id="rId502" xr:uid="{A18F9234-E00C-4CE0-A0FB-1022F15B50C9}"/>
    <hyperlink ref="K7" r:id="rId503" xr:uid="{0F65CF90-7E9C-44A9-A306-57AA1807B4D0}"/>
    <hyperlink ref="K32" r:id="rId504" xr:uid="{935DFE82-0012-4A7B-A203-E9EAF8FF78E8}"/>
    <hyperlink ref="K82" r:id="rId505" xr:uid="{24F7FB27-84BA-4BB1-953E-776BF1051116}"/>
    <hyperlink ref="K81" r:id="rId506" xr:uid="{09CFE18E-E7F9-4A78-82DB-FF2E62E16CE4}"/>
    <hyperlink ref="K62" r:id="rId507" xr:uid="{5FEB0ED8-6765-4C8F-A8DB-79B2CF1CCAD8}"/>
    <hyperlink ref="K25" r:id="rId508" xr:uid="{79327A14-C426-4F6E-9771-295536423D84}"/>
    <hyperlink ref="K111" r:id="rId509" xr:uid="{F10F9617-76F4-4234-94AF-EFCA441C7E94}"/>
    <hyperlink ref="K106" r:id="rId510" xr:uid="{4D4B09B6-7068-4CDC-8767-D410797D4D40}"/>
    <hyperlink ref="K77" r:id="rId511" xr:uid="{EB41DF23-95DF-4735-AD02-AA0AC82D0DF3}"/>
    <hyperlink ref="K86" r:id="rId512" xr:uid="{6274B138-129B-4C36-943D-8E008305C128}"/>
    <hyperlink ref="K33" r:id="rId513" xr:uid="{A0CCFD29-A2D8-46EA-9052-740BB2B5A8D2}"/>
    <hyperlink ref="K46" r:id="rId514" xr:uid="{98B10037-D52D-40BB-81D5-EA07D81F3E5B}"/>
    <hyperlink ref="K14" r:id="rId515" xr:uid="{05A87E4C-A022-4FC6-947B-58A0CC53DB76}"/>
    <hyperlink ref="K78" r:id="rId516" xr:uid="{D1B3307C-17FC-449C-9654-4038157A1A09}"/>
    <hyperlink ref="K35" r:id="rId517" xr:uid="{CA932441-F581-41C1-853F-9CEFCC104F78}"/>
    <hyperlink ref="K108" r:id="rId518" xr:uid="{FC64D787-8C79-4471-8A26-3E863E39EB13}"/>
    <hyperlink ref="K59" r:id="rId519" xr:uid="{D135BF8D-CAF2-4BEB-9E5C-2A6B0914AC72}"/>
    <hyperlink ref="K100" r:id="rId520" xr:uid="{EB507724-9720-4056-8E70-B37AF92F97C8}"/>
    <hyperlink ref="K79" r:id="rId521" xr:uid="{00B0643C-DD37-48AA-B3AD-904BE3D8F353}"/>
    <hyperlink ref="K98" r:id="rId522" xr:uid="{216AD457-67BC-4832-97C8-EB4D052771FB}"/>
    <hyperlink ref="K80" r:id="rId523" xr:uid="{AE5E6CCB-543B-4570-B633-4AB8AE467E51}"/>
    <hyperlink ref="K113" r:id="rId524" xr:uid="{6AE5F283-3A52-471D-8DBC-5ED89DD4F8F3}"/>
    <hyperlink ref="I96" r:id="rId525" xr:uid="{A8EF8A96-FD56-453D-8A13-F43AD60BA402}"/>
    <hyperlink ref="I112" r:id="rId526" xr:uid="{18009186-5387-4FAD-BAFB-25E16C59A91A}"/>
    <hyperlink ref="I105" r:id="rId527" xr:uid="{57080F22-EA40-48D1-81CC-D795A32FE8D3}"/>
    <hyperlink ref="I14" r:id="rId528" xr:uid="{6D43E8B7-7378-40FD-B294-0125C6CA04FF}"/>
    <hyperlink ref="I92" r:id="rId529" xr:uid="{F746094E-A449-479E-BD6F-DD235A6F75DB}"/>
    <hyperlink ref="I91" r:id="rId530" xr:uid="{6EA28AB3-BAA0-44E2-8466-00BBA4ECF613}"/>
    <hyperlink ref="I110" r:id="rId531" xr:uid="{CAD0F147-51DA-466D-8291-D26BF2B757F9}"/>
    <hyperlink ref="I90" r:id="rId532" xr:uid="{74F472D8-A70E-4A53-A20E-5DAF8BE71001}"/>
    <hyperlink ref="I99" r:id="rId533" xr:uid="{2FF9CA6D-F44A-4744-8E5A-7B221EFC9A5B}"/>
    <hyperlink ref="I107" r:id="rId534" xr:uid="{D1D26DEC-CD18-43EC-963E-0514C2A736E5}"/>
    <hyperlink ref="I78" r:id="rId535" xr:uid="{26A94901-B179-4C6E-827D-74FD076CD1B4}"/>
    <hyperlink ref="I35" r:id="rId536" xr:uid="{69B154C7-7191-4A46-B0C0-6B999BEBA741}"/>
    <hyperlink ref="I70" r:id="rId537" xr:uid="{C24E28E8-EDBD-48B5-B43C-01BAAEB53668}"/>
    <hyperlink ref="I101" r:id="rId538" xr:uid="{486ACF16-2B99-4D4A-B221-071C9E2C1C45}"/>
    <hyperlink ref="I108" r:id="rId539" xr:uid="{61FC0F41-95F8-424D-B9BA-1F03AA64E7F6}"/>
    <hyperlink ref="I97" r:id="rId540" xr:uid="{F443D72C-E60A-40C6-AEE0-63DF338E3439}"/>
    <hyperlink ref="I88" r:id="rId541" xr:uid="{B360DB25-BB31-46D0-836D-BBC4941DAA8C}"/>
    <hyperlink ref="I73" r:id="rId542" xr:uid="{E8D13168-BA09-4135-8B14-1251D7C1208D}"/>
    <hyperlink ref="I118" r:id="rId543" xr:uid="{3AC51205-C1D3-44D2-8FAC-5B0E2ECF2870}"/>
    <hyperlink ref="I59" r:id="rId544" xr:uid="{F22B6DB9-1A35-4F63-81F2-A21C91DB3DCA}"/>
    <hyperlink ref="I94" r:id="rId545" xr:uid="{AFA78097-E7C6-45FD-8F3E-89E8E99FFCC6}"/>
    <hyperlink ref="I89" r:id="rId546" xr:uid="{DF1F4E30-208D-4006-850F-D91524CCB066}"/>
    <hyperlink ref="I100" r:id="rId547" xr:uid="{4F6C288E-9FAA-43AF-9CE3-E168313135FA}"/>
    <hyperlink ref="I79" r:id="rId548" xr:uid="{435F45E8-D670-4DBF-85E9-9543CD7BA5CE}"/>
    <hyperlink ref="I103" r:id="rId549" xr:uid="{9839608F-995C-4AAD-9D5E-33D3CB33F2E4}"/>
    <hyperlink ref="I85" r:id="rId550" xr:uid="{3839D89F-6322-4F00-9978-F2992D572134}"/>
    <hyperlink ref="I98" r:id="rId551" xr:uid="{5518EFCC-0EBC-47E8-B78C-E5421FD55E81}"/>
    <hyperlink ref="I95" r:id="rId552" xr:uid="{7BBDADAA-BB0D-4496-8E78-A52A43C04456}"/>
    <hyperlink ref="I9" r:id="rId553" xr:uid="{35DC24EB-C2AB-4A1B-B278-3ACA94E7EDEB}"/>
    <hyperlink ref="I71" r:id="rId554" xr:uid="{0E473DAF-844F-4503-A412-427050EC6FA5}"/>
    <hyperlink ref="I84" r:id="rId555" xr:uid="{B68C9FF2-DAA4-411C-98A8-42FB4769EFA4}"/>
    <hyperlink ref="I75" r:id="rId556" xr:uid="{17B619A8-B310-4897-9D65-239897E41BA2}"/>
    <hyperlink ref="I80" r:id="rId557" xr:uid="{D8533A58-7DCF-4644-953F-4FDC3B5EF4E2}"/>
    <hyperlink ref="I74" r:id="rId558" xr:uid="{CEC40AC9-7E01-4D71-AF45-6FCF1AE5460B}"/>
    <hyperlink ref="I104" r:id="rId559" xr:uid="{AD66F624-9F12-4D88-A83A-F5B4C71371D6}"/>
    <hyperlink ref="I113" r:id="rId560" xr:uid="{79F68151-8BED-49A7-84A3-7F1ED223C112}"/>
    <hyperlink ref="I82" r:id="rId561" xr:uid="{5E6CAE7C-078B-45D6-BD8C-FD45DE6FF627}"/>
    <hyperlink ref="I81" r:id="rId562" xr:uid="{B0F8CB39-496E-4FC9-8ABE-C79D942DE8F4}"/>
    <hyperlink ref="I106" r:id="rId563" xr:uid="{256E34A8-93EB-42E6-A3CC-DB5AB0BE010A}"/>
    <hyperlink ref="I86" r:id="rId564" xr:uid="{B3507A1E-C00D-4458-9145-B610F0C940E4}"/>
    <hyperlink ref="I102" r:id="rId565" xr:uid="{544C1FB2-476B-4ED1-9E35-DCDD6726AAFF}"/>
    <hyperlink ref="J102" r:id="rId566" xr:uid="{95EAF003-C07A-409F-A1CB-03C9BD18E9BD}"/>
    <hyperlink ref="J96" r:id="rId567" xr:uid="{1262FC21-9D53-47D3-B099-4CF40768DAE4}"/>
    <hyperlink ref="J112" r:id="rId568" xr:uid="{76C2BD33-61A0-4666-8263-6878762C6A3F}"/>
    <hyperlink ref="J105" r:id="rId569" xr:uid="{6F012DC4-FFF5-4E14-91B9-5A86AE5367ED}"/>
    <hyperlink ref="J14" r:id="rId570" xr:uid="{C8C61973-8F73-4B50-A157-B90282EE206B}"/>
    <hyperlink ref="J92" r:id="rId571" xr:uid="{3EF4EB53-DD0B-436E-82EE-3134E1D5C3C4}"/>
    <hyperlink ref="J91" r:id="rId572" xr:uid="{737C1EE0-3A1B-407D-A260-F2E27B90A0A9}"/>
    <hyperlink ref="J110" r:id="rId573" xr:uid="{5EA920CB-4003-4868-9E1C-CF8DCAC4C0C1}"/>
    <hyperlink ref="J90" r:id="rId574" xr:uid="{42DB6980-FB58-4A05-A572-5F148D4784E0}"/>
    <hyperlink ref="J99" r:id="rId575" xr:uid="{5D693764-798A-4080-80C7-6327B18069D8}"/>
    <hyperlink ref="J107" r:id="rId576" xr:uid="{F45675E1-EE6F-4750-B6E5-DD81B4EF2BA3}"/>
    <hyperlink ref="J78" r:id="rId577" xr:uid="{640C2BAA-2D1D-4EDF-BA2E-F9CDA5D96115}"/>
    <hyperlink ref="J35" r:id="rId578" xr:uid="{8F3BC9AC-C38B-4263-8865-9B996E19713E}"/>
    <hyperlink ref="J70" r:id="rId579" xr:uid="{6DE0D8DB-385D-4907-ACD3-850DABD6852A}"/>
    <hyperlink ref="J101" r:id="rId580" xr:uid="{3155B82E-F357-42D7-BD8D-34CEDDD8A775}"/>
    <hyperlink ref="J108" r:id="rId581" xr:uid="{0A5FD719-819B-4CFA-B1E3-DE3A92EE7A3E}"/>
    <hyperlink ref="J97" r:id="rId582" xr:uid="{038C5B86-7C1D-4CED-9B1B-023B7005AF3B}"/>
    <hyperlink ref="J88" r:id="rId583" xr:uid="{88E7BBAD-7B16-4637-8314-67C6175D676B}"/>
    <hyperlink ref="J73" r:id="rId584" xr:uid="{0228D2B7-B750-4F7E-BD55-C07951FBAB7C}"/>
    <hyperlink ref="J118" r:id="rId585" xr:uid="{476A0FC2-2376-48EE-9514-87DD91807621}"/>
    <hyperlink ref="J59" r:id="rId586" xr:uid="{7F6E43C2-3484-4720-9491-3CE0D35D7AE7}"/>
    <hyperlink ref="J94" r:id="rId587" xr:uid="{1523E747-3BD5-496A-BB76-54EEBC523735}"/>
    <hyperlink ref="J89" r:id="rId588" xr:uid="{DDAED5E7-E556-47F1-8763-410D65EC99BA}"/>
    <hyperlink ref="J100" r:id="rId589" xr:uid="{6D4E6640-8B1C-477E-ACE2-31120026E322}"/>
    <hyperlink ref="J79" r:id="rId590" xr:uid="{F712627E-F7A2-48FB-8F40-EB39662B4B18}"/>
    <hyperlink ref="J103" r:id="rId591" xr:uid="{15D05F03-709C-4096-8AA5-FB4BCFC182BB}"/>
    <hyperlink ref="J85" r:id="rId592" xr:uid="{B6C70379-48E7-4B44-89A3-04B84AFE0F98}"/>
    <hyperlink ref="J98" r:id="rId593" xr:uid="{C449FFAA-2065-45CF-B536-E7B01CB224A6}"/>
    <hyperlink ref="J95" r:id="rId594" xr:uid="{40D42C59-6CA4-4326-A998-77A6B4B24DEA}"/>
    <hyperlink ref="J9" r:id="rId595" xr:uid="{9ACE052F-9E47-47CD-B861-30B4131CA5E7}"/>
    <hyperlink ref="J71" r:id="rId596" xr:uid="{8AF9B7E0-D33E-4700-95AB-F341A0CDAEA9}"/>
    <hyperlink ref="J84" r:id="rId597" xr:uid="{E91C3BDE-D513-425F-80BB-A2369396DB0D}"/>
    <hyperlink ref="J75" r:id="rId598" xr:uid="{4BB824BB-DBE0-49C9-A210-819759C975AF}"/>
    <hyperlink ref="J80" r:id="rId599" xr:uid="{CB596BF1-8B0F-4EBB-9B7E-87A5EA5DC059}"/>
    <hyperlink ref="J74" r:id="rId600" xr:uid="{9C17FB7C-C855-42DC-8248-5E89DE495D12}"/>
    <hyperlink ref="J104" r:id="rId601" xr:uid="{08884E59-A653-49A3-BB0F-BF921FC3B074}"/>
    <hyperlink ref="J113" r:id="rId602" xr:uid="{BBA29DE0-C4EE-43C1-8EC4-349106C99F8E}"/>
    <hyperlink ref="J82" r:id="rId603" xr:uid="{AB388BD7-5823-4444-8A68-F82FE88E79E0}"/>
    <hyperlink ref="J81" r:id="rId604" xr:uid="{A4663FC5-3D85-4FAB-922A-284454912CDF}"/>
    <hyperlink ref="J106" r:id="rId605" xr:uid="{7D65C550-C7CA-4548-8173-D4F941901B70}"/>
    <hyperlink ref="J86" r:id="rId606" xr:uid="{2D5D018F-D45B-41EC-8FDA-CFF8271C0236}"/>
    <hyperlink ref="G5" r:id="rId607" xr:uid="{1631FB41-68ED-40C3-90A4-377E841B5328}"/>
    <hyperlink ref="G6" r:id="rId608" xr:uid="{6F938063-5EB8-46C8-8C23-FC563E7894CB}"/>
    <hyperlink ref="G7" r:id="rId609" xr:uid="{C064361A-A157-4E90-805F-6CDADB789521}"/>
    <hyperlink ref="G8" r:id="rId610" xr:uid="{DB92A5CF-8C3A-4946-A414-3B1AE2E5AA71}"/>
    <hyperlink ref="G9" r:id="rId611" xr:uid="{A73842DE-AFCE-4119-B7B6-5E4C2E0913E0}"/>
    <hyperlink ref="G10" r:id="rId612" xr:uid="{294C02FA-98AF-45AE-85A1-14C6A01764FE}"/>
    <hyperlink ref="G11" r:id="rId613" xr:uid="{49BBCBFD-B863-48E1-B50D-1232C44FD0DC}"/>
    <hyperlink ref="G12" r:id="rId614" xr:uid="{21C4C98C-1468-4747-9A7A-F704D070E3C0}"/>
    <hyperlink ref="G13" r:id="rId615" xr:uid="{3B027081-B679-420F-8BB1-9C855BCBA155}"/>
    <hyperlink ref="G14" r:id="rId616" xr:uid="{D0DC4B5B-6C67-4CF9-80EA-98AE251A2E22}"/>
    <hyperlink ref="G15" r:id="rId617" xr:uid="{593D10A0-4695-4753-B1A7-ED052829B057}"/>
    <hyperlink ref="G16" r:id="rId618" xr:uid="{8F130692-320D-49AA-B30C-CF9F458E4AD8}"/>
    <hyperlink ref="G18" r:id="rId619" xr:uid="{0FEA462E-0511-4D58-930E-37FD43B538FA}"/>
    <hyperlink ref="G19" r:id="rId620" xr:uid="{0E4CEADA-A128-4829-A6D2-DE672E35A051}"/>
    <hyperlink ref="G20" r:id="rId621" xr:uid="{05B7BC7B-09EF-4D1F-89CE-1BC1F29E2057}"/>
    <hyperlink ref="G21" r:id="rId622" xr:uid="{D2A973B5-FA12-4362-81B4-1414AD1BADAE}"/>
    <hyperlink ref="G22" r:id="rId623" xr:uid="{000B9B2E-8E73-498A-A22E-F29D8C7668CC}"/>
    <hyperlink ref="G23" r:id="rId624" xr:uid="{4E734A59-C4EB-4356-B09A-93678A04733E}"/>
    <hyperlink ref="G24" r:id="rId625" xr:uid="{6D0A1A6C-F9B8-4271-8289-279849BCEE52}"/>
    <hyperlink ref="G25" r:id="rId626" xr:uid="{08CB8344-6401-4846-9385-C74238CE4D3C}"/>
    <hyperlink ref="G27" r:id="rId627" xr:uid="{3EB96EB8-0B6E-43AB-AA57-7E0BF7769B2A}"/>
    <hyperlink ref="G28" r:id="rId628" xr:uid="{A9577A24-0856-4176-9DD3-E8949251BCFD}"/>
    <hyperlink ref="G29" r:id="rId629" xr:uid="{76A913B4-1AF8-4B25-BB23-66AADA53BF05}"/>
    <hyperlink ref="G30" r:id="rId630" xr:uid="{5A3C08C7-4F55-4C7D-9FD4-07F87B03B44D}"/>
    <hyperlink ref="G31" r:id="rId631" xr:uid="{134394A7-35C7-4BF8-B243-235ADA2DC92D}"/>
    <hyperlink ref="G32" r:id="rId632" xr:uid="{3C53AB16-A61D-43E1-B42E-34D5A2F35839}"/>
    <hyperlink ref="G33" r:id="rId633" xr:uid="{FA46079E-CC72-406E-8945-BD2603F8D3A0}"/>
    <hyperlink ref="G34" r:id="rId634" xr:uid="{2BDD70E2-844E-4444-BE64-76FB669FAF90}"/>
    <hyperlink ref="G35" r:id="rId635" xr:uid="{A1F7914F-B7B2-4740-811A-7B5DED86DAED}"/>
    <hyperlink ref="G36" r:id="rId636" xr:uid="{8809AF4E-DF6C-4496-B755-730713A8B321}"/>
    <hyperlink ref="G37" r:id="rId637" xr:uid="{7C5D31F0-CC37-4237-8169-3C15020C5A99}"/>
    <hyperlink ref="G38" r:id="rId638" xr:uid="{DF9B4124-CE02-457B-9F1C-1DA30F616A8B}"/>
    <hyperlink ref="G39" r:id="rId639" xr:uid="{A481E46A-9171-4992-9909-723177D65E52}"/>
    <hyperlink ref="G40" r:id="rId640" xr:uid="{6D71EEE7-63D9-44B7-8BE5-922EEA7AD40D}"/>
    <hyperlink ref="G41" r:id="rId641" xr:uid="{50B4D382-A583-4C83-813B-0681DCC0CC59}"/>
    <hyperlink ref="G42" r:id="rId642" xr:uid="{8A9E841D-3DA8-4406-9996-2CFBF5E210F2}"/>
    <hyperlink ref="G43" r:id="rId643" xr:uid="{AC2FCC26-A7D0-4E0E-A171-B85082E488E9}"/>
    <hyperlink ref="G44" r:id="rId644" xr:uid="{23DAD599-EC6D-45E5-BD8B-6FDF585CD309}"/>
    <hyperlink ref="G45" r:id="rId645" xr:uid="{B69F0A7D-254C-45B0-9B63-32490B6A1557}"/>
    <hyperlink ref="G46" r:id="rId646" xr:uid="{DA2512B7-02A8-4624-9142-C5B197990ED3}"/>
    <hyperlink ref="G47" r:id="rId647" xr:uid="{0CC0C3DC-2FCE-4821-923D-A59CB7E4A6DD}"/>
    <hyperlink ref="G48" r:id="rId648" xr:uid="{F9D806D4-983E-4375-AAF4-160BEB0C3C4D}"/>
    <hyperlink ref="G49" r:id="rId649" xr:uid="{A81A797C-F0EB-4DF7-A31A-A0B5D332044A}"/>
    <hyperlink ref="G50" r:id="rId650" xr:uid="{CE3A3984-2B05-40A3-ADA6-D5E1F7CAB308}"/>
    <hyperlink ref="G51" r:id="rId651" xr:uid="{3D7834B5-0947-40B8-8BF6-997BA39DC12A}"/>
    <hyperlink ref="G52" r:id="rId652" xr:uid="{828E6727-8641-4EB8-881D-035B73F1D477}"/>
    <hyperlink ref="G53" r:id="rId653" xr:uid="{EBA5BC84-8D4A-4F30-A5CB-F250FC76DF97}"/>
    <hyperlink ref="G54" r:id="rId654" xr:uid="{2405AEFC-F7E6-49B1-8DAD-EDBA4B411E9C}"/>
    <hyperlink ref="G55" r:id="rId655" xr:uid="{1B14A432-2A08-400D-8E3A-E5A4AA569F7C}"/>
    <hyperlink ref="G56" r:id="rId656" xr:uid="{009B9272-9D99-4F14-B75F-3A7A03FC579D}"/>
    <hyperlink ref="G57" r:id="rId657" xr:uid="{669CD7DF-197B-4395-90DD-DD1AC545DB6E}"/>
    <hyperlink ref="G58" r:id="rId658" xr:uid="{5EA3CC59-F230-4059-9775-8F5B2E282831}"/>
    <hyperlink ref="G59" r:id="rId659" xr:uid="{D2D1BB9C-E1CC-4244-907D-C3633289C55D}"/>
    <hyperlink ref="G60" r:id="rId660" xr:uid="{9AB3D48B-EA2F-43E4-84C4-0F67CC618BFB}"/>
    <hyperlink ref="G61" r:id="rId661" xr:uid="{1BD10C7D-EA76-46CF-9BE9-14CCF1A5F2DB}"/>
    <hyperlink ref="G62" r:id="rId662" xr:uid="{14567AD5-5B05-4EDA-927F-79769F783688}"/>
    <hyperlink ref="G63" r:id="rId663" xr:uid="{B4980C13-0CE7-46EE-9C82-F28325A9A772}"/>
    <hyperlink ref="G64" r:id="rId664" xr:uid="{AD223AA1-7401-4EF0-AE9A-3528A90A70A2}"/>
    <hyperlink ref="G65" r:id="rId665" xr:uid="{6879A8BD-389B-45AF-BA5B-F6F8A41C6C24}"/>
    <hyperlink ref="G66" r:id="rId666" xr:uid="{F38E1B0B-C73B-4FD9-95CA-6BF339E5CC46}"/>
    <hyperlink ref="G67" r:id="rId667" xr:uid="{BD9DE741-375A-43E8-ABEE-DA4F067AB979}"/>
    <hyperlink ref="G68" r:id="rId668" xr:uid="{3EED1431-7FB5-49A0-A2AF-C2B7FB3DB2BF}"/>
    <hyperlink ref="G69" r:id="rId669" xr:uid="{1C89FE26-FDC0-438E-8BA5-63BCAABBC074}"/>
    <hyperlink ref="G70" r:id="rId670" xr:uid="{2D3D7558-88B0-4367-85A7-2B02958BECCF}"/>
    <hyperlink ref="G71" r:id="rId671" xr:uid="{D938DBB6-984E-4666-B401-76FA1EE5D54C}"/>
    <hyperlink ref="G72" r:id="rId672" xr:uid="{444D33B0-5405-43FE-A913-57AC72B0312F}"/>
    <hyperlink ref="G73" r:id="rId673" xr:uid="{31265FA2-AC2A-42FE-A1A7-A34A9D524B88}"/>
    <hyperlink ref="G74" r:id="rId674" xr:uid="{6663FAD0-677E-4258-B31B-2FA9B0931C08}"/>
    <hyperlink ref="G75" r:id="rId675" xr:uid="{91FB7EE9-E033-4EF7-B4B3-B526683051CB}"/>
    <hyperlink ref="G77" r:id="rId676" xr:uid="{81EC872C-99B7-4AE1-9FD0-B57B60A4857B}"/>
    <hyperlink ref="G78" r:id="rId677" xr:uid="{1E6EFC92-5E88-45F8-A109-4D8A07C30313}"/>
    <hyperlink ref="G79" r:id="rId678" xr:uid="{FD7A8D60-1D05-487D-97A9-3BA4D6202152}"/>
    <hyperlink ref="G80" r:id="rId679" xr:uid="{F29421F1-C599-4630-B170-4E417EC28AA6}"/>
    <hyperlink ref="G81" r:id="rId680" xr:uid="{E62AE7CC-73B5-4F47-A4AB-CA2438D9EE16}"/>
    <hyperlink ref="G82" r:id="rId681" xr:uid="{C7065118-18A5-47B3-8ECD-13FF4D19B055}"/>
    <hyperlink ref="G83" r:id="rId682" xr:uid="{406C6B22-70D9-4BB6-83D2-4B9DDBF19FD1}"/>
    <hyperlink ref="G84" r:id="rId683" xr:uid="{6C8F341C-0B33-4F70-9258-2A0F38D8A170}"/>
    <hyperlink ref="G85" r:id="rId684" xr:uid="{4932B5FF-7C94-45BB-9AF1-FD8B2C1D7D92}"/>
    <hyperlink ref="G86" r:id="rId685" xr:uid="{FF6A1503-5C22-438C-BFDD-EA1846167D5B}"/>
    <hyperlink ref="G87" r:id="rId686" xr:uid="{145966CB-F857-4289-B35A-6ED51C4EA247}"/>
    <hyperlink ref="G88" r:id="rId687" xr:uid="{0D0ACC2E-DEE9-4556-8852-2A5F522B48FF}"/>
    <hyperlink ref="G89" r:id="rId688" xr:uid="{0CD584B1-25E1-432F-AC9D-64C0D9CC02A0}"/>
    <hyperlink ref="G90" r:id="rId689" xr:uid="{1151E325-5F20-42B6-A455-30A3D3CF98AA}"/>
    <hyperlink ref="G91" r:id="rId690" xr:uid="{2A9DFBB6-AAF1-443A-84B1-141A7C38F886}"/>
    <hyperlink ref="G92" r:id="rId691" xr:uid="{3DC92442-49FD-4FCF-A76D-554A12AEEC3B}"/>
    <hyperlink ref="G93" r:id="rId692" xr:uid="{A20D08CA-AE8C-4F06-AE92-8A8977052A99}"/>
    <hyperlink ref="G94" r:id="rId693" xr:uid="{1EE630EE-0590-4C23-928D-52CAAB19FDB0}"/>
    <hyperlink ref="G95" r:id="rId694" xr:uid="{C12845BA-0CAB-40D6-A720-754595252C60}"/>
    <hyperlink ref="G96" r:id="rId695" xr:uid="{E9E3A7F2-F3A7-4C25-AB7A-EFC5585860AE}"/>
    <hyperlink ref="G97" r:id="rId696" xr:uid="{B0BEFD9A-667C-4E9E-81F9-852DF61FE1F3}"/>
    <hyperlink ref="G98" r:id="rId697" xr:uid="{7B3D5A1C-A727-4427-8D05-7A9D2D907240}"/>
    <hyperlink ref="G99" r:id="rId698" xr:uid="{8E91600E-19C5-42D0-A994-413A8EF282BB}"/>
    <hyperlink ref="G100" r:id="rId699" xr:uid="{E0CC1122-43BE-435D-9F5A-CE80AF076202}"/>
    <hyperlink ref="G101" r:id="rId700" xr:uid="{227DA914-28E0-437C-8EA9-2BD8F6CC3703}"/>
    <hyperlink ref="G102" r:id="rId701" xr:uid="{7AE657F4-9155-4542-A780-4D041DF2B658}"/>
    <hyperlink ref="G103" r:id="rId702" xr:uid="{552CF877-F110-433C-9AF6-FCF857F6D437}"/>
    <hyperlink ref="G104" r:id="rId703" xr:uid="{DE51FE25-FC75-49F5-89D9-69D446A17A9B}"/>
    <hyperlink ref="G105" r:id="rId704" xr:uid="{EE96A4B6-D9F6-489D-A3E1-9E40C278C81A}"/>
    <hyperlink ref="G106" r:id="rId705" xr:uid="{ACEC4225-8D09-4688-9E32-B3ED15D9B831}"/>
    <hyperlink ref="G107" r:id="rId706" xr:uid="{88A91C16-9E01-4897-92ED-4D367FF55C57}"/>
    <hyperlink ref="G108" r:id="rId707" xr:uid="{09D625FF-6985-402A-9CB1-A749786076D3}"/>
    <hyperlink ref="G109" r:id="rId708" xr:uid="{C6A19052-D74E-43FB-8902-FBF364239651}"/>
    <hyperlink ref="G110" r:id="rId709" xr:uid="{0E147582-1C85-4BC9-B108-5BF40AC4473D}"/>
    <hyperlink ref="G111" r:id="rId710" xr:uid="{F942B018-F144-43D1-B98A-5F4432AA1501}"/>
    <hyperlink ref="G112" r:id="rId711" xr:uid="{A100D646-40BB-4E14-B647-DEE520517A00}"/>
    <hyperlink ref="G113" r:id="rId712" xr:uid="{7E549BDB-F082-4661-A72E-5FB97675142D}"/>
    <hyperlink ref="G114" r:id="rId713" xr:uid="{56745B95-CD53-462E-BA66-3542654E72BB}"/>
    <hyperlink ref="G115" r:id="rId714" xr:uid="{200566CB-AAAC-44D9-916E-CB16A97B5029}"/>
    <hyperlink ref="G116" r:id="rId715" xr:uid="{579C6492-9FA4-4E86-B650-49E68AD34058}"/>
    <hyperlink ref="G117" r:id="rId716" xr:uid="{14CE1140-C226-42F3-A064-9834BAF77C1F}"/>
    <hyperlink ref="G118" r:id="rId717" xr:uid="{0A1E8BC5-6CDF-4387-8AA1-91614CA16DA2}"/>
    <hyperlink ref="G119" r:id="rId718" xr:uid="{23914D1A-C8C6-47C1-8CEA-A3E822CB6767}"/>
    <hyperlink ref="G17" r:id="rId719" xr:uid="{2932F669-AE27-402E-A45F-5D1AE6D49ACD}"/>
    <hyperlink ref="G26" r:id="rId720" xr:uid="{C901516E-DF81-408A-BF62-BB49298FAB4A}"/>
    <hyperlink ref="L93" r:id="rId721" xr:uid="{40B34205-7778-407C-BEB0-98CC27F8FD20}"/>
    <hyperlink ref="L83" r:id="rId722" xr:uid="{F440682D-B5CF-4864-9976-E119ECE5F28F}"/>
    <hyperlink ref="M93" r:id="rId723" xr:uid="{0DE1A48F-D459-4000-A4C8-293244289CAC}"/>
    <hyperlink ref="O93" r:id="rId724" xr:uid="{BFCEF6E6-2160-4ECF-8FDC-01B76641A9F1}"/>
    <hyperlink ref="M83" r:id="rId725" xr:uid="{B2ED9622-2E53-489E-BF0F-E6805058B7CA}"/>
    <hyperlink ref="O83" r:id="rId726" xr:uid="{9BCE3C2C-31C7-4CE7-BA93-DEE89414E321}"/>
    <hyperlink ref="N110" r:id="rId727" xr:uid="{ADABACDA-9017-4B58-BCA5-8B80FAB64F8E}"/>
    <hyperlink ref="O110" r:id="rId728" xr:uid="{B89F1ADB-D623-439E-9483-FD24E80BD322}"/>
    <hyperlink ref="L109" r:id="rId729" xr:uid="{A444EC7E-F50E-4E5B-9290-78B8DD01607B}"/>
    <hyperlink ref="N109" r:id="rId730" xr:uid="{70EBBD51-B71D-4ACA-8D05-A245E1EAB5B9}"/>
    <hyperlink ref="O109" r:id="rId731" xr:uid="{2CD50CF5-0563-4602-8064-C1205689444A}"/>
    <hyperlink ref="L104" r:id="rId732" xr:uid="{9A3E7C61-E849-460A-AAB1-E598C249CF62}"/>
    <hyperlink ref="N104" r:id="rId733" xr:uid="{C93E02AE-519A-4AF0-AC0D-9C53BA7D0512}"/>
    <hyperlink ref="O104" r:id="rId734" xr:uid="{A53E9286-831C-4556-9AAE-C1A57E7E181B}"/>
    <hyperlink ref="L102" r:id="rId735" xr:uid="{44B1A34A-DD76-4C23-831B-708C4F5786ED}"/>
    <hyperlink ref="N102" r:id="rId736" xr:uid="{5DBE6C57-F053-485A-9F2C-D7D3E0A7C0B0}"/>
    <hyperlink ref="O102" r:id="rId737" xr:uid="{7B385054-C465-4342-B419-DDA4636DB5D1}"/>
    <hyperlink ref="L10" r:id="rId738" xr:uid="{0F43E982-7DA8-4E61-A224-9C18CE11B175}"/>
    <hyperlink ref="N10" r:id="rId739" xr:uid="{2001498C-3B3C-4E2C-89B8-AB4CCD2FCC82}"/>
    <hyperlink ref="O10" r:id="rId740" xr:uid="{3DB8813D-CA26-497F-A175-5C8EB1F349E9}"/>
    <hyperlink ref="L99" r:id="rId741" xr:uid="{A78782E8-F913-4CA4-8A19-E4DDEA1D1C03}"/>
    <hyperlink ref="N99" r:id="rId742" xr:uid="{6E3226C2-2B2C-46D7-8175-4D9373ABE9E1}"/>
    <hyperlink ref="O99" r:id="rId743" xr:uid="{AE78E253-84E7-4742-A8E1-63241BAFA452}"/>
    <hyperlink ref="L96" r:id="rId744" xr:uid="{91FFA0C0-2F42-4EE3-BE09-02BB1C885A3F}"/>
    <hyperlink ref="N96" r:id="rId745" xr:uid="{3ED060D2-1B19-44E4-BDAC-38241DA8AC67}"/>
    <hyperlink ref="O96" r:id="rId746" xr:uid="{310DB7A6-9BED-4E09-A6D7-1C80EE16EDE2}"/>
    <hyperlink ref="L95" r:id="rId747" xr:uid="{355BC8A1-370C-4CFA-8E79-8CAACB124A1D}"/>
    <hyperlink ref="N95" r:id="rId748" xr:uid="{D875CDFD-08C9-4FED-938E-2FD429B742AE}"/>
    <hyperlink ref="O95" r:id="rId749" xr:uid="{3ECD3A94-8A7F-43EA-B3F4-C0E75791757E}"/>
    <hyperlink ref="L94" r:id="rId750" xr:uid="{362E555B-2E23-4113-BFED-A5BD53D6781A}"/>
    <hyperlink ref="N94" r:id="rId751" xr:uid="{D51B697B-1B04-4CEE-9768-9BFD3299A466}"/>
    <hyperlink ref="O94" r:id="rId752" xr:uid="{49ED82DB-8EF8-4FDA-A498-EC16D5951B7C}"/>
    <hyperlink ref="N93" r:id="rId753" xr:uid="{78DB3D69-5A45-4F85-A791-D442ADB75FDB}"/>
    <hyperlink ref="L92" r:id="rId754" xr:uid="{1742FDF7-5C7F-4AB6-9D5E-B51A497A4133}"/>
    <hyperlink ref="N92" r:id="rId755" xr:uid="{4E2955AF-E8FB-4CED-B40D-3D159BB359E8}"/>
    <hyperlink ref="O92" r:id="rId756" xr:uid="{5B289211-A9E3-4614-9AD4-6DB232E5B66F}"/>
    <hyperlink ref="L90" r:id="rId757" xr:uid="{DD84FEC8-C70E-41C2-93FF-5E05D470C65F}"/>
    <hyperlink ref="N90" r:id="rId758" xr:uid="{8EF5ACDF-C82A-42A1-9017-34F6A6B06ACC}"/>
    <hyperlink ref="O90" r:id="rId759" xr:uid="{2C2F6F6A-98E2-4A68-A6E9-3BEB045DA06B}"/>
    <hyperlink ref="L88" r:id="rId760" xr:uid="{B4F8E712-F5B4-4178-97EA-B083069A9682}"/>
    <hyperlink ref="N88" r:id="rId761" xr:uid="{246214DA-6FFC-4780-B89D-C9B2C3C45CC6}"/>
    <hyperlink ref="O88" r:id="rId762" xr:uid="{1AE92469-AE87-4EB5-B2A7-81A1C4003737}"/>
    <hyperlink ref="L86" r:id="rId763" xr:uid="{7B8EFEE2-201A-472A-A7B4-5EBDFC9DC64A}"/>
    <hyperlink ref="N86" r:id="rId764" xr:uid="{3BA43B60-9B9B-46B7-8B9F-281591A2A8F4}"/>
    <hyperlink ref="L85" r:id="rId765" xr:uid="{69DB9E1C-D1C5-42D8-A325-12645875D68D}"/>
    <hyperlink ref="N85" r:id="rId766" xr:uid="{1DE7D8F4-B8C8-43E5-B835-8CC2E89D3423}"/>
    <hyperlink ref="O85" r:id="rId767" xr:uid="{7CB0AD9D-60DD-4B8E-9CAB-692E73952BDF}"/>
    <hyperlink ref="L84" r:id="rId768" xr:uid="{A3A7485A-5705-4D02-92DC-0295199A5376}"/>
    <hyperlink ref="N84" r:id="rId769" xr:uid="{1E0F808B-AE9C-4544-BB19-E05F2D23CB8B}"/>
    <hyperlink ref="O84" r:id="rId770" xr:uid="{E8F1952C-658D-4373-8F66-B4903B546485}"/>
    <hyperlink ref="N83" r:id="rId771" xr:uid="{1414307E-ADB2-41BD-87D7-4E250C8603AE}"/>
    <hyperlink ref="L73" r:id="rId772" xr:uid="{CB5D6ED9-BA29-4B05-B08B-DB606A08B77C}"/>
    <hyperlink ref="N73" r:id="rId773" xr:uid="{9613BC72-3053-4C4C-989D-A95DB6CFB3C9}"/>
    <hyperlink ref="O73" r:id="rId774" xr:uid="{1A9CBD55-3D86-444B-9393-8E6FC113058E}"/>
    <hyperlink ref="L72" r:id="rId775" xr:uid="{495C5640-C379-484D-80BF-78626DC2B047}"/>
    <hyperlink ref="N72" r:id="rId776" xr:uid="{385B30E9-E010-480B-B38C-E5762A94374E}"/>
    <hyperlink ref="O72" r:id="rId777" xr:uid="{5A90DCEC-C3E3-4B66-8BD3-E0F908343B6D}"/>
    <hyperlink ref="L71" r:id="rId778" xr:uid="{0305CB1E-8D01-4526-B896-229A34B81A0A}"/>
    <hyperlink ref="N71" r:id="rId779" xr:uid="{7AAC29F2-1C28-4F81-B50A-FF9717669036}"/>
    <hyperlink ref="L101" r:id="rId780" xr:uid="{C65AC062-D595-43E5-8D37-C1B919BBD2B1}"/>
    <hyperlink ref="N101" r:id="rId781" xr:uid="{C6CDA6E5-6D7C-4AB2-A9F9-6F34DE38BF51}"/>
    <hyperlink ref="O101" r:id="rId782" xr:uid="{A815C5FC-90DA-4A01-B706-136140C49110}"/>
    <hyperlink ref="L13" r:id="rId783" xr:uid="{B5F87D8F-429E-457A-BA23-FD4DEFAD3B2E}"/>
    <hyperlink ref="N13" r:id="rId784" xr:uid="{9AC0CDCD-34C5-49B6-8315-C5DE4DD21440}"/>
    <hyperlink ref="O13" r:id="rId785" xr:uid="{4D87AEAC-B41C-4853-AAE8-F2D61E1C557D}"/>
    <hyperlink ref="L12" r:id="rId786" xr:uid="{18A358F9-87BC-4481-891C-88DA1C07A528}"/>
    <hyperlink ref="N12" r:id="rId787" xr:uid="{53BFBBBE-0FDC-4BA4-A81C-E0AF56E3E229}"/>
    <hyperlink ref="L11" r:id="rId788" xr:uid="{2BD65335-39AA-4ECF-B5F9-CA5015123D2D}"/>
    <hyperlink ref="N11" r:id="rId789" xr:uid="{3B547FB5-472D-429E-990D-59C1AE3EA459}"/>
    <hyperlink ref="O11" r:id="rId790" xr:uid="{D2F84340-B3BB-4482-85A9-BA40F3630D71}"/>
    <hyperlink ref="L82" r:id="rId791" xr:uid="{EB7178EF-53DD-4D72-A955-DDAF3BA56A29}"/>
    <hyperlink ref="N82" r:id="rId792" xr:uid="{00A743D2-0C20-44E4-AA5A-D946F1A3B13F}"/>
    <hyperlink ref="O82" r:id="rId793" xr:uid="{22C195A3-5B02-4B57-81B6-6DAC7573B211}"/>
    <hyperlink ref="L8" r:id="rId794" xr:uid="{5A94111D-2E0F-49B9-8285-465CF25EDEE3}"/>
    <hyperlink ref="N8" r:id="rId795" xr:uid="{E95A150F-4EA3-4E7B-A97F-A57C4E91B285}"/>
    <hyperlink ref="O8" r:id="rId796" xr:uid="{F7C9233F-C0D4-403D-8A11-4CAF44F8225F}"/>
    <hyperlink ref="L7" r:id="rId797" xr:uid="{AC1C72F7-E13B-4A12-987C-B1787D754C98}"/>
    <hyperlink ref="N7" r:id="rId798" xr:uid="{DBA74904-2FAE-4EA0-851E-943301FD054E}"/>
    <hyperlink ref="O7" r:id="rId799" xr:uid="{7048BF30-3B23-4BE6-9165-6BB21D8CC4C1}"/>
    <hyperlink ref="N5" r:id="rId800" xr:uid="{243FB0E3-B8C2-463A-BAD3-A4CCEBFEC91F}"/>
    <hyperlink ref="O5" r:id="rId801" xr:uid="{01F9D7F1-9EA0-4C54-9067-2C4506F4D955}"/>
    <hyperlink ref="L15" r:id="rId802" xr:uid="{F95274D0-ADDF-4425-A0E6-24E5FEE2D677}"/>
    <hyperlink ref="N15" r:id="rId803" xr:uid="{C516A5FC-8B25-414E-B068-08A766FB44F7}"/>
    <hyperlink ref="O15" r:id="rId804" xr:uid="{0ECBCD26-E480-4734-9D38-02EBA6C91C2B}"/>
    <hyperlink ref="L65" r:id="rId805" xr:uid="{809A9A2F-8050-40D1-AB7C-1F93A0581DFB}"/>
    <hyperlink ref="N65" r:id="rId806" xr:uid="{5B9E1DEC-A81C-4475-8A59-24E15DB53F8C}"/>
    <hyperlink ref="O65" r:id="rId807" xr:uid="{3F6BC35A-77D4-4075-BD7C-BDC6DD0E2EC7}"/>
    <hyperlink ref="L70" r:id="rId808" xr:uid="{FCA975D8-E2DF-46B5-9C84-04E87D0ABE4C}"/>
    <hyperlink ref="N70" r:id="rId809" xr:uid="{5994DA1D-6071-470D-A86E-CE18DF8DAD74}"/>
    <hyperlink ref="O70" r:id="rId810" xr:uid="{84AB2D9A-0C9D-45EF-ADF0-93CAE4FAB134}"/>
    <hyperlink ref="L74" r:id="rId811" xr:uid="{A6D84779-0A79-42BC-B8DF-5B6042D2E89E}"/>
    <hyperlink ref="N74" r:id="rId812" xr:uid="{87595EA0-6898-4AFD-B378-CA1F60D05CC2}"/>
    <hyperlink ref="O74" r:id="rId813" xr:uid="{ED25C290-7084-4DEF-AD72-5BE0508C8E7C}"/>
    <hyperlink ref="L75" r:id="rId814" xr:uid="{6CECAD0B-BBD1-4923-9FA3-BBD3E05764A6}"/>
    <hyperlink ref="N75" r:id="rId815" xr:uid="{36C37538-53F8-42BE-A268-627FEA109E3F}"/>
    <hyperlink ref="O75" r:id="rId816" xr:uid="{F019F494-30A4-4572-A773-50A21A96FB69}"/>
    <hyperlink ref="L77" r:id="rId817" xr:uid="{7DC283B2-2A44-48E8-808D-AAF3E1E445C5}"/>
    <hyperlink ref="N77" r:id="rId818" xr:uid="{C0FD6760-0821-4470-8F8E-E3CBD6152EA8}"/>
    <hyperlink ref="O77" r:id="rId819" xr:uid="{1AEEE879-B294-4C14-A3FC-263A0EF82DD9}"/>
    <hyperlink ref="L79" r:id="rId820" xr:uid="{B9BA54B9-949E-41C1-AD28-E96204C662CC}"/>
    <hyperlink ref="N79" r:id="rId821" xr:uid="{C6A02404-EA43-4B13-B74A-07B29BD4E875}"/>
    <hyperlink ref="O79" r:id="rId822" xr:uid="{537DCD2A-3DDA-4A32-BDD3-30E5D3A3B93D}"/>
    <hyperlink ref="L80" r:id="rId823" xr:uid="{78322401-2AA2-45E9-959E-DE44D0B0F4EB}"/>
    <hyperlink ref="N80" r:id="rId824" xr:uid="{17C2DE0A-7924-4C4A-9048-EDB05F2C5DAE}"/>
    <hyperlink ref="O80" r:id="rId825" xr:uid="{549E9E9D-3356-4E43-86FA-9FCB6C88D2E6}"/>
    <hyperlink ref="N118" r:id="rId826" xr:uid="{BF97741D-F622-43D8-A0A6-2C60B717D58D}"/>
    <hyperlink ref="L6" r:id="rId827" xr:uid="{9DF12D1F-4047-4CB5-99A7-90A8992BA320}"/>
    <hyperlink ref="N6" r:id="rId828" xr:uid="{F2C015E7-38A7-4FDF-89BA-D491794FD9DB}"/>
    <hyperlink ref="O6" r:id="rId829" xr:uid="{18CB18CA-311E-4AE7-9224-C788861D9734}"/>
    <hyperlink ref="L9" r:id="rId830" xr:uid="{5BAC3211-EBED-4C02-B439-13252E4425CA}"/>
    <hyperlink ref="N9" r:id="rId831" xr:uid="{CE4113A8-B703-4320-A5CD-8F2B2CB36D2D}"/>
    <hyperlink ref="O9" r:id="rId832" xr:uid="{4FF7C7D5-2103-4481-A941-DC0D3570D810}"/>
    <hyperlink ref="L66" r:id="rId833" xr:uid="{4BC138CA-FE57-4825-AF02-56A09E8FC193}"/>
    <hyperlink ref="N66" r:id="rId834" xr:uid="{717FDFDD-71E4-4317-8D8F-DC524BB4E6DB}"/>
    <hyperlink ref="O66" r:id="rId835" xr:uid="{0F04AB00-F029-4CB1-86AF-5F28BF774484}"/>
    <hyperlink ref="L87" r:id="rId836" xr:uid="{0C0AA949-F2E2-439B-B6DB-42B355234F85}"/>
    <hyperlink ref="N87" r:id="rId837" xr:uid="{F3D78561-485B-4CD6-9DE6-9B839C291011}"/>
    <hyperlink ref="O87" r:id="rId838" xr:uid="{CA1EE58E-E9F5-4E12-A892-3D3AE74A6ED2}"/>
    <hyperlink ref="L89" r:id="rId839" xr:uid="{99C62EA5-453F-444F-8676-C01503EC8648}"/>
    <hyperlink ref="N89" r:id="rId840" xr:uid="{99B1F923-47C2-4077-9966-29E13F82D9EB}"/>
    <hyperlink ref="O89" r:id="rId841" xr:uid="{A831C8C7-A9A2-43E5-8F2B-4313D381025A}"/>
    <hyperlink ref="L98" r:id="rId842" xr:uid="{E459D69B-DDCE-4EFD-88BF-027DD9677DC1}"/>
    <hyperlink ref="N98" r:id="rId843" xr:uid="{065C76B2-02BC-4C7C-B9A9-B0187247FCE3}"/>
    <hyperlink ref="L100" r:id="rId844" xr:uid="{51FD5E44-4A55-4749-A04D-1BF191611DBF}"/>
    <hyperlink ref="N100" r:id="rId845" xr:uid="{CC5DC29C-1812-40DA-A90C-49C9B4FFB3D6}"/>
    <hyperlink ref="O100" r:id="rId846" xr:uid="{7EF95C74-7B2B-4093-B5C7-F8E8716CD2A4}"/>
    <hyperlink ref="O98" r:id="rId847" xr:uid="{799BF4C6-A81A-4C80-8D5D-EC23161C13AB}"/>
    <hyperlink ref="L105" r:id="rId848" xr:uid="{1EC44962-09E5-4742-B549-B81AA0EE7380}"/>
    <hyperlink ref="N105" r:id="rId849" xr:uid="{DCD0E2A6-DB50-4539-9FDC-93E42BCA06D5}"/>
    <hyperlink ref="O105" r:id="rId850" xr:uid="{65D2A0F2-3847-4356-BD36-A446EEA97D91}"/>
    <hyperlink ref="L106" r:id="rId851" xr:uid="{0390C3B7-4434-4247-A677-08AAFEB00D51}"/>
    <hyperlink ref="N106" r:id="rId852" xr:uid="{ECE408E1-F5A4-43E2-9405-AD7BB3C5BE2E}"/>
    <hyperlink ref="O106" r:id="rId853" xr:uid="{563F910D-D52C-410D-B0FF-B667A3294ADD}"/>
    <hyperlink ref="L107" r:id="rId854" xr:uid="{4C5E8719-3E61-4F9D-85AA-329C3DAD9CF3}"/>
    <hyperlink ref="N107" r:id="rId855" xr:uid="{4F400098-DE75-4076-A2EF-AAD2363ECE80}"/>
    <hyperlink ref="O107" r:id="rId856" xr:uid="{2BCCBEB1-B36D-4028-9B70-3FF93A1F6C0F}"/>
    <hyperlink ref="L108" r:id="rId857" xr:uid="{AD6E96CB-B5C9-43B9-8572-81C8C30ABB6C}"/>
    <hyperlink ref="N108" r:id="rId858" xr:uid="{97970963-7D70-4B40-9BC7-749C0C2324A1}"/>
    <hyperlink ref="O108" r:id="rId859" xr:uid="{699E8A6C-7FE4-4CD6-A262-92229AB943F1}"/>
    <hyperlink ref="L112" r:id="rId860" xr:uid="{EC4FC616-A700-45D1-92C2-750CE32612B7}"/>
    <hyperlink ref="N112" r:id="rId861" xr:uid="{E2492799-ECF9-46B7-921C-D4A58465BD5E}"/>
    <hyperlink ref="O112" r:id="rId862" xr:uid="{F2287DF4-C56E-45BC-B704-6E82C30D0772}"/>
    <hyperlink ref="L113" r:id="rId863" xr:uid="{F44F0B17-D7BF-423B-94B7-0411BCDD407E}"/>
    <hyperlink ref="N113" r:id="rId864" xr:uid="{8E001C73-38D2-4635-96F2-60D0569D559C}"/>
    <hyperlink ref="O113" r:id="rId865" xr:uid="{7C76BE7A-B25D-4E38-8DD5-77F2828599BE}"/>
    <hyperlink ref="L118" r:id="rId866" xr:uid="{B1266BDE-05E2-4794-87C3-7019319F1014}"/>
    <hyperlink ref="O118" r:id="rId867" xr:uid="{B52507C5-DEF0-45FF-B0B0-2DB35E815B6E}"/>
    <hyperlink ref="L117" r:id="rId868" xr:uid="{457B30DA-0C2C-4928-A94B-AD168A450D69}"/>
    <hyperlink ref="N117" r:id="rId869" xr:uid="{C2238378-FB9A-4325-8A58-75E3C0EBED77}"/>
    <hyperlink ref="O117" r:id="rId870" xr:uid="{2FF18650-A822-4676-B8D6-896BA593E125}"/>
    <hyperlink ref="L116" r:id="rId871" xr:uid="{4C93DF1A-F0C1-45E4-9707-B69BD971926A}"/>
    <hyperlink ref="N116" r:id="rId872" xr:uid="{18C8F613-7728-471F-8971-70F3A0C381EC}"/>
    <hyperlink ref="O116" r:id="rId873" xr:uid="{2639AE4D-3709-4AE4-BA02-932E4BF120D9}"/>
    <hyperlink ref="O86" r:id="rId874" xr:uid="{C816F24A-6DEE-482A-B3E3-BC7B6A8A45E7}"/>
    <hyperlink ref="O71" r:id="rId875" xr:uid="{E4CBB6EC-32E2-422D-8844-8781882F72EF}"/>
    <hyperlink ref="O12" r:id="rId876" xr:uid="{5D81D686-4EE5-4B18-BBB4-F1E7BB2B275C}"/>
    <hyperlink ref="N55" r:id="rId877" xr:uid="{26942579-DF6F-4406-9092-30A4925A138B}"/>
    <hyperlink ref="O55" r:id="rId878" xr:uid="{9E88F0BC-1915-4DD6-8260-0CFAE63AF451}"/>
    <hyperlink ref="L55" r:id="rId879" xr:uid="{E0047B7A-AC2E-40AA-944A-F893B0278D32}"/>
    <hyperlink ref="L5" r:id="rId880" xr:uid="{848748E2-2567-4AA7-A3E8-0C17FC127A34}"/>
    <hyperlink ref="L78" r:id="rId881" xr:uid="{CC076DC1-8429-4DAF-89E6-B1B6A0474A6D}"/>
    <hyperlink ref="N78" r:id="rId882" xr:uid="{6B6CB8AA-1360-4449-A7D1-41DB2585C8B6}"/>
    <hyperlink ref="O78" r:id="rId883" xr:uid="{446FEAD2-B903-434E-9724-725CA3844824}"/>
    <hyperlink ref="L103" r:id="rId884" xr:uid="{16B8E772-CB4E-4776-A998-CB881DC4CF26}"/>
    <hyperlink ref="N103" r:id="rId885" xr:uid="{BCAAAF88-0252-48F2-8905-FBF013085A91}"/>
    <hyperlink ref="O103" r:id="rId886" xr:uid="{B734758A-55F9-4C9F-85F9-C1A4CCAF67DF}"/>
    <hyperlink ref="L110" r:id="rId887" xr:uid="{A70610C2-BCB0-47DE-B97C-7DD557D8BB2B}"/>
    <hyperlink ref="N115" r:id="rId888" xr:uid="{7DFF6AAA-41C5-4FA8-8760-2ED70B83B510}"/>
    <hyperlink ref="L115" r:id="rId889" xr:uid="{4FABCECB-DFB2-4762-95AA-4D3B48901CD6}"/>
    <hyperlink ref="O115" r:id="rId890" xr:uid="{6AC73743-02B9-4EFB-A538-EAE0B468AE78}"/>
    <hyperlink ref="O119" r:id="rId891" xr:uid="{9F642037-967B-4A5D-8960-041B58C07C68}"/>
    <hyperlink ref="L119" r:id="rId892" xr:uid="{988734EB-96BF-463E-BA08-2C2CABC686DA}"/>
    <hyperlink ref="L114" r:id="rId893" xr:uid="{355F4BC1-4216-4440-8752-EF5188639396}"/>
    <hyperlink ref="N114" r:id="rId894" xr:uid="{60A2DF1E-4179-4B58-B069-F30CD872BC12}"/>
    <hyperlink ref="O114" r:id="rId895" xr:uid="{77E5602F-238F-41DC-AB11-BDED67987438}"/>
    <hyperlink ref="L111" r:id="rId896" xr:uid="{CEBAB3A9-EB6E-4F9D-824E-5BE42ADFC65A}"/>
    <hyperlink ref="N111" r:id="rId897" xr:uid="{0BE4FEF7-65C1-46FF-89F5-5C5E9A4CB136}"/>
    <hyperlink ref="O111" r:id="rId898" xr:uid="{4319391A-BD19-42F8-8520-4249196125AB}"/>
    <hyperlink ref="L97" r:id="rId899" xr:uid="{2619A639-3E9E-4C23-978A-7E34C84AFC78}"/>
    <hyperlink ref="N97" r:id="rId900" xr:uid="{3BC19B2A-94D3-4E37-B414-3D3C19C30755}"/>
    <hyperlink ref="O97" r:id="rId901" xr:uid="{40567023-8AD0-4FB0-9B47-8178324A0E69}"/>
    <hyperlink ref="L91" r:id="rId902" xr:uid="{649BDE1D-0614-4CC1-B154-DD7F351E713D}"/>
    <hyperlink ref="N91" r:id="rId903" xr:uid="{C3B48496-4FB5-4239-8144-6EBFBEAD5BBA}"/>
    <hyperlink ref="O91" r:id="rId904" xr:uid="{5A8E646F-2539-45A9-AF82-3A5D45DD0093}"/>
    <hyperlink ref="L81" r:id="rId905" xr:uid="{D3521EEE-7EF7-4021-818D-4AF86A5234C1}"/>
    <hyperlink ref="N81" r:id="rId906" xr:uid="{B52484DE-A8E9-40F1-A21B-9D8A559F99B6}"/>
    <hyperlink ref="O81" r:id="rId907" xr:uid="{4A5A7CA6-1406-4C22-BB7B-2B9905CC58B5}"/>
    <hyperlink ref="L14" r:id="rId908" xr:uid="{63915DEE-6080-4440-9B97-FEE0527AE8F1}"/>
    <hyperlink ref="N14" r:id="rId909" xr:uid="{2AB39F9B-FC1E-4097-B3CB-F04B28457B4D}"/>
    <hyperlink ref="O14" r:id="rId910" xr:uid="{F8A14E3C-652F-4409-ACBB-9F3BCDE8A749}"/>
    <hyperlink ref="L31" r:id="rId911" xr:uid="{80624630-4921-47DD-8FD8-B837A598569E}"/>
    <hyperlink ref="N31" r:id="rId912" xr:uid="{B0AA8FD7-3898-4ED3-A146-4713AB727210}"/>
    <hyperlink ref="O31" r:id="rId913" xr:uid="{2D938823-23F5-4B6A-987B-4646F982E46B}"/>
    <hyperlink ref="L32" r:id="rId914" xr:uid="{DEF320C9-8711-45E3-9C69-609DD7F4DCF8}"/>
    <hyperlink ref="N32" r:id="rId915" xr:uid="{AC076E8C-BB6C-4DE1-9006-90345496871F}"/>
    <hyperlink ref="O32" r:id="rId916" xr:uid="{92A49A46-367E-49C2-902D-14F6BD680476}"/>
    <hyperlink ref="L33" r:id="rId917" xr:uid="{D0947551-869A-4AB2-B375-AFA4D6D123FA}"/>
    <hyperlink ref="N33" r:id="rId918" xr:uid="{3AC7133C-2770-4FD7-B6FB-53C50FE62895}"/>
    <hyperlink ref="O33" r:id="rId919" xr:uid="{F823CC18-0378-48D6-9D59-A2338AE044E8}"/>
    <hyperlink ref="L34" r:id="rId920" xr:uid="{D7D26186-F373-4ACD-B411-EC2485E40A0D}"/>
    <hyperlink ref="N34" r:id="rId921" xr:uid="{D8B4AAD8-DE0E-4898-A43A-FFDE7435B338}"/>
    <hyperlink ref="O34" r:id="rId922" xr:uid="{F8C387D1-66C3-4C23-A689-796DA2966765}"/>
    <hyperlink ref="L35" r:id="rId923" xr:uid="{4D7CCB46-CC72-4039-B290-5C3224D34BA5}"/>
    <hyperlink ref="N35" r:id="rId924" xr:uid="{8C2C0DE6-9556-45FD-8B10-CF32FB9B0230}"/>
    <hyperlink ref="O35" r:id="rId925" xr:uid="{75BC470C-152B-4901-8423-D7ABAF06C0AF}"/>
    <hyperlink ref="L36" r:id="rId926" xr:uid="{C5DA72C2-1497-4068-85EF-64B0E6213950}"/>
    <hyperlink ref="N36" r:id="rId927" xr:uid="{678399F6-76D5-4ED2-9925-924564ACCA25}"/>
    <hyperlink ref="O36" r:id="rId928" xr:uid="{A61CA18C-91AE-4CD1-8673-1A50B111FE28}"/>
    <hyperlink ref="L37" r:id="rId929" xr:uid="{F02B24D2-4C97-4E2D-B99A-F4B818EBF6C4}"/>
    <hyperlink ref="N37" r:id="rId930" xr:uid="{1D2CDCEE-DD70-42BB-A947-BD9D2F8F1D78}"/>
    <hyperlink ref="O37" r:id="rId931" xr:uid="{688575C3-D6D3-4052-BD47-E5A3617A5302}"/>
    <hyperlink ref="L38" r:id="rId932" xr:uid="{9A6A630B-B44B-4C49-82B9-F4B7BDEAD425}"/>
    <hyperlink ref="N38" r:id="rId933" xr:uid="{32414038-878D-4357-BE28-095ABC4C9576}"/>
    <hyperlink ref="O38" r:id="rId934" xr:uid="{FF4C4E1D-D3EC-4F2E-943D-CFBEA9E400C2}"/>
    <hyperlink ref="L39" r:id="rId935" xr:uid="{1B0AD3DC-7A44-414D-8B11-66232BFC9341}"/>
    <hyperlink ref="N39" r:id="rId936" xr:uid="{DA629AF2-C628-4977-BC6F-6075D46A9E84}"/>
    <hyperlink ref="O39" r:id="rId937" xr:uid="{59CEAEED-7BBE-49F3-AB9C-3B4440BC53C0}"/>
    <hyperlink ref="L40" r:id="rId938" xr:uid="{9A14903D-4653-4376-8F84-F69F4DB0B74F}"/>
    <hyperlink ref="N40" r:id="rId939" xr:uid="{4274CAFE-0893-47F1-9B50-9EBD82278E35}"/>
    <hyperlink ref="O40" r:id="rId940" xr:uid="{45B08110-3418-4E8F-8395-3A8E1DF60E8D}"/>
    <hyperlink ref="L41" r:id="rId941" xr:uid="{C78A0DA5-1D3E-4F24-B818-C74748CE7ACB}"/>
    <hyperlink ref="N41" r:id="rId942" xr:uid="{928B8C8F-D7AA-4E4D-BC08-E390B1CB2437}"/>
    <hyperlink ref="O41" r:id="rId943" xr:uid="{4B7DFC9F-3B41-42C5-8991-46AFC6D0015E}"/>
    <hyperlink ref="L42" r:id="rId944" xr:uid="{4A4EDD71-2D7C-49AA-A235-829749DCFBB6}"/>
    <hyperlink ref="N42" r:id="rId945" xr:uid="{9E3900DA-CAC8-478F-893A-0B88494B1740}"/>
    <hyperlink ref="O42" r:id="rId946" xr:uid="{DFB63E18-2ED1-49CF-9129-AFBF39E94BAF}"/>
    <hyperlink ref="L43" r:id="rId947" xr:uid="{F529EAFE-0D2F-4BA1-BBDC-EF3519B93F63}"/>
    <hyperlink ref="N43" r:id="rId948" xr:uid="{961FF894-22F5-4AB4-91EB-7D0FB4C31128}"/>
    <hyperlink ref="O43" r:id="rId949" xr:uid="{48817524-DA5A-41C6-B09B-9C1BF80ABAB9}"/>
    <hyperlink ref="L44" r:id="rId950" xr:uid="{6D5E896A-8EBA-407C-8BB8-F8CCE5F60009}"/>
    <hyperlink ref="N44" r:id="rId951" xr:uid="{2EE2FB8F-CA5A-44D2-B8B7-0131987455A7}"/>
    <hyperlink ref="O44" r:id="rId952" xr:uid="{F8259D40-035C-4234-ADB1-D2D9CF1D800C}"/>
    <hyperlink ref="L45" r:id="rId953" xr:uid="{C8026514-2B01-4B35-8138-2E52DCE9FE10}"/>
    <hyperlink ref="N45" r:id="rId954" xr:uid="{6B8F2913-4823-4E29-AF55-163A8B35DCA6}"/>
    <hyperlink ref="O45" r:id="rId955" xr:uid="{937DD51C-67B6-458B-8496-FD8BF24E182B}"/>
    <hyperlink ref="L46" r:id="rId956" xr:uid="{8711E373-77AD-4E23-BDB7-2D4CD6F04270}"/>
    <hyperlink ref="N46" r:id="rId957" xr:uid="{B3946D03-0449-41EA-B84E-1FD35289F25E}"/>
    <hyperlink ref="O46" r:id="rId958" xr:uid="{701F7237-5407-42EB-A137-D992CD80F418}"/>
    <hyperlink ref="L47" r:id="rId959" xr:uid="{14DF1B12-B6B6-48B1-B96C-1851C168E14E}"/>
    <hyperlink ref="N47" r:id="rId960" xr:uid="{4CBD3735-2BE3-4C21-90E7-A89305957B29}"/>
    <hyperlink ref="O47" r:id="rId961" xr:uid="{F95C7757-07D3-4567-AA75-9E0DE7BA9A4A}"/>
    <hyperlink ref="L48" r:id="rId962" xr:uid="{123C35FE-C629-44C1-9284-5FB99334DD3D}"/>
    <hyperlink ref="N48" r:id="rId963" xr:uid="{6D5FAC90-D3CE-447A-8C64-F47C3347A016}"/>
    <hyperlink ref="O48" r:id="rId964" xr:uid="{7EE44EC6-AEED-40A7-9990-55075313D248}"/>
    <hyperlink ref="L49" r:id="rId965" xr:uid="{2CF5C6CC-5784-4145-8B8D-389065B057BE}"/>
    <hyperlink ref="N49" r:id="rId966" xr:uid="{ED75525E-165E-4C20-AA17-E50E67A6CC24}"/>
    <hyperlink ref="O49" r:id="rId967" xr:uid="{2F1BC825-13F4-4C96-8964-0F1982E5EC11}"/>
    <hyperlink ref="L50" r:id="rId968" xr:uid="{A16A91A4-131F-44C7-8C89-66AE4FBB67E0}"/>
    <hyperlink ref="N50" r:id="rId969" xr:uid="{4BA64D9D-D1BB-4ACB-B0EF-E95C63B7BBD3}"/>
    <hyperlink ref="O50" r:id="rId970" xr:uid="{094FAD86-6844-4563-9143-31A6AE07EB4B}"/>
    <hyperlink ref="L51" r:id="rId971" xr:uid="{48479CA4-8D8A-4BA4-8DD7-704ED8D0BEF4}"/>
    <hyperlink ref="N51" r:id="rId972" xr:uid="{D0A58E73-CE0F-476B-9F31-1CF50B10D7FA}"/>
    <hyperlink ref="O51" r:id="rId973" xr:uid="{5A21CEA6-ABDF-4EA3-9B2A-DD96A4078FEB}"/>
    <hyperlink ref="L52" r:id="rId974" xr:uid="{3DC125C0-2DE6-43F8-A8EF-9B69ABFB9828}"/>
    <hyperlink ref="N52" r:id="rId975" xr:uid="{355C7CCE-F9A9-4501-8764-475E040D8EFB}"/>
    <hyperlink ref="O52" r:id="rId976" xr:uid="{EB7E0983-B45F-42D7-ABC0-ECFD1F36773D}"/>
    <hyperlink ref="L54" r:id="rId977" xr:uid="{0C8E8068-CC78-48D9-8D91-73A18ECB3B53}"/>
    <hyperlink ref="N54" r:id="rId978" xr:uid="{B7B94AA6-032F-460E-91BC-E546D21BBD98}"/>
    <hyperlink ref="O54" r:id="rId979" xr:uid="{F8640CDB-B91E-4017-9757-AA916841406A}"/>
    <hyperlink ref="L56" r:id="rId980" xr:uid="{1E6D2CEB-0A64-4B3F-A05B-7A5BCDE0F2F9}"/>
    <hyperlink ref="N56" r:id="rId981" xr:uid="{5ECBF948-2AAF-4866-8240-8F24F3919972}"/>
    <hyperlink ref="O56" r:id="rId982" xr:uid="{A686E186-7185-47C5-BC5B-1669B5B3C38D}"/>
    <hyperlink ref="L57" r:id="rId983" xr:uid="{AB742DBF-5382-491B-B4D4-7024F7FCA0F3}"/>
    <hyperlink ref="N57" r:id="rId984" xr:uid="{92411A4A-5B2E-4D54-B171-3EEE42A5559C}"/>
    <hyperlink ref="O57" r:id="rId985" xr:uid="{857C28D0-2E7C-4A2F-981E-C4CE1417698E}"/>
    <hyperlink ref="L58" r:id="rId986" xr:uid="{DEBA1F31-36F8-4DD7-A2E5-E3229E2B2B0C}"/>
    <hyperlink ref="N58" r:id="rId987" xr:uid="{5715EAC7-864E-4E6A-B8DE-63F130FAB9B8}"/>
    <hyperlink ref="O58" r:id="rId988" xr:uid="{6B3E340D-184E-45D8-BF3B-8677CDB66AF6}"/>
    <hyperlink ref="L60" r:id="rId989" xr:uid="{C620CDF1-8457-4232-98B2-F35A8D346FAD}"/>
    <hyperlink ref="N60" r:id="rId990" xr:uid="{ABAB1168-72ED-498B-B128-AED37C091F07}"/>
    <hyperlink ref="O60" r:id="rId991" xr:uid="{D60B668C-CA08-41B8-B465-02169F8531A5}"/>
    <hyperlink ref="L61" r:id="rId992" xr:uid="{FADFA069-9363-4297-A5F9-F398E759DA05}"/>
    <hyperlink ref="N61" r:id="rId993" xr:uid="{DDF743F5-881F-4248-8506-A5BB1FC1403C}"/>
    <hyperlink ref="O61" r:id="rId994" xr:uid="{8773C555-31D1-4E08-8B89-8C9F3E151004}"/>
    <hyperlink ref="L62" r:id="rId995" xr:uid="{432E1352-9FAE-4BDA-B70E-DA3EA06CDC7B}"/>
    <hyperlink ref="N62" r:id="rId996" xr:uid="{ADF474E6-B8CD-4183-A517-E5DABDF8120E}"/>
    <hyperlink ref="O62" r:id="rId997" xr:uid="{73846347-BDC7-4EEF-9820-444159CA6381}"/>
    <hyperlink ref="L63" r:id="rId998" xr:uid="{B4E4313C-5471-4BE6-8027-4CE3E74CFB5E}"/>
    <hyperlink ref="N63" r:id="rId999" xr:uid="{C06472E4-0D69-4F50-AC58-D0C1C83D1A9C}"/>
    <hyperlink ref="O63" r:id="rId1000" xr:uid="{5A7E0C08-B026-44D9-A412-131FB567496B}"/>
    <hyperlink ref="L64" r:id="rId1001" xr:uid="{EF80D824-8BE2-4C19-8A4F-BC5D1DAD8368}"/>
    <hyperlink ref="N64" r:id="rId1002" xr:uid="{295653F4-8BB0-477C-B1BD-7E7681CE0B1A}"/>
    <hyperlink ref="O64" r:id="rId1003" xr:uid="{583724CF-5A00-434B-9698-57EBE25D4888}"/>
    <hyperlink ref="L67" r:id="rId1004" xr:uid="{E28546D9-4EF3-468C-8B93-89CBF463E0A4}"/>
    <hyperlink ref="N67" r:id="rId1005" xr:uid="{D7A4BF02-F94C-4D7F-975C-55EAABFF8C2B}"/>
    <hyperlink ref="O67" r:id="rId1006" xr:uid="{169AAB43-77E4-416F-814A-DE564D51BA32}"/>
    <hyperlink ref="L59" r:id="rId1007" xr:uid="{E4E38271-C622-41D3-A7B8-179103C593AB}"/>
    <hyperlink ref="N59" r:id="rId1008" xr:uid="{4E4C9FE1-C889-4727-BCD5-B2CB9551C06B}"/>
    <hyperlink ref="O59" r:id="rId1009" xr:uid="{02EF90BE-B22C-4C40-8999-7FA1009C8B8E}"/>
    <hyperlink ref="L53" r:id="rId1010" xr:uid="{56B015EE-AE1D-4476-AF7C-9A6AB9DDCD40}"/>
    <hyperlink ref="N53" r:id="rId1011" xr:uid="{49B0028C-0833-475B-AA99-BC3C63CA5D58}"/>
    <hyperlink ref="O53" r:id="rId1012" xr:uid="{D3F93FBA-0AE3-4D48-9AD5-B50C14EB96B4}"/>
    <hyperlink ref="L30" r:id="rId1013" xr:uid="{15CDD3F0-C953-41DC-ACFB-7CBC221BC562}"/>
    <hyperlink ref="N30" r:id="rId1014" xr:uid="{98513E17-C95F-4006-BA12-08FC117C083F}"/>
    <hyperlink ref="O30" r:id="rId1015" xr:uid="{6CC875C6-6156-4B0E-92AF-BF996B772B00}"/>
    <hyperlink ref="L29" r:id="rId1016" xr:uid="{C1BFDF02-0F1C-412C-BE0C-0495E3B765E0}"/>
    <hyperlink ref="N29" r:id="rId1017" xr:uid="{69A17189-8F50-482E-BAC8-8245E8ABE58A}"/>
    <hyperlink ref="O29" r:id="rId1018" xr:uid="{3C8983E1-5418-45E0-B9E4-E4B1A9F698AF}"/>
    <hyperlink ref="L28" r:id="rId1019" xr:uid="{5270CBFE-6001-438E-8AA3-1A9DD6FE3CE0}"/>
    <hyperlink ref="N28" r:id="rId1020" xr:uid="{6879625B-F82F-450C-8D7C-0DD2A3CCB196}"/>
    <hyperlink ref="O28" r:id="rId1021" xr:uid="{192DA8CA-9B13-4428-BA27-19FAF6E16140}"/>
    <hyperlink ref="L27" r:id="rId1022" xr:uid="{10BA2637-C0E5-4B13-B6AA-460F2EFA86D6}"/>
    <hyperlink ref="N27" r:id="rId1023" xr:uid="{101CED8D-4344-4BBB-AE6A-23928A8DAFB8}"/>
    <hyperlink ref="O27" r:id="rId1024" xr:uid="{B9AF630D-246F-4038-85DA-657AEB48624B}"/>
    <hyperlink ref="L26" r:id="rId1025" xr:uid="{17F634A9-E8F9-47C5-ADCE-43FB85A47531}"/>
    <hyperlink ref="N26" r:id="rId1026" xr:uid="{9F183C99-26FB-4948-A5B7-6ED08BC01871}"/>
    <hyperlink ref="O26" r:id="rId1027" xr:uid="{4637C91D-426D-47C6-A9BE-5E3370D40649}"/>
    <hyperlink ref="L25" r:id="rId1028" xr:uid="{3FD5C1C7-F4F0-4956-B059-FF78F8786486}"/>
    <hyperlink ref="N25" r:id="rId1029" xr:uid="{76906976-9707-4920-BFF5-F6EC6AC1D195}"/>
    <hyperlink ref="O25" r:id="rId1030" xr:uid="{BC52321A-5D41-4916-A219-D021CE0B12A8}"/>
    <hyperlink ref="L24" r:id="rId1031" xr:uid="{0D2E295B-E528-4953-9E1B-2CDBF5888CA4}"/>
    <hyperlink ref="N24" r:id="rId1032" xr:uid="{2E57987D-0CD7-4D80-9239-F29CECFB433F}"/>
    <hyperlink ref="O24" r:id="rId1033" xr:uid="{42BD7200-6496-4C29-92BD-8A8E8EE24ED2}"/>
    <hyperlink ref="L23" r:id="rId1034" xr:uid="{6FB1BF11-0D8F-43C0-A2AF-A1E00AA49EBB}"/>
    <hyperlink ref="N23" r:id="rId1035" xr:uid="{BFA7BECB-0B9A-4D29-92AE-5552F63DD937}"/>
    <hyperlink ref="O23" r:id="rId1036" xr:uid="{912CEB6E-F700-4C3A-B6C6-E4FA71CCD9DE}"/>
    <hyperlink ref="L22" r:id="rId1037" xr:uid="{33BF58B4-80E4-440C-8CD4-0F9326EABAE4}"/>
    <hyperlink ref="N22" r:id="rId1038" xr:uid="{3DC936AB-A3AE-437C-9BD4-3E978398B183}"/>
    <hyperlink ref="O22" r:id="rId1039" xr:uid="{593FCCFE-5646-41A6-A238-C40267A20A93}"/>
    <hyperlink ref="L21" r:id="rId1040" xr:uid="{BB962BBC-9F82-4D6E-9E35-5A46FD576BC7}"/>
    <hyperlink ref="N21" r:id="rId1041" xr:uid="{E26FC5B1-6EDC-41E7-A1B5-2378E420BE43}"/>
    <hyperlink ref="O21" r:id="rId1042" xr:uid="{26B1F61C-01B5-4374-B297-48D60C181243}"/>
    <hyperlink ref="L20" r:id="rId1043" xr:uid="{5F5CBA21-DFDD-4944-950F-3249BB7DCFD9}"/>
    <hyperlink ref="N20" r:id="rId1044" xr:uid="{CBEA2B45-7E37-43C4-8F84-7C681C636B33}"/>
    <hyperlink ref="O20" r:id="rId1045" xr:uid="{9F646480-6954-478F-86E2-88C9A1F11554}"/>
    <hyperlink ref="L19" r:id="rId1046" xr:uid="{E9359F1F-8F8B-4206-A125-CEAF9419F300}"/>
    <hyperlink ref="N19" r:id="rId1047" xr:uid="{2734EBF4-4508-403F-979A-071A0B0D0F4A}"/>
    <hyperlink ref="O19" r:id="rId1048" xr:uid="{56BB244F-224D-4464-AAA6-98EDED115631}"/>
    <hyperlink ref="L18" r:id="rId1049" xr:uid="{4151C003-921C-4A12-83DC-6AFF4D97B56E}"/>
    <hyperlink ref="N18" r:id="rId1050" xr:uid="{718F2219-E022-43AE-A673-B4D15B124A60}"/>
    <hyperlink ref="O18" r:id="rId1051" xr:uid="{8A9BFF8F-1AFF-4078-B2C4-8805D04404EC}"/>
    <hyperlink ref="L17" r:id="rId1052" xr:uid="{76359467-3E90-459C-823D-9752790E3A3D}"/>
    <hyperlink ref="N17" r:id="rId1053" xr:uid="{748751CE-4EE7-4A85-9394-7EC81AC94DCC}"/>
    <hyperlink ref="O17" r:id="rId1054" xr:uid="{3D4C48F6-6C9A-45EC-8BBF-09F4F02192D6}"/>
    <hyperlink ref="L16" r:id="rId1055" xr:uid="{3BC6DC1A-FC0B-4585-B8D6-C9F1B874B9B1}"/>
    <hyperlink ref="N16" r:id="rId1056" xr:uid="{F89DEA10-3A31-4F1A-953D-F3A8458717A5}"/>
    <hyperlink ref="O16" r:id="rId1057" xr:uid="{61ED7A15-CCC8-4FD0-94E6-0EC373E9D803}"/>
    <hyperlink ref="L68" r:id="rId1058" xr:uid="{841B0421-06E4-4763-90D7-0FBCC94E60DF}"/>
    <hyperlink ref="N68" r:id="rId1059" xr:uid="{1E9A7E72-000D-4044-BE2C-3F7AFC95257D}"/>
    <hyperlink ref="O68" r:id="rId1060" xr:uid="{CFCFE2BB-7E37-4098-824F-EB8EF40F31D9}"/>
    <hyperlink ref="L69" r:id="rId1061" xr:uid="{C0D9ACB7-1DB6-420B-B2E3-FC018146B738}"/>
    <hyperlink ref="N69" r:id="rId1062" xr:uid="{D6A71245-A259-4B3F-8B64-3E5F6177A011}"/>
    <hyperlink ref="O69" r:id="rId1063" xr:uid="{1D7030A3-BB01-4D3C-84BC-19E1E7EBC70A}"/>
    <hyperlink ref="F121" r:id="rId1064" xr:uid="{EDB49625-7516-4094-A132-FF0CC4CE62DB}"/>
    <hyperlink ref="G121" r:id="rId1065" xr:uid="{0ED7DAFC-8AC3-434A-92BB-EC812A9C5D70}"/>
    <hyperlink ref="I121" r:id="rId1066" xr:uid="{9CC8FAA8-A1C3-4591-B735-DC4642A9E0D3}"/>
    <hyperlink ref="J121" r:id="rId1067" xr:uid="{1277288E-4010-48D0-800A-C592E5E0507F}"/>
    <hyperlink ref="K121" r:id="rId1068" xr:uid="{8F52F60F-D8F4-427F-96EB-08D6AEAFDB1E}"/>
    <hyperlink ref="N121" r:id="rId1069" xr:uid="{0A6FD068-9B7F-444C-AA2F-C8A8D9EDF01F}"/>
    <hyperlink ref="O121" r:id="rId1070" xr:uid="{12E82377-5C8D-4F63-82D3-90A090BFD5D3}"/>
    <hyperlink ref="I150" r:id="rId1071" xr:uid="{723F6708-9D20-4115-9792-E29D7574C281}"/>
    <hyperlink ref="J150" r:id="rId1072" xr:uid="{6393B93F-4F8C-42E8-88B0-B797000DBF9B}"/>
    <hyperlink ref="K150" r:id="rId1073" xr:uid="{5BDB6962-EBEB-4274-A7F5-39A4326E51DF}"/>
    <hyperlink ref="L150" r:id="rId1074" xr:uid="{E194EEB4-3F5D-4BC9-AED0-E0ED69D9C35E}"/>
    <hyperlink ref="N150" r:id="rId1075" xr:uid="{3D1033F8-B2BB-43D7-B932-A2C172C95F1E}"/>
    <hyperlink ref="O150" r:id="rId1076" xr:uid="{EAFD5F94-7607-4EFC-A30F-5A697ECDACEA}"/>
    <hyperlink ref="G150" r:id="rId1077" xr:uid="{FBD6F4FD-1B35-4BF9-8CFE-403F30360C38}"/>
    <hyperlink ref="G142" r:id="rId1078" xr:uid="{483B8D22-F1FD-47D8-9B70-B945D74A8E7B}"/>
    <hyperlink ref="I142" r:id="rId1079" xr:uid="{25627E93-1821-469F-A031-2A171A33F2D1}"/>
    <hyperlink ref="J142" r:id="rId1080" xr:uid="{A162EE4B-BB53-4F90-9FE7-F9ACCBEBBF6E}"/>
    <hyperlink ref="K142" r:id="rId1081" xr:uid="{0042D85F-9DD0-4073-849F-DEE431A23850}"/>
    <hyperlink ref="L142" r:id="rId1082" xr:uid="{DA3B1684-CA98-49B9-8C59-E93B67F25C7D}"/>
    <hyperlink ref="N142" r:id="rId1083" xr:uid="{F9EB7155-A1DD-4378-BBE1-C030F52E42F5}"/>
    <hyperlink ref="O142" r:id="rId1084" xr:uid="{ADA31BEF-E5A6-4BEF-B856-9CFE09EBFCC2}"/>
    <hyperlink ref="F142" r:id="rId1085" xr:uid="{2398CC64-80BF-4896-B601-434F18CE3C89}"/>
    <hyperlink ref="E150" r:id="rId1086" xr:uid="{ED84F118-7CE8-4FC7-B12C-5B8123597A4B}"/>
    <hyperlink ref="F103" r:id="rId1087" xr:uid="{63C42604-BB83-418F-AE2C-5B2C72914AB4}"/>
    <hyperlink ref="F91" r:id="rId1088" xr:uid="{483DF5DE-5CBD-4755-A703-3C82310BEF5E}"/>
    <hyperlink ref="D70" r:id="rId1089" xr:uid="{5C815637-7255-447F-A1CD-0876D38B1739}"/>
    <hyperlink ref="F129" r:id="rId1090" xr:uid="{96CE886E-A4DD-4D07-B1FA-9EB2FFB2008F}"/>
    <hyperlink ref="L129" r:id="rId1091" xr:uid="{9E146DD2-7279-45E3-9FAD-7B78B3C1728C}"/>
    <hyperlink ref="I129" r:id="rId1092" xr:uid="{23564FE8-DF36-47D8-AB0A-18B2AAE6802E}"/>
    <hyperlink ref="J129" r:id="rId1093" xr:uid="{5CDC0ACA-6312-442B-8EC7-DA44045A11C6}"/>
    <hyperlink ref="K129" r:id="rId1094" xr:uid="{C89E392B-13A7-4FC4-96EE-22264DE4A4B5}"/>
    <hyperlink ref="G129" r:id="rId1095" xr:uid="{7D00A678-C9F3-4C5A-883A-FB90C818E9DF}"/>
    <hyperlink ref="E132" r:id="rId1096" xr:uid="{DE9E0D38-B229-44A2-91B7-7274EF351F6C}"/>
    <hyperlink ref="F132" r:id="rId1097" xr:uid="{BEA71A05-EDB9-43F7-B013-B34A903143A1}"/>
    <hyperlink ref="L132" r:id="rId1098" xr:uid="{CF4CDA84-C5F3-4F51-98D7-92F2DB729B60}"/>
    <hyperlink ref="I132" r:id="rId1099" xr:uid="{21972F91-0F7A-4D2A-8A33-DDBBA82E194B}"/>
    <hyperlink ref="J132" r:id="rId1100" xr:uid="{BFC41972-2258-46B8-8FE2-1617FA2349CC}"/>
    <hyperlink ref="K132" r:id="rId1101" xr:uid="{52BD992F-3458-4389-9A23-2762F6959DEF}"/>
    <hyperlink ref="G132" r:id="rId1102" xr:uid="{2B8E89AE-BB1F-4F7F-92CF-2C9622935C80}"/>
    <hyperlink ref="N129" r:id="rId1103" xr:uid="{25FF73FF-9624-4EDB-8A29-11D818EECAB0}"/>
    <hyperlink ref="O129" r:id="rId1104" xr:uid="{DAF322D2-5D9B-4DA6-B364-831AC923B3B1}"/>
    <hyperlink ref="N132" r:id="rId1105" xr:uid="{938DED39-644D-4600-82A4-B838C796F453}"/>
    <hyperlink ref="O132" r:id="rId1106" xr:uid="{E27E7D00-932D-4CFC-B2FD-8A64B769550C}"/>
    <hyperlink ref="E127" r:id="rId1107" xr:uid="{484416CA-EDAA-4C5D-9CBA-196AAA6E8E26}"/>
    <hyperlink ref="G127" r:id="rId1108" xr:uid="{7197BF0B-2123-49D8-817D-B78CD51FA2A8}"/>
    <hyperlink ref="H127" r:id="rId1109" xr:uid="{A56E4995-A16D-4D84-85D1-1C3B8F1D1EB8}"/>
    <hyperlink ref="I127" r:id="rId1110" xr:uid="{A24F8312-DEF2-4814-999E-954D56B362B0}"/>
    <hyperlink ref="J127" r:id="rId1111" xr:uid="{05389CCC-D498-4C36-9FD4-C41831455737}"/>
    <hyperlink ref="L127" r:id="rId1112" xr:uid="{B9AC4EC8-929A-4DCC-A156-90B664DBD5CA}"/>
    <hyperlink ref="F127" r:id="rId1113" xr:uid="{03168512-2C00-4FC5-83EA-6170E7554574}"/>
    <hyperlink ref="N127" r:id="rId1114" xr:uid="{8721A545-73BF-4821-ABEF-F0E1C58796D9}"/>
    <hyperlink ref="O127" r:id="rId1115" xr:uid="{1F840F8C-E820-4507-AB3E-72DA4A095985}"/>
    <hyperlink ref="E135" r:id="rId1116" xr:uid="{64D68437-FB4C-40C6-B1DD-1A0DF43E9D63}"/>
    <hyperlink ref="F135" r:id="rId1117" xr:uid="{52E89562-D632-40A5-AA88-B7EBA866C7D3}"/>
    <hyperlink ref="G135" r:id="rId1118" xr:uid="{2FC9F6E9-0F7A-4BA8-BE8E-0D873C38E804}"/>
    <hyperlink ref="I135" r:id="rId1119" xr:uid="{61C3691B-02B5-444F-BE08-5FA999A6D3C9}"/>
    <hyperlink ref="J135" r:id="rId1120" xr:uid="{7387844C-59D9-424B-AAFA-45B839BDB3BF}"/>
    <hyperlink ref="K135" r:id="rId1121" xr:uid="{33195C6B-AAD6-4800-A7DE-22F43C3FBAEB}"/>
    <hyperlink ref="L135" r:id="rId1122" xr:uid="{4BC41684-F27D-4F37-B297-2D2CC06B8FA0}"/>
    <hyperlink ref="N135" r:id="rId1123" xr:uid="{A700ED5C-0ADA-48E1-BDF5-DC8EA3F376C7}"/>
    <hyperlink ref="O135" r:id="rId1124" xr:uid="{8097B09C-2399-4397-A33D-78876C33B51E}"/>
    <hyperlink ref="N154" r:id="rId1125" xr:uid="{559F3F4E-100F-4C87-BED5-E1DBACA0A495}"/>
    <hyperlink ref="O154" r:id="rId1126" xr:uid="{03951974-A3ED-43A3-8E88-70B896340E88}"/>
    <hyperlink ref="E154" r:id="rId1127" xr:uid="{0DD6961F-58C2-4C5B-9222-2F731D0A969A}"/>
    <hyperlink ref="L154" r:id="rId1128" xr:uid="{DD1B2F56-A560-4245-8AD3-E0BD29096DE6}"/>
    <hyperlink ref="I154" r:id="rId1129" xr:uid="{30C88E25-1536-47B5-B98B-CB1EE6BA2093}"/>
    <hyperlink ref="J154" r:id="rId1130" xr:uid="{64B28084-1E09-4855-A963-08C92705F0FB}"/>
    <hyperlink ref="K154" r:id="rId1131" xr:uid="{F97922BF-F4CC-43AE-8F36-9DA3CB67CF11}"/>
    <hyperlink ref="G154" r:id="rId1132" xr:uid="{031BB36D-4E28-4906-8E44-85619B14C676}"/>
    <hyperlink ref="E131" r:id="rId1133" xr:uid="{0184EF84-2D50-4ADA-9011-796341A67BB7}"/>
    <hyperlink ref="I131" r:id="rId1134" xr:uid="{A762E6C5-BE3B-4C0C-9299-0CFEFFBD8F25}"/>
    <hyperlink ref="J131" r:id="rId1135" xr:uid="{83A2B35C-5198-4000-A5B5-F122B100A512}"/>
    <hyperlink ref="L131" r:id="rId1136" xr:uid="{723351E6-293F-4176-9B40-D5FB15375BBC}"/>
    <hyperlink ref="N131" r:id="rId1137" xr:uid="{D553D22B-E775-4B1D-AFDB-F7EC95DCA7A1}"/>
    <hyperlink ref="O131" r:id="rId1138" xr:uid="{C572BC83-7941-406D-B36F-3A3EBF4AA15A}"/>
    <hyperlink ref="F131" r:id="rId1139" xr:uid="{BD2A15C0-E5B2-4E3E-BB67-E3B447056E8A}"/>
    <hyperlink ref="G131" r:id="rId1140" xr:uid="{C7238E71-396D-499B-9F2E-8C544FD82EBE}"/>
    <hyperlink ref="K131" r:id="rId1141" xr:uid="{9247F35E-7613-48F2-8306-3693A8F952FB}"/>
    <hyperlink ref="E143" r:id="rId1142" xr:uid="{F6C05FF2-5504-4D79-BD60-1945FE0D3060}"/>
    <hyperlink ref="F143" r:id="rId1143" xr:uid="{37FE3D96-BC41-4BA6-B13F-9ED87C4665A4}"/>
    <hyperlink ref="I143" r:id="rId1144" xr:uid="{A5184DF5-9818-4DFA-A560-30CFD804BB55}"/>
    <hyperlink ref="J143" r:id="rId1145" xr:uid="{B2400ECD-A475-4D70-B100-568A93DAE5B9}"/>
    <hyperlink ref="L143" r:id="rId1146" xr:uid="{E013B8D7-CE09-4123-A508-62656FD1F10B}"/>
    <hyperlink ref="N143" r:id="rId1147" xr:uid="{B3FCB843-FA38-4E48-B59F-4249E94C6DAF}"/>
    <hyperlink ref="O143" r:id="rId1148" xr:uid="{5767A9BF-A472-4598-936C-00CFF142E993}"/>
    <hyperlink ref="K143" r:id="rId1149" xr:uid="{80322183-C19B-4B85-A89A-0AD281351BB4}"/>
    <hyperlink ref="O152" r:id="rId1150" xr:uid="{DE2237DE-25BF-44F9-B665-0C115FE4511A}"/>
    <hyperlink ref="N152" r:id="rId1151" xr:uid="{4D4FA599-F5B0-4FF8-9FA0-7C89FF705E97}"/>
    <hyperlink ref="L152" r:id="rId1152" xr:uid="{875300D1-B030-450E-B44C-AFCBC8833BC3}"/>
    <hyperlink ref="K152" r:id="rId1153" xr:uid="{77167186-05E0-4BB0-B23E-3BD557386E59}"/>
    <hyperlink ref="J152" r:id="rId1154" xr:uid="{E184486A-CD02-49BF-8C26-6825CACE70EC}"/>
    <hyperlink ref="I152" r:id="rId1155" xr:uid="{7971AFD7-4E20-4EFD-A14C-A98CD29BA698}"/>
    <hyperlink ref="G152" r:id="rId1156" xr:uid="{19BD0F9D-A73C-4865-A456-20D8CE4ACFCF}"/>
    <hyperlink ref="F152" r:id="rId1157" xr:uid="{F4038882-FCB0-4440-9965-33BADB98D408}"/>
    <hyperlink ref="E152" r:id="rId1158" xr:uid="{F86E4785-9327-40BB-9D57-7BDA1A6B8BAF}"/>
    <hyperlink ref="G143" r:id="rId1159" xr:uid="{03C412D7-F3E0-4197-B041-FF34589E9993}"/>
    <hyperlink ref="I126" r:id="rId1160" xr:uid="{25F6F75B-5441-409C-B712-61AB82283F94}"/>
    <hyperlink ref="J126" r:id="rId1161" xr:uid="{064B08DF-2BCD-4D82-83E5-1435FC7CAA88}"/>
    <hyperlink ref="K126" r:id="rId1162" xr:uid="{5AF262BE-BC32-4D3E-990D-B4CE9948E621}"/>
    <hyperlink ref="L126" r:id="rId1163" xr:uid="{0D847B74-1FC3-4BB5-87BD-52122BCF9880}"/>
    <hyperlink ref="N126" r:id="rId1164" xr:uid="{8D8BBD69-99AE-46D4-B3B6-21B8DD502DBE}"/>
    <hyperlink ref="O126" r:id="rId1165" xr:uid="{C72899F4-30A5-4E9E-8047-B84B22ABD124}"/>
    <hyperlink ref="G126" r:id="rId1166" xr:uid="{8A5B9D00-2D04-46E0-92D4-EA9AB9BC620F}"/>
    <hyperlink ref="F126" r:id="rId1167" xr:uid="{E8DB2F4A-22BE-4FD7-8B40-6CA13FFA1D08}"/>
    <hyperlink ref="E126" r:id="rId1168" xr:uid="{ACDF2FE3-2380-46BD-8C2B-8934B7128B22}"/>
    <hyperlink ref="G122" r:id="rId1169" xr:uid="{70B3C0FE-F784-42FB-83C9-59EE0EB60C57}"/>
    <hyperlink ref="L122" r:id="rId1170" xr:uid="{37CDA0AA-BE0D-4689-8752-628A6D3C8415}"/>
    <hyperlink ref="N122" r:id="rId1171" xr:uid="{6AE3A756-86B7-4279-809A-85FDE5DAF287}"/>
    <hyperlink ref="O122" r:id="rId1172" xr:uid="{CBCFC31C-1EB3-442D-A06C-7FB3F61E869C}"/>
    <hyperlink ref="I122" r:id="rId1173" xr:uid="{022D7555-DD0D-402C-A4BB-2013F9E469F0}"/>
    <hyperlink ref="J122" r:id="rId1174" xr:uid="{4F448099-18C1-471C-B154-57DF9681A0F9}"/>
    <hyperlink ref="K122" r:id="rId1175" xr:uid="{87830AD2-295C-418A-969E-5688FFA2BC96}"/>
    <hyperlink ref="G139" r:id="rId1176" xr:uid="{CF57FB4A-72EF-49D6-8844-6D4569E92455}"/>
    <hyperlink ref="I139" r:id="rId1177" xr:uid="{45CDA8F1-3764-4BDE-A1C5-86F179CA1B12}"/>
    <hyperlink ref="J139" r:id="rId1178" xr:uid="{0BEEEF95-A97A-4C52-913A-B2B85481CDFB}"/>
    <hyperlink ref="L139" r:id="rId1179" xr:uid="{37B00044-85E4-4115-A718-E0F8034B088D}"/>
    <hyperlink ref="N139" r:id="rId1180" xr:uid="{DD2F84CD-BBA2-4B7F-83EB-9A30B044AD18}"/>
    <hyperlink ref="O139" r:id="rId1181" xr:uid="{BD95F712-DE84-4898-A9B1-7A55E59483AC}"/>
    <hyperlink ref="E149" r:id="rId1182" xr:uid="{515AED13-7B84-455E-ABCD-60B83F3562D7}"/>
    <hyperlink ref="G149" r:id="rId1183" xr:uid="{CC91047C-6ADB-4DF9-92BF-B4CDFD55E8D0}"/>
    <hyperlink ref="I149" r:id="rId1184" xr:uid="{088BC001-4950-46C3-B2D4-B89C024A80AC}"/>
    <hyperlink ref="J149" r:id="rId1185" xr:uid="{8D2ED3CA-7204-4E5D-90A3-E311AA2730B9}"/>
    <hyperlink ref="L149" r:id="rId1186" xr:uid="{EFC3269E-16A2-414F-9806-F15A6187EC1D}"/>
    <hyperlink ref="N149" r:id="rId1187" xr:uid="{E264B949-B5ED-42F4-BE72-8AD24230C2EB}"/>
    <hyperlink ref="O149" r:id="rId1188" xr:uid="{7C81B34F-B970-4CA6-A7DF-1EDB54A25C08}"/>
    <hyperlink ref="K149" r:id="rId1189" xr:uid="{7EBA9477-46F9-49F4-84EF-09FD2D878F1D}"/>
    <hyperlink ref="E137" r:id="rId1190" xr:uid="{C846CE9A-8B9B-4605-AA4C-EF9F2CC6A4D1}"/>
    <hyperlink ref="F137" r:id="rId1191" xr:uid="{C2FF5828-27F3-4A6A-897D-9127F09653F0}"/>
    <hyperlink ref="G137" r:id="rId1192" xr:uid="{2BC8312C-8125-450D-911F-B8E8361E67BD}"/>
    <hyperlink ref="I137" r:id="rId1193" xr:uid="{066028F8-58BD-4F3C-AC03-B12BF5AAC332}"/>
    <hyperlink ref="J137" r:id="rId1194" xr:uid="{BC3BF112-4B72-4D5D-BBB9-7C9CB94F3E09}"/>
    <hyperlink ref="L137" r:id="rId1195" xr:uid="{8C2C09E9-D35B-40F8-8302-5F7D58AEE4D2}"/>
    <hyperlink ref="N137" r:id="rId1196" xr:uid="{E947AA82-CD47-4D74-BB12-6EB2BA9BA396}"/>
    <hyperlink ref="O137" r:id="rId1197" xr:uid="{B7E32823-1494-4C88-9AEF-881D2440D427}"/>
    <hyperlink ref="K137" r:id="rId1198" xr:uid="{40FECDF3-BCD0-4C1E-849D-9A712C3F3103}"/>
    <hyperlink ref="G141" r:id="rId1199" xr:uid="{848B2923-6537-4F2E-85A9-EBF0B4D61DAE}"/>
    <hyperlink ref="F141" r:id="rId1200" xr:uid="{E6252FA0-5221-4FB9-99D1-984DD4D3CE1A}"/>
    <hyperlink ref="L141" r:id="rId1201" xr:uid="{FF2EB83C-D51F-4176-951E-179ACCCD4716}"/>
    <hyperlink ref="N141" r:id="rId1202" xr:uid="{0021D6E8-A9BF-45A2-BC44-CB1CBC31696A}"/>
    <hyperlink ref="O141" r:id="rId1203" xr:uid="{D48D5051-9A81-4B3D-B009-49D388B08B47}"/>
    <hyperlink ref="I141" r:id="rId1204" xr:uid="{33110AE1-D6AB-4281-B031-D033FE95BDE4}"/>
    <hyperlink ref="J141" r:id="rId1205" xr:uid="{D0D51CFF-77DF-4C50-A6CC-D96404B95345}"/>
    <hyperlink ref="K141" r:id="rId1206" xr:uid="{308B479A-50AB-4BC2-A494-CD62838B9101}"/>
    <hyperlink ref="F136" r:id="rId1207" xr:uid="{EE9B6FC2-6123-4ED9-A82F-C04B0AD77B0D}"/>
    <hyperlink ref="G136" r:id="rId1208" xr:uid="{64424B94-A514-4220-8FDD-F513DDE565D1}"/>
    <hyperlink ref="L136" r:id="rId1209" xr:uid="{A78B5E9C-3E8A-4329-98D9-ADAAF0190295}"/>
    <hyperlink ref="N136" r:id="rId1210" xr:uid="{2D5BB3B8-23DE-4ECB-9CE1-9412056E9A3C}"/>
    <hyperlink ref="O136" r:id="rId1211" xr:uid="{321FD312-07A1-4A00-82AD-41338F5CAB24}"/>
    <hyperlink ref="I136" r:id="rId1212" xr:uid="{45AE5863-2F82-4B3A-AB58-8629884E6679}"/>
    <hyperlink ref="J136" r:id="rId1213" xr:uid="{2CB0F7F4-F885-48CD-8EA8-03570E4BFBF2}"/>
    <hyperlink ref="K136" r:id="rId1214" xr:uid="{D7D21BAB-0793-45F8-9084-A888B7402AE2}"/>
    <hyperlink ref="I125" r:id="rId1215" xr:uid="{AB403185-2E8D-4A38-8BDF-614BA9FD7D18}"/>
    <hyperlink ref="J125" r:id="rId1216" xr:uid="{B427C972-5EB5-4CC4-A6E5-EC373AD95B61}"/>
    <hyperlink ref="K125" r:id="rId1217" xr:uid="{03186FE0-0FE9-48FD-A8BC-3386171866BC}"/>
    <hyperlink ref="L125" r:id="rId1218" xr:uid="{3127E051-F27E-4815-BB24-585662ABEABF}"/>
    <hyperlink ref="F125" r:id="rId1219" xr:uid="{535EAF33-AB39-417E-B5DA-6C147D56FD54}"/>
    <hyperlink ref="G125" r:id="rId1220" xr:uid="{E2D6F083-B304-432D-B85E-244390689CBA}"/>
    <hyperlink ref="N125" r:id="rId1221" xr:uid="{8B928DE8-59AE-4A69-B7A5-2E500C34A5EC}"/>
    <hyperlink ref="O125" r:id="rId1222" xr:uid="{9183BB3B-C160-4027-85B0-13B8D1624105}"/>
    <hyperlink ref="L148" r:id="rId1223" xr:uid="{475C88B4-3D49-45BA-984E-076D7D57A354}"/>
    <hyperlink ref="N148" r:id="rId1224" xr:uid="{272ECFF3-055E-49B2-B60C-0246E1593FD6}"/>
    <hyperlink ref="O148" r:id="rId1225" xr:uid="{FBF6B6B6-B600-4141-A423-ACF912FDAFC7}"/>
    <hyperlink ref="G148" r:id="rId1226" xr:uid="{9C14E0AE-F87A-4D64-8A3C-0B20D3909273}"/>
    <hyperlink ref="F148" r:id="rId1227" xr:uid="{5CB24665-C2F5-4114-81F1-1B6CB2ABFAA2}"/>
    <hyperlink ref="I148" r:id="rId1228" xr:uid="{3BAD48C6-F215-4F77-B6FF-A8648D87B1A7}"/>
    <hyperlink ref="J148" r:id="rId1229" xr:uid="{8670830F-B48A-4C36-8C2E-1407A7DD4F9B}"/>
    <hyperlink ref="L121" r:id="rId1230" xr:uid="{C711CBA4-37A2-49D0-AC75-2D5EEE174450}"/>
    <hyperlink ref="K148" r:id="rId1231" xr:uid="{9D936D8F-0CE4-4972-A2C2-651B9975EC48}"/>
    <hyperlink ref="E124" r:id="rId1232" xr:uid="{C40D1759-CCD6-40DE-9931-6D06165C241E}"/>
    <hyperlink ref="F124" r:id="rId1233" xr:uid="{A1B2D0C5-AB86-40AB-8A71-CA4E5C975C46}"/>
    <hyperlink ref="G124" r:id="rId1234" xr:uid="{BDD18E48-767C-4222-9A05-0126C5052672}"/>
    <hyperlink ref="I124" r:id="rId1235" xr:uid="{8CE95A16-375E-41EE-848E-E312BA92B3AD}"/>
    <hyperlink ref="J124" r:id="rId1236" xr:uid="{7D348546-4B22-41D4-AED1-622B49F2E917}"/>
    <hyperlink ref="K124" r:id="rId1237" xr:uid="{8DDBF60D-084E-43DB-AD6F-C6C31F81CECC}"/>
    <hyperlink ref="L124" r:id="rId1238" xr:uid="{D78E0ED5-68DC-4DC1-83E0-21C33F460AC5}"/>
    <hyperlink ref="N124" r:id="rId1239" xr:uid="{C83CB103-617C-46E4-825B-8C0459DA3532}"/>
    <hyperlink ref="O124" r:id="rId1240" xr:uid="{BB18118A-606F-4F69-B501-E312A0633027}"/>
    <hyperlink ref="F130" r:id="rId1241" xr:uid="{94D0C3FD-7DDD-4FE1-A292-7A85F9FEFA7B}"/>
    <hyperlink ref="G130" r:id="rId1242" xr:uid="{7CDC5B92-E236-49BF-975C-070DFAA10044}"/>
    <hyperlink ref="L130" r:id="rId1243" xr:uid="{1ACFADF1-ADA2-415C-AB56-A0A81B62B67D}"/>
    <hyperlink ref="N130" r:id="rId1244" xr:uid="{A9E8282C-B842-4777-A33E-A507D281CBF6}"/>
    <hyperlink ref="O130" r:id="rId1245" xr:uid="{808A3AEC-474F-4988-985D-D657D8524586}"/>
    <hyperlink ref="E130" r:id="rId1246" xr:uid="{0B016AEC-57DD-4A72-B077-BBF9B33BE378}"/>
    <hyperlink ref="I130" r:id="rId1247" xr:uid="{E369B6B7-BEFD-42DE-B193-089E2F84B24D}"/>
    <hyperlink ref="J130" r:id="rId1248" xr:uid="{31F1943D-F213-409E-B7DA-3CF3797259A2}"/>
    <hyperlink ref="K130" r:id="rId1249" xr:uid="{16A93CA2-D2C0-4F12-BA95-C63CD2633545}"/>
    <hyperlink ref="E134" r:id="rId1250" xr:uid="{79E89100-941E-4F2F-91EB-B2B62EB75956}"/>
    <hyperlink ref="F134" r:id="rId1251" xr:uid="{1602A2F1-BE89-42A2-B1A8-94B20B0BBDB1}"/>
    <hyperlink ref="G134" r:id="rId1252" xr:uid="{76BD19EB-72F4-4FA4-BFDC-B85752287597}"/>
    <hyperlink ref="I134" r:id="rId1253" xr:uid="{97182C06-80AB-45B8-8B75-DF7AD0849983}"/>
    <hyperlink ref="J134" r:id="rId1254" xr:uid="{E49A97E4-5C7F-4441-B644-A874D6BFE2B0}"/>
    <hyperlink ref="L134" r:id="rId1255" xr:uid="{1D901CBA-6DC6-4569-AFCD-CFB58BE938F1}"/>
    <hyperlink ref="N134" r:id="rId1256" xr:uid="{A06EAA8F-8F47-4CDA-94F6-21CB4B5CF7D7}"/>
    <hyperlink ref="O134" r:id="rId1257" xr:uid="{358FDC90-BF71-4CB5-B5AF-3F8D72BD5EEA}"/>
    <hyperlink ref="K134" r:id="rId1258" xr:uid="{73A778F5-4F27-4323-A3FF-74FBED1D603B}"/>
    <hyperlink ref="E138" r:id="rId1259" xr:uid="{38EFEF3F-D91A-41C2-BE1C-F8C8B7811A0C}"/>
    <hyperlink ref="F138" r:id="rId1260" xr:uid="{07C1B02B-6648-4D57-BF90-FD289AF16ECB}"/>
    <hyperlink ref="L138" r:id="rId1261" xr:uid="{D54652D4-4A82-46D7-835F-F1EB2B37E641}"/>
    <hyperlink ref="N138" r:id="rId1262" xr:uid="{60FF0106-BEF3-4F26-A53A-D80495A03A13}"/>
    <hyperlink ref="O138" r:id="rId1263" xr:uid="{51B3F761-0AFF-4F0A-8999-0652AC519DAE}"/>
    <hyperlink ref="G138" r:id="rId1264" xr:uid="{7A915701-F675-4226-9AC0-28407457D94E}"/>
    <hyperlink ref="D138" r:id="rId1265" xr:uid="{3988CFED-BA52-46F7-BE2F-49022F61158E}"/>
    <hyperlink ref="J138" r:id="rId1266" xr:uid="{A9EF0DC7-C6BD-4EE5-9840-C57B2640C0FF}"/>
    <hyperlink ref="I138" r:id="rId1267" xr:uid="{F4C86B99-3E5E-48DF-B3CB-384AB93E24C3}"/>
    <hyperlink ref="J145" r:id="rId1268" xr:uid="{2BEBE880-994B-474B-AE1B-01C4DF440416}"/>
    <hyperlink ref="I145" r:id="rId1269" xr:uid="{DD597960-8BEA-4496-832B-30BA2F206572}"/>
    <hyperlink ref="G145" r:id="rId1270" xr:uid="{8D03F434-0439-43CB-955A-7E385D38721F}"/>
    <hyperlink ref="D145" r:id="rId1271" xr:uid="{98DDA2E4-9053-4273-95C1-E85036C3675B}"/>
    <hyperlink ref="L145" r:id="rId1272" xr:uid="{A3C35A42-CE52-4F62-B4A6-05CB6E624171}"/>
    <hyperlink ref="F145" r:id="rId1273" xr:uid="{DE34E2B6-F549-4D78-8BFA-ECAB2D44D175}"/>
    <hyperlink ref="N145" r:id="rId1274" xr:uid="{D1C6E385-2F1E-4843-904D-DB4A58D0E9E7}"/>
    <hyperlink ref="O145" r:id="rId1275" xr:uid="{1C867098-1C00-4DEB-A1A9-55A18D9A5446}"/>
    <hyperlink ref="D155" r:id="rId1276" xr:uid="{51C505E5-AA56-4625-8682-9DE0EF4265FB}"/>
    <hyperlink ref="Q155" r:id="rId1277" xr:uid="{93D525DA-63D6-4F44-856A-F7778B023411}"/>
    <hyperlink ref="E155" r:id="rId1278" xr:uid="{71DD4E41-B49F-43F4-B094-7E3E3CBE9B23}"/>
    <hyperlink ref="F155" r:id="rId1279" xr:uid="{C003026E-0EF6-413C-8CB5-CAE95A35663F}"/>
    <hyperlink ref="G155" r:id="rId1280" xr:uid="{C59E04C2-C558-43C2-93E3-14BCC052D0F7}"/>
    <hyperlink ref="I155" r:id="rId1281" xr:uid="{581BD4FA-7AAB-465A-B384-5876B842D9C2}"/>
    <hyperlink ref="J155" r:id="rId1282" xr:uid="{2B797044-FDAF-48D2-9BCA-B581FF8E31B3}"/>
    <hyperlink ref="L155" r:id="rId1283" xr:uid="{D4FFB9CF-5FA8-4D02-9460-773814631977}"/>
    <hyperlink ref="N155" r:id="rId1284" xr:uid="{049B9CD9-07F1-4256-B1CE-121EDF20D819}"/>
    <hyperlink ref="O155" r:id="rId1285" xr:uid="{900E019F-9A9B-4CDE-A542-BC21A522FD0B}"/>
    <hyperlink ref="K155" r:id="rId1286" xr:uid="{B02DE5D3-ADBD-40A5-B046-27E8307A930D}"/>
    <hyperlink ref="I147" r:id="rId1287" xr:uid="{B88D3635-06B4-450C-AD7A-C890EF542DFC}"/>
    <hyperlink ref="J147" r:id="rId1288" xr:uid="{F4DFE60F-EBDE-4F79-BFF6-C8F929C582D7}"/>
    <hyperlink ref="F147" r:id="rId1289" xr:uid="{EE635B31-FCED-43AB-9099-B151BE81D9ED}"/>
    <hyperlink ref="G147" r:id="rId1290" xr:uid="{04BFE245-2C0C-4386-8C82-2178238C6F36}"/>
    <hyperlink ref="K147" r:id="rId1291" xr:uid="{4FBA7FF6-0AA3-417C-9D91-38A6A7EC915A}"/>
    <hyperlink ref="L147" r:id="rId1292" xr:uid="{EC3274A2-3032-4854-A53E-F4076FFBDEB2}"/>
    <hyperlink ref="E147" r:id="rId1293" xr:uid="{022D42BF-E66F-48E3-98DA-600591338397}"/>
    <hyperlink ref="N147" r:id="rId1294" xr:uid="{DC8ECFE2-6EDA-4129-94E7-76A7F443DA1D}"/>
    <hyperlink ref="O147" r:id="rId1295" xr:uid="{CBB98279-D155-4402-912C-1CEE85337605}"/>
    <hyperlink ref="P147" r:id="rId1296" xr:uid="{0E028BA5-4D4C-4D62-9847-CCCB163DFB26}"/>
    <hyperlink ref="D147" r:id="rId1297" xr:uid="{E8A9695F-255B-4878-8A9B-0C939C14326C}"/>
    <hyperlink ref="N151" r:id="rId1298" xr:uid="{10A90A9F-02C7-4BCE-84BD-EE51ED55BBEC}"/>
    <hyperlink ref="L151" r:id="rId1299" xr:uid="{1796E65E-3EB4-4710-8CC3-0B5AE3CE00D4}"/>
    <hyperlink ref="K151" r:id="rId1300" xr:uid="{BA9039DB-2092-4B91-B93B-AA842DD383C1}"/>
    <hyperlink ref="J151" r:id="rId1301" xr:uid="{0B04585C-604F-45AF-86F8-ACE2D531EADE}"/>
    <hyperlink ref="I151" r:id="rId1302" xr:uid="{1406F9EB-8FFB-46F6-BAF4-B8CA43F560D2}"/>
    <hyperlink ref="G151" r:id="rId1303" xr:uid="{B7622696-5281-4B3D-820B-9DE743D462E2}"/>
    <hyperlink ref="F151" r:id="rId1304" xr:uid="{C75706D1-3B2F-4327-AED3-32029D521AAF}"/>
    <hyperlink ref="O151" r:id="rId1305" xr:uid="{ADAC7B38-0BB4-46A3-9BFA-32DC67115487}"/>
    <hyperlink ref="P151" r:id="rId1306" xr:uid="{E3A2819F-7703-4130-9DF0-D54CF880D439}"/>
    <hyperlink ref="F120" r:id="rId1307" xr:uid="{83EEC268-2000-4062-A54F-07BD2257E509}"/>
    <hyperlink ref="E120" r:id="rId1308" xr:uid="{AF9A2328-50C3-40CE-98D0-BB95FD529628}"/>
    <hyperlink ref="L120" r:id="rId1309" xr:uid="{66847F9C-32B1-4B59-A2E4-B266A5332BCF}"/>
    <hyperlink ref="N120" r:id="rId1310" xr:uid="{7769098B-3D3C-463A-9A4A-488226A71BCB}"/>
    <hyperlink ref="O120" r:id="rId1311" xr:uid="{1CBAFADE-D1F1-4693-A3F5-6994EC89D3EC}"/>
    <hyperlink ref="G120" r:id="rId1312" xr:uid="{78000F14-0101-4896-9990-A941D8600578}"/>
    <hyperlink ref="D120" r:id="rId1313" xr:uid="{35B9A974-3A65-4EFD-B2A5-E86033006C92}"/>
    <hyperlink ref="I120" r:id="rId1314" xr:uid="{DFD3AD78-82AF-40C2-8259-9651684BCF73}"/>
    <hyperlink ref="J120" r:id="rId1315" xr:uid="{BC344550-A6B7-4C79-8C28-B193BD85A548}"/>
    <hyperlink ref="K138" r:id="rId1316" xr:uid="{6D7F2EB0-5E92-4E10-9454-ED2AC9122767}"/>
    <hyperlink ref="K145" r:id="rId1317" xr:uid="{F12C860F-3260-4559-BD38-4984B925048C}"/>
    <hyperlink ref="K120" r:id="rId1318" xr:uid="{4DAF988B-4DFC-4071-8583-41C865A342EF}"/>
    <hyperlink ref="P120" r:id="rId1319" xr:uid="{4FEE76BF-37AE-4DE8-A5A0-BAE9F80EF2B9}"/>
    <hyperlink ref="K139" r:id="rId1320" xr:uid="{F0FC0318-9A18-4411-941D-C85332D51DC9}"/>
    <hyperlink ref="K117" r:id="rId1321" xr:uid="{93C94EE0-D8B0-4667-B031-F5EF7B51B410}"/>
    <hyperlink ref="K127" r:id="rId1322" xr:uid="{89893A24-8AF2-44C8-AE51-E1CFB44D3531}"/>
    <hyperlink ref="I44" r:id="rId1323" xr:uid="{2E0F4F19-0987-4318-8722-9E30F34BA993}"/>
    <hyperlink ref="P122" r:id="rId1324" xr:uid="{CA9B0541-18F3-4DD9-9EEE-32E7626D516A}"/>
    <hyperlink ref="D140" r:id="rId1325" xr:uid="{7EF64D0D-F507-4F1E-9903-73B6BCE56EDC}"/>
    <hyperlink ref="Q140" r:id="rId1326" xr:uid="{CCF8DD3E-7DFB-42CF-98EA-97D94EF5FC30}"/>
    <hyperlink ref="I140" r:id="rId1327" xr:uid="{C8A856EA-B71F-4AE1-9743-05820E60795B}"/>
    <hyperlink ref="J140" r:id="rId1328" xr:uid="{54E38CA8-CDC4-423A-B568-904C559DAF7B}"/>
    <hyperlink ref="L140" r:id="rId1329" xr:uid="{98CE8D60-501F-4EED-B19B-C4EBC4F19FFD}"/>
    <hyperlink ref="O140" r:id="rId1330" xr:uid="{C27AEEB3-62AC-4DDD-B1C9-61AB30710F7D}"/>
    <hyperlink ref="G140" r:id="rId1331" xr:uid="{85DC82C6-30FB-45D2-BF48-950A3A828B7B}"/>
    <hyperlink ref="I153" r:id="rId1332" xr:uid="{69CE06B3-2351-496A-BD18-4F77F6ACD806}"/>
    <hyperlink ref="J153" r:id="rId1333" xr:uid="{FBBD3BDD-2A05-4C16-A428-F4AD958CAFFC}"/>
    <hyperlink ref="K153" r:id="rId1334" xr:uid="{D35D925B-FC2E-4EB8-8A59-17EB479234A4}"/>
    <hyperlink ref="L153" r:id="rId1335" xr:uid="{3DC5C823-985C-475F-AFE9-476D71D35D71}"/>
    <hyperlink ref="F153" r:id="rId1336" xr:uid="{321558A8-9CB0-4B94-9DAD-8E70FFBFEA09}"/>
    <hyperlink ref="E153" r:id="rId1337" xr:uid="{212B5CEF-A80F-4574-AD48-E6CB0830DD95}"/>
    <hyperlink ref="G153" r:id="rId1338" xr:uid="{1F5AB6DB-C752-4E27-B69A-99AAF363846C}"/>
    <hyperlink ref="P153" r:id="rId1339" xr:uid="{73138A6A-3AEA-4E43-9079-22A95D2C083C}"/>
    <hyperlink ref="D153" r:id="rId1340" xr:uid="{7993895F-F2C8-44DA-911B-310377220A91}"/>
    <hyperlink ref="E146" r:id="rId1341" xr:uid="{C555AC63-F34C-4B64-8E11-69CAB9E6CF8E}"/>
    <hyperlink ref="F146" r:id="rId1342" xr:uid="{ACD79E13-E8D5-4AEE-9931-879EFF6BDC15}"/>
    <hyperlink ref="D146" r:id="rId1343" xr:uid="{9D789AF2-C9D6-42AC-9FFA-AE53363A6362}"/>
    <hyperlink ref="G146" r:id="rId1344" xr:uid="{3F074E42-95D4-452D-82EA-DD4B6153979D}"/>
    <hyperlink ref="L146" r:id="rId1345" xr:uid="{B36AF29C-D74E-40B3-96C8-E39354059FC5}"/>
    <hyperlink ref="O146" r:id="rId1346" xr:uid="{BEFF3081-865D-4D64-B7F1-7EBD46A1C561}"/>
    <hyperlink ref="Q146" r:id="rId1347" xr:uid="{11563E5F-0136-4CDA-A142-D06A5C46076B}"/>
    <hyperlink ref="I146" r:id="rId1348" xr:uid="{9F7AB3A7-B75B-4ED9-B7D8-0213C8061DF6}"/>
    <hyperlink ref="J146" r:id="rId1349" xr:uid="{FD00790B-A362-4D07-9C58-7A82A4F53DE2}"/>
    <hyperlink ref="K146" r:id="rId1350" xr:uid="{A943F23D-E9B0-4A97-B871-1D95751A6045}"/>
    <hyperlink ref="I133" r:id="rId1351" xr:uid="{187780F9-F732-4563-92D6-DF60D0FB3D9C}"/>
    <hyperlink ref="J133" r:id="rId1352" xr:uid="{932B6706-FF4B-41DC-B46B-199E65569D37}"/>
    <hyperlink ref="L133" r:id="rId1353" xr:uid="{4B046449-E29A-444B-91E4-41AC1044EF65}"/>
    <hyperlink ref="D133" r:id="rId1354" xr:uid="{93C6F9C1-F525-4AD2-9B73-2A0FB2AA08E8}"/>
    <hyperlink ref="F133" r:id="rId1355" xr:uid="{1D955D9C-DD59-487E-8C3C-42E3944530BC}"/>
    <hyperlink ref="G133" r:id="rId1356" xr:uid="{ECB2A4FB-2826-4E3A-866B-E3E4EF74226C}"/>
    <hyperlink ref="O133" r:id="rId1357" xr:uid="{E5F11369-4545-4D57-B7EB-8791E0AC3E75}"/>
    <hyperlink ref="E133" r:id="rId1358" xr:uid="{6A57CE5C-1F06-4E08-BBA2-D430C257F8B4}"/>
    <hyperlink ref="K133" r:id="rId1359" xr:uid="{FC188634-605A-47B9-8E87-CA1BA1A58E57}"/>
    <hyperlink ref="Q128" r:id="rId1360" xr:uid="{FD3534DD-A8B5-4C99-AE50-E65FA52B8D65}"/>
    <hyperlink ref="D128" r:id="rId1361" xr:uid="{6B35B126-F398-493E-AFE6-7B9AF07BEAC4}"/>
    <hyperlink ref="I128" r:id="rId1362" xr:uid="{AB4FC1F1-353A-41A4-9685-F6A8BFDC5BEC}"/>
    <hyperlink ref="J128" r:id="rId1363" xr:uid="{966AF414-40FD-4132-904B-82D824FFB681}"/>
    <hyperlink ref="F128" r:id="rId1364" xr:uid="{A739B068-7A47-41B1-83A5-998D2AA8C1AF}"/>
    <hyperlink ref="L128" r:id="rId1365" xr:uid="{4E41E922-117A-44E2-8585-09BBB764E9C6}"/>
    <hyperlink ref="O128" r:id="rId1366" xr:uid="{91CBCD14-6345-4851-96A2-93DDB52CB84E}"/>
    <hyperlink ref="K128" r:id="rId1367" xr:uid="{EECB2EF3-9D42-43D3-AF41-3C7002BDC8D1}"/>
    <hyperlink ref="G128" r:id="rId1368" xr:uid="{D8024130-4D3F-4449-AE87-79746A8D69D4}"/>
    <hyperlink ref="D123" r:id="rId1369" xr:uid="{DE5BD548-DBC1-4E56-97D0-5F02E27F7E8B}"/>
    <hyperlink ref="Q123" r:id="rId1370" xr:uid="{FF932108-B29B-48C0-ABCB-0DF723075465}"/>
    <hyperlink ref="K140" r:id="rId1371" xr:uid="{F2D1D726-53E2-4449-8D69-705F07502ACF}"/>
    <hyperlink ref="K123" r:id="rId1372" xr:uid="{7B1C2704-72C3-4689-8FF0-B473CC91BD94}"/>
    <hyperlink ref="I123" r:id="rId1373" xr:uid="{D0C4B95F-9220-4649-871E-C122C6E23DD8}"/>
    <hyperlink ref="J123" r:id="rId1374" xr:uid="{A70F3584-5FDA-4F60-9D87-7445423AA2DF}"/>
    <hyperlink ref="G123" r:id="rId1375" xr:uid="{7A732F06-730F-45E2-8F2F-FD310E2F54A9}"/>
    <hyperlink ref="L123" r:id="rId1376" xr:uid="{077CB300-3871-4AAA-A7A3-D8363BC3E3FF}"/>
    <hyperlink ref="O123" r:id="rId1377" xr:uid="{172B9B35-BD15-47E3-AD60-B4F7B245B781}"/>
    <hyperlink ref="F123" r:id="rId1378" xr:uid="{E6071F00-F70C-45F7-A7CD-A90B660EEFB5}"/>
    <hyperlink ref="F156" r:id="rId1379" xr:uid="{517B9D73-9BBC-4499-80CA-36F0E11E3FDA}"/>
    <hyperlink ref="L156" r:id="rId1380" xr:uid="{F49D3273-D016-4572-8970-3BB70D99F703}"/>
    <hyperlink ref="G156" r:id="rId1381" xr:uid="{AEB03234-4DAE-4B53-B48C-05077DF244D1}"/>
    <hyperlink ref="O156" r:id="rId1382" xr:uid="{D083FB0D-0E21-41A5-B343-5D1A3EFA2E77}"/>
    <hyperlink ref="I156" r:id="rId1383" xr:uid="{1CC8D3FF-1119-45A5-9EC8-7357176B8A4D}"/>
    <hyperlink ref="J156" r:id="rId1384" xr:uid="{BCCEE3B9-03E0-48A4-A919-A400E8D24405}"/>
    <hyperlink ref="K156" r:id="rId1385" xr:uid="{DF99A1D9-E290-4389-BD0A-83D7CA185C01}"/>
  </hyperlinks>
  <pageMargins left="0.7" right="0.7" top="0.75" bottom="0.75" header="0.3" footer="0.3"/>
  <tableParts count="1">
    <tablePart r:id="rId138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 B. Stephens</dc:creator>
  <cp:lastModifiedBy>Curtis B. Stephens</cp:lastModifiedBy>
  <dcterms:created xsi:type="dcterms:W3CDTF">2026-03-12T15:42:26Z</dcterms:created>
  <dcterms:modified xsi:type="dcterms:W3CDTF">2026-03-12T15:50:41Z</dcterms:modified>
</cp:coreProperties>
</file>