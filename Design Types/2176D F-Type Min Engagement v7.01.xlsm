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Design Types\"/>
    </mc:Choice>
  </mc:AlternateContent>
  <xr:revisionPtr revIDLastSave="0" documentId="13_ncr:1_{F805B02D-1858-4E9C-93E3-A8A9C68A82A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3" i="4" l="1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62" i="1" l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69" i="1" l="1"/>
  <c r="IR6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ES22" i="1" l="1"/>
  <c r="FK22" i="1" s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2" i="1" s="1"/>
  <c r="GN112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FK21" i="1" l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128" i="1" l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IN25" i="1" s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HN15" i="1" l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JV31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0" i="1" l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GD32" i="1" s="1"/>
  <c r="IE55" i="1"/>
  <c r="HK55" i="1"/>
  <c r="HS56" i="1" s="1"/>
  <c r="HL56" i="1" s="1"/>
  <c r="HY56" i="1" s="1"/>
  <c r="HM55" i="1"/>
  <c r="FM32" i="1"/>
  <c r="FN32" i="1" s="1"/>
  <c r="FQ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2" i="1" l="1"/>
  <c r="FT32" i="1" s="1"/>
  <c r="GA32" i="1"/>
  <c r="GP32" i="1"/>
  <c r="HR36" i="1" s="1"/>
  <c r="FP32" i="1"/>
  <c r="GC3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EG40" i="1"/>
  <c r="CE49" i="1"/>
  <c r="CC49" i="1"/>
  <c r="CB49" i="1"/>
  <c r="CG49" i="1" s="1"/>
  <c r="CS45" i="1"/>
  <c r="CT45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GO32" i="1" l="1"/>
  <c r="HM36" i="1" s="1"/>
  <c r="GB32" i="1"/>
  <c r="GH32" i="1" s="1"/>
  <c r="FS32" i="1"/>
  <c r="BU54" i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1" i="1"/>
  <c r="EM40" i="1"/>
  <c r="EN40" i="1"/>
  <c r="EO40" i="1"/>
  <c r="ER40" i="1" s="1"/>
  <c r="AS55" i="1"/>
  <c r="AT55" i="1" s="1"/>
  <c r="GE32" i="1" l="1"/>
  <c r="GF32" i="1" s="1"/>
  <c r="GG32" i="1"/>
  <c r="GS32" i="1" s="1"/>
  <c r="HY36" i="1" s="1"/>
  <c r="GI32" i="1"/>
  <c r="CC54" i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J54" i="1" l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CP54" i="1" l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CT54" i="1" l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EG54" i="1" l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<sst xmlns="http://schemas.openxmlformats.org/spreadsheetml/2006/main" count="911" uniqueCount="407">
  <si>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</si>
  <si>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</si>
  <si>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</si>
  <si>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</si>
  <si>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</si>
  <si>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</si>
  <si>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</si>
  <si>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</si>
  <si>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</si>
  <si>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</si>
  <si>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</si>
  <si>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</si>
  <si>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</si>
  <si>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</si>
  <si>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</si>
  <si>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</si>
  <si>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</si>
  <si>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</si>
  <si>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</si>
  <si>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</si>
  <si>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</si>
  <si>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</si>
  <si>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</si>
  <si>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</si>
  <si>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</si>
  <si>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</si>
  <si>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</si>
  <si>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</si>
  <si>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</si>
  <si>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</si>
  <si>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</si>
  <si>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</si>
  <si>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</si>
  <si>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</si>
  <si>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</si>
  <si>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</si>
  <si>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</si>
  <si>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</si>
  <si>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</si>
  <si>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</si>
  <si>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</si>
  <si>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</si>
  <si>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</si>
  <si>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</si>
  <si>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</si>
  <si>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</si>
  <si>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</si>
  <si>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</si>
  <si>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</si>
  <si>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</si>
  <si>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</si>
  <si>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</si>
  <si>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</si>
  <si>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</si>
  <si>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</si>
  <si>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</si>
  <si>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</si>
  <si>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</si>
  <si>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</si>
  <si>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</si>
  <si>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</si>
  <si>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</si>
  <si>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</si>
  <si>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</si>
  <si>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</si>
  <si>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</si>
  <si>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</si>
  <si>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</si>
  <si>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</si>
  <si>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</si>
  <si>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</si>
  <si>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</si>
  <si>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</si>
  <si>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</si>
  <si>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</si>
  <si>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</si>
  <si>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</si>
  <si>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</si>
  <si>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</si>
  <si>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</si>
  <si>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</si>
  <si>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</si>
  <si>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</si>
  <si>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</si>
  <si>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</si>
  <si>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</si>
  <si>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</si>
  <si>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</si>
  <si>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</si>
  <si>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</si>
  <si>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</si>
  <si>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</si>
  <si>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</si>
  <si>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</si>
  <si>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</si>
  <si>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</si>
  <si>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</si>
  <si>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</si>
  <si>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</si>
  <si>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</si>
  <si>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</si>
  <si>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</si>
  <si>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</si>
  <si>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</si>
  <si>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</si>
  <si>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</si>
  <si>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</si>
  <si>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</si>
  <si>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</si>
  <si>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</si>
  <si>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</si>
  <si>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</si>
  <si>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</si>
  <si>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</si>
  <si>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</si>
  <si>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</si>
  <si>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</si>
  <si>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</si>
  <si>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</si>
  <si>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</si>
  <si>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</si>
  <si>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</si>
  <si>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</si>
  <si>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</si>
  <si>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</si>
  <si>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</si>
  <si>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</si>
  <si>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</si>
  <si>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</si>
  <si>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</si>
  <si>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</si>
  <si>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</si>
  <si>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</si>
  <si>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</si>
  <si>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</si>
  <si>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</si>
  <si>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</si>
  <si>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</si>
  <si>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</si>
  <si>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</si>
  <si>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</si>
  <si>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</si>
  <si>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</si>
  <si>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</si>
  <si>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</si>
  <si>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</si>
  <si>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</si>
  <si>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</si>
  <si>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</si>
  <si>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</si>
  <si>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</si>
  <si>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</si>
  <si>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</si>
  <si>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</si>
  <si>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</si>
  <si>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</si>
  <si>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</si>
  <si>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</si>
  <si>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</si>
  <si>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</si>
  <si>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</si>
  <si>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</si>
  <si>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</si>
  <si>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</si>
  <si>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</si>
  <si>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</si>
  <si>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</si>
  <si>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</si>
  <si>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</si>
  <si>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</si>
  <si>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</si>
  <si>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</si>
  <si>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</si>
  <si>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</si>
  <si>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</si>
  <si>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</si>
  <si>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</si>
  <si>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</si>
  <si>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</si>
  <si>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</si>
  <si>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</si>
  <si>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</si>
  <si>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</si>
  <si>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</si>
  <si>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</si>
  <si>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</si>
  <si>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</si>
  <si>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</si>
  <si>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</si>
  <si>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</si>
  <si>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</si>
  <si>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</si>
  <si>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</si>
  <si>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</si>
  <si>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</si>
  <si>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</si>
  <si>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</si>
  <si>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</si>
  <si>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</si>
  <si>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</si>
  <si>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</si>
  <si>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</si>
  <si>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</si>
  <si>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</si>
  <si>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</si>
  <si>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</si>
  <si>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</si>
  <si>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</si>
  <si>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</si>
  <si>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</si>
  <si>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</si>
  <si>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</si>
  <si>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</si>
  <si>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</si>
  <si>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</si>
  <si>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</si>
  <si>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</si>
  <si>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</si>
  <si>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</si>
  <si>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</si>
  <si>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</si>
  <si>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</si>
  <si>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</si>
  <si>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</si>
  <si>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</si>
  <si>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</si>
  <si>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</si>
  <si>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</si>
  <si>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</si>
  <si>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</si>
  <si>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</si>
  <si>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</si>
  <si>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</si>
  <si>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</si>
  <si>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</si>
  <si>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</si>
  <si>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</si>
  <si>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</si>
  <si>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</si>
  <si>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</si>
  <si>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</si>
  <si>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</si>
  <si>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</si>
  <si>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</si>
  <si>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</si>
  <si>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</si>
  <si>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</si>
  <si>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</si>
  <si>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</si>
  <si>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</si>
  <si>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</si>
  <si>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</si>
  <si>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</si>
  <si>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</si>
  <si>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</si>
  <si>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</si>
  <si>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</si>
  <si>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</si>
  <si>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</si>
  <si>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</si>
  <si>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</si>
  <si>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</si>
  <si>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</si>
  <si>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</si>
  <si>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</si>
  <si>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</si>
  <si>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</si>
  <si>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</si>
  <si>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</si>
  <si>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</si>
  <si>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</si>
  <si>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</si>
  <si>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</si>
  <si>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</si>
  <si>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</si>
  <si>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</si>
  <si>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</si>
  <si>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</si>
  <si>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</si>
  <si>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</si>
  <si>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</si>
  <si>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</si>
  <si>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</si>
  <si>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</si>
  <si>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</si>
  <si>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</si>
  <si>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</si>
  <si>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</si>
  <si>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</si>
  <si>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</si>
  <si>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</si>
  <si>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</si>
  <si>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</si>
  <si>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</si>
  <si>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</si>
  <si>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</si>
  <si>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</si>
  <si>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</si>
  <si>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</si>
  <si>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</si>
  <si>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</si>
  <si>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</si>
  <si>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</si>
  <si>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</si>
  <si>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</si>
  <si>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</si>
  <si>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</si>
  <si>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</si>
  <si>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</si>
  <si>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</si>
  <si>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</si>
  <si>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</si>
  <si>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</si>
  <si>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</si>
  <si>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</si>
  <si>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</si>
  <si>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</si>
  <si>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</si>
  <si>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</si>
  <si>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</si>
  <si>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</si>
  <si>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</si>
  <si>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</si>
  <si>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</si>
  <si>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</si>
  <si>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</si>
  <si>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</si>
  <si>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</si>
  <si>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</si>
  <si>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</si>
  <si>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</si>
  <si>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</si>
  <si>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</si>
  <si>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</si>
  <si>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</si>
  <si>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</si>
  <si>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</si>
  <si>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</si>
  <si>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</si>
  <si>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</si>
  <si>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</si>
  <si>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</si>
  <si>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</si>
  <si>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</si>
  <si>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</si>
  <si>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</si>
  <si>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</si>
  <si>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</si>
  <si>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</si>
  <si>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</si>
  <si>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</si>
  <si>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</si>
  <si>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</si>
  <si>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</si>
  <si>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</si>
  <si>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</si>
  <si>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</si>
  <si>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</si>
  <si>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</si>
  <si>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</si>
  <si>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</si>
  <si>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</si>
  <si>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</si>
  <si>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</si>
  <si>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</si>
  <si>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</si>
  <si>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</si>
  <si>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</si>
  <si>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</si>
  <si>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</si>
  <si>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</si>
  <si>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</si>
  <si>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</si>
  <si>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</si>
  <si>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</si>
  <si>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</si>
  <si>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</si>
  <si>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</si>
  <si>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</si>
  <si>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</si>
  <si>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</si>
  <si>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</si>
  <si>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</si>
  <si>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</si>
  <si>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</si>
  <si>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</si>
  <si>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</si>
  <si>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</si>
  <si>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</si>
  <si>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</si>
  <si>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</si>
  <si>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</si>
  <si>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</si>
  <si>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</si>
  <si>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</si>
  <si>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</si>
  <si>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</si>
  <si>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</si>
  <si>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</si>
  <si>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</si>
  <si>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</si>
  <si>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</si>
  <si>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</si>
  <si>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</si>
  <si>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</si>
  <si>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</si>
  <si>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2176D F-Type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</si>
</sst>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12.479446900677196</c:v>
                </c:pt>
                <c:pt idx="14">
                  <c:v>14.752358084364392</c:v>
                </c:pt>
                <c:pt idx="15">
                  <c:v>15.215442008080126</c:v>
                </c:pt>
                <c:pt idx="16">
                  <c:v>15.30865980526171</c:v>
                </c:pt>
                <c:pt idx="17">
                  <c:v>15.416136182530053</c:v>
                </c:pt>
                <c:pt idx="18">
                  <c:v>15.536164645041184</c:v>
                </c:pt>
                <c:pt idx="19">
                  <c:v>15.665550596661955</c:v>
                </c:pt>
                <c:pt idx="20">
                  <c:v>15.801644469082316</c:v>
                </c:pt>
                <c:pt idx="21">
                  <c:v>15.940915564994624</c:v>
                </c:pt>
                <c:pt idx="22">
                  <c:v>16.088990982361285</c:v>
                </c:pt>
                <c:pt idx="23">
                  <c:v>16.234908051297914</c:v>
                </c:pt>
                <c:pt idx="24">
                  <c:v>16.983314434333089</c:v>
                </c:pt>
                <c:pt idx="25">
                  <c:v>17.89443085882511</c:v>
                </c:pt>
                <c:pt idx="26">
                  <c:v>18.782431029946839</c:v>
                </c:pt>
                <c:pt idx="27">
                  <c:v>19.721559806821233</c:v>
                </c:pt>
                <c:pt idx="28">
                  <c:v>21.305813129853483</c:v>
                </c:pt>
                <c:pt idx="29">
                  <c:v>22.155759297699703</c:v>
                </c:pt>
                <c:pt idx="30">
                  <c:v>23.114052023001328</c:v>
                </c:pt>
                <c:pt idx="31">
                  <c:v>24.437662359705428</c:v>
                </c:pt>
                <c:pt idx="32">
                  <c:v>25.157828487115825</c:v>
                </c:pt>
                <c:pt idx="33">
                  <c:v>25.8201231284744</c:v>
                </c:pt>
                <c:pt idx="34">
                  <c:v>27.634738850235955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A3" zoomScaleNormal="100" workbookViewId="0">
      <selection activeCell="E30" sqref="E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3.9375</v>
      </c>
      <c r="D25" s="986"/>
      <c r="E25" s="986"/>
      <c r="F25" s="986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7.875 2176D F-Type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6.1269999999999998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0.18159999999999998</v>
      </c>
      <c r="GM2" s="322">
        <f>SUM(GM9:GM150)</f>
        <v>1.343141391509723</v>
      </c>
      <c r="GR2" s="309">
        <f>SUM(GR9:GR150)</f>
        <v>4179.9706002111216</v>
      </c>
      <c r="GS2" s="309">
        <f>SUM(GS9:GS150)</f>
        <v>117.41412546801644</v>
      </c>
      <c r="GT2" s="309"/>
      <c r="GU2" s="309">
        <f>SUM(GU9:GU150)</f>
        <v>3301.8892541280693</v>
      </c>
      <c r="GV2" s="309"/>
      <c r="GW2" s="369">
        <v>29500</v>
      </c>
      <c r="GX2" s="309">
        <f>SUM(GX9:GX150)</f>
        <v>525.13987416666669</v>
      </c>
      <c r="GY2" s="309">
        <f>SUM(GY9:GY150)</f>
        <v>760.66722061503594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>Sum of Lateral Forces = 2584 lbs @ 248.4° Relative to Blade 1</v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100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2584.1683671449991</v>
      </c>
      <c r="HF3" s="162">
        <f>IFERROR(IF((DEGREES(ATAN2(HG3,HH3)))&lt;0,(360+(DEGREES(ATAN2(HG3,HH3)))),(DEGREES(ATAN2(HG3,HH3)))),"")</f>
        <v>248.3599442167058</v>
      </c>
      <c r="HG3" s="309">
        <f>HC8+HG8</f>
        <v>-952.975331208905</v>
      </c>
      <c r="HH3" s="309">
        <f>HD8+HH8</f>
        <v>-2402.0333402890415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125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>Lateral Forces = 2584 lbs @ 248.4° Relative to Blade 1</v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str">
        <f>CONCATENATE("Yeield Strength of Rock = ",IF(HW6&gt;1000,(ROUNDDOWN(HW6,-3)/1000),""), IF(HW6&gt;1000,",",""),RIGHT(HW6,3)," psi (Tangential Force)")</f>
        <v>Yeield Strength of Rock = 29,500 psi (Tangential Force)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32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1.118's θ about Z Axis</v>
      </c>
      <c r="U5" s="1104"/>
      <c r="V5" s="1179"/>
      <c r="W5" s="1104" t="str">
        <f>CONCATENATE("Relative to ",M8,"'s θ about Z Axis")</f>
        <v>Relative to 1.118's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1.118's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6.9444444444444447E-4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>
        <f>AVERAGE(HW$9:HW$150)</f>
        <v>29500</v>
      </c>
      <c r="HX6" s="892">
        <f t="shared" ref="HX6:IE6" si="0">SUM(HX$9:HX$150)</f>
        <v>525.13987416666669</v>
      </c>
      <c r="HY6" s="893">
        <f t="shared" si="0"/>
        <v>117.41412546801644</v>
      </c>
      <c r="HZ6" s="894">
        <f t="shared" si="0"/>
        <v>3301.8892541280693</v>
      </c>
      <c r="IA6" s="895">
        <f t="shared" si="0"/>
        <v>760.66722061503606</v>
      </c>
      <c r="IB6" s="896">
        <f t="shared" si="0"/>
        <v>4179.9706002111225</v>
      </c>
      <c r="IC6" s="903">
        <f t="shared" si="0"/>
        <v>178.20176841684906</v>
      </c>
      <c r="ID6" s="904">
        <f t="shared" si="0"/>
        <v>5357.2</v>
      </c>
      <c r="IE6" s="904">
        <f t="shared" si="0"/>
        <v>1207.4314080886852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1.1180000000000001</v>
      </c>
      <c r="N8" s="551"/>
      <c r="O8" s="552"/>
      <c r="P8" s="562"/>
      <c r="Q8" s="554">
        <f>IFERROR(INDEX(Q$9:Q$150,MATCH($M$8,$M$9:$M$150,0)),"")</f>
        <v>88.095600274961299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-0.5247015824999729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52.770033084475003</v>
      </c>
      <c r="HB8" s="360">
        <f>IFERROR(IF((DEGREES(ATAN2(HC8,HD8)))&lt;0,(360+(DEGREES(ATAN2(HC8,HD8)))),(DEGREES(ATAN2(HC8,HD8)))),"")</f>
        <v>91.117202405634671</v>
      </c>
      <c r="HC8" s="360">
        <f>SUM(HC9:HC150)</f>
        <v>-1.028890306670796</v>
      </c>
      <c r="HD8" s="364">
        <f>SUM(HD9:HD150)</f>
        <v>52.760001672416813</v>
      </c>
      <c r="HE8" s="366">
        <f>SQRT(HG8^2+HH8^2)</f>
        <v>2632.9094891554355</v>
      </c>
      <c r="HF8" s="360">
        <f>IFERROR(IF((DEGREES(ATAN2(HG8,HH8)))&lt;0,(360+(DEGREES(ATAN2(HG8,HH8)))),(DEGREES(ATAN2(HG8,HH8)))),"")</f>
        <v>248.80416214052735</v>
      </c>
      <c r="HG8" s="360">
        <f>SUM(HG9:HG150)</f>
        <v>-951.94644090223426</v>
      </c>
      <c r="HH8" s="367">
        <f>SUM(HH9:HH150)</f>
        <v>-2454.7933419614583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0.34330103539592277</v>
      </c>
      <c r="D9" s="642">
        <f t="shared" si="2"/>
        <v>-0.49520149352770448</v>
      </c>
      <c r="E9" s="643">
        <f t="shared" ref="E9:K9" si="3">R164</f>
        <v>-0.93969263802333458</v>
      </c>
      <c r="F9" s="641">
        <f t="shared" si="3"/>
        <v>-8.8521302156295584E-2</v>
      </c>
      <c r="G9" s="644">
        <f t="shared" si="3"/>
        <v>0.33036604714967344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0.34330103539592277</v>
      </c>
      <c r="P9" s="568">
        <f t="shared" ref="P9:P40" si="7">IF(M9="","",D9)</f>
        <v>-0.49520149352770448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0.34330103539592277</v>
      </c>
      <c r="S9" s="569">
        <f>IF(M9="","",P9)</f>
        <v>-0.49520149352770448</v>
      </c>
      <c r="T9" s="570">
        <f>IF(M9="","",X9*COS(RADIANS(W9)))</f>
        <v>0.34311141891174624</v>
      </c>
      <c r="U9" s="567">
        <f>IF(M9="","",X9*SIN(RADIANS(W9)))</f>
        <v>1.1408554521972307E-2</v>
      </c>
      <c r="V9" s="571">
        <f>IF(M9="","",Y9)</f>
        <v>-0.49520149352770448</v>
      </c>
      <c r="W9" s="526">
        <f t="shared" ref="W9:W14" si="8">IF(M9="","",IF(Q9-$Q$8&lt;0,360+Q9-$Q$8,Q9-$Q$8))</f>
        <v>1.9043997250387008</v>
      </c>
      <c r="X9" s="572">
        <f>IF(M9="","",R9)</f>
        <v>0.34330103539592277</v>
      </c>
      <c r="Y9" s="573">
        <f t="shared" ref="Y9:Y15" si="9">IF(M9="","",S9)</f>
        <v>-0.49520149352770448</v>
      </c>
      <c r="Z9" s="566">
        <f t="shared" ref="Z9:Z40" si="10">IF(M9="","",-E9)</f>
        <v>0.93969263802333458</v>
      </c>
      <c r="AA9" s="567">
        <f t="shared" ref="AA9:AA40" si="11">IF(M9="","",-F9)</f>
        <v>8.8521302156295584E-2</v>
      </c>
      <c r="AB9" s="567">
        <f t="shared" ref="AB9:AB40" si="12">IF(M9="","",-G9)</f>
        <v>-0.33036604714967344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8.8521302156295584E-2</v>
      </c>
      <c r="AF9" s="568">
        <f>IF(M9="","",AB9*(1/SQRT(Z9^2+AA9^2+AB9^2)))</f>
        <v>-0.33036604714967344</v>
      </c>
      <c r="AG9" s="542">
        <f>IF(M9="","",DEGREES(ATAN2(-AF9,AE9)))</f>
        <v>14.999997834268264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0.93969263802333458</v>
      </c>
      <c r="AL9" s="567">
        <f>IF(M9="","",(SIN(RADIANS((90-$Q$8)-W9))*AD9)+(COS(RADIANS((90-$Q$8)-W9))*AE9))</f>
        <v>8.8521302156295584E-2</v>
      </c>
      <c r="AM9" s="569">
        <f>IF(M9="","",AF9)</f>
        <v>-0.33036604714967344</v>
      </c>
      <c r="AN9" s="524">
        <f>IF(M9="","",DEGREES(ATAN2(-AM9,AL9)))</f>
        <v>14.999997834268264</v>
      </c>
      <c r="AO9" s="525">
        <f>IF(ROUND(IF(M9="",0,DEGREES(ACOS(AK9))),4)=90,0,IF(M9="","",DEGREES(ACOS(AK9))))</f>
        <v>19.999997112357679</v>
      </c>
      <c r="AP9" s="722">
        <f>IF(M9="","",DEGREES(ATAN2(AK9,AL9)))</f>
        <v>5.3815187622394793</v>
      </c>
      <c r="AQ9" s="527">
        <f t="shared" ref="AQ9:AQ40" si="13">IF(M9="","",DEGREES(ATAN(($AS$5*SIN(RADIANS(90)))/(($X9*2*PI())-($AS$5*COS(RADIANS(90)))))))</f>
        <v>6.6111083349681117</v>
      </c>
      <c r="AR9" s="979"/>
      <c r="AS9" s="953">
        <f>IF(M9="","",W9)</f>
        <v>1.9043997250387008</v>
      </c>
      <c r="AT9" s="949">
        <f t="shared" ref="AT9:AT40" si="14">IF(M9="","",Y9+(((AS9-$AS$9)*$AS$6)*-1))</f>
        <v>-0.49520149352770448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>
        <f t="shared" ref="HL9:HL40" si="62">IF(ISNUMBER($HS9),INDEX(HI$9:HI$150,MATCH($HS9,$GJ$9:$GJ$150,0)),"")</f>
        <v>3.1019999999999999</v>
      </c>
      <c r="HM9" s="917">
        <f t="shared" ref="HM9:HM40" si="63">IF(ISNUMBER($HL9),INDEX(GO$9:GO$150,MATCH($HL9,$AV$9:$AV$150,0)),"")</f>
        <v>2.3467553808851118</v>
      </c>
      <c r="HN9" s="918">
        <f t="shared" ref="HN9:HN40" si="64">IF(ISNUMBER($HL9),INDEX(AO$9:AO$150,MATCH($HL9,$AV$9:$AV$150,0)),"")</f>
        <v>17.49999747331298</v>
      </c>
      <c r="HO9" s="919"/>
      <c r="HP9" s="920"/>
      <c r="HQ9" s="921">
        <f t="shared" ref="HQ9:HQ40" si="65">IF(ISNUMBER($HL9),INDEX(GQ$9:GQ$150,MATCH($HL9,$AV$9:$AV$150,0)),"")</f>
        <v>12.723949653746821</v>
      </c>
      <c r="HR9" s="922">
        <f t="shared" ref="HR9:HR40" si="66">IF(ISNUMBER($HL9),INDEX(GP$9:GP$150,MATCH($HL9,$AV$9:$AV$150,0)),"")</f>
        <v>12.527454597280887</v>
      </c>
      <c r="HS9" s="873">
        <f>IFERROR(SMALL($GJ$9:$GJ$150,$HK9),"")</f>
        <v>0.52049999999999996</v>
      </c>
      <c r="HT9" s="887">
        <f t="shared" ref="HT9:HT40" si="67">IF(ISNUMBER($HL9),INDEX(GL$9:GL$150,MATCH($HL9,$AV$9:$AV$150,0)),"")</f>
        <v>3.6499999999999998E-2</v>
      </c>
      <c r="HU9" s="888">
        <f t="shared" ref="HU9:HU40" si="68">IF(ISNUMBER($HL9),INDEX(GM$9:GM$150,MATCH($HL9,$AV$9:$AV$150,0)),"")</f>
        <v>0.11971778976536859</v>
      </c>
      <c r="HV9" s="885">
        <f t="shared" ref="HV9:HV40" si="69">IF(ISNUMBER($HL9),INDEX(GN$9:GN$150,MATCH($HL9,$AV$9:$AV$150,0)),"")</f>
        <v>8.913267845226848E-2</v>
      </c>
      <c r="HW9" s="874">
        <f t="shared" ref="HW9:HW40" si="70">IF(ISNUMBER($HL9),INDEX(GW$9:GW$150,MATCH($HL9,$AV$9:$AV$150,0)),"")</f>
        <v>29500</v>
      </c>
      <c r="HX9" s="875">
        <f t="shared" ref="HX9:HX40" si="71">IF(ISNUMBER($HL9),INDEX(GX$9:GX$150,MATCH($HL9,$AV$9:$AV$150,0)),"")</f>
        <v>46.70403125</v>
      </c>
      <c r="HY9" s="874">
        <f t="shared" ref="HY9:HY40" si="72">IF(ISNUMBER($HL9),INDEX(GS$9:GS$150,MATCH($HL9,$AV$9:$AV$150,0)),"")</f>
        <v>12.061119039012162</v>
      </c>
      <c r="HZ9" s="876">
        <f t="shared" ref="HZ9:HZ40" si="73">IF(ISNUMBER($HL9),INDEX(GU$9:GU$150,MATCH($HL9,$AV$9:$AV$150,0)),"")</f>
        <v>294.30623317319782</v>
      </c>
      <c r="IA9" s="877">
        <f t="shared" ref="IA9:IA40" si="74">IF(ISNUMBER($HL9),INDEX(GY$9:GY$150,MATCH($HL9,$AV$9:$AV$150,0)),"")</f>
        <v>65.448982726251643</v>
      </c>
      <c r="IB9" s="878">
        <f t="shared" ref="IB9:IB40" si="75">IF(ISNUMBER($HL9),INDEX(GR$9:GR$150,MATCH($HL9,$AV$9:$AV$150,0)),"")</f>
        <v>371.81633493846164</v>
      </c>
      <c r="IC9" s="854">
        <f t="shared" ref="IC9:IC40" si="76">IF(ISNUMBER($HL9),INDEX(GT$9:GT$150,MATCH($HL9,$AV$9:$AV$150,0)),"")</f>
        <v>44.126859921494322</v>
      </c>
      <c r="ID9" s="350">
        <f t="shared" ref="ID9:ID40" si="77">IF(ISNUMBER($HL9),INDEX(GV$9:GV$150,MATCH($HL9,$AV$9:$AV$150,0)),"")</f>
        <v>1076.75</v>
      </c>
      <c r="IE9" s="856">
        <f t="shared" ref="IE9:IE40" si="78">IF(ISNUMBER($HL9),INDEX(GZ$9:GZ$150,MATCH($HL9,$AV$9:$AV$150,0)),"")</f>
        <v>239.45191846826739</v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32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0.34330103539592277</v>
      </c>
      <c r="JP9" s="961">
        <f>AN9</f>
        <v>14.999997834268264</v>
      </c>
      <c r="JQ9" s="961">
        <f>AO9</f>
        <v>19.999997112357679</v>
      </c>
      <c r="JS9" s="82" cm="1">
        <f t="array" ref="JS9:JS41">_xlfn.UNIQUE(_xlfn.SORTBY(JM$9:JM$88,$JM$9:$JM$88))</f>
        <v>1</v>
      </c>
      <c r="JT9" s="322">
        <f>INDEX($JM$9:$JQ$88,MATCH($JS9,$JM$9:$JM$88,0),3)</f>
        <v>0.34330103539592277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19.999997112357679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3.9056889284418761E-16</v>
      </c>
      <c r="C10" s="572">
        <f>IFERROR(P165+($A10*-F10),"")</f>
        <v>1.0693032250185266</v>
      </c>
      <c r="D10" s="576">
        <f>IFERROR(Q165+($A10*-G10),"")</f>
        <v>-0.30070090691393542</v>
      </c>
      <c r="E10" s="580">
        <f t="shared" ref="E10:K10" si="93">R165</f>
        <v>-0.96592583607220739</v>
      </c>
      <c r="F10" s="572">
        <f t="shared" si="93"/>
        <v>-6.6987279208207184E-2</v>
      </c>
      <c r="G10" s="579">
        <f t="shared" si="93"/>
        <v>0.24999996726497564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3.9056889284418761E-16</v>
      </c>
      <c r="O10" s="572">
        <f t="shared" si="6"/>
        <v>1.0693032250185266</v>
      </c>
      <c r="P10" s="576">
        <f t="shared" si="7"/>
        <v>-0.30070090691393542</v>
      </c>
      <c r="Q10" s="528">
        <f>IF(M10="","",IF(DEGREES(ATAN2(N10,O10))&lt;0,DEGREES(ATAN2(N10,O10))+360,IF(DEGREES(ATAN2(N10,O10))&gt;360,DEGREES(ATAN2(N10,O10))-360,DEGREES(ATAN2(N10,O10)))))</f>
        <v>89.999999999999986</v>
      </c>
      <c r="R10" s="572">
        <f t="shared" ref="R10:R105" si="95">IF(M10="","",SQRT(N10^2+O10^2))</f>
        <v>1.0693032250185266</v>
      </c>
      <c r="S10" s="577">
        <f t="shared" ref="S10:S105" si="96">IF(M10="","",P10)</f>
        <v>-0.30070090691393542</v>
      </c>
      <c r="T10" s="578">
        <f t="shared" ref="T10:T105" si="97">IF(M10="","",X10*COS(RADIANS(W10)))</f>
        <v>1.0687126135809211</v>
      </c>
      <c r="U10" s="572">
        <f t="shared" ref="U10:U105" si="98">IF(M10="","",X10*SIN(RADIANS(W10)))</f>
        <v>3.5535005389877347E-2</v>
      </c>
      <c r="V10" s="579">
        <f>IF(M10="","",Y10)</f>
        <v>-0.30070090691393542</v>
      </c>
      <c r="W10" s="528">
        <f t="shared" si="8"/>
        <v>1.9043997250386866</v>
      </c>
      <c r="X10" s="572">
        <f t="shared" ref="X10:X105" si="99">IF(M10="","",R10)</f>
        <v>1.0693032250185266</v>
      </c>
      <c r="Y10" s="573">
        <f t="shared" si="9"/>
        <v>-0.30070090691393542</v>
      </c>
      <c r="Z10" s="575">
        <f>IF(M10="","",-E10)</f>
        <v>0.96592583607220739</v>
      </c>
      <c r="AA10" s="572">
        <f t="shared" si="11"/>
        <v>6.6987279208207184E-2</v>
      </c>
      <c r="AB10" s="572">
        <f t="shared" si="12"/>
        <v>-0.24999996726497564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1">IF(M10="","",AA10*(1/SQRT(Z10^2+AA10^2+AB10^2)))</f>
        <v>6.6987279208207184E-2</v>
      </c>
      <c r="AF10" s="576">
        <f t="shared" ref="AF10:AF105" si="102">IF(M10="","",AB10*(1/SQRT(Z10^2+AA10^2+AB10^2)))</f>
        <v>-0.24999996726497564</v>
      </c>
      <c r="AG10" s="545">
        <f t="shared" ref="AG10:AG105" si="103">IF(M10="","",DEGREES(ATAN2(-AF10,AE10)))</f>
        <v>14.999997834268264</v>
      </c>
      <c r="AH10" s="546">
        <f t="shared" ref="AH10:AH105" si="104">IF(M10="","",DEGREES(ACOS(AD10)))</f>
        <v>14.999997834268255</v>
      </c>
      <c r="AI10" s="528">
        <f t="shared" ref="AI10:AI105" si="105">IF(M10="","",DEGREES(-ACOS(-AF10)))</f>
        <v>-75.522489751159469</v>
      </c>
      <c r="AJ10" s="529">
        <f t="shared" ref="AJ10:AJ105" si="106">IF(M10="","",DEGREES(ATAN2(-AE10,AD10)))</f>
        <v>93.967129645086573</v>
      </c>
      <c r="AK10" s="578">
        <f>IF(M10="","",(COS(RADIANS((90-$Q$8)-W10))*AD10)+(-SIN(RADIANS((90-$Q$8)-W10))*AE10))</f>
        <v>0.96592583607220739</v>
      </c>
      <c r="AL10" s="572">
        <f t="shared" ref="AL10:AL105" si="107">IF(M10="","",(SIN(RADIANS((90-$Q$8)-W10))*AD10)+(COS(RADIANS((90-$Q$8)-W10))*AE10))</f>
        <v>6.698727920820742E-2</v>
      </c>
      <c r="AM10" s="577">
        <f t="shared" ref="AM10:AM105" si="108">IF(M10="","",AF10)</f>
        <v>-0.24999996726497564</v>
      </c>
      <c r="AN10" s="524">
        <f t="shared" ref="AN10:AN105" si="109">IF(M10="","",DEGREES(ATAN2(-AM10,AL10)))</f>
        <v>14.999997834268315</v>
      </c>
      <c r="AO10" s="525">
        <f t="shared" ref="AO10:AO54" si="110">IF(ROUND(IF(M10="",0,DEGREES(ACOS(AK10))),4)=90,0,IF(M10="","",DEGREES(ACOS(AK10))))</f>
        <v>14.999997834268255</v>
      </c>
      <c r="AP10" s="528">
        <f t="shared" ref="AP10:AP105" si="111">IF(M10="","",DEGREES(ATAN2(AK10,AL10)))</f>
        <v>3.9671296450865845</v>
      </c>
      <c r="AQ10" s="529">
        <f t="shared" si="13"/>
        <v>2.1309908135242606</v>
      </c>
      <c r="AR10" s="979"/>
      <c r="AS10" s="954">
        <f>IF($M10="","",IF(AND($W10&lt;($AS$9+180),$W10&gt;($AS$9-180)),$W10,IF($W10&gt;($AS$9+180),$W10-360,IF($W10&lt;($AS$9-180),$W10+360,"Error"))))</f>
        <v>1.9043997250386866</v>
      </c>
      <c r="AT10" s="950">
        <f t="shared" si="14"/>
        <v>-0.30070090691393542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>
        <f t="shared" ref="HK10:HK41" si="131">IF(ISNUMBER(HS10),HK9+1,"")</f>
        <v>2</v>
      </c>
      <c r="HL10" s="348">
        <f t="shared" si="62"/>
        <v>5.1029999999999998</v>
      </c>
      <c r="HM10" s="923">
        <f t="shared" si="63"/>
        <v>0.45151010881645853</v>
      </c>
      <c r="HN10" s="924">
        <f t="shared" si="64"/>
        <v>14.99999783426823</v>
      </c>
      <c r="HO10" s="925"/>
      <c r="HP10" s="926"/>
      <c r="HQ10" s="924">
        <f t="shared" si="65"/>
        <v>11.484123387413534</v>
      </c>
      <c r="HR10" s="927">
        <f t="shared" si="66"/>
        <v>11.475910977855364</v>
      </c>
      <c r="HS10" s="879">
        <f>IFERROR(SMALL($GJ$9:$GJ$150,($HK9+1)),"")</f>
        <v>0.75870000000000004</v>
      </c>
      <c r="HT10" s="889">
        <f t="shared" si="67"/>
        <v>3.6600000000000001E-2</v>
      </c>
      <c r="HU10" s="890">
        <f t="shared" si="68"/>
        <v>0.17471389192746403</v>
      </c>
      <c r="HV10" s="886">
        <f t="shared" si="69"/>
        <v>0.13007855541632996</v>
      </c>
      <c r="HW10" s="880">
        <f t="shared" si="70"/>
        <v>29500</v>
      </c>
      <c r="HX10" s="881">
        <f t="shared" si="71"/>
        <v>68.264032500000013</v>
      </c>
      <c r="HY10" s="880">
        <f t="shared" si="72"/>
        <v>3.3847145148103834</v>
      </c>
      <c r="HZ10" s="882">
        <f t="shared" si="73"/>
        <v>429.5049843216824</v>
      </c>
      <c r="IA10" s="883">
        <f t="shared" si="74"/>
        <v>87.198447637223509</v>
      </c>
      <c r="IB10" s="884">
        <f t="shared" si="75"/>
        <v>520.08814647371628</v>
      </c>
      <c r="IC10" s="855">
        <f t="shared" si="76"/>
        <v>8.5085770713750595</v>
      </c>
      <c r="ID10" s="351">
        <f t="shared" si="77"/>
        <v>1079.7</v>
      </c>
      <c r="IE10" s="857">
        <f t="shared" si="78"/>
        <v>219.20156307987554</v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0.21739202740131222</v>
      </c>
      <c r="JO10" s="162">
        <f t="shared" ref="JO10:JO70" si="134">X10</f>
        <v>1.0693032250185266</v>
      </c>
      <c r="JP10" s="961">
        <f t="shared" ref="JP10:JP70" si="135">AN10</f>
        <v>14.999997834268315</v>
      </c>
      <c r="JQ10" s="961">
        <f t="shared" ref="JQ10:JQ70" si="136">AO10</f>
        <v>14.999997834268255</v>
      </c>
      <c r="JS10" s="82">
        <v>2</v>
      </c>
      <c r="JT10" s="322">
        <f t="shared" ref="JT10:JT53" si="137">INDEX($JM$9:$JQ$88,MATCH($JS10,$JM$9:$JM$88,0),3)</f>
        <v>0.58600176738133058</v>
      </c>
      <c r="JU10" s="963">
        <f t="shared" ref="JU10:JU53" si="138">INDEX($JM$9:$JQ$88,MATCH($JS10,$JM$9:$JM$88,0),2)</f>
        <v>7.2673615771761041E-2</v>
      </c>
      <c r="JV10" s="961">
        <v>9</v>
      </c>
      <c r="JW10" s="961">
        <f t="shared" si="92"/>
        <v>17.49999747331298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10.489969045825585</v>
      </c>
      <c r="KD10" s="969">
        <v>6</v>
      </c>
      <c r="KE10" s="968">
        <f t="shared" ref="KE10:KE48" si="140">KD10-KC10</f>
        <v>-4.4899690458255854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-8.5370249802008226E-18</v>
      </c>
      <c r="C11" s="572">
        <f t="shared" si="142"/>
        <v>1.7943054116251218</v>
      </c>
      <c r="D11" s="576">
        <f t="shared" si="142"/>
        <v>-0.1065003212049688</v>
      </c>
      <c r="E11" s="580">
        <f>R166</f>
        <v>-0.98480775301220813</v>
      </c>
      <c r="F11" s="572">
        <f t="shared" ref="F11:K11" si="143">S166</f>
        <v>-4.4943449187448817E-2</v>
      </c>
      <c r="G11" s="579">
        <f t="shared" si="143"/>
        <v>0.16773126119534493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-8.5370249802008226E-18</v>
      </c>
      <c r="O11" s="572">
        <f t="shared" si="6"/>
        <v>1.7943054116251218</v>
      </c>
      <c r="P11" s="576">
        <f t="shared" si="7"/>
        <v>-0.1065003212049688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1.7943054116251218</v>
      </c>
      <c r="S11" s="577">
        <f t="shared" si="96"/>
        <v>-0.1065003212049688</v>
      </c>
      <c r="T11" s="578">
        <f t="shared" si="97"/>
        <v>1.793314357568734</v>
      </c>
      <c r="U11" s="572">
        <f t="shared" si="98"/>
        <v>5.9628224231794091E-2</v>
      </c>
      <c r="V11" s="579">
        <f t="shared" ref="V11:V105" si="145">IF(M11="","",Y11)</f>
        <v>-0.1065003212049688</v>
      </c>
      <c r="W11" s="528">
        <f t="shared" si="8"/>
        <v>1.9043997250387008</v>
      </c>
      <c r="X11" s="572">
        <f>IF(M11="","",R11)</f>
        <v>1.7943054116251218</v>
      </c>
      <c r="Y11" s="573">
        <f t="shared" si="9"/>
        <v>-0.1065003212049688</v>
      </c>
      <c r="Z11" s="575">
        <f t="shared" si="10"/>
        <v>0.98480775301220813</v>
      </c>
      <c r="AA11" s="572">
        <f t="shared" si="11"/>
        <v>4.4943449187448817E-2</v>
      </c>
      <c r="AB11" s="572">
        <f t="shared" si="12"/>
        <v>-0.16773126119534493</v>
      </c>
      <c r="AC11" s="579">
        <f t="shared" si="100"/>
        <v>1</v>
      </c>
      <c r="AD11" s="580">
        <f t="shared" ref="AD11:AD105" si="146">IF(M11="","",Z11*(1/SQRT(Z11^2+AA11^2+AB11^2)))</f>
        <v>0.98480775301220813</v>
      </c>
      <c r="AE11" s="572">
        <f t="shared" si="101"/>
        <v>4.4943449187448817E-2</v>
      </c>
      <c r="AF11" s="576">
        <f t="shared" si="102"/>
        <v>-0.16773126119534493</v>
      </c>
      <c r="AG11" s="545">
        <f>IF(M11="","",DEGREES(ATAN2(-AF11,AE11)))</f>
        <v>14.999997834268267</v>
      </c>
      <c r="AH11" s="546">
        <f t="shared" si="104"/>
        <v>9.9999999999999751</v>
      </c>
      <c r="AI11" s="528">
        <f t="shared" si="105"/>
        <v>-80.344064096054083</v>
      </c>
      <c r="AJ11" s="529">
        <f t="shared" si="106"/>
        <v>92.612981534283023</v>
      </c>
      <c r="AK11" s="578">
        <f>IF(M11="","",(COS(RADIANS((90-$Q$8)-W11))*AD11)+(-SIN(RADIANS((90-$Q$8)-W11))*AE11))</f>
        <v>0.98480775301220813</v>
      </c>
      <c r="AL11" s="572">
        <f t="shared" si="107"/>
        <v>4.4943449187448817E-2</v>
      </c>
      <c r="AM11" s="577">
        <f t="shared" si="108"/>
        <v>-0.16773126119534493</v>
      </c>
      <c r="AN11" s="524">
        <f>IF(M11="","",DEGREES(ATAN2(-AM11,AL11)))</f>
        <v>14.999997834268267</v>
      </c>
      <c r="AO11" s="525">
        <f>IF(ROUND(IF(M11="",0,DEGREES(ACOS(AK11))),4)=90,0,IF(M11="","",DEGREES(ACOS(AK11))))</f>
        <v>9.9999999999999751</v>
      </c>
      <c r="AP11" s="528">
        <f t="shared" si="111"/>
        <v>2.6129815342830236</v>
      </c>
      <c r="AQ11" s="529">
        <f>IF(M11="","",DEGREES(ATAN(($AS$5*SIN(RADIANS(90)))/(($X11*2*PI())-($AS$5*COS(RADIANS(90)))))))</f>
        <v>1.2703261421812773</v>
      </c>
      <c r="AR11" s="979"/>
      <c r="AS11" s="954">
        <f t="shared" ref="AS11:AS42" si="147">IF(G11="","",IF(AND(W11&lt;(AS10+180),W11&gt;(AS10-180)),W11,IF(W11&gt;(AS10+180),W11-360,IF(W11&lt;(AS10-180),W11+360,"Error"))))</f>
        <v>1.9043997250387008</v>
      </c>
      <c r="AT11" s="950">
        <f t="shared" si="14"/>
        <v>-0.1065003212049688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>
        <f t="shared" si="131"/>
        <v>3</v>
      </c>
      <c r="HL11" s="348">
        <f t="shared" si="62"/>
        <v>3.105</v>
      </c>
      <c r="HM11" s="923">
        <f t="shared" si="63"/>
        <v>-2.1225601761784079</v>
      </c>
      <c r="HN11" s="924">
        <f t="shared" si="64"/>
        <v>14.999997834268255</v>
      </c>
      <c r="HO11" s="925"/>
      <c r="HP11" s="926"/>
      <c r="HQ11" s="924">
        <f t="shared" si="65"/>
        <v>12.794639208929317</v>
      </c>
      <c r="HR11" s="927">
        <f t="shared" si="66"/>
        <v>12.631226469937351</v>
      </c>
      <c r="HS11" s="879">
        <f>IFERROR(SMALL($GJ$9:$GJ$150,($HK10+1)),"")</f>
        <v>1.228</v>
      </c>
      <c r="HT11" s="889">
        <f t="shared" si="67"/>
        <v>3.6499999999999998E-2</v>
      </c>
      <c r="HU11" s="890">
        <f t="shared" si="68"/>
        <v>0.28177272376506807</v>
      </c>
      <c r="HV11" s="886">
        <f t="shared" si="69"/>
        <v>0.20978634531421059</v>
      </c>
      <c r="HW11" s="880">
        <f t="shared" si="70"/>
        <v>29500</v>
      </c>
      <c r="HX11" s="881">
        <f t="shared" si="71"/>
        <v>110.18741666666666</v>
      </c>
      <c r="HY11" s="880">
        <f t="shared" si="72"/>
        <v>25.672953576069723</v>
      </c>
      <c r="HZ11" s="882">
        <f t="shared" si="73"/>
        <v>692.69127925579232</v>
      </c>
      <c r="IA11" s="883">
        <f t="shared" si="74"/>
        <v>155.3378553612265</v>
      </c>
      <c r="IB11" s="884">
        <f t="shared" si="75"/>
        <v>873.70208819308857</v>
      </c>
      <c r="IC11" s="855">
        <f t="shared" si="76"/>
        <v>39.907175953957875</v>
      </c>
      <c r="ID11" s="351">
        <f t="shared" si="77"/>
        <v>1076.75</v>
      </c>
      <c r="IE11" s="857">
        <f t="shared" si="78"/>
        <v>241.46404144123198</v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0.43448461674835281</v>
      </c>
      <c r="JO11" s="162">
        <f t="shared" si="134"/>
        <v>1.7943054116251218</v>
      </c>
      <c r="JP11" s="961">
        <f t="shared" si="135"/>
        <v>14.999997834268267</v>
      </c>
      <c r="JQ11" s="961">
        <f t="shared" si="136"/>
        <v>9.9999999999999751</v>
      </c>
      <c r="JS11" s="82">
        <v>3</v>
      </c>
      <c r="JT11" s="322">
        <f t="shared" si="137"/>
        <v>0.82770249635072923</v>
      </c>
      <c r="JU11" s="963">
        <f t="shared" si="138"/>
        <v>0.14504779348925026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8.980465015296442</v>
      </c>
      <c r="KD11" s="969">
        <v>4</v>
      </c>
      <c r="KE11" s="968">
        <f t="shared" si="140"/>
        <v>-4.980465015296442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4.1525127014845876E-2</v>
      </c>
      <c r="C12" s="572">
        <f t="shared" si="245"/>
        <v>2.6171784885812936</v>
      </c>
      <c r="D12" s="576">
        <f t="shared" si="245"/>
        <v>-0.10080030401371684</v>
      </c>
      <c r="E12" s="580">
        <f t="shared" ref="E12:K12" si="246">R167</f>
        <v>-0.96101099711342941</v>
      </c>
      <c r="F12" s="572">
        <f t="shared" si="246"/>
        <v>0.13603385418383587</v>
      </c>
      <c r="G12" s="579">
        <f t="shared" si="246"/>
        <v>0.24073357460674868</v>
      </c>
      <c r="H12" s="580">
        <f t="shared" si="246"/>
        <v>0.3125</v>
      </c>
      <c r="I12" s="572">
        <f t="shared" si="246"/>
        <v>0.52</v>
      </c>
      <c r="J12" s="483">
        <f t="shared" si="94"/>
        <v>1.1120000000000001</v>
      </c>
      <c r="K12" s="806">
        <f t="shared" si="246"/>
        <v>1613</v>
      </c>
      <c r="L12" s="716" t="s">
        <v>357</v>
      </c>
      <c r="M12" s="164">
        <f t="shared" si="4"/>
        <v>1.1120000000000001</v>
      </c>
      <c r="N12" s="575">
        <f t="shared" si="5"/>
        <v>4.1525127014845876E-2</v>
      </c>
      <c r="O12" s="572">
        <f t="shared" si="6"/>
        <v>2.6171784885812936</v>
      </c>
      <c r="P12" s="576">
        <f t="shared" si="7"/>
        <v>-0.10080030401371684</v>
      </c>
      <c r="Q12" s="528">
        <f>IF(M12="","",IF(DEGREES(ATAN2(N12,O12))&lt;0,DEGREES(ATAN2(N12,O12))+360,IF(DEGREES(ATAN2(N12,O12))&gt;360,DEGREES(ATAN2(N12,O12))-360,DEGREES(ATAN2(N12,O12)))))</f>
        <v>89.091000131243348</v>
      </c>
      <c r="R12" s="572">
        <f t="shared" si="95"/>
        <v>2.6175078944038095</v>
      </c>
      <c r="S12" s="577">
        <f t="shared" si="96"/>
        <v>-0.10080030401371684</v>
      </c>
      <c r="T12" s="578">
        <f>IF(M12="","",X12*COS(RADIANS(W12)))</f>
        <v>2.6171128945237032</v>
      </c>
      <c r="U12" s="572">
        <f t="shared" si="98"/>
        <v>4.5471689918311138E-2</v>
      </c>
      <c r="V12" s="579">
        <f t="shared" si="145"/>
        <v>-0.10080030401371684</v>
      </c>
      <c r="W12" s="528">
        <f>IF(M12="","",IF(Q12-$Q$8&lt;0,360+Q12-$Q$8,Q12-$Q$8))</f>
        <v>0.99539985628204875</v>
      </c>
      <c r="X12" s="572">
        <f t="shared" si="99"/>
        <v>2.6175078944038095</v>
      </c>
      <c r="Y12" s="573">
        <f t="shared" si="9"/>
        <v>-0.10080030401371684</v>
      </c>
      <c r="Z12" s="575">
        <f t="shared" si="10"/>
        <v>0.96101099711342941</v>
      </c>
      <c r="AA12" s="572">
        <f t="shared" si="11"/>
        <v>-0.13603385418383587</v>
      </c>
      <c r="AB12" s="572">
        <f t="shared" si="12"/>
        <v>-0.24073357460674868</v>
      </c>
      <c r="AC12" s="579">
        <f t="shared" si="100"/>
        <v>1</v>
      </c>
      <c r="AD12" s="580">
        <f t="shared" si="146"/>
        <v>0.96101099711342941</v>
      </c>
      <c r="AE12" s="572">
        <f t="shared" si="101"/>
        <v>-0.13603385418383587</v>
      </c>
      <c r="AF12" s="576">
        <f t="shared" si="102"/>
        <v>-0.24073357460674868</v>
      </c>
      <c r="AG12" s="545">
        <f t="shared" si="103"/>
        <v>-29.469945370003909</v>
      </c>
      <c r="AH12" s="546">
        <f t="shared" si="104"/>
        <v>16.05202951544311</v>
      </c>
      <c r="AI12" s="528">
        <f t="shared" si="105"/>
        <v>-76.070159437866479</v>
      </c>
      <c r="AJ12" s="529">
        <f t="shared" si="106"/>
        <v>81.943146341533208</v>
      </c>
      <c r="AK12" s="578">
        <f t="shared" ref="AK12:AK105" si="247">IF(M12="","",(COS(RADIANS((90-$Q$8)-W12))*AD12)+(-SIN(RADIANS((90-$Q$8)-W12))*AE12))</f>
        <v>0.96304814873644928</v>
      </c>
      <c r="AL12" s="572">
        <f>IF(M12="","",(SIN(RADIANS((90-$Q$8)-W12))*AD12)+(COS(RADIANS((90-$Q$8)-W12))*AE12))</f>
        <v>-0.12077089580008447</v>
      </c>
      <c r="AM12" s="577">
        <f t="shared" si="108"/>
        <v>-0.24073357460674868</v>
      </c>
      <c r="AN12" s="524">
        <f>IF(M12="","",DEGREES(ATAN2(-AM12,AL12)))</f>
        <v>-26.641943354908527</v>
      </c>
      <c r="AO12" s="525">
        <f t="shared" si="110"/>
        <v>15.624359248728833</v>
      </c>
      <c r="AP12" s="528">
        <f t="shared" si="111"/>
        <v>-7.147853789710144</v>
      </c>
      <c r="AQ12" s="529">
        <f t="shared" si="13"/>
        <v>0.87088603198982373</v>
      </c>
      <c r="AR12" s="979"/>
      <c r="AS12" s="954">
        <f t="shared" si="147"/>
        <v>0.99539985628204875</v>
      </c>
      <c r="AT12" s="950">
        <f>IF(M12="","",Y12+(((AS12-$AS$9)*$AS$6)*-1))</f>
        <v>-0.10016905410485806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>
        <f t="shared" si="131"/>
        <v>4</v>
      </c>
      <c r="HL12" s="348">
        <f t="shared" si="62"/>
        <v>5.1059999999999999</v>
      </c>
      <c r="HM12" s="923">
        <f t="shared" si="63"/>
        <v>-2.2527426277481539</v>
      </c>
      <c r="HN12" s="924">
        <f t="shared" si="64"/>
        <v>14.99999783426823</v>
      </c>
      <c r="HO12" s="925"/>
      <c r="HP12" s="926"/>
      <c r="HQ12" s="924">
        <f t="shared" si="65"/>
        <v>13.113092912494178</v>
      </c>
      <c r="HR12" s="927">
        <f t="shared" si="66"/>
        <v>12.933552427061368</v>
      </c>
      <c r="HS12" s="879">
        <f>IFERROR(SMALL($GJ$9:$GJ$150,($HK11+1)),"")</f>
        <v>1.466</v>
      </c>
      <c r="HT12" s="889">
        <f t="shared" si="67"/>
        <v>3.6499999999999998E-2</v>
      </c>
      <c r="HU12" s="890">
        <f t="shared" si="68"/>
        <v>0.33633077071088341</v>
      </c>
      <c r="HV12" s="886">
        <f t="shared" si="69"/>
        <v>0.25040607998301623</v>
      </c>
      <c r="HW12" s="880">
        <f t="shared" si="70"/>
        <v>29500</v>
      </c>
      <c r="HX12" s="881">
        <f t="shared" si="71"/>
        <v>131.54295833333333</v>
      </c>
      <c r="HY12" s="880">
        <f t="shared" si="72"/>
        <v>32.525215896523321</v>
      </c>
      <c r="HZ12" s="882">
        <f t="shared" si="73"/>
        <v>826.81314466425511</v>
      </c>
      <c r="IA12" s="883">
        <f t="shared" si="74"/>
        <v>190.02199490001388</v>
      </c>
      <c r="IB12" s="884">
        <f t="shared" si="75"/>
        <v>1049.3603554607923</v>
      </c>
      <c r="IC12" s="855">
        <f t="shared" si="76"/>
        <v>42.35724412775599</v>
      </c>
      <c r="ID12" s="351">
        <f t="shared" si="77"/>
        <v>1076.75</v>
      </c>
      <c r="IE12" s="857">
        <f t="shared" si="78"/>
        <v>247.4636310864102</v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1.1120000000000001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12</v>
      </c>
      <c r="JN12" s="960">
        <f>($JO12-SMALL($JO$9:$JO$88,1))/((Settings!$C$19/2)-((Settings!$C$19/2)-LARGE($JO$9:$JO$88,1))-SMALL($JO$9:$JO$88,1))</f>
        <v>0.68098202302488187</v>
      </c>
      <c r="JO12" s="162">
        <f t="shared" si="134"/>
        <v>2.6175078944038095</v>
      </c>
      <c r="JP12" s="961">
        <f t="shared" si="135"/>
        <v>-26.641943354908527</v>
      </c>
      <c r="JQ12" s="961">
        <f t="shared" si="136"/>
        <v>15.624359248728833</v>
      </c>
      <c r="JS12" s="82">
        <v>4</v>
      </c>
      <c r="JT12" s="322">
        <f t="shared" si="137"/>
        <v>1.0693032250185266</v>
      </c>
      <c r="JU12" s="963">
        <f t="shared" si="138"/>
        <v>0.21739202740131222</v>
      </c>
      <c r="JV12" s="964">
        <v>3</v>
      </c>
      <c r="JW12" s="961">
        <f t="shared" si="92"/>
        <v>14.999997834268255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7.4684560078315751</v>
      </c>
      <c r="KD12" s="968">
        <v>3</v>
      </c>
      <c r="KE12" s="968">
        <f t="shared" si="140"/>
        <v>-4.4684560078315751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0.1091638821707743</v>
      </c>
      <c r="C13" s="572">
        <f t="shared" si="259"/>
        <v>3.283095543207676</v>
      </c>
      <c r="D13" s="576">
        <f t="shared" si="259"/>
        <v>-0.5247015824999729</v>
      </c>
      <c r="E13" s="580">
        <f t="shared" ref="E13:K13" si="260">R168</f>
        <v>-0.93948851336091654</v>
      </c>
      <c r="F13" s="572">
        <f t="shared" si="260"/>
        <v>0.29625628196016229</v>
      </c>
      <c r="G13" s="579">
        <f t="shared" si="260"/>
        <v>0.17202775549903498</v>
      </c>
      <c r="H13" s="580">
        <f t="shared" si="260"/>
        <v>0.3125</v>
      </c>
      <c r="I13" s="572">
        <f t="shared" si="260"/>
        <v>0.52</v>
      </c>
      <c r="J13" s="483">
        <f t="shared" si="94"/>
        <v>1.1180000000000001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1.1180000000000001</v>
      </c>
      <c r="N13" s="575">
        <f t="shared" si="5"/>
        <v>0.1091638821707743</v>
      </c>
      <c r="O13" s="572">
        <f t="shared" si="6"/>
        <v>3.283095543207676</v>
      </c>
      <c r="P13" s="576">
        <f t="shared" si="7"/>
        <v>-0.5247015824999729</v>
      </c>
      <c r="Q13" s="528">
        <f t="shared" si="144"/>
        <v>88.095600274961299</v>
      </c>
      <c r="R13" s="572">
        <f t="shared" si="95"/>
        <v>3.2849099072882808</v>
      </c>
      <c r="S13" s="577">
        <f t="shared" si="96"/>
        <v>-0.5247015824999729</v>
      </c>
      <c r="T13" s="578">
        <f>IF(M13="","",X13*COS(RADIANS(W13)))</f>
        <v>3.2849099072882808</v>
      </c>
      <c r="U13" s="572">
        <f t="shared" si="98"/>
        <v>0</v>
      </c>
      <c r="V13" s="579">
        <f t="shared" si="145"/>
        <v>-0.5247015824999729</v>
      </c>
      <c r="W13" s="528">
        <f t="shared" si="8"/>
        <v>0</v>
      </c>
      <c r="X13" s="572">
        <f t="shared" si="99"/>
        <v>3.2849099072882808</v>
      </c>
      <c r="Y13" s="573">
        <f t="shared" si="9"/>
        <v>-0.5247015824999729</v>
      </c>
      <c r="Z13" s="575">
        <f t="shared" si="10"/>
        <v>0.93948851336091654</v>
      </c>
      <c r="AA13" s="572">
        <f t="shared" si="11"/>
        <v>-0.29625628196016229</v>
      </c>
      <c r="AB13" s="572">
        <f t="shared" si="12"/>
        <v>-0.17202775549903498</v>
      </c>
      <c r="AC13" s="579">
        <f t="shared" si="100"/>
        <v>1</v>
      </c>
      <c r="AD13" s="580">
        <f>IF(M13="","",Z13*(1/SQRT(Z13^2+AA13^2+AB13^2)))</f>
        <v>0.93948851336091654</v>
      </c>
      <c r="AE13" s="572">
        <f t="shared" si="101"/>
        <v>-0.29625628196016229</v>
      </c>
      <c r="AF13" s="576">
        <f t="shared" si="102"/>
        <v>-0.17202775549903498</v>
      </c>
      <c r="AG13" s="545">
        <f>IF(M13="","",DEGREES(ATAN2(-AF13,AE13)))</f>
        <v>-59.857460431431988</v>
      </c>
      <c r="AH13" s="546">
        <f t="shared" si="104"/>
        <v>20.034164429803777</v>
      </c>
      <c r="AI13" s="528">
        <f t="shared" si="105"/>
        <v>-80.094261979893844</v>
      </c>
      <c r="AJ13" s="529">
        <f t="shared" si="106"/>
        <v>72.497964687316539</v>
      </c>
      <c r="AK13" s="578">
        <f t="shared" si="247"/>
        <v>0.94881476963829459</v>
      </c>
      <c r="AL13" s="572">
        <f t="shared" si="107"/>
        <v>-0.26487163731550128</v>
      </c>
      <c r="AM13" s="577">
        <f t="shared" si="108"/>
        <v>-0.17202775549903498</v>
      </c>
      <c r="AN13" s="524">
        <f t="shared" si="109"/>
        <v>-56.99724572650674</v>
      </c>
      <c r="AO13" s="525">
        <f t="shared" si="110"/>
        <v>18.411113247366355</v>
      </c>
      <c r="AP13" s="528">
        <f t="shared" si="111"/>
        <v>-15.597635587644762</v>
      </c>
      <c r="AQ13" s="529">
        <f t="shared" si="13"/>
        <v>0.69396580617805226</v>
      </c>
      <c r="AR13" s="979"/>
      <c r="AS13" s="954">
        <f t="shared" si="147"/>
        <v>0</v>
      </c>
      <c r="AT13" s="950">
        <f t="shared" si="14"/>
        <v>-0.52337908269091826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>
        <f t="shared" si="131"/>
        <v>5</v>
      </c>
      <c r="HL13" s="348">
        <f t="shared" si="62"/>
        <v>3.1080000000000001</v>
      </c>
      <c r="HM13" s="923">
        <f t="shared" si="63"/>
        <v>2.3677291030322447</v>
      </c>
      <c r="HN13" s="924">
        <f t="shared" si="64"/>
        <v>15.151269737293189</v>
      </c>
      <c r="HO13" s="925"/>
      <c r="HP13" s="926"/>
      <c r="HQ13" s="924">
        <f t="shared" si="65"/>
        <v>14.106476236936524</v>
      </c>
      <c r="HR13" s="927">
        <f t="shared" si="66"/>
        <v>13.92372424923164</v>
      </c>
      <c r="HS13" s="879">
        <f t="shared" ref="HS13:HS41" si="261">IFERROR(SMALL($GJ$9:$GJ$150,($HK12+1)),"")</f>
        <v>1.9300999999999999</v>
      </c>
      <c r="HT13" s="889">
        <f t="shared" si="67"/>
        <v>3.5499999999999997E-2</v>
      </c>
      <c r="HU13" s="890">
        <f t="shared" si="68"/>
        <v>0.43060621534093901</v>
      </c>
      <c r="HV13" s="886">
        <f t="shared" si="69"/>
        <v>0.32059634083417482</v>
      </c>
      <c r="HW13" s="880">
        <f t="shared" si="70"/>
        <v>29500</v>
      </c>
      <c r="HX13" s="881">
        <f t="shared" si="71"/>
        <v>168.44143541666665</v>
      </c>
      <c r="HY13" s="880">
        <f t="shared" si="72"/>
        <v>43.770122441600847</v>
      </c>
      <c r="HZ13" s="882">
        <f t="shared" si="73"/>
        <v>1058.5736127131418</v>
      </c>
      <c r="IA13" s="883">
        <f t="shared" si="74"/>
        <v>262.65993999032042</v>
      </c>
      <c r="IB13" s="884">
        <f t="shared" si="75"/>
        <v>1365.0036751450632</v>
      </c>
      <c r="IC13" s="855">
        <f t="shared" si="76"/>
        <v>43.301911342265811</v>
      </c>
      <c r="ID13" s="351">
        <f t="shared" si="77"/>
        <v>1047.25</v>
      </c>
      <c r="IE13" s="857">
        <f t="shared" si="78"/>
        <v>259.85025401289994</v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1.1180000000000001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18</v>
      </c>
      <c r="JN13" s="960">
        <f>($JO13-SMALL($JO$9:$JO$88,1))/((Settings!$C$19/2)-((Settings!$C$19/2)-LARGE($JO$9:$JO$88,1))-SMALL($JO$9:$JO$88,1))</f>
        <v>0.88082698044586794</v>
      </c>
      <c r="JO13" s="162">
        <f t="shared" si="134"/>
        <v>3.2849099072882808</v>
      </c>
      <c r="JP13" s="961">
        <f t="shared" si="135"/>
        <v>-56.99724572650674</v>
      </c>
      <c r="JQ13" s="961">
        <f t="shared" si="136"/>
        <v>18.411113247366355</v>
      </c>
      <c r="JS13" s="82">
        <v>5</v>
      </c>
      <c r="JT13" s="322">
        <f t="shared" si="137"/>
        <v>1.3110039539879257</v>
      </c>
      <c r="JU13" s="963">
        <f t="shared" si="138"/>
        <v>0.28976620511880158</v>
      </c>
      <c r="JV13" s="964">
        <v>3</v>
      </c>
      <c r="JW13" s="961">
        <f t="shared" si="92"/>
        <v>14.999997834268255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5.9582595117916615</v>
      </c>
      <c r="KD13" s="968">
        <v>3</v>
      </c>
      <c r="KE13" s="968">
        <f t="shared" si="140"/>
        <v>-2.9582595117916615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0.15588234920333341</v>
      </c>
      <c r="C14" s="572">
        <f t="shared" si="262"/>
        <v>3.6207569275582911</v>
      </c>
      <c r="D14" s="576">
        <f t="shared" si="262"/>
        <v>-1.2188036759118865</v>
      </c>
      <c r="E14" s="580">
        <f t="shared" ref="E14:K14" si="263">R169</f>
        <v>-0.87691222519662104</v>
      </c>
      <c r="F14" s="572">
        <f t="shared" si="263"/>
        <v>0.4666214331930808</v>
      </c>
      <c r="G14" s="579">
        <f t="shared" si="263"/>
        <v>0.11527960524544605</v>
      </c>
      <c r="H14" s="580">
        <f t="shared" si="263"/>
        <v>0.3125</v>
      </c>
      <c r="I14" s="572">
        <f t="shared" si="263"/>
        <v>0.52</v>
      </c>
      <c r="J14" s="483">
        <f t="shared" si="94"/>
        <v>1.1240000000000001</v>
      </c>
      <c r="K14" s="806">
        <f t="shared" si="263"/>
        <v>1613</v>
      </c>
      <c r="L14" s="719" t="s">
        <v>358</v>
      </c>
      <c r="M14" s="164">
        <f t="shared" si="4"/>
        <v>1.1240000000000001</v>
      </c>
      <c r="N14" s="575">
        <f t="shared" si="5"/>
        <v>0.15588234920333341</v>
      </c>
      <c r="O14" s="572">
        <f t="shared" si="6"/>
        <v>3.6207569275582911</v>
      </c>
      <c r="P14" s="576">
        <f t="shared" si="7"/>
        <v>-1.2188036759118865</v>
      </c>
      <c r="Q14" s="528">
        <f t="shared" si="144"/>
        <v>87.534800355930798</v>
      </c>
      <c r="R14" s="572">
        <f t="shared" si="95"/>
        <v>3.6241109303185666</v>
      </c>
      <c r="S14" s="577">
        <f>IF(M14="","",P14)</f>
        <v>-1.2188036759118865</v>
      </c>
      <c r="T14" s="578">
        <f t="shared" si="97"/>
        <v>3.6239373347480881</v>
      </c>
      <c r="U14" s="572">
        <f t="shared" si="98"/>
        <v>-3.5471524825289265E-2</v>
      </c>
      <c r="V14" s="579">
        <f t="shared" si="145"/>
        <v>-1.2188036759118865</v>
      </c>
      <c r="W14" s="528">
        <f t="shared" si="8"/>
        <v>359.4392000809695</v>
      </c>
      <c r="X14" s="572">
        <f t="shared" si="99"/>
        <v>3.6241109303185666</v>
      </c>
      <c r="Y14" s="573">
        <f t="shared" si="9"/>
        <v>-1.2188036759118865</v>
      </c>
      <c r="Z14" s="575">
        <f t="shared" si="10"/>
        <v>0.87691222519662104</v>
      </c>
      <c r="AA14" s="572">
        <f t="shared" si="11"/>
        <v>-0.4666214331930808</v>
      </c>
      <c r="AB14" s="572">
        <f t="shared" si="12"/>
        <v>-0.11527960524544605</v>
      </c>
      <c r="AC14" s="579">
        <f t="shared" si="100"/>
        <v>1</v>
      </c>
      <c r="AD14" s="580">
        <f>IF(M14="","",Z14*(1/SQRT(Z14^2+AA14^2+AB14^2)))</f>
        <v>0.87691222519662104</v>
      </c>
      <c r="AE14" s="572">
        <f t="shared" si="101"/>
        <v>-0.4666214331930808</v>
      </c>
      <c r="AF14" s="576">
        <f t="shared" si="102"/>
        <v>-0.11527960524544605</v>
      </c>
      <c r="AG14" s="545">
        <f t="shared" si="103"/>
        <v>-76.122856380008798</v>
      </c>
      <c r="AH14" s="546">
        <f t="shared" si="104"/>
        <v>28.727898951018702</v>
      </c>
      <c r="AI14" s="528">
        <f t="shared" si="105"/>
        <v>-83.380247491774085</v>
      </c>
      <c r="AJ14" s="529">
        <f t="shared" si="106"/>
        <v>61.98172004050015</v>
      </c>
      <c r="AK14" s="578">
        <f>IF(M14="","",(COS(RADIANS((90-$Q$8)-W14))*AD14)+(-SIN(RADIANS((90-$Q$8)-W14))*AE14))</f>
        <v>0.89617126017455984</v>
      </c>
      <c r="AL14" s="572">
        <f t="shared" si="107"/>
        <v>-0.42847133515743574</v>
      </c>
      <c r="AM14" s="577">
        <f t="shared" si="108"/>
        <v>-0.11527960524544605</v>
      </c>
      <c r="AN14" s="524">
        <f t="shared" si="109"/>
        <v>-74.941245330664387</v>
      </c>
      <c r="AO14" s="525">
        <f t="shared" si="110"/>
        <v>26.340726971777592</v>
      </c>
      <c r="AP14" s="528">
        <f>IF(M14="","",DEGREES(ATAN2(AK14,AL14)))</f>
        <v>-25.553080315430627</v>
      </c>
      <c r="AQ14" s="529">
        <f t="shared" si="13"/>
        <v>0.62901911280228429</v>
      </c>
      <c r="AR14" s="979"/>
      <c r="AS14" s="954">
        <f t="shared" si="147"/>
        <v>-0.56079991903050086</v>
      </c>
      <c r="AT14" s="950">
        <f>IF(M14="","",Y14+(((AS14-$AS$9)*$AS$6)*-1))</f>
        <v>-1.2170917317146162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1.1240000000000001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24</v>
      </c>
      <c r="JN14" s="960">
        <f>($JO14-SMALL($JO$9:$JO$88,1))/((Settings!$C$19/2)-((Settings!$C$19/2)-LARGE($JO$9:$JO$88,1))-SMALL($JO$9:$JO$88,1))</f>
        <v>0.98239636845485578</v>
      </c>
      <c r="JO14" s="162">
        <f t="shared" si="134"/>
        <v>3.6241109303185666</v>
      </c>
      <c r="JP14" s="961">
        <f t="shared" si="135"/>
        <v>-74.941245330664387</v>
      </c>
      <c r="JQ14" s="961">
        <f t="shared" si="136"/>
        <v>26.340726971777592</v>
      </c>
      <c r="JS14" s="82">
        <v>6</v>
      </c>
      <c r="JT14" s="322">
        <f t="shared" si="137"/>
        <v>1.5526046826557232</v>
      </c>
      <c r="JU14" s="963">
        <f t="shared" si="138"/>
        <v>0.3621104390308636</v>
      </c>
      <c r="JV14" s="964">
        <v>3</v>
      </c>
      <c r="JW14" s="961">
        <f t="shared" si="92"/>
        <v>14.99999783426823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4.4492857494415103</v>
      </c>
      <c r="KD14" s="968">
        <v>3</v>
      </c>
      <c r="KE14" s="968">
        <f t="shared" si="140"/>
        <v>-1.4492857494415103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0.16481987833048795</v>
      </c>
      <c r="C15" s="572">
        <f t="shared" si="266"/>
        <v>3.6792100806704591</v>
      </c>
      <c r="D15" s="576">
        <f t="shared" si="266"/>
        <v>-2.0039999999999996</v>
      </c>
      <c r="E15" s="580">
        <f t="shared" ref="E15:K15" si="267">R170</f>
        <v>-0.84278135614737548</v>
      </c>
      <c r="F15" s="572">
        <f t="shared" si="267"/>
        <v>0.5382560596318241</v>
      </c>
      <c r="G15" s="579">
        <f t="shared" si="267"/>
        <v>1.1339744831728188E-7</v>
      </c>
      <c r="H15" s="580">
        <f t="shared" si="267"/>
        <v>0.3125</v>
      </c>
      <c r="I15" s="572">
        <f t="shared" si="267"/>
        <v>0.52</v>
      </c>
      <c r="J15" s="483">
        <f t="shared" si="94"/>
        <v>1.1299999999999999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1.1299999999999999</v>
      </c>
      <c r="N15" s="575">
        <f t="shared" si="5"/>
        <v>0.16481987833048795</v>
      </c>
      <c r="O15" s="572">
        <f t="shared" si="6"/>
        <v>3.6792100806704591</v>
      </c>
      <c r="P15" s="576">
        <f t="shared" si="7"/>
        <v>-2.0039999999999996</v>
      </c>
      <c r="Q15" s="528">
        <f t="shared" si="144"/>
        <v>87.435000000000002</v>
      </c>
      <c r="R15" s="572">
        <f t="shared" si="95"/>
        <v>3.6829000000000005</v>
      </c>
      <c r="S15" s="577">
        <f t="shared" si="96"/>
        <v>-2.0039999999999996</v>
      </c>
      <c r="T15" s="578">
        <f t="shared" si="97"/>
        <v>3.6826552135604036</v>
      </c>
      <c r="U15" s="572">
        <f t="shared" si="98"/>
        <v>-4.2461606615621199E-2</v>
      </c>
      <c r="V15" s="579">
        <f t="shared" si="145"/>
        <v>-2.0039999999999996</v>
      </c>
      <c r="W15" s="528">
        <f t="shared" ref="W15:W78" si="268">IF(M15="","",IF(Q15-$Q$8&lt;0,360+Q15-$Q$8,Q15-$Q$8))</f>
        <v>359.33939972503867</v>
      </c>
      <c r="X15" s="572">
        <f>IF(M15="","",R15)</f>
        <v>3.6829000000000005</v>
      </c>
      <c r="Y15" s="573">
        <f t="shared" si="9"/>
        <v>-2.0039999999999996</v>
      </c>
      <c r="Z15" s="575">
        <f t="shared" si="10"/>
        <v>0.84278135614737548</v>
      </c>
      <c r="AA15" s="572">
        <f t="shared" si="11"/>
        <v>-0.5382560596318241</v>
      </c>
      <c r="AB15" s="572">
        <f t="shared" si="12"/>
        <v>-1.1339744831728188E-7</v>
      </c>
      <c r="AC15" s="579">
        <f t="shared" si="100"/>
        <v>1</v>
      </c>
      <c r="AD15" s="580">
        <f t="shared" si="146"/>
        <v>0.84278135614737548</v>
      </c>
      <c r="AE15" s="572">
        <f t="shared" si="101"/>
        <v>-0.5382560596318241</v>
      </c>
      <c r="AF15" s="576">
        <f t="shared" si="102"/>
        <v>-1.1339744831728188E-7</v>
      </c>
      <c r="AG15" s="545">
        <f t="shared" si="103"/>
        <v>-89.999987929174083</v>
      </c>
      <c r="AH15" s="546">
        <f t="shared" si="104"/>
        <v>32.564999999999934</v>
      </c>
      <c r="AI15" s="528">
        <f t="shared" si="105"/>
        <v>-89.999993502804799</v>
      </c>
      <c r="AJ15" s="529">
        <f t="shared" si="106"/>
        <v>57.435000000000642</v>
      </c>
      <c r="AK15" s="578">
        <f t="shared" si="247"/>
        <v>0.86602540378443937</v>
      </c>
      <c r="AL15" s="572">
        <f t="shared" si="107"/>
        <v>-0.4999999999999859</v>
      </c>
      <c r="AM15" s="577">
        <f t="shared" si="108"/>
        <v>-1.1339744831728188E-7</v>
      </c>
      <c r="AN15" s="524">
        <f>IF(M15="","",DEGREES(ATAN2(-AM15,AL15)))</f>
        <v>-89.999987005609611</v>
      </c>
      <c r="AO15" s="525">
        <f t="shared" si="110"/>
        <v>29.999999999999915</v>
      </c>
      <c r="AP15" s="528">
        <f t="shared" si="111"/>
        <v>-29.999999999999279</v>
      </c>
      <c r="AQ15" s="529">
        <f t="shared" si="13"/>
        <v>0.61897904982222918</v>
      </c>
      <c r="AR15" s="979"/>
      <c r="AS15" s="954">
        <f t="shared" si="147"/>
        <v>-0.66060027496132534</v>
      </c>
      <c r="AT15" s="950">
        <f t="shared" si="14"/>
        <v>-2.0022187499999995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1.1299999999999999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32</v>
      </c>
      <c r="JE15" s="31"/>
      <c r="JF15" s="219"/>
      <c r="JG15" s="219"/>
      <c r="JH15" s="219"/>
      <c r="JI15" s="219"/>
      <c r="JM15" s="489">
        <f t="shared" si="133"/>
        <v>30</v>
      </c>
      <c r="JN15" s="960">
        <f>($JO15-SMALL($JO$9:$JO$88,1))/((Settings!$C$19/2)-((Settings!$C$19/2)-LARGE($JO$9:$JO$88,1))-SMALL($JO$9:$JO$88,1))</f>
        <v>0.99999999999999956</v>
      </c>
      <c r="JO15" s="162">
        <f t="shared" si="134"/>
        <v>3.6829000000000005</v>
      </c>
      <c r="JP15" s="961">
        <f t="shared" si="135"/>
        <v>-89.999987005609611</v>
      </c>
      <c r="JQ15" s="961">
        <f t="shared" si="136"/>
        <v>29.999999999999915</v>
      </c>
      <c r="JS15" s="82">
        <v>7</v>
      </c>
      <c r="JT15" s="322">
        <f t="shared" si="137"/>
        <v>1.7943054116251218</v>
      </c>
      <c r="JU15" s="963">
        <f t="shared" si="138"/>
        <v>0.43448461674835281</v>
      </c>
      <c r="JV15" s="964">
        <v>3</v>
      </c>
      <c r="JW15" s="961">
        <f t="shared" si="92"/>
        <v>9.9999999999999751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2.0514231182241853</v>
      </c>
      <c r="C16" s="572">
        <f t="shared" si="269"/>
        <v>1.39768152604278</v>
      </c>
      <c r="D16" s="576">
        <f t="shared" si="269"/>
        <v>-6.8100205390219562E-2</v>
      </c>
      <c r="E16" s="580">
        <f t="shared" ref="E16:K16" si="270">R171</f>
        <v>-0.45738172233859925</v>
      </c>
      <c r="F16" s="572">
        <f t="shared" si="270"/>
        <v>0.85452443201725636</v>
      </c>
      <c r="G16" s="579">
        <f t="shared" si="270"/>
        <v>0.24615026946189156</v>
      </c>
      <c r="H16" s="580">
        <f t="shared" si="270"/>
        <v>0.3125</v>
      </c>
      <c r="I16" s="572">
        <f t="shared" si="270"/>
        <v>0.52</v>
      </c>
      <c r="J16" s="483">
        <f t="shared" si="94"/>
        <v>2.1110000000000002</v>
      </c>
      <c r="K16" s="806">
        <f t="shared" si="270"/>
        <v>1613</v>
      </c>
      <c r="L16" s="309"/>
      <c r="M16" s="164">
        <f t="shared" si="4"/>
        <v>2.1110000000000002</v>
      </c>
      <c r="N16" s="575">
        <f t="shared" si="5"/>
        <v>2.0514231182241853</v>
      </c>
      <c r="O16" s="572">
        <f t="shared" si="6"/>
        <v>1.39768152604278</v>
      </c>
      <c r="P16" s="576">
        <f t="shared" si="7"/>
        <v>-6.8100205390219562E-2</v>
      </c>
      <c r="Q16" s="528">
        <f>IF(M16="","",IF(DEGREES(ATAN2(N16,O16))&lt;0,DEGREES(ATAN2(N16,O16))+360,IF(DEGREES(ATAN2(N16,O16))&gt;360,DEGREES(ATAN2(N16,O16))-360,DEGREES(ATAN2(N16,O16)))))</f>
        <v>34.2675001057599</v>
      </c>
      <c r="R16" s="572">
        <f t="shared" si="95"/>
        <v>2.4823074866393795</v>
      </c>
      <c r="S16" s="577">
        <f t="shared" si="96"/>
        <v>-6.8100205390219562E-2</v>
      </c>
      <c r="T16" s="578">
        <f t="shared" si="97"/>
        <v>1.4650822812087017</v>
      </c>
      <c r="U16" s="572">
        <f t="shared" si="98"/>
        <v>-2.0038424008674487</v>
      </c>
      <c r="V16" s="579">
        <f t="shared" si="145"/>
        <v>-6.8100205390219562E-2</v>
      </c>
      <c r="W16" s="528">
        <f>IF(M16="","",IF(Q16-$Q$8&lt;0,360+Q16-$Q$8,Q16-$Q$8))</f>
        <v>306.17189983079857</v>
      </c>
      <c r="X16" s="572">
        <f t="shared" si="99"/>
        <v>2.4823074866393795</v>
      </c>
      <c r="Y16" s="573">
        <f t="shared" ref="Y16:Y75" si="271">IF(M16="","",S16)</f>
        <v>-6.8100205390219562E-2</v>
      </c>
      <c r="Z16" s="575">
        <f t="shared" si="10"/>
        <v>0.45738172233859925</v>
      </c>
      <c r="AA16" s="572">
        <f t="shared" si="11"/>
        <v>-0.85452443201725636</v>
      </c>
      <c r="AB16" s="572">
        <f t="shared" si="12"/>
        <v>-0.24615026946189156</v>
      </c>
      <c r="AC16" s="579">
        <f t="shared" si="100"/>
        <v>1</v>
      </c>
      <c r="AD16" s="580">
        <f t="shared" si="146"/>
        <v>0.45738172233859925</v>
      </c>
      <c r="AE16" s="572">
        <f t="shared" si="101"/>
        <v>-0.85452443201725636</v>
      </c>
      <c r="AF16" s="576">
        <f t="shared" si="102"/>
        <v>-0.24615026946189156</v>
      </c>
      <c r="AG16" s="545">
        <f t="shared" si="103"/>
        <v>-73.930675099171879</v>
      </c>
      <c r="AH16" s="546">
        <f t="shared" si="104"/>
        <v>62.78171654358092</v>
      </c>
      <c r="AI16" s="528">
        <f t="shared" si="105"/>
        <v>-75.750178737144708</v>
      </c>
      <c r="AJ16" s="529">
        <f t="shared" si="106"/>
        <v>28.157787230003194</v>
      </c>
      <c r="AK16" s="578">
        <f t="shared" si="247"/>
        <v>0.96372636003632173</v>
      </c>
      <c r="AL16" s="572">
        <f t="shared" si="107"/>
        <v>-0.10315787810429278</v>
      </c>
      <c r="AM16" s="577">
        <f t="shared" si="108"/>
        <v>-0.24615026946189156</v>
      </c>
      <c r="AN16" s="524">
        <f t="shared" si="109"/>
        <v>-22.737825210823384</v>
      </c>
      <c r="AO16" s="525">
        <f t="shared" si="110"/>
        <v>15.479424299784521</v>
      </c>
      <c r="AP16" s="528">
        <f t="shared" si="111"/>
        <v>-6.1097128757566432</v>
      </c>
      <c r="AQ16" s="529">
        <f t="shared" si="13"/>
        <v>0.91831146362173421</v>
      </c>
      <c r="AR16" s="979"/>
      <c r="AS16" s="954">
        <f t="shared" si="147"/>
        <v>-53.828100169201434</v>
      </c>
      <c r="AT16" s="950">
        <f t="shared" si="14"/>
        <v>-2.9397080463663912E-2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2.1110000000000002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11</v>
      </c>
      <c r="JN16" s="960">
        <f>($JO16-SMALL($JO$9:$JO$88,1))/((Settings!$C$19/2)-((Settings!$C$19/2)-LARGE($JO$9:$JO$88,1))-SMALL($JO$9:$JO$88,1))</f>
        <v>0.64049799808733721</v>
      </c>
      <c r="JO16" s="162">
        <f t="shared" si="134"/>
        <v>2.4823074866393795</v>
      </c>
      <c r="JP16" s="961">
        <f t="shared" si="135"/>
        <v>-22.737825210823384</v>
      </c>
      <c r="JQ16" s="961">
        <f t="shared" si="136"/>
        <v>15.479424299784521</v>
      </c>
      <c r="JS16" s="82">
        <v>8</v>
      </c>
      <c r="JT16" s="322">
        <f t="shared" si="137"/>
        <v>2.0676062359004073</v>
      </c>
      <c r="JU16" s="963">
        <f t="shared" si="138"/>
        <v>0.51632103698083009</v>
      </c>
      <c r="JV16" s="964">
        <v>3</v>
      </c>
      <c r="JW16" s="961">
        <f t="shared" si="92"/>
        <v>15.151269737293189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2.6694433370615047</v>
      </c>
      <c r="C17" s="572">
        <f t="shared" si="272"/>
        <v>1.7497774035637161</v>
      </c>
      <c r="D17" s="576">
        <f t="shared" si="272"/>
        <v>-0.42990129658231047</v>
      </c>
      <c r="E17" s="580">
        <f t="shared" ref="E17:K17" si="273">R172</f>
        <v>-0.32316837426443368</v>
      </c>
      <c r="F17" s="572">
        <f t="shared" si="273"/>
        <v>0.92946837998477394</v>
      </c>
      <c r="G17" s="579">
        <f t="shared" si="273"/>
        <v>0.17790652737817955</v>
      </c>
      <c r="H17" s="580">
        <f t="shared" si="273"/>
        <v>0.3125</v>
      </c>
      <c r="I17" s="572">
        <f t="shared" si="273"/>
        <v>0.52</v>
      </c>
      <c r="J17" s="483">
        <f t="shared" si="94"/>
        <v>2.117</v>
      </c>
      <c r="K17" s="806">
        <f t="shared" si="273"/>
        <v>1613</v>
      </c>
      <c r="M17" s="164">
        <f t="shared" si="4"/>
        <v>2.117</v>
      </c>
      <c r="N17" s="575">
        <f t="shared" si="5"/>
        <v>2.6694433370615047</v>
      </c>
      <c r="O17" s="572">
        <f t="shared" si="6"/>
        <v>1.7497774035637161</v>
      </c>
      <c r="P17" s="576">
        <f t="shared" si="7"/>
        <v>-0.42990129658231047</v>
      </c>
      <c r="Q17" s="528">
        <f>IF(M17="","",IF(DEGREES(ATAN2(N17,O17))&lt;0,DEGREES(ATAN2(N17,O17))+360,IF(DEGREES(ATAN2(N17,O17))&gt;360,DEGREES(ATAN2(N17,O17))-360,DEGREES(ATAN2(N17,O17)))))</f>
        <v>33.244200253506101</v>
      </c>
      <c r="R17" s="572">
        <f>IF(M17="","",SQRT(N17^2+O17^2))</f>
        <v>3.1918096264978337</v>
      </c>
      <c r="S17" s="577">
        <f>IF(M17="","",P17)</f>
        <v>-0.42990129658231047</v>
      </c>
      <c r="T17" s="578">
        <f>IF(M17="","",X17*COS(RADIANS(W17)))</f>
        <v>1.8375216865953312</v>
      </c>
      <c r="U17" s="572">
        <f>IF(M17="","",X17*SIN(RADIANS(W17)))</f>
        <v>-2.6098204426925795</v>
      </c>
      <c r="V17" s="579">
        <f>IF(M17="","",Y17)</f>
        <v>-0.42990129658231047</v>
      </c>
      <c r="W17" s="528">
        <f t="shared" si="268"/>
        <v>305.14859997854478</v>
      </c>
      <c r="X17" s="572">
        <f>IF(M17="","",R17)</f>
        <v>3.1918096264978337</v>
      </c>
      <c r="Y17" s="573">
        <f t="shared" si="271"/>
        <v>-0.42990129658231047</v>
      </c>
      <c r="Z17" s="575">
        <f t="shared" si="10"/>
        <v>0.32316837426443368</v>
      </c>
      <c r="AA17" s="572">
        <f t="shared" si="11"/>
        <v>-0.92946837998477394</v>
      </c>
      <c r="AB17" s="572">
        <f t="shared" si="12"/>
        <v>-0.17790652737817955</v>
      </c>
      <c r="AC17" s="579">
        <f>IF(M17="","",SQRT(Z17^2+AA17^2+AB17^2))</f>
        <v>1</v>
      </c>
      <c r="AD17" s="580">
        <f>IF(M17="","",Z17*(1/SQRT(Z17^2+AA17^2+AB17^2)))</f>
        <v>0.32316837426443368</v>
      </c>
      <c r="AE17" s="572">
        <f>IF(M17="","",AA17*(1/SQRT(Z17^2+AA17^2+AB17^2)))</f>
        <v>-0.92946837998477394</v>
      </c>
      <c r="AF17" s="576">
        <f>IF(M17="","",AB17*(1/SQRT(Z17^2+AA17^2+AB17^2)))</f>
        <v>-0.17790652737817955</v>
      </c>
      <c r="AG17" s="545">
        <f>IF(M17="","",DEGREES(ATAN2(-AF17,AE17)))</f>
        <v>-79.164260165448056</v>
      </c>
      <c r="AH17" s="546">
        <f>IF(M17="","",DEGREES(ACOS(AD17)))</f>
        <v>71.145356631906537</v>
      </c>
      <c r="AI17" s="528">
        <f>IF(M17="","",DEGREES(-ACOS(-AF17)))</f>
        <v>-79.75215537166163</v>
      </c>
      <c r="AJ17" s="529">
        <f>IF(M17="","",DEGREES(ATAN2(-AE17,AD17)))</f>
        <v>19.172135264189475</v>
      </c>
      <c r="AK17" s="578">
        <f>IF(M17="","",(COS(RADIANS((90-$Q$8)-W17))*AD17)+(-SIN(RADIANS((90-$Q$8)-W17))*AE17))</f>
        <v>0.95451679432927539</v>
      </c>
      <c r="AL17" s="572">
        <f>IF(M17="","",(SIN(RADIANS((90-$Q$8)-W17))*AD17)+(COS(RADIANS((90-$Q$8)-W17))*AE17))</f>
        <v>-0.23926336296976386</v>
      </c>
      <c r="AM17" s="577">
        <f>IF(M17="","",AF17)</f>
        <v>-0.17790652737817955</v>
      </c>
      <c r="AN17" s="524">
        <f>IF(M17="","",DEGREES(ATAN2(-AM17,AL17)))</f>
        <v>-53.367004943464785</v>
      </c>
      <c r="AO17" s="525">
        <f t="shared" si="110"/>
        <v>17.346951180278364</v>
      </c>
      <c r="AP17" s="528">
        <f>IF(M17="","",DEGREES(ATAN2(AK17,AL17)))</f>
        <v>-14.072064989316585</v>
      </c>
      <c r="AQ17" s="529">
        <f t="shared" si="13"/>
        <v>0.71420567676525104</v>
      </c>
      <c r="AR17" s="979"/>
      <c r="AS17" s="954">
        <f t="shared" si="147"/>
        <v>-54.85140002145522</v>
      </c>
      <c r="AT17" s="950">
        <f t="shared" si="14"/>
        <v>-0.39048754675835634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2.117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17</v>
      </c>
      <c r="JN17" s="960">
        <f>($JO17-SMALL($JO$9:$JO$88,1))/((Settings!$C$19/2)-((Settings!$C$19/2)-LARGE($JO$9:$JO$88,1))-SMALL($JO$9:$JO$88,1))</f>
        <v>0.85294929759316518</v>
      </c>
      <c r="JO17" s="162">
        <f t="shared" si="134"/>
        <v>3.1918096264978337</v>
      </c>
      <c r="JP17" s="961">
        <f t="shared" si="135"/>
        <v>-53.367004943464785</v>
      </c>
      <c r="JQ17" s="961">
        <f t="shared" si="136"/>
        <v>17.346951180278364</v>
      </c>
      <c r="JS17" s="82">
        <v>9</v>
      </c>
      <c r="JT17" s="322">
        <f t="shared" si="137"/>
        <v>2.2060066533160665</v>
      </c>
      <c r="JU17" s="963">
        <f t="shared" si="138"/>
        <v>0.55776326369204454</v>
      </c>
      <c r="JV17" s="964">
        <v>3</v>
      </c>
      <c r="JW17" s="961">
        <f t="shared" si="92"/>
        <v>15.240774905545788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3.0324059417669922</v>
      </c>
      <c r="C18" s="572">
        <f t="shared" si="274"/>
        <v>1.9376569042580503</v>
      </c>
      <c r="D18" s="576">
        <f t="shared" si="274"/>
        <v>-1.0918032928787313</v>
      </c>
      <c r="E18" s="580">
        <f>R173</f>
        <v>-0.1435454277288527</v>
      </c>
      <c r="F18" s="572">
        <f t="shared" ref="F18:K18" si="275">S173</f>
        <v>0.98056810289493512</v>
      </c>
      <c r="G18" s="579">
        <f t="shared" si="275"/>
        <v>0.13371950404921806</v>
      </c>
      <c r="H18" s="580">
        <f t="shared" si="275"/>
        <v>0.3125</v>
      </c>
      <c r="I18" s="572">
        <f t="shared" si="275"/>
        <v>0.52</v>
      </c>
      <c r="J18" s="483">
        <f t="shared" si="94"/>
        <v>2.1230000000000002</v>
      </c>
      <c r="K18" s="806">
        <f t="shared" si="275"/>
        <v>1613</v>
      </c>
      <c r="L18" s="720" t="s">
        <v>322</v>
      </c>
      <c r="M18" s="164">
        <f t="shared" si="4"/>
        <v>2.1230000000000002</v>
      </c>
      <c r="N18" s="575">
        <f t="shared" si="5"/>
        <v>3.0324059417669922</v>
      </c>
      <c r="O18" s="572">
        <f t="shared" si="6"/>
        <v>1.9376569042580503</v>
      </c>
      <c r="P18" s="576">
        <f t="shared" si="7"/>
        <v>-1.0918032928787313</v>
      </c>
      <c r="Q18" s="528">
        <f t="shared" si="144"/>
        <v>32.577900349707917</v>
      </c>
      <c r="R18" s="572">
        <f>IF(M18="","",SQRT(N18^2+O18^2))</f>
        <v>3.5986108534103334</v>
      </c>
      <c r="S18" s="577">
        <f>IF(M18="","",P18)</f>
        <v>-1.0918032928787313</v>
      </c>
      <c r="T18" s="578">
        <f>IF(M18="","",X18*COS(RADIANS(W18)))</f>
        <v>2.0373593615786381</v>
      </c>
      <c r="U18" s="572">
        <f>IF(M18="","",X18*SIN(RADIANS(W18)))</f>
        <v>-2.9663389735616077</v>
      </c>
      <c r="V18" s="579">
        <f>IF(M18="","",Y18)</f>
        <v>-1.0918032928787313</v>
      </c>
      <c r="W18" s="528">
        <f t="shared" si="268"/>
        <v>304.4823000747466</v>
      </c>
      <c r="X18" s="572">
        <f>IF(M18="","",R18)</f>
        <v>3.5986108534103334</v>
      </c>
      <c r="Y18" s="573">
        <f t="shared" si="271"/>
        <v>-1.0918032928787313</v>
      </c>
      <c r="Z18" s="575">
        <f t="shared" si="10"/>
        <v>0.1435454277288527</v>
      </c>
      <c r="AA18" s="572">
        <f t="shared" si="11"/>
        <v>-0.98056810289493512</v>
      </c>
      <c r="AB18" s="572">
        <f t="shared" si="12"/>
        <v>-0.13371950404921806</v>
      </c>
      <c r="AC18" s="579">
        <f>IF(M18="","",SQRT(Z18^2+AA18^2+AB18^2))</f>
        <v>1</v>
      </c>
      <c r="AD18" s="580">
        <f>IF(M18="","",Z18*(1/SQRT(Z18^2+AA18^2+AB18^2)))</f>
        <v>0.1435454277288527</v>
      </c>
      <c r="AE18" s="572">
        <f>IF(M18="","",AA18*(1/SQRT(Z18^2+AA18^2+AB18^2)))</f>
        <v>-0.98056810289493512</v>
      </c>
      <c r="AF18" s="576">
        <f>IF(M18="","",AB18*(1/SQRT(Z18^2+AA18^2+AB18^2)))</f>
        <v>-0.13371950404921806</v>
      </c>
      <c r="AG18" s="545">
        <f>IF(M18="","",DEGREES(ATAN2(-AF18,AE18)))</f>
        <v>-82.234508619699596</v>
      </c>
      <c r="AH18" s="546">
        <f>IF(M18="","",DEGREES(ACOS(AD18)))</f>
        <v>81.746942804660108</v>
      </c>
      <c r="AI18" s="528">
        <f>IF(M18="","",DEGREES(-ACOS(-AF18)))</f>
        <v>-82.315418464356227</v>
      </c>
      <c r="AJ18" s="529">
        <f>IF(M18="","",DEGREES(ATAN2(-AE18,AD18)))</f>
        <v>8.3283765578232476</v>
      </c>
      <c r="AK18" s="578">
        <f>IF(M18="","",(COS(RADIANS((90-$Q$8)-W18))*AD18)+(-SIN(RADIANS((90-$Q$8)-W18))*AE18))</f>
        <v>0.90357709213203108</v>
      </c>
      <c r="AL18" s="572">
        <f>IF(M18="","",(SIN(RADIANS((90-$Q$8)-W18))*AD18)+(COS(RADIANS((90-$Q$8)-W18))*AE18))</f>
        <v>-0.40702276694437423</v>
      </c>
      <c r="AM18" s="577">
        <f>IF(M18="","",AF18)</f>
        <v>-0.13371950404921806</v>
      </c>
      <c r="AN18" s="524">
        <f>IF(M18="","",DEGREES(ATAN2(-AM18,AL18)))</f>
        <v>-71.81305676895775</v>
      </c>
      <c r="AO18" s="525">
        <f t="shared" si="110"/>
        <v>25.367682032219026</v>
      </c>
      <c r="AP18" s="528">
        <f>IF(M18="","",DEGREES(ATAN2(AK18,AL18)))</f>
        <v>-24.249523791884631</v>
      </c>
      <c r="AQ18" s="529">
        <f t="shared" si="13"/>
        <v>0.6334760362861549</v>
      </c>
      <c r="AR18" s="979"/>
      <c r="AS18" s="954">
        <f t="shared" si="147"/>
        <v>-55.517699925253396</v>
      </c>
      <c r="AT18" s="950">
        <f t="shared" si="14"/>
        <v>-1.0519268347882507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2.1230000000000002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23</v>
      </c>
      <c r="JN18" s="960">
        <f>($JO18-SMALL($JO$9:$JO$88,1))/((Settings!$C$19/2)-((Settings!$C$19/2)-LARGE($JO$9:$JO$88,1))-SMALL($JO$9:$JO$88,1))</f>
        <v>0.97476069807092502</v>
      </c>
      <c r="JO18" s="162">
        <f t="shared" si="134"/>
        <v>3.5986108534103334</v>
      </c>
      <c r="JP18" s="961">
        <f t="shared" si="135"/>
        <v>-71.81305676895775</v>
      </c>
      <c r="JQ18" s="961">
        <f t="shared" si="136"/>
        <v>25.367682032219026</v>
      </c>
      <c r="JS18" s="82">
        <v>10</v>
      </c>
      <c r="JT18" s="322">
        <f t="shared" si="137"/>
        <v>2.3447070716365288</v>
      </c>
      <c r="JU18" s="963">
        <f t="shared" si="138"/>
        <v>0.59929532181954059</v>
      </c>
      <c r="JV18" s="964">
        <v>3</v>
      </c>
      <c r="JW18" s="961">
        <f t="shared" si="92"/>
        <v>15.350715017630936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3.1083692574024866</v>
      </c>
      <c r="C19" s="572">
        <f t="shared" si="276"/>
        <v>1.9752956663839238</v>
      </c>
      <c r="D19" s="576">
        <f t="shared" si="276"/>
        <v>-1.8859999999999997</v>
      </c>
      <c r="E19" s="580">
        <f t="shared" ref="E19:K19" si="277">R174</f>
        <v>-4.2485975283767075E-2</v>
      </c>
      <c r="F19" s="572">
        <f t="shared" si="277"/>
        <v>0.99909706330474934</v>
      </c>
      <c r="G19" s="579">
        <f t="shared" si="277"/>
        <v>1.1339744821699087E-7</v>
      </c>
      <c r="H19" s="580">
        <f t="shared" si="277"/>
        <v>0.3125</v>
      </c>
      <c r="I19" s="572">
        <f t="shared" si="277"/>
        <v>0.52</v>
      </c>
      <c r="J19" s="483">
        <f t="shared" si="94"/>
        <v>2.129</v>
      </c>
      <c r="K19" s="806">
        <f t="shared" si="277"/>
        <v>1613</v>
      </c>
      <c r="L19" s="718" t="s">
        <v>357</v>
      </c>
      <c r="M19" s="164">
        <f t="shared" si="4"/>
        <v>2.129</v>
      </c>
      <c r="N19" s="575">
        <f t="shared" si="5"/>
        <v>3.1083692574024866</v>
      </c>
      <c r="O19" s="572">
        <f t="shared" si="6"/>
        <v>1.9752956663839238</v>
      </c>
      <c r="P19" s="576">
        <f t="shared" si="7"/>
        <v>-1.8859999999999997</v>
      </c>
      <c r="Q19" s="528">
        <f t="shared" si="144"/>
        <v>32.434999999999995</v>
      </c>
      <c r="R19" s="572">
        <f>IF(M19="","",SQRT(N19^2+O19^2))</f>
        <v>3.6828999999999996</v>
      </c>
      <c r="S19" s="577">
        <f>IF(M19="","",P19)</f>
        <v>-1.8859999999999997</v>
      </c>
      <c r="T19" s="578">
        <f>IF(M19="","",X19*COS(RADIANS(W19)))</f>
        <v>2.0775017418405963</v>
      </c>
      <c r="U19" s="572">
        <f>IF(M19="","",X19*SIN(RADIANS(W19)))</f>
        <v>-3.0410095236038455</v>
      </c>
      <c r="V19" s="579">
        <f>IF(M19="","",Y19)</f>
        <v>-1.8859999999999997</v>
      </c>
      <c r="W19" s="528">
        <f t="shared" si="268"/>
        <v>304.33939972503867</v>
      </c>
      <c r="X19" s="572">
        <f>IF(M19="","",R19)</f>
        <v>3.6828999999999996</v>
      </c>
      <c r="Y19" s="573">
        <f t="shared" si="271"/>
        <v>-1.8859999999999997</v>
      </c>
      <c r="Z19" s="575">
        <f t="shared" si="10"/>
        <v>4.2485975283767075E-2</v>
      </c>
      <c r="AA19" s="572">
        <f t="shared" si="11"/>
        <v>-0.99909706330474934</v>
      </c>
      <c r="AB19" s="572">
        <f t="shared" si="12"/>
        <v>-1.1339744821699087E-7</v>
      </c>
      <c r="AC19" s="579">
        <f>IF(M19="","",SQRT(Z19^2+AA19^2+AB19^2))</f>
        <v>1</v>
      </c>
      <c r="AD19" s="580">
        <f>IF(M19="","",Z19*(1/SQRT(Z19^2+AA19^2+AB19^2)))</f>
        <v>4.2485975283767075E-2</v>
      </c>
      <c r="AE19" s="572">
        <f>IF(M19="","",AA19*(1/SQRT(Z19^2+AA19^2+AB19^2)))</f>
        <v>-0.99909706330474934</v>
      </c>
      <c r="AF19" s="576">
        <f>IF(M19="","",AB19*(1/SQRT(Z19^2+AA19^2+AB19^2)))</f>
        <v>-1.1339744821699087E-7</v>
      </c>
      <c r="AG19" s="545">
        <f>IF(M19="","",DEGREES(ATAN2(-AF19,AE19)))</f>
        <v>-89.999993496932959</v>
      </c>
      <c r="AH19" s="546">
        <f>IF(M19="","",DEGREES(ACOS(AD19)))</f>
        <v>87.564999999999387</v>
      </c>
      <c r="AI19" s="528">
        <f>IF(M19="","",DEGREES(-ACOS(-AF19)))</f>
        <v>-89.999993502804799</v>
      </c>
      <c r="AJ19" s="529">
        <f>IF(M19="","",DEGREES(ATAN2(-AE19,AD19)))</f>
        <v>2.4350000000006271</v>
      </c>
      <c r="AK19" s="578">
        <f>IF(M19="","",(COS(RADIANS((90-$Q$8)-W19))*AD19)+(-SIN(RADIANS((90-$Q$8)-W19))*AE19))</f>
        <v>0.86602540378443915</v>
      </c>
      <c r="AL19" s="572">
        <f>IF(M19="","",(SIN(RADIANS((90-$Q$8)-W19))*AD19)+(COS(RADIANS((90-$Q$8)-W19))*AE19))</f>
        <v>-0.49999999999998634</v>
      </c>
      <c r="AM19" s="577">
        <f>IF(M19="","",AF19)</f>
        <v>-1.1339744821699087E-7</v>
      </c>
      <c r="AN19" s="524">
        <f>IF(M19="","",DEGREES(ATAN2(-AM19,AL19)))</f>
        <v>-89.999987005609626</v>
      </c>
      <c r="AO19" s="525">
        <f t="shared" si="110"/>
        <v>29.99999999999994</v>
      </c>
      <c r="AP19" s="528">
        <f>IF(M19="","",DEGREES(ATAN2(AK19,AL19)))</f>
        <v>-29.999999999999311</v>
      </c>
      <c r="AQ19" s="529">
        <f t="shared" si="13"/>
        <v>0.61897904982222929</v>
      </c>
      <c r="AR19" s="979"/>
      <c r="AS19" s="954">
        <f t="shared" si="147"/>
        <v>-55.660600274961325</v>
      </c>
      <c r="AT19" s="950">
        <f t="shared" si="14"/>
        <v>-1.8460243055555552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2.129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29</v>
      </c>
      <c r="JN19" s="960">
        <f>($JO19-SMALL($JO$9:$JO$88,1))/((Settings!$C$19/2)-((Settings!$C$19/2)-LARGE($JO$9:$JO$88,1))-SMALL($JO$9:$JO$88,1))</f>
        <v>0.99999999999999933</v>
      </c>
      <c r="JO19" s="162">
        <f t="shared" si="134"/>
        <v>3.6828999999999996</v>
      </c>
      <c r="JP19" s="961">
        <f t="shared" si="135"/>
        <v>-89.999987005609626</v>
      </c>
      <c r="JQ19" s="961">
        <f t="shared" si="136"/>
        <v>29.99999999999994</v>
      </c>
      <c r="JS19" s="82">
        <v>11</v>
      </c>
      <c r="JT19" s="322">
        <f t="shared" si="137"/>
        <v>2.4823074866393795</v>
      </c>
      <c r="JU19" s="963">
        <f t="shared" si="138"/>
        <v>0.64049799808733721</v>
      </c>
      <c r="JV19" s="964">
        <v>3</v>
      </c>
      <c r="JW19" s="961">
        <f t="shared" si="92"/>
        <v>15.479424299784521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0.50749241721481131</v>
      </c>
      <c r="C20" s="572">
        <f t="shared" si="278"/>
        <v>-0.29300088369066563</v>
      </c>
      <c r="D20" s="576">
        <f t="shared" si="278"/>
        <v>-0.43020129748711322</v>
      </c>
      <c r="E20" s="580">
        <f t="shared" ref="E20:K20" si="279">R175</f>
        <v>0.40945713989620697</v>
      </c>
      <c r="F20" s="572">
        <f t="shared" si="279"/>
        <v>0.86485730186198995</v>
      </c>
      <c r="G20" s="579">
        <f t="shared" si="279"/>
        <v>0.29045946017304536</v>
      </c>
      <c r="H20" s="580">
        <f t="shared" si="279"/>
        <v>0.3125</v>
      </c>
      <c r="I20" s="572">
        <f t="shared" si="279"/>
        <v>0.52</v>
      </c>
      <c r="J20" s="483">
        <f t="shared" si="94"/>
        <v>3.1019999999999999</v>
      </c>
      <c r="K20" s="806">
        <f t="shared" si="279"/>
        <v>1613</v>
      </c>
      <c r="L20" s="717" t="str">
        <f>IF($L19=$JJ$22,$JJ$30,IF($L19=$JK$22,$JK$30,""))</f>
        <v/>
      </c>
      <c r="M20" s="164">
        <f t="shared" si="4"/>
        <v>3.1019999999999999</v>
      </c>
      <c r="N20" s="575">
        <f t="shared" si="5"/>
        <v>0.50749241721481131</v>
      </c>
      <c r="O20" s="572">
        <f t="shared" si="6"/>
        <v>-0.29300088369066563</v>
      </c>
      <c r="P20" s="576">
        <f t="shared" si="7"/>
        <v>-0.43020129748711322</v>
      </c>
      <c r="Q20" s="528">
        <f t="shared" si="144"/>
        <v>329.99999999999994</v>
      </c>
      <c r="R20" s="572">
        <f>IF(M20="","",SQRT(N20^2+O20^2))</f>
        <v>0.58600176738133058</v>
      </c>
      <c r="S20" s="577">
        <f>IF(M20="","",P20)</f>
        <v>-0.43020129748711322</v>
      </c>
      <c r="T20" s="578">
        <f>IF(M20="","",X20*COS(RADIANS(W20)))</f>
        <v>-0.27597409930602945</v>
      </c>
      <c r="U20" s="572">
        <f>IF(M20="","",X20*SIN(RADIANS(W20)))</f>
        <v>-0.51694909603003358</v>
      </c>
      <c r="V20" s="579">
        <f>IF(M20="","",Y20)</f>
        <v>-0.43020129748711322</v>
      </c>
      <c r="W20" s="528">
        <f t="shared" si="268"/>
        <v>241.90439972503864</v>
      </c>
      <c r="X20" s="572">
        <f>IF(M20="","",R20)</f>
        <v>0.58600176738133058</v>
      </c>
      <c r="Y20" s="573">
        <f t="shared" si="271"/>
        <v>-0.43020129748711322</v>
      </c>
      <c r="Z20" s="575">
        <f t="shared" si="10"/>
        <v>-0.40945713989620697</v>
      </c>
      <c r="AA20" s="572">
        <f t="shared" si="11"/>
        <v>-0.86485730186198995</v>
      </c>
      <c r="AB20" s="572">
        <f t="shared" si="12"/>
        <v>-0.29045946017304536</v>
      </c>
      <c r="AC20" s="579">
        <f>IF(M20="","",SQRT(Z20^2+AA20^2+AB20^2))</f>
        <v>1</v>
      </c>
      <c r="AD20" s="580">
        <f>IF(M20="","",Z20*(1/SQRT(Z20^2+AA20^2+AB20^2)))</f>
        <v>-0.40945713989620697</v>
      </c>
      <c r="AE20" s="572">
        <f>IF(M20="","",AA20*(1/SQRT(Z20^2+AA20^2+AB20^2)))</f>
        <v>-0.86485730186198995</v>
      </c>
      <c r="AF20" s="576">
        <f>IF(M20="","",AB20*(1/SQRT(Z20^2+AA20^2+AB20^2)))</f>
        <v>-0.29045946017304536</v>
      </c>
      <c r="AG20" s="545">
        <f>IF(M20="","",DEGREES(ATAN2(-AF20,AE20)))</f>
        <v>-71.435544907902369</v>
      </c>
      <c r="AH20" s="546">
        <f>IF(M20="","",DEGREES(ACOS(AD20)))</f>
        <v>114.17073774130444</v>
      </c>
      <c r="AI20" s="528">
        <f>IF(M20="","",DEGREES(-ACOS(-AF20)))</f>
        <v>-73.114534769632428</v>
      </c>
      <c r="AJ20" s="529">
        <f>IF(M20="","",DEGREES(ATAN2(-AE20,AD20)))</f>
        <v>-25.33469805121733</v>
      </c>
      <c r="AK20" s="578">
        <f>IF(M20="","",(COS(RADIANS((90-$Q$8)-W20))*AD20)+(-SIN(RADIANS((90-$Q$8)-W20))*AE20))</f>
        <v>0.95371696400905337</v>
      </c>
      <c r="AL20" s="572">
        <f>IF(M20="","",(SIN(RADIANS((90-$Q$8)-W20))*AD20)+(COS(RADIANS((90-$Q$8)-W20))*AE20))</f>
        <v>7.7828366019962292E-2</v>
      </c>
      <c r="AM20" s="577">
        <f>IF(M20="","",AF20)</f>
        <v>-0.29045946017304536</v>
      </c>
      <c r="AN20" s="524">
        <f>IF(M20="","",DEGREES(ATAN2(-AM20,AL20)))</f>
        <v>14.999997834268404</v>
      </c>
      <c r="AO20" s="525">
        <f t="shared" si="110"/>
        <v>17.49999747331298</v>
      </c>
      <c r="AP20" s="528">
        <f>IF(M20="","",DEGREES(ATAN2(AK20,AL20)))</f>
        <v>4.6653019487827496</v>
      </c>
      <c r="AQ20" s="529">
        <f t="shared" si="13"/>
        <v>3.8843448334595454</v>
      </c>
      <c r="AR20" s="979"/>
      <c r="AS20" s="954">
        <f t="shared" si="147"/>
        <v>-118.09560027496136</v>
      </c>
      <c r="AT20" s="950">
        <f t="shared" si="14"/>
        <v>-0.34686796415377985</v>
      </c>
      <c r="AU20" s="418"/>
      <c r="AV20" s="164">
        <f t="shared" si="15"/>
        <v>3.1019999999999999</v>
      </c>
      <c r="AW20" s="829">
        <f>IFERROR(INDEX(MassProp!C$9:C$150,MATCH($M20,MassProp!$B$9:$B$150,0)),"")</f>
        <v>0.52049999999999996</v>
      </c>
      <c r="AX20" s="830">
        <f>IFERROR(INDEX(MassProp!D$9:D$150,MATCH($M20,MassProp!$B$9:$B$150,0)),"")</f>
        <v>-0.3241</v>
      </c>
      <c r="AY20" s="831">
        <f>IFERROR(INDEX(MassProp!E$9:E$150,MATCH($M20,MassProp!$B$9:$B$150,0)),"")</f>
        <v>3.6499999999999998E-2</v>
      </c>
      <c r="AZ20" s="297">
        <f t="shared" si="148"/>
        <v>0.11971778976536859</v>
      </c>
      <c r="BA20" s="296">
        <f t="shared" si="16"/>
        <v>8.913267845226848E-2</v>
      </c>
      <c r="BB20" s="190">
        <f t="shared" si="149"/>
        <v>-0.22723203584622015</v>
      </c>
      <c r="BC20" s="9"/>
      <c r="BD20" s="5">
        <f t="shared" si="150"/>
        <v>0.52049999999999996</v>
      </c>
      <c r="BE20" s="6">
        <f t="shared" si="17"/>
        <v>-0.65743333333333331</v>
      </c>
      <c r="BF20" s="4">
        <f t="shared" si="18"/>
        <v>0.50749241721481131</v>
      </c>
      <c r="BG20" s="5">
        <f t="shared" si="19"/>
        <v>-0.29300088369066563</v>
      </c>
      <c r="BH20" s="10">
        <f t="shared" si="20"/>
        <v>-0.43020129748711322</v>
      </c>
      <c r="BI20" s="9">
        <f t="shared" si="151"/>
        <v>0.50749241721481131</v>
      </c>
      <c r="BJ20" s="5">
        <f t="shared" si="21"/>
        <v>2.5370391799521441E-2</v>
      </c>
      <c r="BK20" s="8">
        <f t="shared" si="22"/>
        <v>-1.3781673996989756</v>
      </c>
      <c r="BL20" s="173">
        <f t="shared" si="23"/>
        <v>1.4198217714438739</v>
      </c>
      <c r="BM20" s="5">
        <f t="shared" si="24"/>
        <v>-0.68115237262089012</v>
      </c>
      <c r="BN20" s="6">
        <f t="shared" si="25"/>
        <v>-0.5605606893744326</v>
      </c>
      <c r="BO20" s="4">
        <f t="shared" si="152"/>
        <v>-0.40945713989620669</v>
      </c>
      <c r="BP20" s="5">
        <f t="shared" si="153"/>
        <v>-0.86485730186198984</v>
      </c>
      <c r="BQ20" s="5">
        <f t="shared" si="154"/>
        <v>-0.29045946017304541</v>
      </c>
      <c r="BR20" s="6">
        <f t="shared" si="155"/>
        <v>-0.17056359667394927</v>
      </c>
      <c r="BS20" s="4">
        <f t="shared" si="112"/>
        <v>0</v>
      </c>
      <c r="BT20" s="5">
        <f t="shared" si="112"/>
        <v>0</v>
      </c>
      <c r="BU20" s="10">
        <f t="shared" si="113"/>
        <v>-0.65743333333333331</v>
      </c>
      <c r="BV20" s="9">
        <f t="shared" si="114"/>
        <v>0</v>
      </c>
      <c r="BW20" s="5">
        <f t="shared" si="115"/>
        <v>1</v>
      </c>
      <c r="BX20" s="8">
        <f t="shared" si="116"/>
        <v>-0.65743333333333331</v>
      </c>
      <c r="BY20" s="173">
        <f t="shared" si="117"/>
        <v>1</v>
      </c>
      <c r="BZ20" s="5">
        <f t="shared" si="118"/>
        <v>0</v>
      </c>
      <c r="CA20" s="6">
        <f t="shared" si="119"/>
        <v>-0.65743333333333331</v>
      </c>
      <c r="CB20" s="4">
        <f t="shared" si="156"/>
        <v>0</v>
      </c>
      <c r="CC20" s="5">
        <f t="shared" si="157"/>
        <v>0</v>
      </c>
      <c r="CD20" s="5">
        <f t="shared" si="158"/>
        <v>-1</v>
      </c>
      <c r="CE20" s="6">
        <f t="shared" si="159"/>
        <v>-0.65743333333333331</v>
      </c>
      <c r="CF20" s="4">
        <f t="shared" si="160"/>
        <v>0.86485730186198984</v>
      </c>
      <c r="CG20" s="5">
        <f t="shared" si="161"/>
        <v>-0.40945713989620669</v>
      </c>
      <c r="CH20" s="5">
        <f t="shared" si="162"/>
        <v>0</v>
      </c>
      <c r="CI20" s="4">
        <f t="shared" si="120"/>
        <v>0</v>
      </c>
      <c r="CJ20" s="5">
        <f t="shared" si="121"/>
        <v>2.3580924138478239E-2</v>
      </c>
      <c r="CK20" s="8">
        <f t="shared" si="122"/>
        <v>-0.65743333333333331</v>
      </c>
      <c r="CL20" s="173">
        <f t="shared" si="123"/>
        <v>0.86485730186198984</v>
      </c>
      <c r="CM20" s="5">
        <f t="shared" si="124"/>
        <v>-0.38587621575772846</v>
      </c>
      <c r="CN20" s="6">
        <f t="shared" si="125"/>
        <v>-0.65743333333333331</v>
      </c>
      <c r="CO20" s="167">
        <f t="shared" si="26"/>
        <v>0.3125</v>
      </c>
      <c r="CP20" s="4">
        <f t="shared" si="248"/>
        <v>0.91563330199598281</v>
      </c>
      <c r="CQ20" s="5">
        <f t="shared" si="249"/>
        <v>-1.1370704084894254</v>
      </c>
      <c r="CR20" s="5">
        <f t="shared" si="163"/>
        <v>0.31175074269371894</v>
      </c>
      <c r="CS20" s="8">
        <f t="shared" si="164"/>
        <v>0.15113166613290918</v>
      </c>
      <c r="CT20" s="9">
        <f t="shared" si="165"/>
        <v>0.8332085395244746</v>
      </c>
      <c r="CU20" s="6">
        <f t="shared" si="166"/>
        <v>0.40863184134713998</v>
      </c>
      <c r="CV20" s="4">
        <f t="shared" si="250"/>
        <v>0.72060648938150618</v>
      </c>
      <c r="CW20" s="5">
        <f t="shared" si="167"/>
        <v>-0.31758226139230861</v>
      </c>
      <c r="CX20" s="8">
        <f t="shared" si="168"/>
        <v>-0.65743333333333331</v>
      </c>
      <c r="CY20" s="9">
        <f t="shared" si="169"/>
        <v>0.35340823176238417</v>
      </c>
      <c r="CZ20" s="5">
        <f t="shared" si="170"/>
        <v>-0.14373630089004219</v>
      </c>
      <c r="DA20" s="6">
        <f t="shared" si="171"/>
        <v>-0.65743333333333331</v>
      </c>
      <c r="DB20" s="4">
        <f t="shared" si="172"/>
        <v>0</v>
      </c>
      <c r="DC20" s="5">
        <f t="shared" si="172"/>
        <v>0</v>
      </c>
      <c r="DD20" s="10">
        <f t="shared" si="173"/>
        <v>-10</v>
      </c>
      <c r="DE20" s="9">
        <f t="shared" si="174"/>
        <v>0</v>
      </c>
      <c r="DF20" s="5">
        <f t="shared" si="174"/>
        <v>0</v>
      </c>
      <c r="DG20" s="10">
        <f t="shared" si="175"/>
        <v>10</v>
      </c>
      <c r="DH20" s="70">
        <f t="shared" si="176"/>
        <v>0.52049999999999996</v>
      </c>
      <c r="DI20" s="4">
        <f t="shared" si="177"/>
        <v>0</v>
      </c>
      <c r="DJ20" s="5">
        <f t="shared" si="178"/>
        <v>0</v>
      </c>
      <c r="DK20" s="10">
        <f t="shared" si="179"/>
        <v>20</v>
      </c>
      <c r="DL20" s="9">
        <f t="shared" si="180"/>
        <v>0.72060648938150618</v>
      </c>
      <c r="DM20" s="173">
        <f t="shared" si="181"/>
        <v>-0.31758226139230861</v>
      </c>
      <c r="DN20" s="178">
        <f t="shared" si="182"/>
        <v>9.3425666666666665</v>
      </c>
      <c r="DO20" s="9">
        <f t="shared" si="183"/>
        <v>-0.367198257619122</v>
      </c>
      <c r="DP20" s="173">
        <f t="shared" si="184"/>
        <v>0.17384596050226642</v>
      </c>
      <c r="DQ20" s="11">
        <f t="shared" si="185"/>
        <v>0</v>
      </c>
      <c r="DR20" s="173">
        <f t="shared" si="186"/>
        <v>186.85133333333334</v>
      </c>
      <c r="DS20" s="5">
        <f t="shared" si="187"/>
        <v>0</v>
      </c>
      <c r="DT20" s="5">
        <f t="shared" si="188"/>
        <v>400</v>
      </c>
      <c r="DU20" s="5">
        <f t="shared" si="189"/>
        <v>0.16505697838147468</v>
      </c>
      <c r="DV20" s="5">
        <f t="shared" si="190"/>
        <v>-0.31981584060014917</v>
      </c>
      <c r="DW20" s="5">
        <f t="shared" si="191"/>
        <v>87.903684126400904</v>
      </c>
      <c r="DX20" s="167">
        <f t="shared" si="192"/>
        <v>87.632763876400901</v>
      </c>
      <c r="DY20" s="9">
        <f t="shared" si="193"/>
        <v>66.022791352589877</v>
      </c>
      <c r="DZ20" s="5">
        <f t="shared" si="194"/>
        <v>-127.92633624005967</v>
      </c>
      <c r="EA20" s="10">
        <f t="shared" si="195"/>
        <v>139.68478211590991</v>
      </c>
      <c r="EB20" s="6">
        <f t="shared" si="196"/>
        <v>7142.7682790341059</v>
      </c>
      <c r="EC20" s="173">
        <f t="shared" si="197"/>
        <v>3.2176954599099337</v>
      </c>
      <c r="ED20" s="5">
        <f t="shared" si="198"/>
        <v>0.65752197998528228</v>
      </c>
      <c r="EE20" s="4">
        <f t="shared" si="199"/>
        <v>-0.46092567704638088</v>
      </c>
      <c r="EF20" s="5">
        <f t="shared" si="200"/>
        <v>0.24180109643951564</v>
      </c>
      <c r="EG20" s="10">
        <f t="shared" si="201"/>
        <v>-0.65743333333333331</v>
      </c>
      <c r="EH20" s="9">
        <f t="shared" si="202"/>
        <v>0.47916556398463528</v>
      </c>
      <c r="EI20" s="5">
        <f t="shared" si="203"/>
        <v>-0.20327472123041523</v>
      </c>
      <c r="EJ20" s="6">
        <f t="shared" si="204"/>
        <v>-0.65743333333333331</v>
      </c>
      <c r="EK20" s="236" t="b">
        <f t="shared" si="205"/>
        <v>0</v>
      </c>
      <c r="EL20" s="238" t="b">
        <f t="shared" si="206"/>
        <v>1</v>
      </c>
      <c r="EM20" s="4">
        <f t="shared" si="207"/>
        <v>0.47916556398463528</v>
      </c>
      <c r="EN20" s="5">
        <f t="shared" si="208"/>
        <v>-0.20327472123041523</v>
      </c>
      <c r="EO20" s="10">
        <f t="shared" si="209"/>
        <v>-0.65743333333333331</v>
      </c>
      <c r="EP20" s="9">
        <f t="shared" si="210"/>
        <v>337.01205732966775</v>
      </c>
      <c r="EQ20" s="5">
        <f>IF(ISNUMBER($AV20),SQRT(EM20^2+EN20^2),"")</f>
        <v>0.52050000000001595</v>
      </c>
      <c r="ER20" s="7">
        <f t="shared" si="212"/>
        <v>-0.65743333333333331</v>
      </c>
      <c r="ES20" s="21">
        <f t="shared" si="126"/>
        <v>-0.40945713989620697</v>
      </c>
      <c r="ET20" s="5">
        <f t="shared" si="35"/>
        <v>-0.86485730186198995</v>
      </c>
      <c r="EU20" s="10">
        <f t="shared" si="36"/>
        <v>-0.29045946017304536</v>
      </c>
      <c r="EV20" s="174">
        <f>IF(ISNUMBER($AV20),IF(($EV$1-EP20)&lt;0,(360+($EV$1-EP20)),($EV$1-EP20)),"")</f>
        <v>112.98794267033225</v>
      </c>
      <c r="EW20" s="9">
        <f t="shared" si="127"/>
        <v>0.95608476999254499</v>
      </c>
      <c r="EX20" s="5">
        <f t="shared" si="37"/>
        <v>-3.9181814458820408E-2</v>
      </c>
      <c r="EY20" s="6">
        <f t="shared" si="213"/>
        <v>-0.29045946017304536</v>
      </c>
      <c r="EZ20" s="51">
        <f t="shared" si="214"/>
        <v>4.3713766573320116</v>
      </c>
      <c r="FA20" s="266">
        <f t="shared" si="128"/>
        <v>-0.38940131759412955</v>
      </c>
      <c r="FB20" s="267">
        <f t="shared" si="129"/>
        <v>-0.91790902888436843</v>
      </c>
      <c r="FC20" s="269">
        <f t="shared" si="38"/>
        <v>-7.6220919362807657E-2</v>
      </c>
      <c r="FD20" s="4">
        <f t="shared" si="130"/>
        <v>0.9970909544527462</v>
      </c>
      <c r="FE20" s="5">
        <f t="shared" si="39"/>
        <v>-5.5511151231257827E-17</v>
      </c>
      <c r="FF20" s="7">
        <f t="shared" si="215"/>
        <v>-7.6220919362807657E-2</v>
      </c>
      <c r="FG20" s="173">
        <f t="shared" si="216"/>
        <v>-4.1006184460201212E-2</v>
      </c>
      <c r="FH20" s="5">
        <f t="shared" si="40"/>
        <v>-3.9181814458820352E-2</v>
      </c>
      <c r="FI20" s="10">
        <f t="shared" si="41"/>
        <v>-0.21423854081023769</v>
      </c>
      <c r="FJ20" s="279">
        <f t="shared" si="217"/>
        <v>12.723949653746821</v>
      </c>
      <c r="FK20" s="4">
        <f t="shared" si="42"/>
        <v>0.95688729848189713</v>
      </c>
      <c r="FL20" s="5">
        <f t="shared" si="218"/>
        <v>0.9970909544527462</v>
      </c>
      <c r="FM20" s="8">
        <f t="shared" si="219"/>
        <v>5.6716150682759411E-2</v>
      </c>
      <c r="FN20" s="9">
        <f t="shared" si="220"/>
        <v>2.3467553808851118</v>
      </c>
      <c r="FO20" s="10">
        <f t="shared" si="43"/>
        <v>1</v>
      </c>
      <c r="FP20" s="277">
        <f t="shared" si="44"/>
        <v>2.3467553808851118</v>
      </c>
      <c r="FQ20" s="173">
        <f t="shared" si="251"/>
        <v>4.0947157017323488E-2</v>
      </c>
      <c r="FR20" s="10">
        <f t="shared" si="221"/>
        <v>0.99916131346855031</v>
      </c>
      <c r="FS20" s="9">
        <f t="shared" si="222"/>
        <v>3.9368160321005298E-2</v>
      </c>
      <c r="FT20" s="6">
        <f t="shared" si="223"/>
        <v>0.96063183967899468</v>
      </c>
      <c r="FU20" s="4">
        <f t="shared" si="224"/>
        <v>0.99923209787101741</v>
      </c>
      <c r="FV20" s="5">
        <f t="shared" si="225"/>
        <v>1</v>
      </c>
      <c r="FW20" s="8">
        <f t="shared" si="252"/>
        <v>0.21812762212173847</v>
      </c>
      <c r="FX20" s="9">
        <f t="shared" si="253"/>
        <v>12.527454597280887</v>
      </c>
      <c r="FY20" s="10">
        <f t="shared" si="45"/>
        <v>1</v>
      </c>
      <c r="FZ20" s="277">
        <f t="shared" si="254"/>
        <v>12.527454597280887</v>
      </c>
      <c r="GA20" s="177">
        <f t="shared" si="226"/>
        <v>12.517200198455569</v>
      </c>
      <c r="GB20" s="4">
        <f t="shared" si="227"/>
        <v>-3.9972294596271503E-2</v>
      </c>
      <c r="GC20" s="5">
        <f t="shared" si="228"/>
        <v>0.97537346376124867</v>
      </c>
      <c r="GD20" s="10">
        <f t="shared" si="229"/>
        <v>-0.21690740387338758</v>
      </c>
      <c r="GE20" s="311">
        <f t="shared" si="230"/>
        <v>1.2322531622309079</v>
      </c>
      <c r="GF20" s="341">
        <f t="shared" si="255"/>
        <v>0.81152155307889018</v>
      </c>
      <c r="GG20" s="285">
        <f t="shared" si="46"/>
        <v>3.2438378590893178E-2</v>
      </c>
      <c r="GH20" s="286">
        <f t="shared" si="47"/>
        <v>0.79153658814346517</v>
      </c>
      <c r="GI20" s="281">
        <f t="shared" si="48"/>
        <v>0.17602503326564159</v>
      </c>
      <c r="GJ20" s="167">
        <f t="shared" si="231"/>
        <v>0.52049999999999996</v>
      </c>
      <c r="GK20" s="174">
        <f t="shared" si="49"/>
        <v>0.27332828713554475</v>
      </c>
      <c r="GL20" s="174">
        <f t="shared" si="232"/>
        <v>3.6499999999999998E-2</v>
      </c>
      <c r="GM20" s="177">
        <f t="shared" si="256"/>
        <v>0.11971778976536859</v>
      </c>
      <c r="GN20" s="280">
        <f t="shared" si="233"/>
        <v>8.913267845226848E-2</v>
      </c>
      <c r="GO20" s="4">
        <f t="shared" si="234"/>
        <v>2.3467553808851118</v>
      </c>
      <c r="GP20" s="8">
        <f t="shared" si="257"/>
        <v>12.527454597280887</v>
      </c>
      <c r="GQ20" s="177">
        <f t="shared" si="235"/>
        <v>12.723949653746821</v>
      </c>
      <c r="GR20" s="371">
        <f t="shared" si="258"/>
        <v>371.81633493846164</v>
      </c>
      <c r="GS20" s="342">
        <f t="shared" si="51"/>
        <v>12.061119039012162</v>
      </c>
      <c r="GT20" s="343">
        <f t="shared" si="52"/>
        <v>44.126859921494322</v>
      </c>
      <c r="GU20" s="344">
        <f t="shared" si="53"/>
        <v>294.30623317319782</v>
      </c>
      <c r="GV20" s="343">
        <f t="shared" si="265"/>
        <v>1076.75</v>
      </c>
      <c r="GW20" s="345">
        <f t="shared" si="54"/>
        <v>29500</v>
      </c>
      <c r="GX20" s="346">
        <f t="shared" si="55"/>
        <v>46.70403125</v>
      </c>
      <c r="GY20" s="344">
        <f t="shared" si="56"/>
        <v>65.448982726251643</v>
      </c>
      <c r="GZ20" s="345">
        <f t="shared" si="57"/>
        <v>239.45191846826739</v>
      </c>
      <c r="HA20" s="342">
        <f t="shared" si="58"/>
        <v>12.061119039012162</v>
      </c>
      <c r="HB20" s="5">
        <f t="shared" si="236"/>
        <v>112.98794267033225</v>
      </c>
      <c r="HC20" s="343">
        <f t="shared" si="237"/>
        <v>-4.7103181755657548</v>
      </c>
      <c r="HD20" s="345">
        <f t="shared" si="238"/>
        <v>11.103310099162167</v>
      </c>
      <c r="HE20" s="344">
        <f t="shared" si="59"/>
        <v>1076.75</v>
      </c>
      <c r="HF20" s="5">
        <f t="shared" si="60"/>
        <v>202.98794267033225</v>
      </c>
      <c r="HG20" s="343">
        <f t="shared" si="239"/>
        <v>-991.24211531304547</v>
      </c>
      <c r="HH20" s="349">
        <f t="shared" si="240"/>
        <v>-420.51115482198452</v>
      </c>
      <c r="HI20" s="317">
        <f t="shared" si="61"/>
        <v>3.1019999999999999</v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3.1019999999999999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2</v>
      </c>
      <c r="JN20" s="960">
        <f>($JO20-SMALL($JO$9:$JO$88,1))/((Settings!$C$19/2)-((Settings!$C$19/2)-LARGE($JO$9:$JO$88,1))-SMALL($JO$9:$JO$88,1))</f>
        <v>7.2673615771761041E-2</v>
      </c>
      <c r="JO20" s="162">
        <f t="shared" si="134"/>
        <v>0.58600176738133058</v>
      </c>
      <c r="JP20" s="961">
        <f t="shared" si="135"/>
        <v>14.999997834268404</v>
      </c>
      <c r="JQ20" s="961">
        <f t="shared" si="136"/>
        <v>17.49999747331298</v>
      </c>
      <c r="JS20" s="82">
        <v>12</v>
      </c>
      <c r="JT20" s="322">
        <f t="shared" si="137"/>
        <v>2.6175078944038095</v>
      </c>
      <c r="JU20" s="963">
        <f t="shared" si="138"/>
        <v>0.68098202302488187</v>
      </c>
      <c r="JV20" s="964">
        <v>3</v>
      </c>
      <c r="JW20" s="961">
        <f t="shared" si="92"/>
        <v>15.624359248728833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1.1353627286153885</v>
      </c>
      <c r="C21" s="572">
        <f t="shared" si="281"/>
        <v>-0.65550197699396351</v>
      </c>
      <c r="D21" s="576">
        <f t="shared" si="281"/>
        <v>-0.23600071177814683</v>
      </c>
      <c r="E21" s="580">
        <f t="shared" ref="E21:K21" si="282">R176</f>
        <v>0.42495023251139563</v>
      </c>
      <c r="F21" s="572">
        <f t="shared" si="282"/>
        <v>0.87000995181435825</v>
      </c>
      <c r="G21" s="579">
        <f t="shared" si="282"/>
        <v>0.24999996726497567</v>
      </c>
      <c r="H21" s="580">
        <f t="shared" si="282"/>
        <v>0.3125</v>
      </c>
      <c r="I21" s="572">
        <f t="shared" si="282"/>
        <v>0.52</v>
      </c>
      <c r="J21" s="483">
        <f t="shared" si="94"/>
        <v>3.105</v>
      </c>
      <c r="K21" s="806">
        <f t="shared" si="282"/>
        <v>1613</v>
      </c>
      <c r="L21" s="719" t="s">
        <v>358</v>
      </c>
      <c r="M21" s="164">
        <f t="shared" si="4"/>
        <v>3.105</v>
      </c>
      <c r="N21" s="575">
        <f t="shared" si="5"/>
        <v>1.1353627286153885</v>
      </c>
      <c r="O21" s="572">
        <f t="shared" si="6"/>
        <v>-0.65550197699396351</v>
      </c>
      <c r="P21" s="576">
        <f t="shared" si="7"/>
        <v>-0.23600071177814683</v>
      </c>
      <c r="Q21" s="528">
        <f t="shared" si="144"/>
        <v>329.99999999999994</v>
      </c>
      <c r="R21" s="572">
        <f>IF(M21="","",SQRT(N21^2+O21^2))</f>
        <v>1.3110039539879257</v>
      </c>
      <c r="S21" s="577">
        <f>IF(M21="","",P21)</f>
        <v>-0.23600071177814683</v>
      </c>
      <c r="T21" s="578">
        <f>IF(M21="","",X21*COS(RADIANS(W21)))</f>
        <v>-0.61740963172389873</v>
      </c>
      <c r="U21" s="572">
        <f>IF(M21="","",X21*SIN(RADIANS(W21)))</f>
        <v>-1.1565192233709454</v>
      </c>
      <c r="V21" s="579">
        <f>IF(M21="","",Y21)</f>
        <v>-0.23600071177814683</v>
      </c>
      <c r="W21" s="528">
        <f t="shared" si="268"/>
        <v>241.90439972503864</v>
      </c>
      <c r="X21" s="572">
        <f>IF(M21="","",R21)</f>
        <v>1.3110039539879257</v>
      </c>
      <c r="Y21" s="573">
        <f t="shared" si="271"/>
        <v>-0.23600071177814683</v>
      </c>
      <c r="Z21" s="575">
        <f t="shared" si="10"/>
        <v>-0.42495023251139563</v>
      </c>
      <c r="AA21" s="572">
        <f t="shared" si="11"/>
        <v>-0.87000995181435825</v>
      </c>
      <c r="AB21" s="572">
        <f t="shared" si="12"/>
        <v>-0.24999996726497567</v>
      </c>
      <c r="AC21" s="579">
        <f>IF(M21="","",SQRT(Z21^2+AA21^2+AB21^2))</f>
        <v>1</v>
      </c>
      <c r="AD21" s="580">
        <f>IF(M21="","",Z21*(1/SQRT(Z21^2+AA21^2+AB21^2)))</f>
        <v>-0.42495023251139563</v>
      </c>
      <c r="AE21" s="572">
        <f>IF(M21="","",AA21*(1/SQRT(Z21^2+AA21^2+AB21^2)))</f>
        <v>-0.87000995181435825</v>
      </c>
      <c r="AF21" s="576">
        <f>IF(M21="","",AB21*(1/SQRT(Z21^2+AA21^2+AB21^2)))</f>
        <v>-0.24999996726497567</v>
      </c>
      <c r="AG21" s="545">
        <f>IF(M21="","",DEGREES(ATAN2(-AF21,AE21)))</f>
        <v>-73.967836603437462</v>
      </c>
      <c r="AH21" s="546">
        <f>IF(M21="","",DEGREES(ACOS(AD21)))</f>
        <v>115.14751333388448</v>
      </c>
      <c r="AI21" s="528">
        <f>IF(M21="","",DEGREES(-ACOS(-AF21)))</f>
        <v>-75.522489751159455</v>
      </c>
      <c r="AJ21" s="529">
        <f>IF(M21="","",DEGREES(ATAN2(-AE21,AD21)))</f>
        <v>-26.032870354913463</v>
      </c>
      <c r="AK21" s="578">
        <f>IF(M21="","",(COS(RADIANS((90-$Q$8)-W21))*AD21)+(-SIN(RADIANS((90-$Q$8)-W21))*AE21))</f>
        <v>0.96592583607220739</v>
      </c>
      <c r="AL21" s="572">
        <f>IF(M21="","",(SIN(RADIANS((90-$Q$8)-W21))*AD21)+(COS(RADIANS((90-$Q$8)-W21))*AE21))</f>
        <v>6.6987279208208017E-2</v>
      </c>
      <c r="AM21" s="577">
        <f>IF(M21="","",AF21)</f>
        <v>-0.24999996726497567</v>
      </c>
      <c r="AN21" s="524">
        <f>IF(M21="","",DEGREES(ATAN2(-AM21,AL21)))</f>
        <v>14.99999783426844</v>
      </c>
      <c r="AO21" s="525">
        <f>IF(ROUND(IF(M21="",0,DEGREES(ACOS(AK21))),4)=90,0,IF(M21="","",DEGREES(ACOS(AK21))))</f>
        <v>14.999997834268255</v>
      </c>
      <c r="AP21" s="528">
        <f>IF(M21="","",DEGREES(ATAN2(AK21,AL21)))</f>
        <v>3.9671296450866187</v>
      </c>
      <c r="AQ21" s="529">
        <f t="shared" si="13"/>
        <v>1.7383830542137837</v>
      </c>
      <c r="AR21" s="979"/>
      <c r="AS21" s="954">
        <f t="shared" si="147"/>
        <v>-118.09560027496136</v>
      </c>
      <c r="AT21" s="950">
        <f t="shared" si="14"/>
        <v>-0.15266737844481346</v>
      </c>
      <c r="AU21" s="418"/>
      <c r="AV21" s="164">
        <f t="shared" si="15"/>
        <v>3.105</v>
      </c>
      <c r="AW21" s="829">
        <f>IFERROR(INDEX(MassProp!C$9:C$150,MATCH($M21,MassProp!$B$9:$B$150,0)),"")</f>
        <v>1.228</v>
      </c>
      <c r="AX21" s="830">
        <f>IFERROR(INDEX(MassProp!D$9:D$150,MATCH($M21,MassProp!$B$9:$B$150,0)),"")</f>
        <v>-7.7799999999999994E-2</v>
      </c>
      <c r="AY21" s="831">
        <f>IFERROR(INDEX(MassProp!E$9:E$150,MATCH($M21,MassProp!$B$9:$B$150,0)),"")</f>
        <v>3.6499999999999998E-2</v>
      </c>
      <c r="AZ21" s="297">
        <f t="shared" si="148"/>
        <v>0.28177272376506807</v>
      </c>
      <c r="BA21" s="296">
        <f t="shared" si="16"/>
        <v>0.20978634531421059</v>
      </c>
      <c r="BB21" s="190">
        <f t="shared" si="149"/>
        <v>-0.17513262155518655</v>
      </c>
      <c r="BC21" s="9"/>
      <c r="BD21" s="5">
        <f t="shared" si="150"/>
        <v>1.228</v>
      </c>
      <c r="BE21" s="6">
        <f t="shared" si="17"/>
        <v>-0.41113333333333335</v>
      </c>
      <c r="BF21" s="4">
        <f t="shared" si="18"/>
        <v>1.1353627286153885</v>
      </c>
      <c r="BG21" s="5">
        <f t="shared" si="19"/>
        <v>-0.65550197699396351</v>
      </c>
      <c r="BH21" s="10">
        <f t="shared" si="20"/>
        <v>-0.23600071177814683</v>
      </c>
      <c r="BI21" s="9">
        <f t="shared" si="151"/>
        <v>1.1353627286153885</v>
      </c>
      <c r="BJ21" s="5">
        <f t="shared" si="21"/>
        <v>-0.37932505349102846</v>
      </c>
      <c r="BK21" s="8">
        <f t="shared" si="22"/>
        <v>-1.1971075252616712</v>
      </c>
      <c r="BL21" s="173">
        <f t="shared" si="23"/>
        <v>2.040579442937716</v>
      </c>
      <c r="BM21" s="5">
        <f t="shared" si="24"/>
        <v>-1.0639245408520739</v>
      </c>
      <c r="BN21" s="6">
        <f t="shared" si="25"/>
        <v>-0.35336215963500101</v>
      </c>
      <c r="BO21" s="4">
        <f t="shared" si="152"/>
        <v>-0.42495023251139563</v>
      </c>
      <c r="BP21" s="5">
        <f t="shared" si="153"/>
        <v>-0.87000995181435747</v>
      </c>
      <c r="BQ21" s="5">
        <f t="shared" si="154"/>
        <v>-0.24999996726497564</v>
      </c>
      <c r="BR21" s="6">
        <f t="shared" si="155"/>
        <v>-0.14682075812790008</v>
      </c>
      <c r="BS21" s="4">
        <f t="shared" si="112"/>
        <v>0</v>
      </c>
      <c r="BT21" s="5">
        <f t="shared" si="112"/>
        <v>0</v>
      </c>
      <c r="BU21" s="10">
        <f t="shared" si="113"/>
        <v>-0.41113333333333335</v>
      </c>
      <c r="BV21" s="9">
        <f t="shared" si="114"/>
        <v>0</v>
      </c>
      <c r="BW21" s="5">
        <f t="shared" si="115"/>
        <v>1</v>
      </c>
      <c r="BX21" s="8">
        <f t="shared" si="116"/>
        <v>-0.41113333333333335</v>
      </c>
      <c r="BY21" s="173">
        <f t="shared" si="117"/>
        <v>1</v>
      </c>
      <c r="BZ21" s="5">
        <f t="shared" si="118"/>
        <v>0</v>
      </c>
      <c r="CA21" s="6">
        <f t="shared" si="119"/>
        <v>-0.41113333333333335</v>
      </c>
      <c r="CB21" s="4">
        <f t="shared" si="156"/>
        <v>0</v>
      </c>
      <c r="CC21" s="5">
        <f t="shared" si="157"/>
        <v>0</v>
      </c>
      <c r="CD21" s="5">
        <f t="shared" si="158"/>
        <v>-1</v>
      </c>
      <c r="CE21" s="6">
        <f t="shared" si="159"/>
        <v>-0.41113333333333335</v>
      </c>
      <c r="CF21" s="4">
        <f t="shared" si="160"/>
        <v>0.87000995181435747</v>
      </c>
      <c r="CG21" s="5">
        <f t="shared" si="161"/>
        <v>-0.42495023251139563</v>
      </c>
      <c r="CH21" s="5">
        <f t="shared" si="162"/>
        <v>0</v>
      </c>
      <c r="CI21" s="4">
        <f t="shared" si="120"/>
        <v>0</v>
      </c>
      <c r="CJ21" s="5">
        <f>IF(ISNUMBER($AV21),(CD21*BR21-BQ21*CE21)/(BQ21*CC21-CD21*BP21),"")</f>
        <v>-5.0617166115386136E-2</v>
      </c>
      <c r="CK21" s="8">
        <f t="shared" si="122"/>
        <v>-0.41113333333333335</v>
      </c>
      <c r="CL21" s="173">
        <f t="shared" si="123"/>
        <v>0.87000995181435747</v>
      </c>
      <c r="CM21" s="5">
        <f t="shared" si="124"/>
        <v>-0.47556739862678177</v>
      </c>
      <c r="CN21" s="6">
        <f t="shared" si="125"/>
        <v>-0.41113333333333335</v>
      </c>
      <c r="CO21" s="167">
        <f t="shared" si="26"/>
        <v>0.3125</v>
      </c>
      <c r="CP21" s="4">
        <f t="shared" si="248"/>
        <v>0.9375000163675099</v>
      </c>
      <c r="CQ21" s="5">
        <f t="shared" si="249"/>
        <v>-2.4896456276799093</v>
      </c>
      <c r="CR21" s="5">
        <f t="shared" si="163"/>
        <v>1.587949345093385</v>
      </c>
      <c r="CS21" s="8">
        <f t="shared" si="164"/>
        <v>0.24352520336238914</v>
      </c>
      <c r="CT21" s="9">
        <f>IF(ISNUMBER($AV21),(-CQ21+SQRT(CS21))/(CP21*2),"")</f>
        <v>1.5910017622045207</v>
      </c>
      <c r="CU21" s="6">
        <f t="shared" si="166"/>
        <v>1.0646201942904026</v>
      </c>
      <c r="CV21" s="4">
        <f t="shared" si="250"/>
        <v>1.3841873664721129</v>
      </c>
      <c r="CW21" s="5">
        <f t="shared" si="167"/>
        <v>-0.72671373489023738</v>
      </c>
      <c r="CX21" s="8">
        <f t="shared" si="168"/>
        <v>-0.41113333333333335</v>
      </c>
      <c r="CY21" s="9">
        <f t="shared" si="169"/>
        <v>0.92623016393518498</v>
      </c>
      <c r="CZ21" s="5">
        <f t="shared" si="170"/>
        <v>-0.50302776521541992</v>
      </c>
      <c r="DA21" s="6">
        <f t="shared" si="171"/>
        <v>-0.41113333333333335</v>
      </c>
      <c r="DB21" s="4">
        <f t="shared" si="172"/>
        <v>0</v>
      </c>
      <c r="DC21" s="5">
        <f t="shared" si="172"/>
        <v>0</v>
      </c>
      <c r="DD21" s="10">
        <f t="shared" si="173"/>
        <v>-10</v>
      </c>
      <c r="DE21" s="9">
        <f t="shared" si="174"/>
        <v>0</v>
      </c>
      <c r="DF21" s="5">
        <f t="shared" si="174"/>
        <v>0</v>
      </c>
      <c r="DG21" s="10">
        <f t="shared" si="175"/>
        <v>10</v>
      </c>
      <c r="DH21" s="70">
        <f t="shared" si="176"/>
        <v>1.228</v>
      </c>
      <c r="DI21" s="4">
        <f t="shared" si="177"/>
        <v>0</v>
      </c>
      <c r="DJ21" s="5">
        <f t="shared" si="178"/>
        <v>0</v>
      </c>
      <c r="DK21" s="10">
        <f t="shared" si="179"/>
        <v>20</v>
      </c>
      <c r="DL21" s="9">
        <f t="shared" si="180"/>
        <v>1.3841873664721129</v>
      </c>
      <c r="DM21" s="173">
        <f t="shared" si="181"/>
        <v>-0.72671373489023738</v>
      </c>
      <c r="DN21" s="178">
        <f t="shared" si="182"/>
        <v>9.5888666666666662</v>
      </c>
      <c r="DO21" s="9">
        <f t="shared" si="183"/>
        <v>-0.45795720253692795</v>
      </c>
      <c r="DP21" s="173">
        <f t="shared" si="184"/>
        <v>0.22368596967481746</v>
      </c>
      <c r="DQ21" s="11">
        <f t="shared" si="185"/>
        <v>0</v>
      </c>
      <c r="DR21" s="173">
        <f t="shared" si="186"/>
        <v>191.77733333333333</v>
      </c>
      <c r="DS21" s="5">
        <f t="shared" si="187"/>
        <v>0</v>
      </c>
      <c r="DT21" s="5">
        <f t="shared" si="188"/>
        <v>400</v>
      </c>
      <c r="DU21" s="5">
        <f t="shared" si="189"/>
        <v>0.25976021238481223</v>
      </c>
      <c r="DV21" s="5">
        <f t="shared" si="190"/>
        <v>-0.79645424060145742</v>
      </c>
      <c r="DW21" s="5">
        <f t="shared" si="191"/>
        <v>94.390451469090223</v>
      </c>
      <c r="DX21" s="167">
        <f t="shared" si="192"/>
        <v>92.88246746909023</v>
      </c>
      <c r="DY21" s="9">
        <f t="shared" si="193"/>
        <v>103.90408495392489</v>
      </c>
      <c r="DZ21" s="5">
        <f t="shared" si="194"/>
        <v>-318.58169624058297</v>
      </c>
      <c r="EA21" s="10">
        <f t="shared" si="195"/>
        <v>374.44140719164716</v>
      </c>
      <c r="EB21" s="6">
        <f t="shared" si="196"/>
        <v>62588.305396418982</v>
      </c>
      <c r="EC21" s="173">
        <f t="shared" si="197"/>
        <v>5.4738776145992443</v>
      </c>
      <c r="ED21" s="5">
        <f t="shared" si="198"/>
        <v>0.65834897460279651</v>
      </c>
      <c r="EE21" s="4">
        <f t="shared" si="199"/>
        <v>-1.1226143129392692</v>
      </c>
      <c r="EF21" s="5">
        <f t="shared" si="200"/>
        <v>0.49771588721267135</v>
      </c>
      <c r="EG21" s="10">
        <f t="shared" si="201"/>
        <v>-0.41113333333333335</v>
      </c>
      <c r="EH21" s="9">
        <f t="shared" si="202"/>
        <v>1.0826917117699613</v>
      </c>
      <c r="EI21" s="5">
        <f t="shared" si="203"/>
        <v>-0.57945030612178905</v>
      </c>
      <c r="EJ21" s="6">
        <f t="shared" si="204"/>
        <v>-0.41113333333333335</v>
      </c>
      <c r="EK21" s="236" t="b">
        <f t="shared" si="205"/>
        <v>0</v>
      </c>
      <c r="EL21" s="238" t="b">
        <f t="shared" si="206"/>
        <v>1</v>
      </c>
      <c r="EM21" s="4">
        <f t="shared" si="207"/>
        <v>1.0826917117699613</v>
      </c>
      <c r="EN21" s="5">
        <f t="shared" si="208"/>
        <v>-0.57945030612178905</v>
      </c>
      <c r="EO21" s="10">
        <f t="shared" si="209"/>
        <v>-0.41113333333333335</v>
      </c>
      <c r="EP21" s="9">
        <f t="shared" si="210"/>
        <v>331.84456946890816</v>
      </c>
      <c r="EQ21" s="5">
        <f t="shared" si="211"/>
        <v>1.2280000000000015</v>
      </c>
      <c r="ER21" s="7">
        <f t="shared" si="212"/>
        <v>-0.41113333333333335</v>
      </c>
      <c r="ES21" s="21">
        <f t="shared" si="126"/>
        <v>-0.42495023251139563</v>
      </c>
      <c r="ET21" s="5">
        <f t="shared" si="35"/>
        <v>-0.87000995181435825</v>
      </c>
      <c r="EU21" s="10">
        <f t="shared" si="36"/>
        <v>-0.24999996726497567</v>
      </c>
      <c r="EV21" s="174">
        <f t="shared" si="264"/>
        <v>118.15543053109184</v>
      </c>
      <c r="EW21" s="9">
        <f t="shared" si="127"/>
        <v>0.96758151978993578</v>
      </c>
      <c r="EX21" s="5">
        <f t="shared" si="37"/>
        <v>3.5861106069240145E-2</v>
      </c>
      <c r="EY21" s="6">
        <f t="shared" si="213"/>
        <v>-0.24999996726497567</v>
      </c>
      <c r="EZ21" s="51">
        <f t="shared" si="214"/>
        <v>1.8558056600779675</v>
      </c>
      <c r="FA21" s="266">
        <f t="shared" si="128"/>
        <v>-0.47161757333039622</v>
      </c>
      <c r="FB21" s="267">
        <f t="shared" si="129"/>
        <v>-0.88120833206111016</v>
      </c>
      <c r="FC21" s="269">
        <f t="shared" si="38"/>
        <v>-3.2384255928221369E-2</v>
      </c>
      <c r="FD21" s="4">
        <f t="shared" si="130"/>
        <v>0.9994754924298922</v>
      </c>
      <c r="FE21" s="5">
        <f t="shared" si="39"/>
        <v>-3.3306690738754696E-16</v>
      </c>
      <c r="FF21" s="7">
        <f t="shared" si="215"/>
        <v>-3.2384255928221369E-2</v>
      </c>
      <c r="FG21" s="173">
        <f t="shared" si="216"/>
        <v>-3.1893972639956414E-2</v>
      </c>
      <c r="FH21" s="5">
        <f t="shared" si="40"/>
        <v>3.5861106069240478E-2</v>
      </c>
      <c r="FI21" s="10">
        <f t="shared" si="41"/>
        <v>-0.21761571133675431</v>
      </c>
      <c r="FJ21" s="279">
        <f t="shared" si="217"/>
        <v>12.794639208929317</v>
      </c>
      <c r="FK21" s="4">
        <f t="shared" si="42"/>
        <v>0.96824584500400068</v>
      </c>
      <c r="FL21" s="5">
        <f t="shared" si="218"/>
        <v>0.9994754924298922</v>
      </c>
      <c r="FM21" s="8">
        <f t="shared" si="219"/>
        <v>4.7992128721985279E-2</v>
      </c>
      <c r="FN21" s="9">
        <f t="shared" si="220"/>
        <v>2.1225601761784079</v>
      </c>
      <c r="FO21" s="10">
        <f t="shared" si="43"/>
        <v>-1</v>
      </c>
      <c r="FP21" s="277">
        <f t="shared" si="44"/>
        <v>-2.1225601761784079</v>
      </c>
      <c r="FQ21" s="173">
        <f t="shared" si="251"/>
        <v>3.7037190765422272E-2</v>
      </c>
      <c r="FR21" s="10">
        <f t="shared" si="221"/>
        <v>0.99931388787517894</v>
      </c>
      <c r="FS21" s="9">
        <f t="shared" si="222"/>
        <v>3.5738073254098952E-2</v>
      </c>
      <c r="FT21" s="6">
        <f t="shared" si="223"/>
        <v>0.96426192674590105</v>
      </c>
      <c r="FU21" s="4">
        <f t="shared" si="224"/>
        <v>0.99935678367212322</v>
      </c>
      <c r="FV21" s="5">
        <f t="shared" si="225"/>
        <v>1</v>
      </c>
      <c r="FW21" s="8">
        <f t="shared" si="252"/>
        <v>0.21994049947965441</v>
      </c>
      <c r="FX21" s="9">
        <f t="shared" si="253"/>
        <v>12.631226469937351</v>
      </c>
      <c r="FY21" s="10">
        <f t="shared" si="45"/>
        <v>1</v>
      </c>
      <c r="FZ21" s="277">
        <f t="shared" si="254"/>
        <v>12.631226469937351</v>
      </c>
      <c r="GA21" s="177">
        <f t="shared" si="226"/>
        <v>12.622461823283873</v>
      </c>
      <c r="GB21" s="4">
        <f t="shared" si="227"/>
        <v>3.6140806597118831E-2</v>
      </c>
      <c r="GC21" s="5">
        <f t="shared" si="228"/>
        <v>0.97512822125887022</v>
      </c>
      <c r="GD21" s="10">
        <f t="shared" si="229"/>
        <v>-0.21867508820855971</v>
      </c>
      <c r="GE21" s="311">
        <f t="shared" si="230"/>
        <v>1.2299441160645488</v>
      </c>
      <c r="GF21" s="341">
        <f t="shared" si="255"/>
        <v>0.81304507004732796</v>
      </c>
      <c r="GG21" s="285">
        <f t="shared" si="46"/>
        <v>2.9384104631321413E-2</v>
      </c>
      <c r="GH21" s="286">
        <f t="shared" si="47"/>
        <v>0.79282319295854453</v>
      </c>
      <c r="GI21" s="281">
        <f t="shared" si="48"/>
        <v>0.17779270241013406</v>
      </c>
      <c r="GJ21" s="167">
        <f t="shared" si="231"/>
        <v>1.228</v>
      </c>
      <c r="GK21" s="174">
        <f t="shared" si="49"/>
        <v>0.64331672092481296</v>
      </c>
      <c r="GL21" s="174">
        <f t="shared" si="232"/>
        <v>3.6499999999999998E-2</v>
      </c>
      <c r="GM21" s="177">
        <f t="shared" si="256"/>
        <v>0.28177272376506807</v>
      </c>
      <c r="GN21" s="280">
        <f t="shared" si="233"/>
        <v>0.20978634531421059</v>
      </c>
      <c r="GO21" s="4">
        <f t="shared" si="234"/>
        <v>-2.1225601761784079</v>
      </c>
      <c r="GP21" s="8">
        <f t="shared" si="257"/>
        <v>12.631226469937351</v>
      </c>
      <c r="GQ21" s="177">
        <f t="shared" si="235"/>
        <v>12.794639208929317</v>
      </c>
      <c r="GR21" s="371">
        <f t="shared" si="258"/>
        <v>873.70208819308857</v>
      </c>
      <c r="GS21" s="342">
        <f t="shared" si="51"/>
        <v>25.672953576069723</v>
      </c>
      <c r="GT21" s="343">
        <f t="shared" si="52"/>
        <v>39.907175953957875</v>
      </c>
      <c r="GU21" s="344">
        <f t="shared" si="53"/>
        <v>692.69127925579232</v>
      </c>
      <c r="GV21" s="343">
        <f t="shared" si="265"/>
        <v>1076.75</v>
      </c>
      <c r="GW21" s="345">
        <f t="shared" si="54"/>
        <v>29500</v>
      </c>
      <c r="GX21" s="346">
        <f t="shared" si="55"/>
        <v>110.18741666666666</v>
      </c>
      <c r="GY21" s="344">
        <f t="shared" si="56"/>
        <v>155.3378553612265</v>
      </c>
      <c r="GZ21" s="345">
        <f t="shared" si="57"/>
        <v>241.46404144123198</v>
      </c>
      <c r="HA21" s="342">
        <f t="shared" si="58"/>
        <v>-25.672953576069723</v>
      </c>
      <c r="HB21" s="5">
        <f t="shared" si="236"/>
        <v>118.15543053109184</v>
      </c>
      <c r="HC21" s="343">
        <f t="shared" si="237"/>
        <v>12.114170039661289</v>
      </c>
      <c r="HD21" s="345">
        <f t="shared" si="238"/>
        <v>-22.635092877415016</v>
      </c>
      <c r="HE21" s="344">
        <f t="shared" si="59"/>
        <v>1076.75</v>
      </c>
      <c r="HF21" s="5">
        <f t="shared" si="60"/>
        <v>208.15543053109184</v>
      </c>
      <c r="HG21" s="343">
        <f t="shared" si="239"/>
        <v>-949.33900704259304</v>
      </c>
      <c r="HH21" s="349">
        <f t="shared" si="240"/>
        <v>-508.08071426436123</v>
      </c>
      <c r="HI21" s="317">
        <f t="shared" si="61"/>
        <v>3.105</v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3.105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5</v>
      </c>
      <c r="JN21" s="960">
        <f>($JO21-SMALL($JO$9:$JO$88,1))/((Settings!$C$19/2)-((Settings!$C$19/2)-LARGE($JO$9:$JO$88,1))-SMALL($JO$9:$JO$88,1))</f>
        <v>0.28976620511880158</v>
      </c>
      <c r="JO21" s="162">
        <f t="shared" si="134"/>
        <v>1.3110039539879257</v>
      </c>
      <c r="JP21" s="961">
        <f t="shared" si="135"/>
        <v>14.99999783426844</v>
      </c>
      <c r="JQ21" s="961">
        <f t="shared" si="136"/>
        <v>14.999997834268255</v>
      </c>
      <c r="JS21" s="82">
        <v>13</v>
      </c>
      <c r="JT21" s="322">
        <f t="shared" si="137"/>
        <v>2.7440082759289601</v>
      </c>
      <c r="JU21" s="963">
        <f t="shared" si="138"/>
        <v>0.71886093689026198</v>
      </c>
      <c r="JV21" s="964">
        <v>3</v>
      </c>
      <c r="JW21" s="961">
        <f t="shared" si="92"/>
        <v>15.776324505550736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1.7856242987971149</v>
      </c>
      <c r="C22" s="572">
        <f t="shared" si="283"/>
        <v>-1.0423729708120617</v>
      </c>
      <c r="D22" s="576">
        <f t="shared" si="283"/>
        <v>-5.0900153514863149E-2</v>
      </c>
      <c r="E22" s="580">
        <f t="shared" ref="E22:K22" si="284">R177</f>
        <v>0.50626769450897102</v>
      </c>
      <c r="F22" s="572">
        <f t="shared" si="284"/>
        <v>0.82212966165481816</v>
      </c>
      <c r="G22" s="579">
        <f t="shared" si="284"/>
        <v>0.26037634478559207</v>
      </c>
      <c r="H22" s="580">
        <f t="shared" si="284"/>
        <v>0.3125</v>
      </c>
      <c r="I22" s="572">
        <f t="shared" si="284"/>
        <v>0.52</v>
      </c>
      <c r="J22" s="483">
        <f t="shared" si="94"/>
        <v>3.1080000000000001</v>
      </c>
      <c r="K22" s="806">
        <f t="shared" si="284"/>
        <v>1613</v>
      </c>
      <c r="L22" s="814" t="str">
        <f>IF($L21=$JJ$22,$JJ$30,IF($L21=$JK$22,$JK$30,""))</f>
        <v/>
      </c>
      <c r="M22" s="164">
        <f t="shared" si="4"/>
        <v>3.1080000000000001</v>
      </c>
      <c r="N22" s="575">
        <f t="shared" si="5"/>
        <v>1.7856242987971149</v>
      </c>
      <c r="O22" s="572">
        <f t="shared" si="6"/>
        <v>-1.0423729708120617</v>
      </c>
      <c r="P22" s="576">
        <f t="shared" si="7"/>
        <v>-5.0900153514863149E-2</v>
      </c>
      <c r="Q22" s="528">
        <f t="shared" si="144"/>
        <v>329.7254000396473</v>
      </c>
      <c r="R22" s="572">
        <f t="shared" si="95"/>
        <v>2.0676062359004073</v>
      </c>
      <c r="S22" s="577">
        <f t="shared" si="96"/>
        <v>-5.0900153514863149E-2</v>
      </c>
      <c r="T22" s="578">
        <f t="shared" si="97"/>
        <v>-0.98245749970726481</v>
      </c>
      <c r="U22" s="572">
        <f t="shared" si="98"/>
        <v>-1.8192781007870129</v>
      </c>
      <c r="V22" s="579">
        <f t="shared" si="145"/>
        <v>-5.0900153514863149E-2</v>
      </c>
      <c r="W22" s="528">
        <f t="shared" si="268"/>
        <v>241.629799764686</v>
      </c>
      <c r="X22" s="572">
        <f t="shared" si="99"/>
        <v>2.0676062359004073</v>
      </c>
      <c r="Y22" s="573">
        <f t="shared" si="271"/>
        <v>-5.0900153514863149E-2</v>
      </c>
      <c r="Z22" s="575">
        <f t="shared" si="10"/>
        <v>-0.50626769450897102</v>
      </c>
      <c r="AA22" s="572">
        <f t="shared" si="11"/>
        <v>-0.82212966165481816</v>
      </c>
      <c r="AB22" s="572">
        <f t="shared" si="12"/>
        <v>-0.26037634478559207</v>
      </c>
      <c r="AC22" s="579">
        <f t="shared" si="100"/>
        <v>1</v>
      </c>
      <c r="AD22" s="580">
        <f t="shared" si="146"/>
        <v>-0.50626769450897102</v>
      </c>
      <c r="AE22" s="572">
        <f t="shared" si="101"/>
        <v>-0.82212966165481816</v>
      </c>
      <c r="AF22" s="576">
        <f t="shared" si="102"/>
        <v>-0.26037634478559207</v>
      </c>
      <c r="AG22" s="545">
        <f t="shared" si="103"/>
        <v>-72.426506270966726</v>
      </c>
      <c r="AH22" s="546">
        <f t="shared" si="104"/>
        <v>120.41554096023914</v>
      </c>
      <c r="AI22" s="528">
        <f t="shared" si="105"/>
        <v>-74.907605722189075</v>
      </c>
      <c r="AJ22" s="529">
        <f t="shared" si="106"/>
        <v>-31.624774126033145</v>
      </c>
      <c r="AK22" s="578">
        <f t="shared" si="247"/>
        <v>0.96523913824194629</v>
      </c>
      <c r="AL22" s="572">
        <f t="shared" si="107"/>
        <v>-2.2750056748054248E-2</v>
      </c>
      <c r="AM22" s="577">
        <f t="shared" si="108"/>
        <v>-0.26037634478559207</v>
      </c>
      <c r="AN22" s="524">
        <f t="shared" si="109"/>
        <v>-4.9934656900174108</v>
      </c>
      <c r="AO22" s="525">
        <f t="shared" si="110"/>
        <v>15.151269737293189</v>
      </c>
      <c r="AP22" s="528">
        <f t="shared" si="111"/>
        <v>-1.3501741656804342</v>
      </c>
      <c r="AQ22" s="529">
        <f t="shared" si="13"/>
        <v>1.1024561836804894</v>
      </c>
      <c r="AR22" s="979"/>
      <c r="AS22" s="954">
        <f t="shared" si="147"/>
        <v>-118.370200235314</v>
      </c>
      <c r="AT22" s="950">
        <f t="shared" si="14"/>
        <v>3.2623874235381788E-2</v>
      </c>
      <c r="AU22" s="418"/>
      <c r="AV22" s="164">
        <f t="shared" si="15"/>
        <v>3.1080000000000001</v>
      </c>
      <c r="AW22" s="829">
        <f>IFERROR(INDEX(MassProp!C$9:C$150,MATCH($M22,MassProp!$B$9:$B$150,0)),"")</f>
        <v>1.9300999999999999</v>
      </c>
      <c r="AX22" s="830">
        <f>IFERROR(INDEX(MassProp!D$9:D$150,MATCH($M22,MassProp!$B$9:$B$150,0)),"")</f>
        <v>0.1676</v>
      </c>
      <c r="AY22" s="831">
        <f>IFERROR(INDEX(MassProp!E$9:E$150,MATCH($M22,MassProp!$B$9:$B$150,0)),"")</f>
        <v>3.5499999999999997E-2</v>
      </c>
      <c r="AZ22" s="297">
        <f t="shared" si="148"/>
        <v>0.43060621534093901</v>
      </c>
      <c r="BA22" s="296">
        <f t="shared" si="16"/>
        <v>0.32059634083417482</v>
      </c>
      <c r="BB22" s="190">
        <f t="shared" si="149"/>
        <v>-0.11502387423538177</v>
      </c>
      <c r="BC22" s="9"/>
      <c r="BD22" s="5">
        <f t="shared" si="150"/>
        <v>1.9300999999999999</v>
      </c>
      <c r="BE22" s="6">
        <f t="shared" si="17"/>
        <v>-0.16592402775024492</v>
      </c>
      <c r="BF22" s="4">
        <f t="shared" si="18"/>
        <v>1.7856242987971149</v>
      </c>
      <c r="BG22" s="5">
        <f t="shared" si="19"/>
        <v>-1.0423729708120617</v>
      </c>
      <c r="BH22" s="10">
        <f t="shared" si="20"/>
        <v>-5.0900153514863149E-2</v>
      </c>
      <c r="BI22" s="9">
        <f t="shared" si="151"/>
        <v>1.7856242987971149</v>
      </c>
      <c r="BJ22" s="5">
        <f t="shared" si="21"/>
        <v>-0.74044407909023024</v>
      </c>
      <c r="BK22" s="8">
        <f t="shared" si="22"/>
        <v>-1.0042306021755711</v>
      </c>
      <c r="BL22" s="173">
        <f t="shared" si="23"/>
        <v>2.6480006792114739</v>
      </c>
      <c r="BM22" s="5">
        <f t="shared" si="24"/>
        <v>-1.525013379160721</v>
      </c>
      <c r="BN22" s="6">
        <f t="shared" si="25"/>
        <v>-0.20375699743252346</v>
      </c>
      <c r="BO22" s="4">
        <f t="shared" si="152"/>
        <v>-0.50626769450897102</v>
      </c>
      <c r="BP22" s="5">
        <f t="shared" si="153"/>
        <v>-0.82212966165481838</v>
      </c>
      <c r="BQ22" s="5">
        <f t="shared" si="154"/>
        <v>-0.26037634478559191</v>
      </c>
      <c r="BR22" s="6">
        <f t="shared" si="155"/>
        <v>3.3784963278139422E-2</v>
      </c>
      <c r="BS22" s="4">
        <f t="shared" si="112"/>
        <v>0</v>
      </c>
      <c r="BT22" s="5">
        <f t="shared" si="112"/>
        <v>0</v>
      </c>
      <c r="BU22" s="10">
        <f t="shared" si="113"/>
        <v>-0.16592402775024492</v>
      </c>
      <c r="BV22" s="9">
        <f t="shared" si="114"/>
        <v>0</v>
      </c>
      <c r="BW22" s="5">
        <f t="shared" si="115"/>
        <v>1</v>
      </c>
      <c r="BX22" s="8">
        <f t="shared" si="116"/>
        <v>-0.16592402775024492</v>
      </c>
      <c r="BY22" s="173">
        <f t="shared" si="117"/>
        <v>1</v>
      </c>
      <c r="BZ22" s="5">
        <f t="shared" si="118"/>
        <v>0</v>
      </c>
      <c r="CA22" s="6">
        <f t="shared" si="119"/>
        <v>-0.16592402775024492</v>
      </c>
      <c r="CB22" s="4">
        <f t="shared" si="156"/>
        <v>0</v>
      </c>
      <c r="CC22" s="5">
        <f t="shared" si="157"/>
        <v>0</v>
      </c>
      <c r="CD22" s="5">
        <f t="shared" si="158"/>
        <v>-1</v>
      </c>
      <c r="CE22" s="6">
        <f t="shared" si="159"/>
        <v>-0.16592402775024492</v>
      </c>
      <c r="CF22" s="4">
        <f t="shared" si="160"/>
        <v>0.82212966165481838</v>
      </c>
      <c r="CG22" s="5">
        <f t="shared" si="161"/>
        <v>-0.50626769450897102</v>
      </c>
      <c r="CH22" s="5">
        <f t="shared" si="162"/>
        <v>0</v>
      </c>
      <c r="CI22" s="4">
        <f t="shared" si="120"/>
        <v>0</v>
      </c>
      <c r="CJ22" s="5">
        <f t="shared" si="121"/>
        <v>9.3644176492655926E-2</v>
      </c>
      <c r="CK22" s="8">
        <f t="shared" si="122"/>
        <v>-0.16592402775024492</v>
      </c>
      <c r="CL22" s="173">
        <f t="shared" si="123"/>
        <v>0.82212966165481838</v>
      </c>
      <c r="CM22" s="5">
        <f t="shared" si="124"/>
        <v>-0.41262351801631508</v>
      </c>
      <c r="CN22" s="6">
        <f t="shared" si="125"/>
        <v>-0.16592402775024492</v>
      </c>
      <c r="CO22" s="167">
        <f t="shared" si="26"/>
        <v>0.3125</v>
      </c>
      <c r="CP22" s="4">
        <f t="shared" si="248"/>
        <v>0.932204159076095</v>
      </c>
      <c r="CQ22" s="5">
        <f t="shared" si="249"/>
        <v>-4.0862869654026239</v>
      </c>
      <c r="CR22" s="5">
        <f t="shared" si="163"/>
        <v>4.3945633370691537</v>
      </c>
      <c r="CS22" s="8">
        <f t="shared" si="164"/>
        <v>0.31122028306263161</v>
      </c>
      <c r="CT22" s="9">
        <f t="shared" si="165"/>
        <v>2.4909555094262492</v>
      </c>
      <c r="CU22" s="6">
        <f t="shared" si="166"/>
        <v>1.8925123453541153</v>
      </c>
      <c r="CV22" s="4">
        <f t="shared" si="250"/>
        <v>2.047888410161808</v>
      </c>
      <c r="CW22" s="5">
        <f t="shared" si="167"/>
        <v>-1.1674461263889908</v>
      </c>
      <c r="CX22" s="8">
        <f t="shared" si="168"/>
        <v>-0.16592402775024492</v>
      </c>
      <c r="CY22" s="9">
        <f t="shared" si="169"/>
        <v>1.5558905341635456</v>
      </c>
      <c r="CZ22" s="5">
        <f t="shared" si="170"/>
        <v>-0.86447368541953762</v>
      </c>
      <c r="DA22" s="6">
        <f t="shared" si="171"/>
        <v>-0.16592402775024492</v>
      </c>
      <c r="DB22" s="4">
        <f t="shared" si="172"/>
        <v>0</v>
      </c>
      <c r="DC22" s="5">
        <f t="shared" si="172"/>
        <v>0</v>
      </c>
      <c r="DD22" s="10">
        <f t="shared" si="173"/>
        <v>-10</v>
      </c>
      <c r="DE22" s="9">
        <f t="shared" si="174"/>
        <v>0</v>
      </c>
      <c r="DF22" s="5">
        <f t="shared" si="174"/>
        <v>0</v>
      </c>
      <c r="DG22" s="10">
        <f t="shared" si="175"/>
        <v>10</v>
      </c>
      <c r="DH22" s="70">
        <f t="shared" si="176"/>
        <v>1.9300999999999999</v>
      </c>
      <c r="DI22" s="4">
        <f t="shared" si="177"/>
        <v>0</v>
      </c>
      <c r="DJ22" s="5">
        <f t="shared" si="178"/>
        <v>0</v>
      </c>
      <c r="DK22" s="10">
        <f t="shared" si="179"/>
        <v>20</v>
      </c>
      <c r="DL22" s="9">
        <f t="shared" si="180"/>
        <v>2.047888410161808</v>
      </c>
      <c r="DM22" s="173">
        <f t="shared" si="181"/>
        <v>-1.1674461263889908</v>
      </c>
      <c r="DN22" s="178">
        <f t="shared" si="182"/>
        <v>9.8340759722497548</v>
      </c>
      <c r="DO22" s="9">
        <f t="shared" si="183"/>
        <v>-0.49199787599826239</v>
      </c>
      <c r="DP22" s="173">
        <f t="shared" si="184"/>
        <v>0.30297244096945319</v>
      </c>
      <c r="DQ22" s="11">
        <f t="shared" si="185"/>
        <v>0</v>
      </c>
      <c r="DR22" s="173">
        <f t="shared" si="186"/>
        <v>196.6815194449951</v>
      </c>
      <c r="DS22" s="5">
        <f t="shared" si="187"/>
        <v>0</v>
      </c>
      <c r="DT22" s="5">
        <f t="shared" si="188"/>
        <v>400</v>
      </c>
      <c r="DU22" s="5">
        <f t="shared" si="189"/>
        <v>0.33385420997379039</v>
      </c>
      <c r="DV22" s="5">
        <f t="shared" si="190"/>
        <v>-1.3612607506934733</v>
      </c>
      <c r="DW22" s="5">
        <f t="shared" si="191"/>
        <v>102.26582762647567</v>
      </c>
      <c r="DX22" s="167">
        <f t="shared" si="192"/>
        <v>98.540541616475664</v>
      </c>
      <c r="DY22" s="9">
        <f t="shared" si="193"/>
        <v>133.54168398951614</v>
      </c>
      <c r="DZ22" s="5">
        <f t="shared" si="194"/>
        <v>-544.50430027738935</v>
      </c>
      <c r="EA22" s="10">
        <f t="shared" si="195"/>
        <v>732.59655539827509</v>
      </c>
      <c r="EB22" s="6">
        <f t="shared" si="196"/>
        <v>198652.75532776487</v>
      </c>
      <c r="EC22" s="173">
        <f t="shared" si="197"/>
        <v>7.4149812676139355</v>
      </c>
      <c r="ED22" s="5">
        <f t="shared" si="198"/>
        <v>0.73984026841127071</v>
      </c>
      <c r="EE22" s="4">
        <f t="shared" si="199"/>
        <v>-1.6002666240711516</v>
      </c>
      <c r="EF22" s="5">
        <f t="shared" si="200"/>
        <v>1.0790888480027734</v>
      </c>
      <c r="EG22" s="10">
        <f t="shared" si="201"/>
        <v>-0.16592402775024492</v>
      </c>
      <c r="EH22" s="9">
        <f t="shared" si="202"/>
        <v>1.6838885695254784</v>
      </c>
      <c r="EI22" s="5">
        <f t="shared" si="203"/>
        <v>-0.94329491434093271</v>
      </c>
      <c r="EJ22" s="6">
        <f t="shared" si="204"/>
        <v>-0.16592402775024492</v>
      </c>
      <c r="EK22" s="236" t="b">
        <f t="shared" si="205"/>
        <v>0</v>
      </c>
      <c r="EL22" s="238" t="b">
        <f t="shared" si="206"/>
        <v>1</v>
      </c>
      <c r="EM22" s="4">
        <f t="shared" si="207"/>
        <v>1.6838885695254784</v>
      </c>
      <c r="EN22" s="5">
        <f t="shared" si="208"/>
        <v>-0.94329491434093271</v>
      </c>
      <c r="EO22" s="10">
        <f t="shared" si="209"/>
        <v>-0.16592402775024492</v>
      </c>
      <c r="EP22" s="9">
        <f t="shared" si="210"/>
        <v>330.7429549769991</v>
      </c>
      <c r="EQ22" s="5">
        <f t="shared" si="211"/>
        <v>1.9301000000000077</v>
      </c>
      <c r="ER22" s="7">
        <f t="shared" si="212"/>
        <v>-0.16592402775024492</v>
      </c>
      <c r="ES22" s="21">
        <f t="shared" si="126"/>
        <v>-0.50626769450897102</v>
      </c>
      <c r="ET22" s="5">
        <f t="shared" si="35"/>
        <v>-0.82212966165481816</v>
      </c>
      <c r="EU22" s="10">
        <f t="shared" si="36"/>
        <v>-0.26037634478559207</v>
      </c>
      <c r="EV22" s="174">
        <f t="shared" si="264"/>
        <v>119.2570450230009</v>
      </c>
      <c r="EW22" s="9">
        <f t="shared" si="127"/>
        <v>0.96468290837459769</v>
      </c>
      <c r="EX22" s="5">
        <f t="shared" si="37"/>
        <v>-3.9887910023237938E-2</v>
      </c>
      <c r="EY22" s="6">
        <f t="shared" si="213"/>
        <v>-0.26037634478559207</v>
      </c>
      <c r="EZ22" s="51">
        <f t="shared" si="214"/>
        <v>1.1809770343619428</v>
      </c>
      <c r="FA22" s="266">
        <f t="shared" si="128"/>
        <v>-0.48862470394398777</v>
      </c>
      <c r="FB22" s="267">
        <f t="shared" si="129"/>
        <v>-0.87225059867297561</v>
      </c>
      <c r="FC22" s="269">
        <f t="shared" si="38"/>
        <v>-2.0610478167327542E-2</v>
      </c>
      <c r="FD22" s="4">
        <f t="shared" si="130"/>
        <v>0.99978758153405467</v>
      </c>
      <c r="FE22" s="5">
        <f t="shared" si="39"/>
        <v>-2.7755575615628914E-16</v>
      </c>
      <c r="FF22" s="7">
        <f t="shared" si="215"/>
        <v>-2.0610478167327542E-2</v>
      </c>
      <c r="FG22" s="173">
        <f t="shared" si="216"/>
        <v>-3.5104673159456978E-2</v>
      </c>
      <c r="FH22" s="5">
        <f t="shared" si="40"/>
        <v>-3.988791002323766E-2</v>
      </c>
      <c r="FI22" s="10">
        <f t="shared" si="41"/>
        <v>-0.23976586661826454</v>
      </c>
      <c r="FJ22" s="279">
        <f t="shared" si="217"/>
        <v>14.106476236936524</v>
      </c>
      <c r="FK22" s="4">
        <f t="shared" si="42"/>
        <v>0.96550720301616322</v>
      </c>
      <c r="FL22" s="5">
        <f t="shared" si="218"/>
        <v>0.99978758153405467</v>
      </c>
      <c r="FM22" s="8">
        <f t="shared" si="219"/>
        <v>5.3135519604631726E-2</v>
      </c>
      <c r="FN22" s="9">
        <f t="shared" si="220"/>
        <v>2.3677291030322447</v>
      </c>
      <c r="FO22" s="10">
        <f t="shared" si="43"/>
        <v>1</v>
      </c>
      <c r="FP22" s="277">
        <f t="shared" si="44"/>
        <v>2.3677291030322447</v>
      </c>
      <c r="FQ22" s="173">
        <f t="shared" si="251"/>
        <v>4.1312907763537722E-2</v>
      </c>
      <c r="FR22" s="10">
        <f t="shared" si="221"/>
        <v>0.9991462573878368</v>
      </c>
      <c r="FS22" s="9">
        <f t="shared" si="222"/>
        <v>3.9706419191883592E-2</v>
      </c>
      <c r="FT22" s="6">
        <f t="shared" si="223"/>
        <v>0.96029358080811633</v>
      </c>
      <c r="FU22" s="4">
        <f t="shared" si="224"/>
        <v>0.99920416063684303</v>
      </c>
      <c r="FV22" s="5">
        <f t="shared" si="225"/>
        <v>1</v>
      </c>
      <c r="FW22" s="8">
        <f t="shared" si="252"/>
        <v>0.24232211800172043</v>
      </c>
      <c r="FX22" s="9">
        <f t="shared" si="253"/>
        <v>13.92372424923164</v>
      </c>
      <c r="FY22" s="10">
        <f t="shared" si="45"/>
        <v>1</v>
      </c>
      <c r="FZ22" s="277">
        <f t="shared" si="254"/>
        <v>13.92372424923164</v>
      </c>
      <c r="GA22" s="177">
        <f t="shared" si="226"/>
        <v>13.911937997021083</v>
      </c>
      <c r="GB22" s="4">
        <f t="shared" si="227"/>
        <v>-4.0099007621780695E-2</v>
      </c>
      <c r="GC22" s="5">
        <f t="shared" si="228"/>
        <v>0.96978827100689535</v>
      </c>
      <c r="GD22" s="10">
        <f t="shared" si="229"/>
        <v>-0.24062996281677998</v>
      </c>
      <c r="GE22" s="311">
        <f t="shared" si="230"/>
        <v>1.2505172414454562</v>
      </c>
      <c r="GF22" s="341">
        <f t="shared" si="255"/>
        <v>0.79966910239807121</v>
      </c>
      <c r="GG22" s="285">
        <f t="shared" si="46"/>
        <v>3.2065937431962781E-2</v>
      </c>
      <c r="GH22" s="286">
        <f t="shared" si="47"/>
        <v>0.77550971619226139</v>
      </c>
      <c r="GI22" s="281">
        <f t="shared" si="48"/>
        <v>0.19242434637577568</v>
      </c>
      <c r="GJ22" s="167">
        <f t="shared" si="231"/>
        <v>1.9300999999999999</v>
      </c>
      <c r="GK22" s="174">
        <f t="shared" si="49"/>
        <v>1.010812712067932</v>
      </c>
      <c r="GL22" s="174">
        <f t="shared" si="232"/>
        <v>3.5499999999999997E-2</v>
      </c>
      <c r="GM22" s="177">
        <f>IF(ISNUMBER($AV22),AZ22,"")</f>
        <v>0.43060621534093901</v>
      </c>
      <c r="GN22" s="280">
        <f t="shared" si="233"/>
        <v>0.32059634083417482</v>
      </c>
      <c r="GO22" s="4">
        <f t="shared" si="234"/>
        <v>2.3677291030322447</v>
      </c>
      <c r="GP22" s="8">
        <f t="shared" si="257"/>
        <v>13.92372424923164</v>
      </c>
      <c r="GQ22" s="177">
        <f t="shared" si="235"/>
        <v>14.106476236936524</v>
      </c>
      <c r="GR22" s="371">
        <f t="shared" si="258"/>
        <v>1365.0036751450632</v>
      </c>
      <c r="GS22" s="342">
        <f t="shared" si="51"/>
        <v>43.770122441600847</v>
      </c>
      <c r="GT22" s="343">
        <f t="shared" si="52"/>
        <v>43.301911342265811</v>
      </c>
      <c r="GU22" s="344">
        <f t="shared" si="53"/>
        <v>1058.5736127131418</v>
      </c>
      <c r="GV22" s="343">
        <f t="shared" si="265"/>
        <v>1047.25</v>
      </c>
      <c r="GW22" s="345">
        <f t="shared" si="54"/>
        <v>29500</v>
      </c>
      <c r="GX22" s="346">
        <f t="shared" si="55"/>
        <v>168.44143541666665</v>
      </c>
      <c r="GY22" s="344">
        <f t="shared" si="56"/>
        <v>262.65993999032042</v>
      </c>
      <c r="GZ22" s="345">
        <f t="shared" si="57"/>
        <v>259.85025401289994</v>
      </c>
      <c r="HA22" s="342">
        <f t="shared" si="58"/>
        <v>43.770122441600847</v>
      </c>
      <c r="HB22" s="5">
        <f t="shared" si="236"/>
        <v>119.2570450230009</v>
      </c>
      <c r="HC22" s="343">
        <f t="shared" si="237"/>
        <v>-21.391707113228243</v>
      </c>
      <c r="HD22" s="345">
        <f t="shared" si="238"/>
        <v>38.186627048413037</v>
      </c>
      <c r="HE22" s="344">
        <f t="shared" si="59"/>
        <v>1047.25</v>
      </c>
      <c r="HF22" s="5">
        <f t="shared" si="60"/>
        <v>209.2570450230009</v>
      </c>
      <c r="HG22" s="343">
        <f t="shared" si="239"/>
        <v>-913.65851740093808</v>
      </c>
      <c r="HH22" s="349">
        <f t="shared" si="240"/>
        <v>-511.82094142455696</v>
      </c>
      <c r="HI22" s="317">
        <f t="shared" si="61"/>
        <v>3.1080000000000001</v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3.1080000000000001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  <c r="JM22" s="489">
        <f t="shared" si="133"/>
        <v>8</v>
      </c>
      <c r="JN22" s="960">
        <f>($JO22-SMALL($JO$9:$JO$88,1))/((Settings!$C$19/2)-((Settings!$C$19/2)-LARGE($JO$9:$JO$88,1))-SMALL($JO$9:$JO$88,1))</f>
        <v>0.51632103698083009</v>
      </c>
      <c r="JO22" s="162">
        <f t="shared" si="134"/>
        <v>2.0676062359004073</v>
      </c>
      <c r="JP22" s="961">
        <f t="shared" si="135"/>
        <v>-4.9934656900174108</v>
      </c>
      <c r="JQ22" s="961">
        <f t="shared" si="136"/>
        <v>15.151269737293189</v>
      </c>
      <c r="JS22" s="82">
        <v>14</v>
      </c>
      <c r="JT22" s="322">
        <f t="shared" si="137"/>
        <v>2.8656086426756673</v>
      </c>
      <c r="JU22" s="963">
        <f t="shared" si="138"/>
        <v>0.75527260428971077</v>
      </c>
      <c r="JV22" s="964">
        <v>1.5</v>
      </c>
      <c r="JW22" s="961">
        <f t="shared" si="92"/>
        <v>15.936778823704232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12.479446900677196</v>
      </c>
      <c r="KG22" s="966">
        <f t="shared" si="244"/>
        <v>-3.837426666666671</v>
      </c>
      <c r="KH22" s="966">
        <f t="shared" si="141"/>
        <v>-2.5205530993228038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2.4496326622762261</v>
      </c>
      <c r="C23" s="572">
        <f t="shared" si="285"/>
        <v>-1.4869474479237548</v>
      </c>
      <c r="D23" s="576">
        <f t="shared" si="285"/>
        <v>-0.20000060320181925</v>
      </c>
      <c r="E23" s="580">
        <f t="shared" ref="E23:K23" si="286">R178</f>
        <v>0.64768868444151129</v>
      </c>
      <c r="F23" s="572">
        <f t="shared" si="286"/>
        <v>0.73169773292332718</v>
      </c>
      <c r="G23" s="579">
        <f t="shared" si="286"/>
        <v>0.21240949997890363</v>
      </c>
      <c r="H23" s="580">
        <f t="shared" si="286"/>
        <v>0.3125</v>
      </c>
      <c r="I23" s="572">
        <f t="shared" si="286"/>
        <v>0.52</v>
      </c>
      <c r="J23" s="483">
        <f t="shared" si="94"/>
        <v>3.1139999999999999</v>
      </c>
      <c r="K23" s="806">
        <f t="shared" si="286"/>
        <v>1613</v>
      </c>
      <c r="M23" s="164">
        <f t="shared" si="4"/>
        <v>3.1139999999999999</v>
      </c>
      <c r="N23" s="575">
        <f t="shared" si="5"/>
        <v>2.4496326622762261</v>
      </c>
      <c r="O23" s="572">
        <f t="shared" si="6"/>
        <v>-1.4869474479237548</v>
      </c>
      <c r="P23" s="576">
        <f t="shared" si="7"/>
        <v>-0.20000060320181925</v>
      </c>
      <c r="Q23" s="528">
        <f t="shared" si="144"/>
        <v>328.74190018164711</v>
      </c>
      <c r="R23" s="572">
        <f t="shared" si="95"/>
        <v>2.8656086426756673</v>
      </c>
      <c r="S23" s="577">
        <f t="shared" si="96"/>
        <v>-0.20000060320181925</v>
      </c>
      <c r="T23" s="578">
        <f t="shared" si="97"/>
        <v>-1.4047201470329873</v>
      </c>
      <c r="U23" s="572">
        <f t="shared" si="98"/>
        <v>-2.4976937765661149</v>
      </c>
      <c r="V23" s="579">
        <f t="shared" si="145"/>
        <v>-0.20000060320181925</v>
      </c>
      <c r="W23" s="528">
        <f t="shared" si="268"/>
        <v>240.64629990668581</v>
      </c>
      <c r="X23" s="572">
        <f t="shared" si="99"/>
        <v>2.8656086426756673</v>
      </c>
      <c r="Y23" s="573">
        <f t="shared" si="271"/>
        <v>-0.20000060320181925</v>
      </c>
      <c r="Z23" s="575">
        <f t="shared" si="10"/>
        <v>-0.64768868444151129</v>
      </c>
      <c r="AA23" s="572">
        <f t="shared" si="11"/>
        <v>-0.73169773292332718</v>
      </c>
      <c r="AB23" s="572">
        <f t="shared" si="12"/>
        <v>-0.21240949997890363</v>
      </c>
      <c r="AC23" s="579">
        <f t="shared" si="100"/>
        <v>1</v>
      </c>
      <c r="AD23" s="580">
        <f t="shared" si="146"/>
        <v>-0.64768868444151129</v>
      </c>
      <c r="AE23" s="572">
        <f t="shared" si="101"/>
        <v>-0.73169773292332718</v>
      </c>
      <c r="AF23" s="576">
        <f t="shared" si="102"/>
        <v>-0.21240949997890363</v>
      </c>
      <c r="AG23" s="545">
        <f t="shared" si="103"/>
        <v>-73.812156805385357</v>
      </c>
      <c r="AH23" s="546">
        <f t="shared" si="104"/>
        <v>130.36756441120843</v>
      </c>
      <c r="AI23" s="528">
        <f t="shared" si="105"/>
        <v>-77.7364074138289</v>
      </c>
      <c r="AJ23" s="529">
        <f t="shared" si="106"/>
        <v>-41.514808450331856</v>
      </c>
      <c r="AK23" s="578">
        <f t="shared" si="247"/>
        <v>0.96156525382650293</v>
      </c>
      <c r="AL23" s="572">
        <f t="shared" si="107"/>
        <v>-0.17399559463470637</v>
      </c>
      <c r="AM23" s="577">
        <f t="shared" si="108"/>
        <v>-0.21240949997890363</v>
      </c>
      <c r="AN23" s="524">
        <f t="shared" si="109"/>
        <v>-39.322676753629821</v>
      </c>
      <c r="AO23" s="525">
        <f t="shared" si="110"/>
        <v>15.936778823704232</v>
      </c>
      <c r="AP23" s="528">
        <f t="shared" si="111"/>
        <v>-10.256708631978965</v>
      </c>
      <c r="AQ23" s="529">
        <f t="shared" si="13"/>
        <v>0.7954959764688686</v>
      </c>
      <c r="AR23" s="979"/>
      <c r="AS23" s="954">
        <f t="shared" si="147"/>
        <v>-119.35370009331419</v>
      </c>
      <c r="AT23" s="950">
        <f t="shared" si="14"/>
        <v>-0.1157935894390742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3.1139999999999999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42"/>
        <v/>
      </c>
      <c r="IN23" s="670" t="str">
        <f t="shared" si="81"/>
        <v/>
      </c>
      <c r="IO23" s="702">
        <v>3.83227788409349E-2</v>
      </c>
      <c r="IP23" s="5" t="str">
        <f t="shared" si="82"/>
        <v/>
      </c>
      <c r="IQ23" s="714">
        <v>420</v>
      </c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  <c r="JM23" s="489">
        <f t="shared" si="133"/>
        <v>14</v>
      </c>
      <c r="JN23" s="960">
        <f>($JO23-SMALL($JO$9:$JO$88,1))/((Settings!$C$19/2)-((Settings!$C$19/2)-LARGE($JO$9:$JO$88,1))-SMALL($JO$9:$JO$88,1))</f>
        <v>0.75527260428971077</v>
      </c>
      <c r="JO23" s="162">
        <f t="shared" si="134"/>
        <v>2.8656086426756673</v>
      </c>
      <c r="JP23" s="961">
        <f t="shared" si="135"/>
        <v>-39.322676753629821</v>
      </c>
      <c r="JQ23" s="961">
        <f t="shared" si="136"/>
        <v>15.936778823704232</v>
      </c>
      <c r="JS23" s="82">
        <v>15</v>
      </c>
      <c r="JT23" s="322">
        <f t="shared" si="137"/>
        <v>2.9816089925327214</v>
      </c>
      <c r="JU23" s="963">
        <f t="shared" si="138"/>
        <v>0.79000741858523693</v>
      </c>
      <c r="JV23" s="961">
        <f t="shared" ref="JV23:JV53" si="287">INDEX($JM$9:$JQ$88,MATCH($JS23,$JM$9:$JM$88,0),4)</f>
        <v>-44.54738222645603</v>
      </c>
      <c r="JW23" s="961">
        <f t="shared" si="92"/>
        <v>16.102520271270226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14.752358084364392</v>
      </c>
      <c r="KG23" s="966">
        <f t="shared" si="244"/>
        <v>-3.8120333333333321</v>
      </c>
      <c r="KH23" s="966">
        <f t="shared" si="141"/>
        <v>2.2729111836871958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2.9142639604898943</v>
      </c>
      <c r="C24" s="572">
        <f t="shared" si="288"/>
        <v>-1.832469181999101</v>
      </c>
      <c r="D24" s="576">
        <f t="shared" si="288"/>
        <v>-0.73440221495708025</v>
      </c>
      <c r="E24" s="580">
        <f t="shared" ref="E24:K24" si="289">R179</f>
        <v>0.77048535162025389</v>
      </c>
      <c r="F24" s="572">
        <f t="shared" si="289"/>
        <v>0.61520749005718856</v>
      </c>
      <c r="G24" s="579">
        <f t="shared" si="289"/>
        <v>0.16694929504537614</v>
      </c>
      <c r="H24" s="580">
        <f t="shared" si="289"/>
        <v>0.3125</v>
      </c>
      <c r="I24" s="572">
        <f t="shared" si="289"/>
        <v>0.52</v>
      </c>
      <c r="J24" s="483">
        <f t="shared" si="94"/>
        <v>3.12</v>
      </c>
      <c r="K24" s="806">
        <f t="shared" si="289"/>
        <v>1613</v>
      </c>
      <c r="L24" s="82"/>
      <c r="M24" s="164">
        <f t="shared" si="4"/>
        <v>3.12</v>
      </c>
      <c r="N24" s="575">
        <f t="shared" si="5"/>
        <v>2.9142639604898943</v>
      </c>
      <c r="O24" s="572">
        <f t="shared" si="6"/>
        <v>-1.832469181999101</v>
      </c>
      <c r="P24" s="576">
        <f t="shared" si="7"/>
        <v>-0.73440221495708025</v>
      </c>
      <c r="Q24" s="528">
        <f t="shared" si="144"/>
        <v>327.83860031206746</v>
      </c>
      <c r="R24" s="572">
        <f t="shared" si="95"/>
        <v>3.4425103826113146</v>
      </c>
      <c r="S24" s="577">
        <f t="shared" si="96"/>
        <v>-0.73440221495708025</v>
      </c>
      <c r="T24" s="578">
        <f t="shared" si="97"/>
        <v>-1.7346104452505329</v>
      </c>
      <c r="U24" s="572">
        <f t="shared" si="98"/>
        <v>-2.9735507962055143</v>
      </c>
      <c r="V24" s="579">
        <f t="shared" si="145"/>
        <v>-0.73440221495708025</v>
      </c>
      <c r="W24" s="528">
        <f t="shared" si="268"/>
        <v>239.74300003710616</v>
      </c>
      <c r="X24" s="572">
        <f t="shared" si="99"/>
        <v>3.4425103826113146</v>
      </c>
      <c r="Y24" s="573">
        <f t="shared" si="271"/>
        <v>-0.73440221495708025</v>
      </c>
      <c r="Z24" s="575">
        <f t="shared" si="10"/>
        <v>-0.77048535162025389</v>
      </c>
      <c r="AA24" s="572">
        <f t="shared" si="11"/>
        <v>-0.61520749005718856</v>
      </c>
      <c r="AB24" s="572">
        <f t="shared" si="12"/>
        <v>-0.16694929504537614</v>
      </c>
      <c r="AC24" s="579">
        <f t="shared" si="100"/>
        <v>1</v>
      </c>
      <c r="AD24" s="580">
        <f t="shared" si="146"/>
        <v>-0.77048535162025389</v>
      </c>
      <c r="AE24" s="572">
        <f t="shared" si="101"/>
        <v>-0.61520749005718856</v>
      </c>
      <c r="AF24" s="576">
        <f t="shared" si="102"/>
        <v>-0.16694929504537614</v>
      </c>
      <c r="AG24" s="545">
        <f t="shared" si="103"/>
        <v>-74.817250369735405</v>
      </c>
      <c r="AH24" s="546">
        <f t="shared" si="104"/>
        <v>140.39749302934237</v>
      </c>
      <c r="AI24" s="528">
        <f t="shared" si="105"/>
        <v>-80.389508256491396</v>
      </c>
      <c r="AJ24" s="529">
        <f t="shared" si="106"/>
        <v>-51.393772914693216</v>
      </c>
      <c r="AK24" s="578">
        <f>IF(M24="","",(COS(RADIANS((90-$Q$8)-W24))*AD24)+(-SIN(RADIANS((90-$Q$8)-W24))*AE24))</f>
        <v>0.93093914682458911</v>
      </c>
      <c r="AL24" s="572">
        <f t="shared" si="107"/>
        <v>-0.32477721255247932</v>
      </c>
      <c r="AM24" s="577">
        <f t="shared" si="108"/>
        <v>-0.16694929504537614</v>
      </c>
      <c r="AN24" s="524">
        <f t="shared" si="109"/>
        <v>-62.794909243580349</v>
      </c>
      <c r="AO24" s="525">
        <f t="shared" si="110"/>
        <v>21.418312808828968</v>
      </c>
      <c r="AP24" s="528">
        <f t="shared" si="111"/>
        <v>-19.232373226760654</v>
      </c>
      <c r="AQ24" s="529">
        <f t="shared" si="13"/>
        <v>0.66219847479766081</v>
      </c>
      <c r="AR24" s="979"/>
      <c r="AS24" s="954">
        <f t="shared" si="147"/>
        <v>-120.25699996289384</v>
      </c>
      <c r="AT24" s="950">
        <f t="shared" si="14"/>
        <v>-0.64956790961823818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3.12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1613</v>
      </c>
      <c r="IM24" s="482" t="str">
        <f t="shared" si="242"/>
        <v/>
      </c>
      <c r="IN24" s="670" t="str">
        <f t="shared" si="81"/>
        <v/>
      </c>
      <c r="IO24" s="702">
        <v>3.5763617828833902E-2</v>
      </c>
      <c r="IP24" s="5" t="str">
        <f t="shared" si="82"/>
        <v/>
      </c>
      <c r="IQ24" s="714">
        <v>500</v>
      </c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20</v>
      </c>
      <c r="JN24" s="960">
        <f>($JO24-SMALL($JO$9:$JO$88,1))/((Settings!$C$19/2)-((Settings!$C$19/2)-LARGE($JO$9:$JO$88,1))-SMALL($JO$9:$JO$88,1))</f>
        <v>0.92801841779910055</v>
      </c>
      <c r="JO24" s="162">
        <f t="shared" si="134"/>
        <v>3.4425103826113146</v>
      </c>
      <c r="JP24" s="961">
        <f t="shared" si="135"/>
        <v>-62.794909243580349</v>
      </c>
      <c r="JQ24" s="961">
        <f t="shared" si="136"/>
        <v>21.418312808828968</v>
      </c>
      <c r="JS24" s="82">
        <v>16</v>
      </c>
      <c r="JT24" s="322">
        <f t="shared" si="137"/>
        <v>3.0904093206745125</v>
      </c>
      <c r="JU24" s="963">
        <f t="shared" si="138"/>
        <v>0.82258627889000702</v>
      </c>
      <c r="JV24" s="961">
        <f t="shared" si="287"/>
        <v>-49.742796391608337</v>
      </c>
      <c r="JW24" s="961">
        <f>INDEX($JM$9:$JQ$88,MATCH($JS24,$JM$9:$JM$88,0),5)</f>
        <v>16.269130709601903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3</v>
      </c>
      <c r="KD24" s="970">
        <v>-15.036806666666671</v>
      </c>
      <c r="KE24" s="968">
        <f t="shared" si="140"/>
        <v>-18.036806666666671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15.215442008080126</v>
      </c>
      <c r="KG24" s="966">
        <f t="shared" si="244"/>
        <v>-3.8247733333333382</v>
      </c>
      <c r="KH24" s="966">
        <f t="shared" si="141"/>
        <v>0.46308392371573426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3.0826304224058583</v>
      </c>
      <c r="C25" s="572">
        <f t="shared" si="290"/>
        <v>-1.9645405158712943</v>
      </c>
      <c r="D25" s="576">
        <f t="shared" si="290"/>
        <v>-1.4729044422797983</v>
      </c>
      <c r="E25" s="580">
        <f t="shared" ref="E25:K25" si="291">R180</f>
        <v>0.8819466304234479</v>
      </c>
      <c r="F25" s="572">
        <f t="shared" si="291"/>
        <v>0.46318241082616823</v>
      </c>
      <c r="G25" s="579">
        <f t="shared" si="291"/>
        <v>8.7362436927922171E-2</v>
      </c>
      <c r="H25" s="580">
        <f t="shared" si="291"/>
        <v>0.3125</v>
      </c>
      <c r="I25" s="572">
        <f t="shared" si="291"/>
        <v>0.52</v>
      </c>
      <c r="J25" s="483">
        <f t="shared" si="94"/>
        <v>3.1259999999999999</v>
      </c>
      <c r="K25" s="806">
        <f t="shared" si="291"/>
        <v>1613</v>
      </c>
      <c r="L25" s="82"/>
      <c r="M25" s="164">
        <f t="shared" si="4"/>
        <v>3.1259999999999999</v>
      </c>
      <c r="N25" s="575">
        <f t="shared" si="5"/>
        <v>3.0826304224058583</v>
      </c>
      <c r="O25" s="572">
        <f t="shared" si="6"/>
        <v>-1.9645405158712943</v>
      </c>
      <c r="P25" s="576">
        <f t="shared" si="7"/>
        <v>-1.4729044422797983</v>
      </c>
      <c r="Q25" s="528">
        <f t="shared" si="144"/>
        <v>327.49090036226914</v>
      </c>
      <c r="R25" s="572">
        <f>IF(M25="","",SQRT(N25^2+O25^2))</f>
        <v>3.6554110247196512</v>
      </c>
      <c r="S25" s="577">
        <f>IF(M25="","",P25)</f>
        <v>-1.4729044422797983</v>
      </c>
      <c r="T25" s="578">
        <f>IF(M25="","",X25*COS(RADIANS(W25)))</f>
        <v>-1.8610136900061711</v>
      </c>
      <c r="U25" s="572">
        <f>IF(M25="","",X25*SIN(RADIANS(W25)))</f>
        <v>-3.1462132485341145</v>
      </c>
      <c r="V25" s="579">
        <f>IF(M25="","",Y25)</f>
        <v>-1.4729044422797983</v>
      </c>
      <c r="W25" s="528">
        <f t="shared" si="268"/>
        <v>239.39530008730785</v>
      </c>
      <c r="X25" s="572">
        <f>IF(M25="","",R25)</f>
        <v>3.6554110247196512</v>
      </c>
      <c r="Y25" s="573">
        <f t="shared" si="271"/>
        <v>-1.4729044422797983</v>
      </c>
      <c r="Z25" s="575">
        <f t="shared" si="10"/>
        <v>-0.8819466304234479</v>
      </c>
      <c r="AA25" s="572">
        <f t="shared" si="11"/>
        <v>-0.46318241082616823</v>
      </c>
      <c r="AB25" s="572">
        <f t="shared" si="12"/>
        <v>-8.7362436927922171E-2</v>
      </c>
      <c r="AC25" s="579">
        <f>IF(M25="","",SQRT(Z25^2+AA25^2+AB25^2))</f>
        <v>1</v>
      </c>
      <c r="AD25" s="580">
        <f>IF(M25="","",Z25*(1/SQRT(Z25^2+AA25^2+AB25^2)))</f>
        <v>-0.8819466304234479</v>
      </c>
      <c r="AE25" s="572">
        <f>IF(M25="","",AA25*(1/SQRT(Z25^2+AA25^2+AB25^2)))</f>
        <v>-0.46318241082616823</v>
      </c>
      <c r="AF25" s="576">
        <f>IF(M25="","",AB25*(1/SQRT(Z25^2+AA25^2+AB25^2)))</f>
        <v>-8.7362436927922171E-2</v>
      </c>
      <c r="AG25" s="545">
        <f>IF(M25="","",DEGREES(ATAN2(-AF25,AE25)))</f>
        <v>-79.318727314326054</v>
      </c>
      <c r="AH25" s="546">
        <f>IF(M25="","",DEGREES(ACOS(AD25)))</f>
        <v>151.87808326744153</v>
      </c>
      <c r="AI25" s="528">
        <f>IF(M25="","",DEGREES(-ACOS(-AF25)))</f>
        <v>-84.9881119506299</v>
      </c>
      <c r="AJ25" s="529">
        <f>IF(M25="","",DEGREES(ATAN2(-AE25,AD25)))</f>
        <v>-62.292357419169754</v>
      </c>
      <c r="AK25" s="578">
        <f>IF(M25="","",(COS(RADIANS((90-$Q$8)-W25))*AD25)+(-SIN(RADIANS((90-$Q$8)-W25))*AE25))</f>
        <v>0.86459225998571598</v>
      </c>
      <c r="AL25" s="572">
        <f>IF(M25="","",(SIN(RADIANS((90-$Q$8)-W25))*AD25)+(COS(RADIANS((90-$Q$8)-W25))*AE25))</f>
        <v>-0.49482120870755647</v>
      </c>
      <c r="AM25" s="577">
        <f>IF(M25="","",AF25)</f>
        <v>-8.7362436927922171E-2</v>
      </c>
      <c r="AN25" s="524">
        <f>IF(M25="","",DEGREES(ATAN2(-AM25,AL25)))</f>
        <v>-79.987410921533467</v>
      </c>
      <c r="AO25" s="525">
        <f>IF(ROUND(IF(M25="",0,DEGREES(ACOS(AK25))),4)=90,0,IF(M25="","",DEGREES(ACOS(AK25))))</f>
        <v>30.16382076092259</v>
      </c>
      <c r="AP25" s="528">
        <f>IF(M25="","",DEGREES(ATAN2(AK25,AL25)))</f>
        <v>-29.783257781438873</v>
      </c>
      <c r="AQ25" s="529">
        <f t="shared" si="13"/>
        <v>0.62363345417304039</v>
      </c>
      <c r="AR25" s="979"/>
      <c r="AS25" s="954">
        <f t="shared" si="147"/>
        <v>-120.60469991269215</v>
      </c>
      <c r="AT25" s="950">
        <f t="shared" si="14"/>
        <v>-1.3878286786424852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3.1259999999999999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1613</v>
      </c>
      <c r="IM25" s="482" t="str">
        <f t="shared" si="242"/>
        <v/>
      </c>
      <c r="IN25" s="670" t="str">
        <f>IF(ISNUMBER($IK25),IFERROR(IF(INDEX($W$9:$W$150,MATCH($IK25,$M$9:$M$150,0))&lt;$W25,((INDEX($W$9:$W$150,MATCH($IK25,$M$9:$M$150,0))+360)-$W25),INDEX($W$9:$W$150,MATCH($IK25,$M$9:$M$150,0))-$W25),""),"")</f>
        <v/>
      </c>
      <c r="IO25" s="702">
        <v>3.3766096541427801E-2</v>
      </c>
      <c r="IP25" s="5" t="str">
        <f t="shared" si="82"/>
        <v/>
      </c>
      <c r="IQ25" s="714">
        <v>600</v>
      </c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26</v>
      </c>
      <c r="JN25" s="960">
        <f>($JO25-SMALL($JO$9:$JO$88,1))/((Settings!$C$19/2)-((Settings!$C$19/2)-LARGE($JO$9:$JO$88,1))-SMALL($JO$9:$JO$88,1))</f>
        <v>0.99176877955356246</v>
      </c>
      <c r="JO25" s="162">
        <f t="shared" si="134"/>
        <v>3.6554110247196512</v>
      </c>
      <c r="JP25" s="961">
        <f t="shared" si="135"/>
        <v>-79.987410921533467</v>
      </c>
      <c r="JQ25" s="961">
        <f t="shared" si="136"/>
        <v>30.16382076092259</v>
      </c>
      <c r="JS25" s="82">
        <v>17</v>
      </c>
      <c r="JT25" s="322">
        <f t="shared" si="137"/>
        <v>3.1918096264978337</v>
      </c>
      <c r="JU25" s="963">
        <f t="shared" si="138"/>
        <v>0.85294929759316518</v>
      </c>
      <c r="JV25" s="961">
        <f t="shared" si="287"/>
        <v>-53.367004943464785</v>
      </c>
      <c r="JW25" s="961">
        <f t="shared" si="92"/>
        <v>17.346951180278364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3</v>
      </c>
      <c r="KD25" s="970">
        <v>-19.035433333333334</v>
      </c>
      <c r="KE25" s="968">
        <f t="shared" si="140"/>
        <v>-22.035433333333334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15.30865980526171</v>
      </c>
      <c r="KG25" s="966">
        <f t="shared" si="244"/>
        <v>-3.998626666666663</v>
      </c>
      <c r="KH25" s="966">
        <f t="shared" si="141"/>
        <v>9.3217797181583961E-2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3.1038794565551666</v>
      </c>
      <c r="C26" s="572">
        <f t="shared" si="292"/>
        <v>-1.9823432420180942</v>
      </c>
      <c r="D26" s="576">
        <f t="shared" si="292"/>
        <v>-2.2439999999999998</v>
      </c>
      <c r="E26" s="580">
        <f t="shared" ref="E26:K26" si="293">R181</f>
        <v>0.88753409945575934</v>
      </c>
      <c r="F26" s="572">
        <f t="shared" si="293"/>
        <v>0.46074203444361533</v>
      </c>
      <c r="G26" s="579">
        <f t="shared" si="293"/>
        <v>1.1339744847606502E-7</v>
      </c>
      <c r="H26" s="580">
        <f t="shared" si="293"/>
        <v>0.3125</v>
      </c>
      <c r="I26" s="572">
        <f t="shared" si="293"/>
        <v>0.52</v>
      </c>
      <c r="J26" s="483">
        <f t="shared" si="94"/>
        <v>3.1320000000000001</v>
      </c>
      <c r="K26" s="806">
        <f t="shared" si="293"/>
        <v>1613</v>
      </c>
      <c r="L26" s="309"/>
      <c r="M26" s="164">
        <f t="shared" si="4"/>
        <v>3.1320000000000001</v>
      </c>
      <c r="N26" s="575">
        <f t="shared" si="5"/>
        <v>3.1038794565551666</v>
      </c>
      <c r="O26" s="572">
        <f t="shared" si="6"/>
        <v>-1.9823432420180942</v>
      </c>
      <c r="P26" s="576">
        <f t="shared" si="7"/>
        <v>-2.2439999999999998</v>
      </c>
      <c r="Q26" s="528">
        <f t="shared" si="144"/>
        <v>327.43499999999995</v>
      </c>
      <c r="R26" s="572">
        <f>IF(M26="","",SQRT(N26^2+O26^2))</f>
        <v>3.682900000000001</v>
      </c>
      <c r="S26" s="577">
        <f>IF(M26="","",P26)</f>
        <v>-2.2439999999999998</v>
      </c>
      <c r="T26" s="578">
        <f>IF(M26="","",X26*COS(RADIANS(W26)))</f>
        <v>-1.878100436794832</v>
      </c>
      <c r="U26" s="572">
        <f>IF(M26="","",X26*SIN(RADIANS(W26)))</f>
        <v>-3.1680421650147066</v>
      </c>
      <c r="V26" s="579">
        <f>IF(M26="","",Y26)</f>
        <v>-2.2439999999999998</v>
      </c>
      <c r="W26" s="528">
        <f t="shared" si="268"/>
        <v>239.33939972503865</v>
      </c>
      <c r="X26" s="572">
        <f>IF(M26="","",R26)</f>
        <v>3.682900000000001</v>
      </c>
      <c r="Y26" s="573">
        <f t="shared" si="271"/>
        <v>-2.2439999999999998</v>
      </c>
      <c r="Z26" s="575">
        <f t="shared" si="10"/>
        <v>-0.88753409945575934</v>
      </c>
      <c r="AA26" s="572">
        <f t="shared" si="11"/>
        <v>-0.46074203444361533</v>
      </c>
      <c r="AB26" s="572">
        <f t="shared" si="12"/>
        <v>-1.1339744847606502E-7</v>
      </c>
      <c r="AC26" s="579">
        <f>IF(M26="","",SQRT(Z26^2+AA26^2+AB26^2))</f>
        <v>1</v>
      </c>
      <c r="AD26" s="580">
        <f>IF(M26="","",Z26*(1/SQRT(Z26^2+AA26^2+AB26^2)))</f>
        <v>-0.88753409945575934</v>
      </c>
      <c r="AE26" s="572">
        <f>IF(M26="","",AA26*(1/SQRT(Z26^2+AA26^2+AB26^2)))</f>
        <v>-0.46074203444361533</v>
      </c>
      <c r="AF26" s="576">
        <f>IF(M26="","",AB26*(1/SQRT(Z26^2+AA26^2+AB26^2)))</f>
        <v>-1.1339744847606502E-7</v>
      </c>
      <c r="AG26" s="545">
        <f>IF(M26="","",DEGREES(ATAN2(-AF26,AE26)))</f>
        <v>-89.999985898410145</v>
      </c>
      <c r="AH26" s="546">
        <f>IF(M26="","",DEGREES(ACOS(AD26)))</f>
        <v>152.56499999999869</v>
      </c>
      <c r="AI26" s="528">
        <f>IF(M26="","",DEGREES(-ACOS(-AF26)))</f>
        <v>-89.999993502804784</v>
      </c>
      <c r="AJ26" s="529">
        <f>IF(M26="","",DEGREES(ATAN2(-AE26,AD26)))</f>
        <v>-62.564999999999394</v>
      </c>
      <c r="AK26" s="578">
        <f>IF(M26="","",(COS(RADIANS((90-$Q$8)-W26))*AD26)+(-SIN(RADIANS((90-$Q$8)-W26))*AE26))</f>
        <v>0.86602540378443882</v>
      </c>
      <c r="AL26" s="572">
        <f>IF(M26="","",(SIN(RADIANS((90-$Q$8)-W26))*AD26)+(COS(RADIANS((90-$Q$8)-W26))*AE26))</f>
        <v>-0.49999999999998684</v>
      </c>
      <c r="AM26" s="577">
        <f>IF(M26="","",AF26)</f>
        <v>-1.1339744847606502E-7</v>
      </c>
      <c r="AN26" s="524">
        <f>IF(M26="","",DEGREES(ATAN2(-AM26,AL26)))</f>
        <v>-89.999987005609597</v>
      </c>
      <c r="AO26" s="525">
        <f t="shared" si="110"/>
        <v>29.999999999999979</v>
      </c>
      <c r="AP26" s="528">
        <f>IF(M26="","",DEGREES(ATAN2(AK26,AL26)))</f>
        <v>-29.999999999999343</v>
      </c>
      <c r="AQ26" s="529">
        <f t="shared" si="13"/>
        <v>0.61897904982222907</v>
      </c>
      <c r="AR26" s="979"/>
      <c r="AS26" s="954">
        <f t="shared" si="147"/>
        <v>-120.66060027496135</v>
      </c>
      <c r="AT26" s="950">
        <f t="shared" si="14"/>
        <v>-2.1588854166666662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3.1320000000000001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1613</v>
      </c>
      <c r="IM26" s="482" t="str">
        <f t="shared" si="242"/>
        <v/>
      </c>
      <c r="IN26" s="670" t="str">
        <f t="shared" si="81"/>
        <v/>
      </c>
      <c r="IO26" s="702">
        <v>3.1891376345910799E-2</v>
      </c>
      <c r="IP26" s="5" t="str">
        <f t="shared" si="82"/>
        <v/>
      </c>
      <c r="IQ26" s="714">
        <v>720</v>
      </c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32</v>
      </c>
      <c r="JN26" s="960">
        <f>($JO26-SMALL($JO$9:$JO$88,1))/((Settings!$C$19/2)-((Settings!$C$19/2)-LARGE($JO$9:$JO$88,1))-SMALL($JO$9:$JO$88,1))</f>
        <v>0.99999999999999978</v>
      </c>
      <c r="JO26" s="162">
        <f t="shared" si="134"/>
        <v>3.682900000000001</v>
      </c>
      <c r="JP26" s="961">
        <f t="shared" si="135"/>
        <v>-89.999987005609597</v>
      </c>
      <c r="JQ26" s="961">
        <f t="shared" si="136"/>
        <v>29.999999999999979</v>
      </c>
      <c r="JS26" s="82">
        <v>18</v>
      </c>
      <c r="JT26" s="322">
        <f t="shared" si="137"/>
        <v>3.2849099072882808</v>
      </c>
      <c r="JU26" s="963">
        <f t="shared" si="138"/>
        <v>0.88082698044586794</v>
      </c>
      <c r="JV26" s="961">
        <f>INDEX($JM$9:$JQ$88,MATCH($JS26,$JM$9:$JM$88,0),4)</f>
        <v>-56.99724572650674</v>
      </c>
      <c r="JW26" s="961">
        <f t="shared" si="92"/>
        <v>18.411113247366355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3</v>
      </c>
      <c r="KD26" s="970">
        <v>-23.03406</v>
      </c>
      <c r="KE26" s="968">
        <f t="shared" si="140"/>
        <v>-26.03406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15.416136182530053</v>
      </c>
      <c r="KG26" s="966">
        <f t="shared" si="244"/>
        <v>-3.9986266666666666</v>
      </c>
      <c r="KH26" s="966">
        <f t="shared" si="141"/>
        <v>0.10747637726834292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-5.1878282447179444E-2</v>
      </c>
      <c r="C27" s="572">
        <f t="shared" si="294"/>
        <v>-2.7435178261088362</v>
      </c>
      <c r="D27" s="576">
        <f t="shared" si="294"/>
        <v>-0.1446004361149151</v>
      </c>
      <c r="E27" s="580">
        <f t="shared" ref="E27:K27" si="295">R182</f>
        <v>0.95928517772265409</v>
      </c>
      <c r="F27" s="572">
        <f t="shared" si="295"/>
        <v>-0.17014164002412846</v>
      </c>
      <c r="G27" s="579">
        <f t="shared" si="295"/>
        <v>0.22544127867698927</v>
      </c>
      <c r="H27" s="580">
        <f t="shared" si="295"/>
        <v>0.3125</v>
      </c>
      <c r="I27" s="572">
        <f t="shared" si="295"/>
        <v>0.52</v>
      </c>
      <c r="J27" s="483">
        <f t="shared" si="94"/>
        <v>4.1130000000000004</v>
      </c>
      <c r="K27" s="806">
        <f t="shared" si="295"/>
        <v>1613</v>
      </c>
      <c r="L27" s="309"/>
      <c r="M27" s="164">
        <f t="shared" si="4"/>
        <v>4.1130000000000004</v>
      </c>
      <c r="N27" s="575">
        <f t="shared" si="5"/>
        <v>-5.1878282447179444E-2</v>
      </c>
      <c r="O27" s="572">
        <f t="shared" si="6"/>
        <v>-2.7435178261088362</v>
      </c>
      <c r="P27" s="576">
        <f t="shared" si="7"/>
        <v>-0.1446004361149151</v>
      </c>
      <c r="Q27" s="528">
        <f t="shared" si="144"/>
        <v>268.91670015640915</v>
      </c>
      <c r="R27" s="572">
        <f t="shared" si="95"/>
        <v>2.7440082759289601</v>
      </c>
      <c r="S27" s="577">
        <f t="shared" si="96"/>
        <v>-0.1446004361149151</v>
      </c>
      <c r="T27" s="578">
        <f t="shared" si="97"/>
        <v>-2.7437265059610825</v>
      </c>
      <c r="U27" s="572">
        <f t="shared" si="98"/>
        <v>-3.9322752360594161E-2</v>
      </c>
      <c r="V27" s="579">
        <f t="shared" si="145"/>
        <v>-0.1446004361149151</v>
      </c>
      <c r="W27" s="528">
        <f t="shared" si="268"/>
        <v>180.82109988144785</v>
      </c>
      <c r="X27" s="572">
        <f t="shared" si="99"/>
        <v>2.7440082759289601</v>
      </c>
      <c r="Y27" s="573">
        <f t="shared" si="271"/>
        <v>-0.1446004361149151</v>
      </c>
      <c r="Z27" s="575">
        <f t="shared" si="10"/>
        <v>-0.95928517772265409</v>
      </c>
      <c r="AA27" s="572">
        <f t="shared" si="11"/>
        <v>0.17014164002412846</v>
      </c>
      <c r="AB27" s="572">
        <f t="shared" si="12"/>
        <v>-0.22544127867698927</v>
      </c>
      <c r="AC27" s="579">
        <f t="shared" si="100"/>
        <v>1</v>
      </c>
      <c r="AD27" s="580">
        <f t="shared" si="146"/>
        <v>-0.95928517772265409</v>
      </c>
      <c r="AE27" s="572">
        <f t="shared" si="101"/>
        <v>0.17014164002412846</v>
      </c>
      <c r="AF27" s="576">
        <f t="shared" si="102"/>
        <v>-0.22544127867698927</v>
      </c>
      <c r="AG27" s="545">
        <f t="shared" si="103"/>
        <v>37.042034146754403</v>
      </c>
      <c r="AH27" s="546">
        <f t="shared" si="104"/>
        <v>163.59415725081669</v>
      </c>
      <c r="AI27" s="528">
        <f t="shared" si="105"/>
        <v>-76.971171714987818</v>
      </c>
      <c r="AJ27" s="529">
        <f t="shared" si="106"/>
        <v>-100.05755610893807</v>
      </c>
      <c r="AK27" s="578">
        <f t="shared" si="247"/>
        <v>0.96233042175039218</v>
      </c>
      <c r="AL27" s="572">
        <f t="shared" si="107"/>
        <v>-0.1519749625504031</v>
      </c>
      <c r="AM27" s="577">
        <f t="shared" si="108"/>
        <v>-0.22544127867698927</v>
      </c>
      <c r="AN27" s="524">
        <f t="shared" si="109"/>
        <v>-33.984782847792431</v>
      </c>
      <c r="AO27" s="525">
        <f t="shared" si="110"/>
        <v>15.776324505550736</v>
      </c>
      <c r="AP27" s="528">
        <f t="shared" si="111"/>
        <v>-8.9742562653472024</v>
      </c>
      <c r="AQ27" s="529">
        <f t="shared" si="13"/>
        <v>0.83074344065065719</v>
      </c>
      <c r="AR27" s="979"/>
      <c r="AS27" s="954">
        <f t="shared" si="147"/>
        <v>-179.17890011855215</v>
      </c>
      <c r="AT27" s="950">
        <f t="shared" si="14"/>
        <v>-1.8848144556865898E-2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4.1130000000000004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1613</v>
      </c>
      <c r="IM27" s="482" t="str">
        <f t="shared" si="242"/>
        <v/>
      </c>
      <c r="IN27" s="670" t="str">
        <f t="shared" si="81"/>
        <v/>
      </c>
      <c r="IO27" s="702">
        <v>2.98766350839452E-2</v>
      </c>
      <c r="IP27" s="5" t="str">
        <f t="shared" si="82"/>
        <v/>
      </c>
      <c r="IQ27" s="714">
        <v>880</v>
      </c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13</v>
      </c>
      <c r="JN27" s="960">
        <f>($JO27-SMALL($JO$9:$JO$88,1))/((Settings!$C$19/2)-((Settings!$C$19/2)-LARGE($JO$9:$JO$88,1))-SMALL($JO$9:$JO$88,1))</f>
        <v>0.71886093689026198</v>
      </c>
      <c r="JO27" s="162">
        <f t="shared" si="134"/>
        <v>2.7440082759289601</v>
      </c>
      <c r="JP27" s="961">
        <f t="shared" si="135"/>
        <v>-33.984782847792431</v>
      </c>
      <c r="JQ27" s="961">
        <f t="shared" si="136"/>
        <v>15.776324505550736</v>
      </c>
      <c r="JS27" s="82">
        <v>19</v>
      </c>
      <c r="JT27" s="322">
        <f t="shared" si="137"/>
        <v>3.3680101579186368</v>
      </c>
      <c r="JU27" s="963">
        <f t="shared" si="138"/>
        <v>0.90571028275585286</v>
      </c>
      <c r="JV27" s="961">
        <f t="shared" si="287"/>
        <v>-60.428688938049206</v>
      </c>
      <c r="JW27" s="961">
        <f t="shared" si="92"/>
        <v>19.459210204251029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3</v>
      </c>
      <c r="KD27" s="970">
        <v>-27.032773333333331</v>
      </c>
      <c r="KE27" s="968">
        <f t="shared" si="140"/>
        <v>-30.032773333333331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15.536164645041184</v>
      </c>
      <c r="KG27" s="966">
        <f t="shared" si="244"/>
        <v>-3.9987133333333311</v>
      </c>
      <c r="KH27" s="966">
        <f t="shared" si="141"/>
        <v>0.1200284625111312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-0.11983882450764211</v>
      </c>
      <c r="C28" s="572">
        <f t="shared" si="296"/>
        <v>-3.365877460630994</v>
      </c>
      <c r="D28" s="576">
        <f t="shared" si="296"/>
        <v>-0.62650188952969876</v>
      </c>
      <c r="E28" s="580">
        <f t="shared" ref="E28:K28" si="297">R183</f>
        <v>0.93197238539281901</v>
      </c>
      <c r="F28" s="572">
        <f t="shared" si="297"/>
        <v>-0.32310771849591996</v>
      </c>
      <c r="G28" s="579">
        <f t="shared" si="297"/>
        <v>0.16440460794509454</v>
      </c>
      <c r="H28" s="580">
        <f t="shared" si="297"/>
        <v>0.3125</v>
      </c>
      <c r="I28" s="572">
        <f t="shared" si="297"/>
        <v>0.52</v>
      </c>
      <c r="J28" s="483">
        <f t="shared" si="94"/>
        <v>4.1189999999999998</v>
      </c>
      <c r="K28" s="806">
        <f t="shared" si="297"/>
        <v>1613</v>
      </c>
      <c r="L28" s="309"/>
      <c r="M28" s="164">
        <f t="shared" si="4"/>
        <v>4.1189999999999998</v>
      </c>
      <c r="N28" s="575">
        <f t="shared" si="5"/>
        <v>-0.11983882450764211</v>
      </c>
      <c r="O28" s="572">
        <f t="shared" si="6"/>
        <v>-3.365877460630994</v>
      </c>
      <c r="P28" s="576">
        <f t="shared" si="7"/>
        <v>-0.62650188952969876</v>
      </c>
      <c r="Q28" s="528">
        <f t="shared" si="144"/>
        <v>267.96090029440956</v>
      </c>
      <c r="R28" s="572">
        <f t="shared" si="95"/>
        <v>3.3680101579186368</v>
      </c>
      <c r="S28" s="577">
        <f t="shared" si="96"/>
        <v>-0.62650188952969876</v>
      </c>
      <c r="T28" s="578">
        <f t="shared" si="97"/>
        <v>-3.3680008504196377</v>
      </c>
      <c r="U28" s="572">
        <f t="shared" si="98"/>
        <v>7.9180436799790692E-3</v>
      </c>
      <c r="V28" s="579">
        <f t="shared" si="145"/>
        <v>-0.62650188952969876</v>
      </c>
      <c r="W28" s="528">
        <f t="shared" si="268"/>
        <v>179.86530001944826</v>
      </c>
      <c r="X28" s="572">
        <f t="shared" si="99"/>
        <v>3.3680101579186368</v>
      </c>
      <c r="Y28" s="573">
        <f t="shared" si="271"/>
        <v>-0.62650188952969876</v>
      </c>
      <c r="Z28" s="575">
        <f t="shared" si="10"/>
        <v>-0.93197238539281901</v>
      </c>
      <c r="AA28" s="572">
        <f t="shared" si="11"/>
        <v>0.32310771849591996</v>
      </c>
      <c r="AB28" s="572">
        <f t="shared" si="12"/>
        <v>-0.16440460794509454</v>
      </c>
      <c r="AC28" s="579">
        <f t="shared" si="100"/>
        <v>1</v>
      </c>
      <c r="AD28" s="580">
        <f t="shared" si="146"/>
        <v>-0.93197238539281901</v>
      </c>
      <c r="AE28" s="572">
        <f t="shared" si="101"/>
        <v>0.32310771849591996</v>
      </c>
      <c r="AF28" s="576">
        <f t="shared" si="102"/>
        <v>-0.16440460794509454</v>
      </c>
      <c r="AG28" s="545">
        <f t="shared" si="103"/>
        <v>63.031965510377574</v>
      </c>
      <c r="AH28" s="546">
        <f t="shared" si="104"/>
        <v>158.74439125845592</v>
      </c>
      <c r="AI28" s="528">
        <f t="shared" si="105"/>
        <v>-80.537351310758055</v>
      </c>
      <c r="AJ28" s="529">
        <f t="shared" si="106"/>
        <v>-109.12104120304426</v>
      </c>
      <c r="AK28" s="578">
        <f t="shared" si="247"/>
        <v>0.94287889471822806</v>
      </c>
      <c r="AL28" s="572">
        <f t="shared" si="107"/>
        <v>-0.28974215223427963</v>
      </c>
      <c r="AM28" s="577">
        <f t="shared" si="108"/>
        <v>-0.16440460794509454</v>
      </c>
      <c r="AN28" s="524">
        <f t="shared" si="109"/>
        <v>-60.428688938049206</v>
      </c>
      <c r="AO28" s="525">
        <f t="shared" si="110"/>
        <v>19.459210204251029</v>
      </c>
      <c r="AP28" s="528">
        <f t="shared" si="111"/>
        <v>-17.08194149745383</v>
      </c>
      <c r="AQ28" s="529">
        <f t="shared" si="13"/>
        <v>0.6768449256392951</v>
      </c>
      <c r="AR28" s="979"/>
      <c r="AS28" s="954">
        <f t="shared" si="147"/>
        <v>-180.13469998055174</v>
      </c>
      <c r="AT28" s="950">
        <f t="shared" si="14"/>
        <v>-0.50008584806748324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4.1189999999999998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1613</v>
      </c>
      <c r="IM28" s="482" t="str">
        <f t="shared" si="242"/>
        <v/>
      </c>
      <c r="IN28" s="670" t="str">
        <f t="shared" si="81"/>
        <v/>
      </c>
      <c r="IO28" s="702">
        <v>2.76470783748732E-2</v>
      </c>
      <c r="IP28" s="5" t="str">
        <f t="shared" si="82"/>
        <v/>
      </c>
      <c r="IQ28" s="714">
        <v>1070</v>
      </c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19</v>
      </c>
      <c r="JN28" s="960">
        <f>($JO28-SMALL($JO$9:$JO$88,1))/((Settings!$C$19/2)-((Settings!$C$19/2)-LARGE($JO$9:$JO$88,1))-SMALL($JO$9:$JO$88,1))</f>
        <v>0.90571028275585286</v>
      </c>
      <c r="JO28" s="162">
        <f t="shared" si="134"/>
        <v>3.3680101579186368</v>
      </c>
      <c r="JP28" s="961">
        <f t="shared" si="135"/>
        <v>-60.428688938049206</v>
      </c>
      <c r="JQ28" s="961">
        <f t="shared" si="136"/>
        <v>19.459210204251029</v>
      </c>
      <c r="JS28" s="82">
        <v>20</v>
      </c>
      <c r="JT28" s="322">
        <f t="shared" si="137"/>
        <v>3.4425103826113146</v>
      </c>
      <c r="JU28" s="963">
        <f t="shared" si="138"/>
        <v>0.92801841779910055</v>
      </c>
      <c r="JV28" s="961">
        <f t="shared" si="287"/>
        <v>-62.794909243580349</v>
      </c>
      <c r="JW28" s="961">
        <f t="shared" si="92"/>
        <v>21.418312808828968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3</v>
      </c>
      <c r="KD28" s="970">
        <v>-30.969086666666662</v>
      </c>
      <c r="KE28" s="968">
        <f t="shared" si="140"/>
        <v>-33.969086666666662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15.665550596661955</v>
      </c>
      <c r="KG28" s="966">
        <f t="shared" si="244"/>
        <v>-3.9363133333333309</v>
      </c>
      <c r="KH28" s="966">
        <f t="shared" si="141"/>
        <v>0.12938595162077071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-0.15944005016089216</v>
      </c>
      <c r="C29" s="572">
        <f t="shared" si="298"/>
        <v>-3.643023651864457</v>
      </c>
      <c r="D29" s="576">
        <f t="shared" si="298"/>
        <v>-1.3420040474842074</v>
      </c>
      <c r="E29" s="580">
        <f t="shared" ref="E29:K29" si="299">R184</f>
        <v>0.85976502690607115</v>
      </c>
      <c r="F29" s="572">
        <f t="shared" si="299"/>
        <v>-0.50010247574411115</v>
      </c>
      <c r="G29" s="579">
        <f t="shared" si="299"/>
        <v>0.103448597205635</v>
      </c>
      <c r="H29" s="580">
        <f t="shared" si="299"/>
        <v>0.3125</v>
      </c>
      <c r="I29" s="572">
        <f t="shared" si="299"/>
        <v>0.52</v>
      </c>
      <c r="J29" s="483">
        <f t="shared" si="94"/>
        <v>4.125</v>
      </c>
      <c r="K29" s="806">
        <f t="shared" si="299"/>
        <v>1613</v>
      </c>
      <c r="L29" s="82"/>
      <c r="M29" s="164">
        <f t="shared" si="4"/>
        <v>4.125</v>
      </c>
      <c r="N29" s="575">
        <f t="shared" si="5"/>
        <v>-0.15944005016089216</v>
      </c>
      <c r="O29" s="572">
        <f t="shared" si="6"/>
        <v>-3.643023651864457</v>
      </c>
      <c r="P29" s="576">
        <f t="shared" si="7"/>
        <v>-1.3420040474842074</v>
      </c>
      <c r="Q29" s="528">
        <f t="shared" si="144"/>
        <v>267.49400036182158</v>
      </c>
      <c r="R29" s="572">
        <f>IF(M29="","",SQRT(N29^2+O29^2))</f>
        <v>3.6465109978771699</v>
      </c>
      <c r="S29" s="577">
        <f>IF(M29="","",P29)</f>
        <v>-1.3420040474842074</v>
      </c>
      <c r="T29" s="578">
        <f>IF(M29="","",X29*COS(RADIANS(W29)))</f>
        <v>-3.6463099896621478</v>
      </c>
      <c r="U29" s="572">
        <f>IF(M29="","",X29*SIN(RADIANS(W29)))</f>
        <v>3.8287294618190339E-2</v>
      </c>
      <c r="V29" s="579">
        <f>IF(M29="","",Y29)</f>
        <v>-1.3420040474842074</v>
      </c>
      <c r="W29" s="528">
        <f t="shared" si="268"/>
        <v>179.39840008686028</v>
      </c>
      <c r="X29" s="572">
        <f>IF(M29="","",R29)</f>
        <v>3.6465109978771699</v>
      </c>
      <c r="Y29" s="573">
        <f t="shared" si="271"/>
        <v>-1.3420040474842074</v>
      </c>
      <c r="Z29" s="575">
        <f t="shared" si="10"/>
        <v>-0.85976502690607115</v>
      </c>
      <c r="AA29" s="572">
        <f t="shared" si="11"/>
        <v>0.50010247574411115</v>
      </c>
      <c r="AB29" s="572">
        <f t="shared" si="12"/>
        <v>-0.103448597205635</v>
      </c>
      <c r="AC29" s="579">
        <f>IF(M29="","",SQRT(Z29^2+AA29^2+AB29^2))</f>
        <v>1</v>
      </c>
      <c r="AD29" s="580">
        <f>IF(M29="","",Z29*(1/SQRT(Z29^2+AA29^2+AB29^2)))</f>
        <v>-0.85976502690607115</v>
      </c>
      <c r="AE29" s="572">
        <f>IF(M29="","",AA29*(1/SQRT(Z29^2+AA29^2+AB29^2)))</f>
        <v>0.50010247574411115</v>
      </c>
      <c r="AF29" s="576">
        <f>IF(M29="","",AB29*(1/SQRT(Z29^2+AA29^2+AB29^2)))</f>
        <v>-0.103448597205635</v>
      </c>
      <c r="AG29" s="545">
        <f>IF(M29="","",DEGREES(ATAN2(-AF29,AE29)))</f>
        <v>78.312924887029482</v>
      </c>
      <c r="AH29" s="546">
        <f>IF(M29="","",DEGREES(ACOS(AD29)))</f>
        <v>149.29021035589602</v>
      </c>
      <c r="AI29" s="528">
        <f>IF(M29="","",DEGREES(-ACOS(-AF29)))</f>
        <v>-84.062209037449861</v>
      </c>
      <c r="AJ29" s="529">
        <f>IF(M29="","",DEGREES(ATAN2(-AE29,AD29)))</f>
        <v>-120.18542656446763</v>
      </c>
      <c r="AK29" s="578">
        <f>IF(M29="","",(COS(RADIANS((90-$Q$8)-W29))*AD29)+(-SIN(RADIANS((90-$Q$8)-W29))*AE29))</f>
        <v>0.88080927049246105</v>
      </c>
      <c r="AL29" s="572">
        <f>IF(M29="","",(SIN(RADIANS((90-$Q$8)-W29))*AD29)+(COS(RADIANS((90-$Q$8)-W29))*AE29))</f>
        <v>-0.46203183521346775</v>
      </c>
      <c r="AM29" s="577">
        <f>IF(M29="","",AF29)</f>
        <v>-0.103448597205635</v>
      </c>
      <c r="AN29" s="524">
        <f>IF(M29="","",DEGREES(ATAN2(-AM29,AL29)))</f>
        <v>-77.379658115530859</v>
      </c>
      <c r="AO29" s="525">
        <f t="shared" si="110"/>
        <v>28.259860162360681</v>
      </c>
      <c r="AP29" s="528">
        <f>IF(M29="","",DEGREES(ATAN2(AK29,AL29)))</f>
        <v>-27.67942692628921</v>
      </c>
      <c r="AQ29" s="529">
        <f t="shared" si="13"/>
        <v>0.62515543354384451</v>
      </c>
      <c r="AR29" s="979"/>
      <c r="AS29" s="954">
        <f t="shared" si="147"/>
        <v>-180.60159991313972</v>
      </c>
      <c r="AT29" s="950">
        <f t="shared" si="14"/>
        <v>-1.2152637699576947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4.125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1613</v>
      </c>
      <c r="IM29" s="482" t="str">
        <f t="shared" si="242"/>
        <v/>
      </c>
      <c r="IN29" s="670" t="str">
        <f t="shared" si="81"/>
        <v/>
      </c>
      <c r="IO29" s="702">
        <v>2.6469523761171201E-2</v>
      </c>
      <c r="IP29" s="5" t="str">
        <f t="shared" si="82"/>
        <v/>
      </c>
      <c r="IQ29" s="714">
        <v>1210</v>
      </c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25</v>
      </c>
      <c r="JN29" s="960">
        <f>($JO29-SMALL($JO$9:$JO$88,1))/((Settings!$C$19/2)-((Settings!$C$19/2)-LARGE($JO$9:$JO$88,1))-SMALL($JO$9:$JO$88,1))</f>
        <v>0.98910378087054351</v>
      </c>
      <c r="JO29" s="162">
        <f t="shared" si="134"/>
        <v>3.6465109978771699</v>
      </c>
      <c r="JP29" s="961">
        <f t="shared" si="135"/>
        <v>-77.379658115530859</v>
      </c>
      <c r="JQ29" s="961">
        <f t="shared" si="136"/>
        <v>28.259860162360681</v>
      </c>
      <c r="JS29" s="82">
        <v>21</v>
      </c>
      <c r="JT29" s="322">
        <f t="shared" si="137"/>
        <v>3.5053105720166853</v>
      </c>
      <c r="JU29" s="963">
        <f t="shared" si="138"/>
        <v>0.9468231276073682</v>
      </c>
      <c r="JV29" s="961">
        <f t="shared" si="287"/>
        <v>-66.126141719345824</v>
      </c>
      <c r="JW29" s="961">
        <f t="shared" si="92"/>
        <v>22.437240118831088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2.7632974560333361</v>
      </c>
      <c r="KD29" s="970">
        <v>-34.905486666666668</v>
      </c>
      <c r="KE29" s="968">
        <f t="shared" si="140"/>
        <v>-37.668784122700004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15.801644469082316</v>
      </c>
      <c r="KG29" s="966">
        <f t="shared" si="244"/>
        <v>-3.9364000000000061</v>
      </c>
      <c r="KH29" s="966">
        <f t="shared" si="141"/>
        <v>0.13609387242036064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-0.1648198783304885</v>
      </c>
      <c r="C30" s="572">
        <f t="shared" si="300"/>
        <v>-3.6792100806704577</v>
      </c>
      <c r="D30" s="576">
        <f t="shared" si="300"/>
        <v>-2.1219999999999994</v>
      </c>
      <c r="E30" s="580">
        <f t="shared" ref="E30:K30" si="301">R185</f>
        <v>0.84278135614737537</v>
      </c>
      <c r="F30" s="572">
        <f t="shared" si="301"/>
        <v>-0.53825605963182421</v>
      </c>
      <c r="G30" s="579">
        <f t="shared" si="301"/>
        <v>1.1339744839037244E-7</v>
      </c>
      <c r="H30" s="580">
        <f t="shared" si="301"/>
        <v>0.3125</v>
      </c>
      <c r="I30" s="572">
        <f t="shared" si="301"/>
        <v>0.52</v>
      </c>
      <c r="J30" s="483">
        <f t="shared" si="94"/>
        <v>4.1310000000000002</v>
      </c>
      <c r="K30" s="806">
        <f t="shared" si="301"/>
        <v>1613</v>
      </c>
      <c r="L30" s="82"/>
      <c r="M30" s="164">
        <f t="shared" si="4"/>
        <v>4.1310000000000002</v>
      </c>
      <c r="N30" s="575">
        <f t="shared" si="5"/>
        <v>-0.1648198783304885</v>
      </c>
      <c r="O30" s="572">
        <f t="shared" si="6"/>
        <v>-3.6792100806704577</v>
      </c>
      <c r="P30" s="576">
        <f t="shared" si="7"/>
        <v>-2.1219999999999994</v>
      </c>
      <c r="Q30" s="528">
        <f t="shared" si="144"/>
        <v>267.435</v>
      </c>
      <c r="R30" s="572">
        <f>IF(M30="","",SQRT(N30^2+O30^2))</f>
        <v>3.6828999999999987</v>
      </c>
      <c r="S30" s="577">
        <f>IF(M30="","",P30)</f>
        <v>-2.1219999999999994</v>
      </c>
      <c r="T30" s="578">
        <f>IF(M30="","",X30*COS(RADIANS(W30)))</f>
        <v>-3.6826552135604023</v>
      </c>
      <c r="U30" s="572">
        <f>IF(M30="","",X30*SIN(RADIANS(W30)))</f>
        <v>4.2461606615617459E-2</v>
      </c>
      <c r="V30" s="579">
        <f>IF(M30="","",Y30)</f>
        <v>-2.1219999999999994</v>
      </c>
      <c r="W30" s="528">
        <f t="shared" si="268"/>
        <v>179.3393997250387</v>
      </c>
      <c r="X30" s="572">
        <f>IF(M30="","",R30)</f>
        <v>3.6828999999999987</v>
      </c>
      <c r="Y30" s="573">
        <f t="shared" si="271"/>
        <v>-2.1219999999999994</v>
      </c>
      <c r="Z30" s="575">
        <f t="shared" si="10"/>
        <v>-0.84278135614737537</v>
      </c>
      <c r="AA30" s="572">
        <f t="shared" si="11"/>
        <v>0.53825605963182421</v>
      </c>
      <c r="AB30" s="572">
        <f t="shared" si="12"/>
        <v>-1.1339744839037244E-7</v>
      </c>
      <c r="AC30" s="579">
        <f>IF(M30="","",SQRT(Z30^2+AA30^2+AB30^2))</f>
        <v>1</v>
      </c>
      <c r="AD30" s="580">
        <f>IF(M30="","",Z30*(1/SQRT(Z30^2+AA30^2+AB30^2)))</f>
        <v>-0.84278135614737537</v>
      </c>
      <c r="AE30" s="572">
        <f>IF(M30="","",AA30*(1/SQRT(Z30^2+AA30^2+AB30^2)))</f>
        <v>0.53825605963182421</v>
      </c>
      <c r="AF30" s="576">
        <f>IF(M30="","",AB30*(1/SQRT(Z30^2+AA30^2+AB30^2)))</f>
        <v>-1.1339744839037244E-7</v>
      </c>
      <c r="AG30" s="545">
        <f>IF(M30="","",DEGREES(ATAN2(-AF30,AE30)))</f>
        <v>89.999987929174083</v>
      </c>
      <c r="AH30" s="546">
        <f>IF(M30="","",DEGREES(ACOS(AD30)))</f>
        <v>147.43500000000006</v>
      </c>
      <c r="AI30" s="528">
        <f>IF(M30="","",DEGREES(-ACOS(-AF30)))</f>
        <v>-89.999993502804799</v>
      </c>
      <c r="AJ30" s="529">
        <f>IF(M30="","",DEGREES(ATAN2(-AE30,AD30)))</f>
        <v>-122.56499999999937</v>
      </c>
      <c r="AK30" s="578">
        <f>IF(M30="","",(COS(RADIANS((90-$Q$8)-W30))*AD30)+(-SIN(RADIANS((90-$Q$8)-W30))*AE30))</f>
        <v>0.86602540378443849</v>
      </c>
      <c r="AL30" s="572">
        <f>IF(M30="","",(SIN(RADIANS((90-$Q$8)-W30))*AD30)+(COS(RADIANS((90-$Q$8)-W30))*AE30))</f>
        <v>-0.49999999999998723</v>
      </c>
      <c r="AM30" s="577">
        <f>IF(M30="","",AF30)</f>
        <v>-1.1339744839037244E-7</v>
      </c>
      <c r="AN30" s="524">
        <f>IF(M30="","",DEGREES(ATAN2(-AM30,AL30)))</f>
        <v>-89.999987005609611</v>
      </c>
      <c r="AO30" s="525">
        <f>IF(ROUND(IF(M30="",0,DEGREES(ACOS(AK30))),4)=90,0,IF(M30="","",DEGREES(ACOS(AK30))))</f>
        <v>30.000000000000018</v>
      </c>
      <c r="AP30" s="528">
        <f>IF(M30="","",DEGREES(ATAN2(AK30,AL30)))</f>
        <v>-29.999999999999368</v>
      </c>
      <c r="AQ30" s="529">
        <f t="shared" si="13"/>
        <v>0.61897904982222951</v>
      </c>
      <c r="AR30" s="979"/>
      <c r="AS30" s="954">
        <f t="shared" si="147"/>
        <v>-180.6606002749613</v>
      </c>
      <c r="AT30" s="950">
        <f t="shared" si="14"/>
        <v>-1.9952187499999994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4.1310000000000002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1613</v>
      </c>
      <c r="IM30" s="482" t="str">
        <f t="shared" si="242"/>
        <v/>
      </c>
      <c r="IN30" s="670" t="str">
        <f t="shared" si="81"/>
        <v/>
      </c>
      <c r="IO30" s="702">
        <v>2.5338072394912401E-2</v>
      </c>
      <c r="IP30" s="5" t="str">
        <f t="shared" si="82"/>
        <v/>
      </c>
      <c r="IQ30" s="714">
        <v>1380</v>
      </c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>
        <f t="shared" si="133"/>
        <v>31</v>
      </c>
      <c r="JN30" s="960">
        <f>($JO30-SMALL($JO$9:$JO$88,1))/((Settings!$C$19/2)-((Settings!$C$19/2)-LARGE($JO$9:$JO$88,1))-SMALL($JO$9:$JO$88,1))</f>
        <v>0.99999999999999911</v>
      </c>
      <c r="JO30" s="162">
        <f t="shared" si="134"/>
        <v>3.6828999999999987</v>
      </c>
      <c r="JP30" s="961">
        <f t="shared" si="135"/>
        <v>-89.999987005609611</v>
      </c>
      <c r="JQ30" s="961">
        <f t="shared" si="136"/>
        <v>30.000000000000018</v>
      </c>
      <c r="JS30" s="82">
        <v>22</v>
      </c>
      <c r="JT30" s="322">
        <f t="shared" si="137"/>
        <v>3.5578107303571644</v>
      </c>
      <c r="JU30" s="963">
        <f t="shared" si="138"/>
        <v>0.96254362545663708</v>
      </c>
      <c r="JV30" s="961">
        <f t="shared" si="287"/>
        <v>-68.580833724860625</v>
      </c>
      <c r="JW30" s="961">
        <f t="shared" si="92"/>
        <v>24.376068843486443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0.35070324793226471</v>
      </c>
      <c r="KD30" s="970">
        <v>-38.841799999999999</v>
      </c>
      <c r="KE30" s="968">
        <f t="shared" si="140"/>
        <v>-39.192503247932265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15.940915564994624</v>
      </c>
      <c r="KG30" s="966">
        <f t="shared" si="244"/>
        <v>-3.9363133333333309</v>
      </c>
      <c r="KH30" s="966">
        <f t="shared" si="141"/>
        <v>0.13927109591230824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-0.75015321779234023</v>
      </c>
      <c r="C31" s="572">
        <f t="shared" si="302"/>
        <v>-0.34980219024618281</v>
      </c>
      <c r="D31" s="576">
        <f t="shared" si="302"/>
        <v>-0.36550110235132471</v>
      </c>
      <c r="E31" s="580">
        <f t="shared" ref="E31:K31" si="303">R186</f>
        <v>0.46892899059006449</v>
      </c>
      <c r="F31" s="572">
        <f t="shared" si="303"/>
        <v>-0.84711605943441681</v>
      </c>
      <c r="G31" s="579">
        <f t="shared" si="303"/>
        <v>0.24999996726497564</v>
      </c>
      <c r="H31" s="580">
        <f t="shared" si="303"/>
        <v>0.3125</v>
      </c>
      <c r="I31" s="572">
        <f t="shared" si="303"/>
        <v>0.52</v>
      </c>
      <c r="J31" s="483">
        <f t="shared" si="94"/>
        <v>5.1029999999999998</v>
      </c>
      <c r="K31" s="806">
        <f t="shared" si="303"/>
        <v>1613</v>
      </c>
      <c r="L31" s="309"/>
      <c r="M31" s="164">
        <f t="shared" si="4"/>
        <v>5.1029999999999998</v>
      </c>
      <c r="N31" s="575">
        <f t="shared" si="5"/>
        <v>-0.75015321779234023</v>
      </c>
      <c r="O31" s="572">
        <f t="shared" si="6"/>
        <v>-0.34980219024618281</v>
      </c>
      <c r="P31" s="576">
        <f t="shared" si="7"/>
        <v>-0.36550110235132471</v>
      </c>
      <c r="Q31" s="528">
        <f t="shared" si="144"/>
        <v>205</v>
      </c>
      <c r="R31" s="572">
        <f>IF(M31="","",SQRT(N31^2+O31^2))</f>
        <v>0.82770249635072923</v>
      </c>
      <c r="S31" s="577">
        <f>IF(M31="","",P31)</f>
        <v>-0.36550110235132471</v>
      </c>
      <c r="T31" s="578">
        <f>IF(M31="","",X31*COS(RADIANS(W31)))</f>
        <v>-0.37453801900286476</v>
      </c>
      <c r="U31" s="572">
        <f>IF(M31="","",X31*SIN(RADIANS(W31)))</f>
        <v>0.73811428301221671</v>
      </c>
      <c r="V31" s="579">
        <f>IF(M31="","",Y31)</f>
        <v>-0.36550110235132471</v>
      </c>
      <c r="W31" s="528">
        <f t="shared" si="268"/>
        <v>116.9043997250387</v>
      </c>
      <c r="X31" s="572">
        <f>IF(M31="","",R31)</f>
        <v>0.82770249635072923</v>
      </c>
      <c r="Y31" s="573">
        <f t="shared" si="271"/>
        <v>-0.36550110235132471</v>
      </c>
      <c r="Z31" s="575">
        <f t="shared" si="10"/>
        <v>-0.46892899059006449</v>
      </c>
      <c r="AA31" s="572">
        <f t="shared" si="11"/>
        <v>0.84711605943441681</v>
      </c>
      <c r="AB31" s="572">
        <f t="shared" si="12"/>
        <v>-0.24999996726497564</v>
      </c>
      <c r="AC31" s="579">
        <f>IF(M31="","",SQRT(Z31^2+AA31^2+AB31^2))</f>
        <v>1</v>
      </c>
      <c r="AD31" s="580">
        <f>IF(M31="","",Z31*(1/SQRT(Z31^2+AA31^2+AB31^2)))</f>
        <v>-0.46892899059006449</v>
      </c>
      <c r="AE31" s="572">
        <f>IF(M31="","",AA31*(1/SQRT(Z31^2+AA31^2+AB31^2)))</f>
        <v>0.84711605943441681</v>
      </c>
      <c r="AF31" s="576">
        <f>IF(M31="","",AB31*(1/SQRT(Z31^2+AA31^2+AB31^2)))</f>
        <v>-0.24999996726497564</v>
      </c>
      <c r="AG31" s="545">
        <f>IF(M31="","",DEGREES(ATAN2(-AF31,AE31)))</f>
        <v>73.557673426835976</v>
      </c>
      <c r="AH31" s="546">
        <f>IF(M31="","",DEGREES(ACOS(AD31)))</f>
        <v>117.96479743290489</v>
      </c>
      <c r="AI31" s="528">
        <f>IF(M31="","",DEGREES(-ACOS(-AF31)))</f>
        <v>-75.522489751159469</v>
      </c>
      <c r="AJ31" s="529">
        <f>IF(M31="","",DEGREES(ATAN2(-AE31,AD31)))</f>
        <v>-151.03287035491343</v>
      </c>
      <c r="AK31" s="578">
        <f>IF(M31="","",(COS(RADIANS((90-$Q$8)-W31))*AD31)+(-SIN(RADIANS((90-$Q$8)-W31))*AE31))</f>
        <v>0.9659258360722075</v>
      </c>
      <c r="AL31" s="572">
        <f>IF(M31="","",(SIN(RADIANS((90-$Q$8)-W31))*AD31)+(COS(RADIANS((90-$Q$8)-W31))*AE31))</f>
        <v>6.698727920820724E-2</v>
      </c>
      <c r="AM31" s="577">
        <f>IF(M31="","",AF31)</f>
        <v>-0.24999996726497564</v>
      </c>
      <c r="AN31" s="524">
        <f>IF(M31="","",DEGREES(ATAN2(-AM31,AL31)))</f>
        <v>14.999997834268278</v>
      </c>
      <c r="AO31" s="525">
        <f t="shared" si="110"/>
        <v>14.99999783426823</v>
      </c>
      <c r="AP31" s="528">
        <f>IF(M31="","",DEGREES(ATAN2(AK31,AL31)))</f>
        <v>3.9671296450865734</v>
      </c>
      <c r="AQ31" s="529">
        <f t="shared" si="13"/>
        <v>2.7521640170678849</v>
      </c>
      <c r="AR31" s="979"/>
      <c r="AS31" s="954">
        <f t="shared" si="147"/>
        <v>-243.0956002749613</v>
      </c>
      <c r="AT31" s="950">
        <f t="shared" si="14"/>
        <v>-0.19536221346243582</v>
      </c>
      <c r="AU31" s="418"/>
      <c r="AV31" s="164">
        <f t="shared" si="15"/>
        <v>5.1029999999999998</v>
      </c>
      <c r="AW31" s="829">
        <f>IFERROR(INDEX(MassProp!C$9:C$150,MATCH($M31,MassProp!$B$9:$B$150,0)),"")</f>
        <v>0.75870000000000004</v>
      </c>
      <c r="AX31" s="830">
        <f>IFERROR(INDEX(MassProp!D$9:D$150,MATCH($M31,MassProp!$B$9:$B$150,0)),"")</f>
        <v>-0.1903</v>
      </c>
      <c r="AY31" s="831">
        <f>IFERROR(INDEX(MassProp!E$9:E$150,MATCH($M31,MassProp!$B$9:$B$150,0)),"")</f>
        <v>3.6600000000000001E-2</v>
      </c>
      <c r="AZ31" s="297">
        <f t="shared" si="148"/>
        <v>0.17471389192746403</v>
      </c>
      <c r="BA31" s="296">
        <f t="shared" si="16"/>
        <v>0.13007855541632996</v>
      </c>
      <c r="BB31" s="190">
        <f t="shared" si="149"/>
        <v>-0.24493778653756418</v>
      </c>
      <c r="BC31" s="9"/>
      <c r="BD31" s="5">
        <f t="shared" si="150"/>
        <v>0.75870000000000004</v>
      </c>
      <c r="BE31" s="6">
        <f t="shared" si="17"/>
        <v>-0.61043888888888886</v>
      </c>
      <c r="BF31" s="4">
        <f t="shared" si="18"/>
        <v>-0.75015321779234023</v>
      </c>
      <c r="BG31" s="5">
        <f t="shared" si="19"/>
        <v>-0.34980219024618281</v>
      </c>
      <c r="BH31" s="10">
        <f t="shared" si="20"/>
        <v>-0.36550110235132471</v>
      </c>
      <c r="BI31" s="9">
        <f t="shared" si="151"/>
        <v>-0.75015321779234023</v>
      </c>
      <c r="BJ31" s="5">
        <f t="shared" si="21"/>
        <v>-6.6752128762249896E-2</v>
      </c>
      <c r="BK31" s="8">
        <f t="shared" si="22"/>
        <v>0.59360403406174955</v>
      </c>
      <c r="BL31" s="173">
        <f t="shared" si="23"/>
        <v>0.13308265205454473</v>
      </c>
      <c r="BM31" s="5">
        <f t="shared" si="24"/>
        <v>9.9950013241745961E-2</v>
      </c>
      <c r="BN31" s="6">
        <f t="shared" si="25"/>
        <v>-0.498231481969441</v>
      </c>
      <c r="BO31" s="4">
        <f t="shared" si="152"/>
        <v>-0.46892899059006421</v>
      </c>
      <c r="BP31" s="5">
        <f t="shared" si="153"/>
        <v>0.84711605943441692</v>
      </c>
      <c r="BQ31" s="5">
        <f t="shared" si="154"/>
        <v>-0.24999996726497575</v>
      </c>
      <c r="BR31" s="6">
        <f t="shared" si="155"/>
        <v>-0.14682080184751986</v>
      </c>
      <c r="BS31" s="4">
        <f t="shared" si="112"/>
        <v>0</v>
      </c>
      <c r="BT31" s="5">
        <f t="shared" si="112"/>
        <v>0</v>
      </c>
      <c r="BU31" s="10">
        <f t="shared" si="113"/>
        <v>-0.61043888888888886</v>
      </c>
      <c r="BV31" s="9">
        <f t="shared" si="114"/>
        <v>0</v>
      </c>
      <c r="BW31" s="5">
        <f t="shared" si="115"/>
        <v>1</v>
      </c>
      <c r="BX31" s="8">
        <f t="shared" si="116"/>
        <v>-0.61043888888888886</v>
      </c>
      <c r="BY31" s="173">
        <f t="shared" si="117"/>
        <v>1</v>
      </c>
      <c r="BZ31" s="5">
        <f t="shared" si="118"/>
        <v>0</v>
      </c>
      <c r="CA31" s="6">
        <f t="shared" si="119"/>
        <v>-0.61043888888888886</v>
      </c>
      <c r="CB31" s="4">
        <f t="shared" si="156"/>
        <v>0</v>
      </c>
      <c r="CC31" s="5">
        <f t="shared" si="157"/>
        <v>0</v>
      </c>
      <c r="CD31" s="5">
        <f t="shared" si="158"/>
        <v>-1</v>
      </c>
      <c r="CE31" s="6">
        <f t="shared" si="159"/>
        <v>-0.61043888888888886</v>
      </c>
      <c r="CF31" s="4">
        <f t="shared" si="160"/>
        <v>-0.84711605943441692</v>
      </c>
      <c r="CG31" s="5">
        <f t="shared" si="161"/>
        <v>-0.46892899059006421</v>
      </c>
      <c r="CH31" s="5">
        <f t="shared" si="162"/>
        <v>0</v>
      </c>
      <c r="CI31" s="4">
        <f t="shared" si="120"/>
        <v>0</v>
      </c>
      <c r="CJ31" s="5">
        <f t="shared" si="121"/>
        <v>-6.8336567669789261E-3</v>
      </c>
      <c r="CK31" s="8">
        <f t="shared" si="122"/>
        <v>-0.61043888888888898</v>
      </c>
      <c r="CL31" s="173">
        <f t="shared" si="123"/>
        <v>-0.84711605943441692</v>
      </c>
      <c r="CM31" s="5">
        <f t="shared" si="124"/>
        <v>-0.47576264735704316</v>
      </c>
      <c r="CN31" s="6">
        <f t="shared" si="125"/>
        <v>-0.61043888888888898</v>
      </c>
      <c r="CO31" s="167">
        <f t="shared" si="26"/>
        <v>0.3125</v>
      </c>
      <c r="CP31" s="4">
        <f t="shared" si="248"/>
        <v>0.93750001636751112</v>
      </c>
      <c r="CQ31" s="5">
        <f t="shared" si="249"/>
        <v>-1.5925894520737058</v>
      </c>
      <c r="CR31" s="5">
        <f t="shared" si="163"/>
        <v>0.64269553439499949</v>
      </c>
      <c r="CS31" s="8">
        <f t="shared" si="164"/>
        <v>0.12623286679787338</v>
      </c>
      <c r="CT31" s="9">
        <f t="shared" si="165"/>
        <v>1.038870436042201</v>
      </c>
      <c r="CU31" s="6">
        <f t="shared" si="166"/>
        <v>0.65989161651161143</v>
      </c>
      <c r="CV31" s="4">
        <f t="shared" si="250"/>
        <v>-0.8800438300429837</v>
      </c>
      <c r="CW31" s="5">
        <f t="shared" si="167"/>
        <v>-0.49399012169410811</v>
      </c>
      <c r="CX31" s="8">
        <f t="shared" si="168"/>
        <v>-0.61043888888888898</v>
      </c>
      <c r="CY31" s="9">
        <f t="shared" si="169"/>
        <v>-0.55900478583312374</v>
      </c>
      <c r="CZ31" s="5">
        <f t="shared" si="170"/>
        <v>-0.31627596639661465</v>
      </c>
      <c r="DA31" s="6">
        <f t="shared" si="171"/>
        <v>-0.61043888888888898</v>
      </c>
      <c r="DB31" s="4">
        <f t="shared" si="172"/>
        <v>0</v>
      </c>
      <c r="DC31" s="5">
        <f t="shared" si="172"/>
        <v>0</v>
      </c>
      <c r="DD31" s="10">
        <f t="shared" si="173"/>
        <v>-10</v>
      </c>
      <c r="DE31" s="9">
        <f t="shared" si="174"/>
        <v>0</v>
      </c>
      <c r="DF31" s="5">
        <f t="shared" si="174"/>
        <v>0</v>
      </c>
      <c r="DG31" s="10">
        <f t="shared" si="175"/>
        <v>10</v>
      </c>
      <c r="DH31" s="70">
        <f t="shared" si="176"/>
        <v>0.75870000000000004</v>
      </c>
      <c r="DI31" s="4">
        <f t="shared" si="177"/>
        <v>0</v>
      </c>
      <c r="DJ31" s="5">
        <f t="shared" si="178"/>
        <v>0</v>
      </c>
      <c r="DK31" s="10">
        <f t="shared" si="179"/>
        <v>20</v>
      </c>
      <c r="DL31" s="9">
        <f t="shared" si="180"/>
        <v>-0.8800438300429837</v>
      </c>
      <c r="DM31" s="173">
        <f t="shared" si="181"/>
        <v>-0.49399012169410811</v>
      </c>
      <c r="DN31" s="178">
        <f t="shared" si="182"/>
        <v>9.3895611111111101</v>
      </c>
      <c r="DO31" s="9">
        <f t="shared" si="183"/>
        <v>0.32103904420985996</v>
      </c>
      <c r="DP31" s="173">
        <f t="shared" si="184"/>
        <v>0.17771415529749346</v>
      </c>
      <c r="DQ31" s="11">
        <f t="shared" si="185"/>
        <v>0</v>
      </c>
      <c r="DR31" s="173">
        <f t="shared" si="186"/>
        <v>187.79122222222219</v>
      </c>
      <c r="DS31" s="5">
        <f t="shared" si="187"/>
        <v>0</v>
      </c>
      <c r="DT31" s="5">
        <f t="shared" si="188"/>
        <v>400</v>
      </c>
      <c r="DU31" s="5">
        <f t="shared" si="189"/>
        <v>0.13464838890028202</v>
      </c>
      <c r="DV31" s="5">
        <f t="shared" si="190"/>
        <v>-0.37031746726195836</v>
      </c>
      <c r="DW31" s="5">
        <f t="shared" si="191"/>
        <v>89.182361242418182</v>
      </c>
      <c r="DX31" s="167">
        <f t="shared" si="192"/>
        <v>88.606735552418186</v>
      </c>
      <c r="DY31" s="9">
        <f t="shared" si="193"/>
        <v>53.85935556011281</v>
      </c>
      <c r="DZ31" s="5">
        <f t="shared" si="194"/>
        <v>-148.12698690478334</v>
      </c>
      <c r="EA31" s="10">
        <f t="shared" si="195"/>
        <v>177.15107725124108</v>
      </c>
      <c r="EB31" s="6">
        <f t="shared" si="196"/>
        <v>12400.361391958249</v>
      </c>
      <c r="EC31" s="173">
        <f t="shared" si="197"/>
        <v>4.8178054517890443</v>
      </c>
      <c r="ED31" s="5">
        <f t="shared" si="198"/>
        <v>0.68270547576773877</v>
      </c>
      <c r="EE31" s="4">
        <f t="shared" si="199"/>
        <v>0.66665982738842355</v>
      </c>
      <c r="EF31" s="5">
        <f t="shared" si="200"/>
        <v>0.3622021045582407</v>
      </c>
      <c r="EG31" s="10">
        <f t="shared" si="201"/>
        <v>-0.61043888888888898</v>
      </c>
      <c r="EH31" s="9">
        <f t="shared" si="202"/>
        <v>-0.66086871662567115</v>
      </c>
      <c r="EI31" s="5">
        <f t="shared" si="203"/>
        <v>-0.37266369475107103</v>
      </c>
      <c r="EJ31" s="6">
        <f t="shared" si="204"/>
        <v>-0.61043888888888898</v>
      </c>
      <c r="EK31" s="236" t="b">
        <f t="shared" si="205"/>
        <v>0</v>
      </c>
      <c r="EL31" s="238" t="b">
        <f t="shared" si="206"/>
        <v>1</v>
      </c>
      <c r="EM31" s="4">
        <f t="shared" si="207"/>
        <v>-0.66086871662567115</v>
      </c>
      <c r="EN31" s="5">
        <f t="shared" si="208"/>
        <v>-0.37266369475107103</v>
      </c>
      <c r="EO31" s="10">
        <f t="shared" si="209"/>
        <v>-0.61043888888888898</v>
      </c>
      <c r="EP31" s="9">
        <f t="shared" si="210"/>
        <v>209.41863975390322</v>
      </c>
      <c r="EQ31" s="5">
        <f t="shared" si="211"/>
        <v>0.7586999999999875</v>
      </c>
      <c r="ER31" s="7">
        <f t="shared" si="212"/>
        <v>-0.61043888888888898</v>
      </c>
      <c r="ES31" s="21">
        <f t="shared" si="126"/>
        <v>-0.46892899059006449</v>
      </c>
      <c r="ET31" s="5">
        <f t="shared" si="35"/>
        <v>0.84711605943441681</v>
      </c>
      <c r="EU31" s="10">
        <f t="shared" si="36"/>
        <v>-0.24999996726497564</v>
      </c>
      <c r="EV31" s="174">
        <f t="shared" si="264"/>
        <v>240.58136024609678</v>
      </c>
      <c r="EW31" s="9">
        <f t="shared" si="127"/>
        <v>0.96821578125822394</v>
      </c>
      <c r="EX31" s="5">
        <f t="shared" si="37"/>
        <v>-7.6300255594705657E-3</v>
      </c>
      <c r="EY31" s="6">
        <f t="shared" si="213"/>
        <v>-0.24999996726497564</v>
      </c>
      <c r="EZ31" s="51">
        <f t="shared" si="214"/>
        <v>3.0020299149017635</v>
      </c>
      <c r="FA31" s="266">
        <f t="shared" si="128"/>
        <v>-0.49051308934300158</v>
      </c>
      <c r="FB31" s="267">
        <f t="shared" si="129"/>
        <v>0.86985869674998961</v>
      </c>
      <c r="FC31" s="269">
        <f t="shared" si="38"/>
        <v>-5.2371336354861561E-2</v>
      </c>
      <c r="FD31" s="4">
        <f t="shared" si="130"/>
        <v>0.99862767993301982</v>
      </c>
      <c r="FE31" s="5">
        <f t="shared" si="39"/>
        <v>1.6653345369377348E-16</v>
      </c>
      <c r="FF31" s="7">
        <f t="shared" si="215"/>
        <v>-5.2371336354861561E-2</v>
      </c>
      <c r="FG31" s="173">
        <f t="shared" si="216"/>
        <v>-3.0411898674795879E-2</v>
      </c>
      <c r="FH31" s="5">
        <f t="shared" si="40"/>
        <v>-7.6300255594707322E-3</v>
      </c>
      <c r="FI31" s="10">
        <f t="shared" si="41"/>
        <v>-0.19762863091011407</v>
      </c>
      <c r="FJ31" s="279">
        <f t="shared" si="217"/>
        <v>11.484123387413534</v>
      </c>
      <c r="FK31" s="4">
        <f t="shared" si="42"/>
        <v>0.96824584500400068</v>
      </c>
      <c r="FL31" s="5">
        <f t="shared" si="218"/>
        <v>0.99862767993301982</v>
      </c>
      <c r="FM31" s="8">
        <f t="shared" si="219"/>
        <v>3.1354439415244344E-2</v>
      </c>
      <c r="FN31" s="9">
        <f t="shared" si="220"/>
        <v>0.45151010881645853</v>
      </c>
      <c r="FO31" s="10">
        <f t="shared" si="43"/>
        <v>1</v>
      </c>
      <c r="FP31" s="277">
        <f t="shared" si="44"/>
        <v>0.45151010881645853</v>
      </c>
      <c r="FQ31" s="173">
        <f t="shared" si="251"/>
        <v>7.8802564439984357E-3</v>
      </c>
      <c r="FR31" s="10">
        <f t="shared" si="221"/>
        <v>0.99996895029714639</v>
      </c>
      <c r="FS31" s="9">
        <f t="shared" si="222"/>
        <v>7.8188844038276795E-3</v>
      </c>
      <c r="FT31" s="6">
        <f t="shared" si="223"/>
        <v>0.99218111559617228</v>
      </c>
      <c r="FU31" s="4">
        <f t="shared" si="224"/>
        <v>0.99997089093131197</v>
      </c>
      <c r="FV31" s="5">
        <f t="shared" si="225"/>
        <v>1</v>
      </c>
      <c r="FW31" s="8">
        <f t="shared" si="252"/>
        <v>0.19995489325448412</v>
      </c>
      <c r="FX31" s="9">
        <f t="shared" si="253"/>
        <v>11.475910977855364</v>
      </c>
      <c r="FY31" s="10">
        <f t="shared" si="45"/>
        <v>1</v>
      </c>
      <c r="FZ31" s="277">
        <f t="shared" si="254"/>
        <v>11.475910977855364</v>
      </c>
      <c r="GA31" s="177">
        <f t="shared" si="226"/>
        <v>11.47499435745943</v>
      </c>
      <c r="GB31" s="4">
        <f t="shared" si="227"/>
        <v>-7.7227178151822243E-3</v>
      </c>
      <c r="GC31" s="5">
        <f t="shared" si="228"/>
        <v>0.97997800984891592</v>
      </c>
      <c r="GD31" s="10">
        <f t="shared" si="229"/>
        <v>-0.19895592437046219</v>
      </c>
      <c r="GE31" s="311">
        <f t="shared" si="230"/>
        <v>1.1866566520345603</v>
      </c>
      <c r="GF31" s="341">
        <f t="shared" si="255"/>
        <v>0.84270374104039991</v>
      </c>
      <c r="GG31" s="285">
        <f t="shared" si="46"/>
        <v>6.5079631938534041E-3</v>
      </c>
      <c r="GH31" s="286">
        <f t="shared" si="47"/>
        <v>0.82583113503700734</v>
      </c>
      <c r="GI31" s="281">
        <f t="shared" si="48"/>
        <v>0.16766090176913936</v>
      </c>
      <c r="GJ31" s="167">
        <f t="shared" si="231"/>
        <v>0.75870000000000004</v>
      </c>
      <c r="GK31" s="174">
        <f t="shared" si="49"/>
        <v>0.39780030038129333</v>
      </c>
      <c r="GL31" s="174">
        <f t="shared" si="232"/>
        <v>3.6600000000000001E-2</v>
      </c>
      <c r="GM31" s="177">
        <f t="shared" si="256"/>
        <v>0.17471389192746403</v>
      </c>
      <c r="GN31" s="280">
        <f t="shared" si="233"/>
        <v>0.13007855541632996</v>
      </c>
      <c r="GO31" s="4">
        <f t="shared" si="234"/>
        <v>0.45151010881645853</v>
      </c>
      <c r="GP31" s="8">
        <f t="shared" si="257"/>
        <v>11.475910977855364</v>
      </c>
      <c r="GQ31" s="177">
        <f t="shared" si="235"/>
        <v>11.484123387413534</v>
      </c>
      <c r="GR31" s="371">
        <f t="shared" si="258"/>
        <v>520.08814647371628</v>
      </c>
      <c r="GS31" s="342">
        <f t="shared" si="51"/>
        <v>3.3847145148103834</v>
      </c>
      <c r="GT31" s="343">
        <f t="shared" si="52"/>
        <v>8.5085770713750595</v>
      </c>
      <c r="GU31" s="344">
        <f t="shared" si="53"/>
        <v>429.5049843216824</v>
      </c>
      <c r="GV31" s="343">
        <f t="shared" si="265"/>
        <v>1079.7</v>
      </c>
      <c r="GW31" s="345">
        <f t="shared" si="54"/>
        <v>29500</v>
      </c>
      <c r="GX31" s="346">
        <f t="shared" si="55"/>
        <v>68.264032500000013</v>
      </c>
      <c r="GY31" s="344">
        <f t="shared" si="56"/>
        <v>87.198447637223509</v>
      </c>
      <c r="GZ31" s="345">
        <f t="shared" si="57"/>
        <v>219.20156307987554</v>
      </c>
      <c r="HA31" s="342">
        <f t="shared" si="58"/>
        <v>3.3847145148103834</v>
      </c>
      <c r="HB31" s="5">
        <f t="shared" si="236"/>
        <v>240.58136024609678</v>
      </c>
      <c r="HC31" s="343">
        <f t="shared" si="237"/>
        <v>-1.6625282941437152</v>
      </c>
      <c r="HD31" s="363">
        <f t="shared" si="238"/>
        <v>-2.9482693258825048</v>
      </c>
      <c r="HE31" s="344">
        <f t="shared" si="59"/>
        <v>1079.7</v>
      </c>
      <c r="HF31" s="5">
        <f t="shared" si="60"/>
        <v>330.58136024609678</v>
      </c>
      <c r="HG31" s="343">
        <f t="shared" si="239"/>
        <v>940.47707043725961</v>
      </c>
      <c r="HH31" s="349">
        <f t="shared" si="240"/>
        <v>-530.33477161294059</v>
      </c>
      <c r="HI31" s="317">
        <f t="shared" si="61"/>
        <v>5.1029999999999998</v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5.1029999999999998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3</v>
      </c>
      <c r="JN31" s="960">
        <f>($JO31-SMALL($JO$9:$JO$88,1))/((Settings!$C$19/2)-((Settings!$C$19/2)-LARGE($JO$9:$JO$88,1))-SMALL($JO$9:$JO$88,1))</f>
        <v>0.14504779348925026</v>
      </c>
      <c r="JO31" s="162">
        <f t="shared" si="134"/>
        <v>0.82770249635072923</v>
      </c>
      <c r="JP31" s="961">
        <f t="shared" si="135"/>
        <v>14.999997834268278</v>
      </c>
      <c r="JQ31" s="961">
        <f t="shared" si="136"/>
        <v>14.99999783426823</v>
      </c>
      <c r="JS31" s="82">
        <v>23</v>
      </c>
      <c r="JT31" s="322">
        <f t="shared" si="137"/>
        <v>3.5986108534103334</v>
      </c>
      <c r="JU31" s="963">
        <f t="shared" si="138"/>
        <v>0.97476069807092502</v>
      </c>
      <c r="JV31" s="961">
        <f t="shared" si="287"/>
        <v>-71.81305676895775</v>
      </c>
      <c r="JW31" s="961">
        <f t="shared" si="92"/>
        <v>25.367682032219026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-40.788585939883404</v>
      </c>
      <c r="KD31" s="970">
        <v>-42.77811333333333</v>
      </c>
      <c r="KE31" s="968">
        <f t="shared" si="140"/>
        <v>-1.9895273934499258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16.088990982361285</v>
      </c>
      <c r="KG31" s="966">
        <f t="shared" si="244"/>
        <v>-3.9363133333333309</v>
      </c>
      <c r="KH31" s="966">
        <f t="shared" si="141"/>
        <v>0.14807541736666074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-1.4071377140804486</v>
      </c>
      <c r="C32" s="572">
        <f t="shared" si="304"/>
        <v>-0.65615909215443202</v>
      </c>
      <c r="D32" s="576">
        <f t="shared" si="304"/>
        <v>-0.171200516340757</v>
      </c>
      <c r="E32" s="580">
        <f t="shared" ref="E32:K32" si="305">R187</f>
        <v>0.46892899059006449</v>
      </c>
      <c r="F32" s="572">
        <f t="shared" si="305"/>
        <v>-0.84711605943441681</v>
      </c>
      <c r="G32" s="579">
        <f t="shared" si="305"/>
        <v>0.24999996726497564</v>
      </c>
      <c r="H32" s="580">
        <f t="shared" si="305"/>
        <v>0.3125</v>
      </c>
      <c r="I32" s="572">
        <f t="shared" si="305"/>
        <v>0.52</v>
      </c>
      <c r="J32" s="483">
        <f t="shared" si="94"/>
        <v>5.1059999999999999</v>
      </c>
      <c r="K32" s="806">
        <f t="shared" si="305"/>
        <v>1613</v>
      </c>
      <c r="L32" s="309"/>
      <c r="M32" s="164">
        <f t="shared" si="4"/>
        <v>5.1059999999999999</v>
      </c>
      <c r="N32" s="575">
        <f t="shared" si="5"/>
        <v>-1.4071377140804486</v>
      </c>
      <c r="O32" s="572">
        <f t="shared" si="6"/>
        <v>-0.65615909215443202</v>
      </c>
      <c r="P32" s="576">
        <f t="shared" si="7"/>
        <v>-0.171200516340757</v>
      </c>
      <c r="Q32" s="528">
        <f t="shared" si="144"/>
        <v>205</v>
      </c>
      <c r="R32" s="572">
        <f t="shared" si="95"/>
        <v>1.5526046826557232</v>
      </c>
      <c r="S32" s="577">
        <f t="shared" si="96"/>
        <v>-0.171200516340757</v>
      </c>
      <c r="T32" s="578">
        <f t="shared" si="97"/>
        <v>-0.70255856989712184</v>
      </c>
      <c r="U32" s="572">
        <f t="shared" si="98"/>
        <v>1.3845550752745772</v>
      </c>
      <c r="V32" s="579">
        <f t="shared" si="145"/>
        <v>-0.171200516340757</v>
      </c>
      <c r="W32" s="528">
        <f t="shared" si="268"/>
        <v>116.9043997250387</v>
      </c>
      <c r="X32" s="572">
        <f t="shared" si="99"/>
        <v>1.5526046826557232</v>
      </c>
      <c r="Y32" s="573">
        <f t="shared" si="271"/>
        <v>-0.171200516340757</v>
      </c>
      <c r="Z32" s="575">
        <f t="shared" si="10"/>
        <v>-0.46892899059006449</v>
      </c>
      <c r="AA32" s="572">
        <f t="shared" si="11"/>
        <v>0.84711605943441681</v>
      </c>
      <c r="AB32" s="572">
        <f t="shared" si="12"/>
        <v>-0.24999996726497564</v>
      </c>
      <c r="AC32" s="579">
        <f t="shared" si="100"/>
        <v>1</v>
      </c>
      <c r="AD32" s="580">
        <f t="shared" si="146"/>
        <v>-0.46892899059006449</v>
      </c>
      <c r="AE32" s="572">
        <f t="shared" si="101"/>
        <v>0.84711605943441681</v>
      </c>
      <c r="AF32" s="576">
        <f t="shared" si="102"/>
        <v>-0.24999996726497564</v>
      </c>
      <c r="AG32" s="545">
        <f t="shared" si="103"/>
        <v>73.557673426835976</v>
      </c>
      <c r="AH32" s="546">
        <f t="shared" si="104"/>
        <v>117.96479743290489</v>
      </c>
      <c r="AI32" s="528">
        <f t="shared" si="105"/>
        <v>-75.522489751159469</v>
      </c>
      <c r="AJ32" s="529">
        <f t="shared" si="106"/>
        <v>-151.03287035491343</v>
      </c>
      <c r="AK32" s="578">
        <f t="shared" si="247"/>
        <v>0.9659258360722075</v>
      </c>
      <c r="AL32" s="572">
        <f t="shared" si="107"/>
        <v>6.698727920820724E-2</v>
      </c>
      <c r="AM32" s="577">
        <f t="shared" si="108"/>
        <v>-0.24999996726497564</v>
      </c>
      <c r="AN32" s="524">
        <f t="shared" si="109"/>
        <v>14.999997834268278</v>
      </c>
      <c r="AO32" s="525">
        <f t="shared" si="110"/>
        <v>14.99999783426823</v>
      </c>
      <c r="AP32" s="528">
        <f t="shared" si="111"/>
        <v>3.9671296450865734</v>
      </c>
      <c r="AQ32" s="529">
        <f t="shared" si="13"/>
        <v>1.4680026317350765</v>
      </c>
      <c r="AR32" s="979"/>
      <c r="AS32" s="954">
        <f t="shared" si="147"/>
        <v>-243.0956002749613</v>
      </c>
      <c r="AT32" s="950">
        <f t="shared" si="14"/>
        <v>-1.0616274518681079E-3</v>
      </c>
      <c r="AU32" s="418"/>
      <c r="AV32" s="164">
        <f t="shared" si="15"/>
        <v>5.1059999999999999</v>
      </c>
      <c r="AW32" s="829">
        <f>IFERROR(INDEX(MassProp!C$9:C$150,MATCH($M32,MassProp!$B$9:$B$150,0)),"")</f>
        <v>1.466</v>
      </c>
      <c r="AX32" s="830">
        <f>IFERROR(INDEX(MassProp!D$9:D$150,MATCH($M32,MassProp!$B$9:$B$150,0)),"")</f>
        <v>5.6099999999999997E-2</v>
      </c>
      <c r="AY32" s="831">
        <f>IFERROR(INDEX(MassProp!E$9:E$150,MATCH($M32,MassProp!$B$9:$B$150,0)),"")</f>
        <v>3.6499999999999998E-2</v>
      </c>
      <c r="AZ32" s="297">
        <f t="shared" si="148"/>
        <v>0.33633077071088341</v>
      </c>
      <c r="BA32" s="296">
        <f t="shared" si="16"/>
        <v>0.25040607998301623</v>
      </c>
      <c r="BB32" s="190">
        <f t="shared" si="149"/>
        <v>-0.19283837254813191</v>
      </c>
      <c r="BC32" s="9"/>
      <c r="BD32" s="5">
        <f t="shared" si="150"/>
        <v>1.466</v>
      </c>
      <c r="BE32" s="6">
        <f t="shared" si="17"/>
        <v>-0.36403888888888891</v>
      </c>
      <c r="BF32" s="4">
        <f t="shared" si="18"/>
        <v>-1.4071377140804486</v>
      </c>
      <c r="BG32" s="5">
        <f t="shared" si="19"/>
        <v>-0.65615909215443202</v>
      </c>
      <c r="BH32" s="10">
        <f t="shared" si="20"/>
        <v>-0.171200516340757</v>
      </c>
      <c r="BI32" s="9">
        <f t="shared" si="151"/>
        <v>-1.4071377140804486</v>
      </c>
      <c r="BJ32" s="5">
        <f t="shared" si="21"/>
        <v>-0.37310903067049911</v>
      </c>
      <c r="BK32" s="8">
        <f t="shared" si="22"/>
        <v>0.78790462007231721</v>
      </c>
      <c r="BL32" s="173">
        <f t="shared" si="23"/>
        <v>-0.52390184423356367</v>
      </c>
      <c r="BM32" s="5">
        <f t="shared" si="24"/>
        <v>-0.20640688866650325</v>
      </c>
      <c r="BN32" s="6">
        <f t="shared" si="25"/>
        <v>-0.30393089595887324</v>
      </c>
      <c r="BO32" s="4">
        <f t="shared" si="152"/>
        <v>-0.46892899059006404</v>
      </c>
      <c r="BP32" s="5">
        <f t="shared" si="153"/>
        <v>0.84711605943441659</v>
      </c>
      <c r="BQ32" s="5">
        <f t="shared" si="154"/>
        <v>-0.24999996726497575</v>
      </c>
      <c r="BR32" s="6">
        <f t="shared" si="155"/>
        <v>-0.14680488685796447</v>
      </c>
      <c r="BS32" s="4">
        <f t="shared" si="112"/>
        <v>0</v>
      </c>
      <c r="BT32" s="5">
        <f t="shared" si="112"/>
        <v>0</v>
      </c>
      <c r="BU32" s="10">
        <f t="shared" si="113"/>
        <v>-0.36403888888888891</v>
      </c>
      <c r="BV32" s="9">
        <f t="shared" si="114"/>
        <v>0</v>
      </c>
      <c r="BW32" s="5">
        <f t="shared" si="115"/>
        <v>1</v>
      </c>
      <c r="BX32" s="8">
        <f t="shared" si="116"/>
        <v>-0.36403888888888891</v>
      </c>
      <c r="BY32" s="173">
        <f t="shared" si="117"/>
        <v>1</v>
      </c>
      <c r="BZ32" s="5">
        <f t="shared" si="118"/>
        <v>0</v>
      </c>
      <c r="CA32" s="6">
        <f t="shared" si="119"/>
        <v>-0.36403888888888891</v>
      </c>
      <c r="CB32" s="4">
        <f t="shared" si="156"/>
        <v>0</v>
      </c>
      <c r="CC32" s="5">
        <f t="shared" si="157"/>
        <v>0</v>
      </c>
      <c r="CD32" s="5">
        <f t="shared" si="158"/>
        <v>-1</v>
      </c>
      <c r="CE32" s="6">
        <f t="shared" si="159"/>
        <v>-0.36403888888888891</v>
      </c>
      <c r="CF32" s="4">
        <f t="shared" si="160"/>
        <v>-0.84711605943441659</v>
      </c>
      <c r="CG32" s="5">
        <f t="shared" si="161"/>
        <v>-0.46892899059006404</v>
      </c>
      <c r="CH32" s="5">
        <f t="shared" si="162"/>
        <v>0</v>
      </c>
      <c r="CI32" s="4">
        <f t="shared" si="120"/>
        <v>0</v>
      </c>
      <c r="CJ32" s="5">
        <f t="shared" si="121"/>
        <v>6.5864855153160665E-2</v>
      </c>
      <c r="CK32" s="8">
        <f t="shared" si="122"/>
        <v>-0.36403888888888897</v>
      </c>
      <c r="CL32" s="173">
        <f t="shared" si="123"/>
        <v>-0.84711605943441659</v>
      </c>
      <c r="CM32" s="5">
        <f t="shared" si="124"/>
        <v>-0.40306413543690339</v>
      </c>
      <c r="CN32" s="6">
        <f t="shared" si="125"/>
        <v>-0.36403888888888897</v>
      </c>
      <c r="CO32" s="167">
        <f t="shared" si="26"/>
        <v>0.3125</v>
      </c>
      <c r="CP32" s="4">
        <f t="shared" si="248"/>
        <v>0.93750001636751035</v>
      </c>
      <c r="CQ32" s="5">
        <f t="shared" si="249"/>
        <v>-3.0611738324523707</v>
      </c>
      <c r="CR32" s="5">
        <f t="shared" si="163"/>
        <v>2.4408855148002</v>
      </c>
      <c r="CS32" s="8">
        <f t="shared" si="164"/>
        <v>0.21746439218551039</v>
      </c>
      <c r="CT32" s="9">
        <f t="shared" si="165"/>
        <v>1.8813357580663446</v>
      </c>
      <c r="CU32" s="6">
        <f t="shared" si="166"/>
        <v>1.383916272875868</v>
      </c>
      <c r="CV32" s="4">
        <f t="shared" si="250"/>
        <v>-1.5937097338462227</v>
      </c>
      <c r="CW32" s="5">
        <f t="shared" si="167"/>
        <v>-0.81634802283788321</v>
      </c>
      <c r="CX32" s="8">
        <f t="shared" si="168"/>
        <v>-0.36403888888888897</v>
      </c>
      <c r="CY32" s="9">
        <f t="shared" si="169"/>
        <v>-1.1723376996657702</v>
      </c>
      <c r="CZ32" s="5">
        <f t="shared" si="170"/>
        <v>-0.58309360574768376</v>
      </c>
      <c r="DA32" s="6">
        <f t="shared" si="171"/>
        <v>-0.36403888888888897</v>
      </c>
      <c r="DB32" s="4">
        <f t="shared" si="172"/>
        <v>0</v>
      </c>
      <c r="DC32" s="5">
        <f t="shared" si="172"/>
        <v>0</v>
      </c>
      <c r="DD32" s="10">
        <f t="shared" si="173"/>
        <v>-10</v>
      </c>
      <c r="DE32" s="9">
        <f t="shared" si="174"/>
        <v>0</v>
      </c>
      <c r="DF32" s="5">
        <f t="shared" si="174"/>
        <v>0</v>
      </c>
      <c r="DG32" s="10">
        <f t="shared" si="175"/>
        <v>10</v>
      </c>
      <c r="DH32" s="70">
        <f t="shared" si="176"/>
        <v>1.466</v>
      </c>
      <c r="DI32" s="4">
        <f t="shared" si="177"/>
        <v>0</v>
      </c>
      <c r="DJ32" s="5">
        <f t="shared" si="178"/>
        <v>0</v>
      </c>
      <c r="DK32" s="10">
        <f t="shared" si="179"/>
        <v>20</v>
      </c>
      <c r="DL32" s="9">
        <f t="shared" si="180"/>
        <v>-1.5937097338462227</v>
      </c>
      <c r="DM32" s="173">
        <f t="shared" si="181"/>
        <v>-0.81634802283788321</v>
      </c>
      <c r="DN32" s="178">
        <f t="shared" si="182"/>
        <v>9.6359611111111114</v>
      </c>
      <c r="DO32" s="9">
        <f t="shared" si="183"/>
        <v>0.42137203418045255</v>
      </c>
      <c r="DP32" s="173">
        <f t="shared" si="184"/>
        <v>0.23325441709019945</v>
      </c>
      <c r="DQ32" s="11">
        <f t="shared" si="185"/>
        <v>0</v>
      </c>
      <c r="DR32" s="173">
        <f t="shared" si="186"/>
        <v>192.71922222222224</v>
      </c>
      <c r="DS32" s="5">
        <f t="shared" si="187"/>
        <v>0</v>
      </c>
      <c r="DT32" s="5">
        <f t="shared" si="188"/>
        <v>400</v>
      </c>
      <c r="DU32" s="5">
        <f t="shared" si="189"/>
        <v>0.23196201428146118</v>
      </c>
      <c r="DV32" s="5">
        <f t="shared" si="190"/>
        <v>-0.86196149465375782</v>
      </c>
      <c r="DW32" s="5">
        <f t="shared" si="191"/>
        <v>96.058081344993212</v>
      </c>
      <c r="DX32" s="167">
        <f t="shared" si="192"/>
        <v>93.908925344993207</v>
      </c>
      <c r="DY32" s="9">
        <f t="shared" si="193"/>
        <v>92.784805712584472</v>
      </c>
      <c r="DZ32" s="5">
        <f t="shared" si="194"/>
        <v>-344.78459786150313</v>
      </c>
      <c r="EA32" s="10">
        <f t="shared" si="195"/>
        <v>422.8715240590027</v>
      </c>
      <c r="EB32" s="6">
        <f t="shared" si="196"/>
        <v>79640.366721319369</v>
      </c>
      <c r="EC32" s="173">
        <f t="shared" si="197"/>
        <v>6.7574732909919142</v>
      </c>
      <c r="ED32" s="5">
        <f t="shared" si="198"/>
        <v>0.67444608877221657</v>
      </c>
      <c r="EE32" s="4">
        <f t="shared" si="199"/>
        <v>1.2537005326991173</v>
      </c>
      <c r="EF32" s="5">
        <f t="shared" si="200"/>
        <v>0.75986247065502743</v>
      </c>
      <c r="EG32" s="10">
        <f t="shared" si="201"/>
        <v>-0.36403888888888897</v>
      </c>
      <c r="EH32" s="9">
        <f t="shared" si="202"/>
        <v>-1.3095170134752236</v>
      </c>
      <c r="EI32" s="5">
        <f t="shared" si="203"/>
        <v>-0.65903049354255494</v>
      </c>
      <c r="EJ32" s="6">
        <f t="shared" si="204"/>
        <v>-0.36403888888888897</v>
      </c>
      <c r="EK32" s="236" t="b">
        <f t="shared" si="205"/>
        <v>0</v>
      </c>
      <c r="EL32" s="238" t="b">
        <f t="shared" si="206"/>
        <v>1</v>
      </c>
      <c r="EM32" s="4">
        <f t="shared" si="207"/>
        <v>-1.3095170134752236</v>
      </c>
      <c r="EN32" s="5">
        <f t="shared" si="208"/>
        <v>-0.65903049354255494</v>
      </c>
      <c r="EO32" s="10">
        <f t="shared" si="209"/>
        <v>-0.36403888888888897</v>
      </c>
      <c r="EP32" s="9">
        <f t="shared" si="210"/>
        <v>206.7143870173384</v>
      </c>
      <c r="EQ32" s="5">
        <f t="shared" si="211"/>
        <v>1.4660000000000042</v>
      </c>
      <c r="ER32" s="7">
        <f t="shared" si="212"/>
        <v>-0.36403888888888897</v>
      </c>
      <c r="ES32" s="21">
        <f t="shared" si="126"/>
        <v>-0.46892899059006449</v>
      </c>
      <c r="ET32" s="5">
        <f t="shared" si="35"/>
        <v>0.84711605943441681</v>
      </c>
      <c r="EU32" s="10">
        <f t="shared" si="36"/>
        <v>-0.24999996726497564</v>
      </c>
      <c r="EV32" s="174">
        <f t="shared" si="264"/>
        <v>243.2856129826616</v>
      </c>
      <c r="EW32" s="9">
        <f t="shared" si="127"/>
        <v>0.96749754182976511</v>
      </c>
      <c r="EX32" s="5">
        <f t="shared" si="37"/>
        <v>3.8059465588379582E-2</v>
      </c>
      <c r="EY32" s="6">
        <f t="shared" si="213"/>
        <v>-0.24999996726497564</v>
      </c>
      <c r="EZ32" s="51">
        <f t="shared" si="214"/>
        <v>1.5546842454088432</v>
      </c>
      <c r="FA32" s="266">
        <f t="shared" si="128"/>
        <v>-0.4493778274937657</v>
      </c>
      <c r="FB32" s="267">
        <f t="shared" si="129"/>
        <v>0.89292971470617022</v>
      </c>
      <c r="FC32" s="269">
        <f t="shared" si="38"/>
        <v>-2.7131029315911159E-2</v>
      </c>
      <c r="FD32" s="4">
        <f t="shared" si="130"/>
        <v>0.99963188587012319</v>
      </c>
      <c r="FE32" s="5">
        <f t="shared" si="39"/>
        <v>1.6653345369377348E-16</v>
      </c>
      <c r="FF32" s="7">
        <f t="shared" si="215"/>
        <v>-2.7131029315911159E-2</v>
      </c>
      <c r="FG32" s="173">
        <f t="shared" si="216"/>
        <v>-3.2134344040358087E-2</v>
      </c>
      <c r="FH32" s="5">
        <f t="shared" si="40"/>
        <v>3.8059465588379415E-2</v>
      </c>
      <c r="FI32" s="10">
        <f t="shared" si="41"/>
        <v>-0.22286893794906448</v>
      </c>
      <c r="FJ32" s="279">
        <f t="shared" si="217"/>
        <v>13.113092912494178</v>
      </c>
      <c r="FK32" s="4">
        <f t="shared" si="42"/>
        <v>0.96824584500400068</v>
      </c>
      <c r="FL32" s="5">
        <f t="shared" si="218"/>
        <v>0.9996318858701233</v>
      </c>
      <c r="FM32" s="8">
        <f t="shared" si="219"/>
        <v>4.9811032791713269E-2</v>
      </c>
      <c r="FN32" s="9">
        <f t="shared" si="220"/>
        <v>2.2527426277481539</v>
      </c>
      <c r="FO32" s="10">
        <f t="shared" si="43"/>
        <v>-1</v>
      </c>
      <c r="FP32" s="277">
        <f t="shared" si="44"/>
        <v>-2.2527426277481539</v>
      </c>
      <c r="FQ32" s="173">
        <f t="shared" si="251"/>
        <v>3.9307646694029433E-2</v>
      </c>
      <c r="FR32" s="10">
        <f t="shared" si="221"/>
        <v>0.99922715581161892</v>
      </c>
      <c r="FS32" s="9">
        <f t="shared" si="222"/>
        <v>3.7849137649689543E-2</v>
      </c>
      <c r="FT32" s="6">
        <f t="shared" si="223"/>
        <v>0.96215086235031033</v>
      </c>
      <c r="FU32" s="4">
        <f t="shared" si="224"/>
        <v>0.99927547607210243</v>
      </c>
      <c r="FV32" s="5">
        <f t="shared" si="225"/>
        <v>0.99999999999999989</v>
      </c>
      <c r="FW32" s="8">
        <f t="shared" si="252"/>
        <v>0.22517366535509442</v>
      </c>
      <c r="FX32" s="9">
        <f t="shared" si="253"/>
        <v>12.933552427061368</v>
      </c>
      <c r="FY32" s="10">
        <f t="shared" si="45"/>
        <v>1</v>
      </c>
      <c r="FZ32" s="277">
        <f t="shared" si="254"/>
        <v>12.933552427061368</v>
      </c>
      <c r="GA32" s="177">
        <f t="shared" si="226"/>
        <v>12.92352656412579</v>
      </c>
      <c r="GB32" s="4">
        <f t="shared" si="227"/>
        <v>3.8310423164308854E-2</v>
      </c>
      <c r="GC32" s="5">
        <f t="shared" si="228"/>
        <v>0.97387705436526828</v>
      </c>
      <c r="GD32" s="10">
        <f t="shared" si="229"/>
        <v>-0.22382089817038925</v>
      </c>
      <c r="GE32" s="311">
        <f t="shared" si="230"/>
        <v>1.2360083756999665</v>
      </c>
      <c r="GF32" s="341">
        <f t="shared" si="255"/>
        <v>0.80905600614048256</v>
      </c>
      <c r="GG32" s="285">
        <f t="shared" si="46"/>
        <v>3.0995277958867553E-2</v>
      </c>
      <c r="GH32" s="286">
        <f t="shared" si="47"/>
        <v>0.78792108007662165</v>
      </c>
      <c r="GI32" s="281">
        <f t="shared" si="48"/>
        <v>0.18108364196451077</v>
      </c>
      <c r="GJ32" s="167">
        <f t="shared" si="231"/>
        <v>1.466</v>
      </c>
      <c r="GK32" s="174">
        <f t="shared" si="49"/>
        <v>0.76787847194265624</v>
      </c>
      <c r="GL32" s="174">
        <f t="shared" si="232"/>
        <v>3.6499999999999998E-2</v>
      </c>
      <c r="GM32" s="177">
        <f t="shared" si="256"/>
        <v>0.33633077071088341</v>
      </c>
      <c r="GN32" s="280">
        <f t="shared" si="233"/>
        <v>0.25040607998301623</v>
      </c>
      <c r="GO32" s="4">
        <f t="shared" si="234"/>
        <v>-2.2527426277481539</v>
      </c>
      <c r="GP32" s="8">
        <f t="shared" si="257"/>
        <v>12.933552427061368</v>
      </c>
      <c r="GQ32" s="177">
        <f t="shared" si="235"/>
        <v>13.113092912494178</v>
      </c>
      <c r="GR32" s="371">
        <f t="shared" si="258"/>
        <v>1049.3603554607923</v>
      </c>
      <c r="GS32" s="342">
        <f t="shared" si="51"/>
        <v>32.525215896523321</v>
      </c>
      <c r="GT32" s="343">
        <f t="shared" si="52"/>
        <v>42.35724412775599</v>
      </c>
      <c r="GU32" s="344">
        <f t="shared" si="53"/>
        <v>826.81314466425511</v>
      </c>
      <c r="GV32" s="343">
        <f t="shared" si="265"/>
        <v>1076.75</v>
      </c>
      <c r="GW32" s="345">
        <f t="shared" si="54"/>
        <v>29500</v>
      </c>
      <c r="GX32" s="346">
        <f t="shared" si="55"/>
        <v>131.54295833333333</v>
      </c>
      <c r="GY32" s="344">
        <f t="shared" si="56"/>
        <v>190.02199490001388</v>
      </c>
      <c r="GZ32" s="345">
        <f t="shared" si="57"/>
        <v>247.4636310864102</v>
      </c>
      <c r="HA32" s="342">
        <f t="shared" si="58"/>
        <v>-32.525215896523321</v>
      </c>
      <c r="HB32" s="5">
        <f t="shared" si="236"/>
        <v>243.2856129826616</v>
      </c>
      <c r="HC32" s="343">
        <f t="shared" si="237"/>
        <v>14.621493236605628</v>
      </c>
      <c r="HD32" s="363">
        <f t="shared" si="238"/>
        <v>29.053426728139129</v>
      </c>
      <c r="HE32" s="344">
        <f t="shared" si="59"/>
        <v>1076.75</v>
      </c>
      <c r="HF32" s="5">
        <f t="shared" si="60"/>
        <v>333.28561298266163</v>
      </c>
      <c r="HG32" s="343">
        <f t="shared" si="239"/>
        <v>961.8161284170825</v>
      </c>
      <c r="HH32" s="349">
        <f t="shared" si="240"/>
        <v>-484.04575983761521</v>
      </c>
      <c r="HI32" s="317">
        <f t="shared" si="61"/>
        <v>5.1059999999999999</v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5.1059999999999999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6</v>
      </c>
      <c r="JN32" s="960">
        <f>($JO32-SMALL($JO$9:$JO$88,1))/((Settings!$C$19/2)-((Settings!$C$19/2)-LARGE($JO$9:$JO$88,1))-SMALL($JO$9:$JO$88,1))</f>
        <v>0.3621104390308636</v>
      </c>
      <c r="JO32" s="162">
        <f t="shared" si="134"/>
        <v>1.5526046826557232</v>
      </c>
      <c r="JP32" s="961">
        <f t="shared" si="135"/>
        <v>14.999997834268278</v>
      </c>
      <c r="JQ32" s="961">
        <f t="shared" si="136"/>
        <v>14.99999783426823</v>
      </c>
      <c r="JS32" s="82">
        <v>24</v>
      </c>
      <c r="JT32" s="322">
        <f t="shared" si="137"/>
        <v>3.6241109303185666</v>
      </c>
      <c r="JU32" s="963">
        <f t="shared" si="138"/>
        <v>0.98239636845485578</v>
      </c>
      <c r="JV32" s="961">
        <f t="shared" si="287"/>
        <v>-74.941245330664387</v>
      </c>
      <c r="JW32" s="961">
        <f t="shared" si="92"/>
        <v>26.340726971777592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-48.675631059699398</v>
      </c>
      <c r="KD32" s="970">
        <v>-46.714513333333329</v>
      </c>
      <c r="KE32" s="968">
        <f t="shared" si="140"/>
        <v>1.9611177263660693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16.234908051297914</v>
      </c>
      <c r="KG32" s="966">
        <f t="shared" si="244"/>
        <v>-3.936399999999999</v>
      </c>
      <c r="KH32" s="966">
        <f t="shared" si="141"/>
        <v>0.14591706893662959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-2.1346943302811936</v>
      </c>
      <c r="C33" s="572">
        <f t="shared" si="306"/>
        <v>-0.96991307241817903</v>
      </c>
      <c r="D33" s="576">
        <f t="shared" si="306"/>
        <v>-4.8800147181243883E-2</v>
      </c>
      <c r="E33" s="580">
        <f t="shared" ref="E33:K33" si="307">R188</f>
        <v>0.32899261516757766</v>
      </c>
      <c r="F33" s="572">
        <f t="shared" si="307"/>
        <v>-0.90971424123505007</v>
      </c>
      <c r="G33" s="579">
        <f t="shared" si="307"/>
        <v>0.25334533439425211</v>
      </c>
      <c r="H33" s="580">
        <f t="shared" si="307"/>
        <v>0.3125</v>
      </c>
      <c r="I33" s="572">
        <f t="shared" si="307"/>
        <v>0.52</v>
      </c>
      <c r="J33" s="483">
        <f t="shared" si="94"/>
        <v>5.1100000000000003</v>
      </c>
      <c r="K33" s="806">
        <f t="shared" si="307"/>
        <v>1613</v>
      </c>
      <c r="L33" s="309"/>
      <c r="M33" s="164">
        <f t="shared" si="4"/>
        <v>5.1100000000000003</v>
      </c>
      <c r="N33" s="575">
        <f t="shared" si="5"/>
        <v>-2.1346943302811936</v>
      </c>
      <c r="O33" s="572">
        <f t="shared" si="6"/>
        <v>-0.96991307241817903</v>
      </c>
      <c r="P33" s="576">
        <f t="shared" si="7"/>
        <v>-4.8800147181243883E-2</v>
      </c>
      <c r="Q33" s="528">
        <f t="shared" si="144"/>
        <v>204.43500008157588</v>
      </c>
      <c r="R33" s="572">
        <f t="shared" si="95"/>
        <v>2.3447070716365288</v>
      </c>
      <c r="S33" s="577">
        <f t="shared" si="96"/>
        <v>-4.8800147181243883E-2</v>
      </c>
      <c r="T33" s="578">
        <f t="shared" si="97"/>
        <v>-1.0403173609462761</v>
      </c>
      <c r="U33" s="572">
        <f t="shared" si="98"/>
        <v>2.1012831889814665</v>
      </c>
      <c r="V33" s="579">
        <f t="shared" si="145"/>
        <v>-4.8800147181243883E-2</v>
      </c>
      <c r="W33" s="528">
        <f t="shared" si="268"/>
        <v>116.33939980661458</v>
      </c>
      <c r="X33" s="572">
        <f t="shared" si="99"/>
        <v>2.3447070716365288</v>
      </c>
      <c r="Y33" s="573">
        <f t="shared" si="271"/>
        <v>-4.8800147181243883E-2</v>
      </c>
      <c r="Z33" s="575">
        <f t="shared" si="10"/>
        <v>-0.32899261516757766</v>
      </c>
      <c r="AA33" s="572">
        <f t="shared" si="11"/>
        <v>0.90971424123505007</v>
      </c>
      <c r="AB33" s="572">
        <f t="shared" si="12"/>
        <v>-0.25334533439425211</v>
      </c>
      <c r="AC33" s="579">
        <f t="shared" si="100"/>
        <v>1</v>
      </c>
      <c r="AD33" s="580">
        <f t="shared" si="146"/>
        <v>-0.32899261516757766</v>
      </c>
      <c r="AE33" s="572">
        <f t="shared" si="101"/>
        <v>0.90971424123505007</v>
      </c>
      <c r="AF33" s="576">
        <f t="shared" si="102"/>
        <v>-0.25334533439425211</v>
      </c>
      <c r="AG33" s="545">
        <f t="shared" si="103"/>
        <v>74.438069350883936</v>
      </c>
      <c r="AH33" s="546">
        <f t="shared" si="104"/>
        <v>109.20764274416175</v>
      </c>
      <c r="AI33" s="528">
        <f t="shared" si="105"/>
        <v>-75.32443945896658</v>
      </c>
      <c r="AJ33" s="529">
        <f t="shared" si="106"/>
        <v>-160.11778466099923</v>
      </c>
      <c r="AK33" s="578">
        <f t="shared" si="247"/>
        <v>0.9643234749756836</v>
      </c>
      <c r="AL33" s="572">
        <f t="shared" si="107"/>
        <v>-7.6787871122247608E-2</v>
      </c>
      <c r="AM33" s="577">
        <f t="shared" si="108"/>
        <v>-0.25334533439425211</v>
      </c>
      <c r="AN33" s="524">
        <f t="shared" si="109"/>
        <v>-16.861828396216538</v>
      </c>
      <c r="AO33" s="525">
        <f t="shared" si="110"/>
        <v>15.350715017630936</v>
      </c>
      <c r="AP33" s="528">
        <f t="shared" si="111"/>
        <v>-4.5527847425751187</v>
      </c>
      <c r="AQ33" s="529">
        <f t="shared" si="13"/>
        <v>0.97219301654426726</v>
      </c>
      <c r="AR33" s="979"/>
      <c r="AS33" s="954">
        <f t="shared" si="147"/>
        <v>-243.66060019338542</v>
      </c>
      <c r="AT33" s="950">
        <f t="shared" si="14"/>
        <v>0.12173110276210621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5.1100000000000003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10</v>
      </c>
      <c r="JN33" s="960">
        <f>($JO33-SMALL($JO$9:$JO$88,1))/((Settings!$C$19/2)-((Settings!$C$19/2)-LARGE($JO$9:$JO$88,1))-SMALL($JO$9:$JO$88,1))</f>
        <v>0.59929532181954059</v>
      </c>
      <c r="JO33" s="162">
        <f t="shared" si="134"/>
        <v>2.3447070716365288</v>
      </c>
      <c r="JP33" s="961">
        <f t="shared" si="135"/>
        <v>-16.861828396216538</v>
      </c>
      <c r="JQ33" s="961">
        <f t="shared" si="136"/>
        <v>15.350715017630936</v>
      </c>
      <c r="JS33" s="82">
        <v>25</v>
      </c>
      <c r="JT33" s="322">
        <f t="shared" si="137"/>
        <v>3.6465109978771699</v>
      </c>
      <c r="JU33" s="963">
        <f t="shared" si="138"/>
        <v>0.98910378087054351</v>
      </c>
      <c r="JV33" s="961">
        <f t="shared" si="287"/>
        <v>-77.379658115530859</v>
      </c>
      <c r="JW33" s="961">
        <f t="shared" si="92"/>
        <v>28.259860162360681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-52.144263828149931</v>
      </c>
      <c r="KD33" s="970">
        <v>-50.650826666666667</v>
      </c>
      <c r="KE33" s="968">
        <f t="shared" si="140"/>
        <v>1.4934371614832642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16.983314434333089</v>
      </c>
      <c r="KG33" s="966">
        <f t="shared" si="244"/>
        <v>-3.936313333333338</v>
      </c>
      <c r="KH33" s="966">
        <f t="shared" si="141"/>
        <v>0.74840638303517437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-2.8361753189900671</v>
      </c>
      <c r="C34" s="572">
        <f t="shared" si="308"/>
        <v>-1.22749310762362</v>
      </c>
      <c r="D34" s="576">
        <f t="shared" si="308"/>
        <v>-0.34390103720552812</v>
      </c>
      <c r="E34" s="580">
        <f t="shared" ref="E34:K34" si="309">R189</f>
        <v>0.18508083486904289</v>
      </c>
      <c r="F34" s="572">
        <f t="shared" si="309"/>
        <v>-0.96590384896858561</v>
      </c>
      <c r="G34" s="579">
        <f t="shared" si="309"/>
        <v>0.18103822555430094</v>
      </c>
      <c r="H34" s="580">
        <f t="shared" si="309"/>
        <v>0.3125</v>
      </c>
      <c r="I34" s="572">
        <f t="shared" si="309"/>
        <v>0.52</v>
      </c>
      <c r="J34" s="483">
        <f t="shared" si="94"/>
        <v>5.1159999999999997</v>
      </c>
      <c r="K34" s="806">
        <f t="shared" si="309"/>
        <v>1613</v>
      </c>
      <c r="L34" s="309"/>
      <c r="M34" s="164">
        <f t="shared" si="4"/>
        <v>5.1159999999999997</v>
      </c>
      <c r="N34" s="575">
        <f t="shared" si="5"/>
        <v>-2.8361753189900671</v>
      </c>
      <c r="O34" s="572">
        <f t="shared" si="6"/>
        <v>-1.22749310762362</v>
      </c>
      <c r="P34" s="576">
        <f t="shared" si="7"/>
        <v>-0.34390103720552812</v>
      </c>
      <c r="Q34" s="528">
        <f t="shared" si="144"/>
        <v>203.40290023059268</v>
      </c>
      <c r="R34" s="572">
        <f>IF(M34="","",SQRT(N34^2+O34^2))</f>
        <v>3.0904093206745125</v>
      </c>
      <c r="S34" s="577">
        <f>IF(M34="","",P34)</f>
        <v>-0.34390103720552812</v>
      </c>
      <c r="T34" s="578">
        <f>IF(M34="","",X34*COS(RADIANS(W34)))</f>
        <v>-1.3210666903426584</v>
      </c>
      <c r="U34" s="572">
        <f>IF(M34="","",X34*SIN(RADIANS(W34)))</f>
        <v>2.7938168459974242</v>
      </c>
      <c r="V34" s="579">
        <f>IF(M34="","",Y34)</f>
        <v>-0.34390103720552812</v>
      </c>
      <c r="W34" s="528">
        <f t="shared" si="268"/>
        <v>115.30729995563138</v>
      </c>
      <c r="X34" s="572">
        <f>IF(M34="","",R34)</f>
        <v>3.0904093206745125</v>
      </c>
      <c r="Y34" s="573">
        <f t="shared" si="271"/>
        <v>-0.34390103720552812</v>
      </c>
      <c r="Z34" s="575">
        <f t="shared" si="10"/>
        <v>-0.18508083486904289</v>
      </c>
      <c r="AA34" s="572">
        <f t="shared" si="11"/>
        <v>0.96590384896858561</v>
      </c>
      <c r="AB34" s="572">
        <f t="shared" si="12"/>
        <v>-0.18103822555430094</v>
      </c>
      <c r="AC34" s="579">
        <f>IF(M34="","",SQRT(Z34^2+AA34^2+AB34^2))</f>
        <v>1</v>
      </c>
      <c r="AD34" s="580">
        <f>IF(M34="","",Z34*(1/SQRT(Z34^2+AA34^2+AB34^2)))</f>
        <v>-0.18508083486904289</v>
      </c>
      <c r="AE34" s="572">
        <f>IF(M34="","",AA34*(1/SQRT(Z34^2+AA34^2+AB34^2)))</f>
        <v>0.96590384896858561</v>
      </c>
      <c r="AF34" s="576">
        <f>IF(M34="","",AB34*(1/SQRT(Z34^2+AA34^2+AB34^2)))</f>
        <v>-0.18103822555430094</v>
      </c>
      <c r="AG34" s="545">
        <f>IF(M34="","",DEGREES(ATAN2(-AF34,AE34)))</f>
        <v>79.384284183555408</v>
      </c>
      <c r="AH34" s="546">
        <f>IF(M34="","",DEGREES(ACOS(AD34)))</f>
        <v>100.6658452817492</v>
      </c>
      <c r="AI34" s="528">
        <f>IF(M34="","",DEGREES(-ACOS(-AF34)))</f>
        <v>-79.569760659593413</v>
      </c>
      <c r="AJ34" s="529">
        <f>IF(M34="","",DEGREES(ATAN2(-AE34,AD34)))</f>
        <v>-169.15279834001925</v>
      </c>
      <c r="AK34" s="578">
        <f>IF(M34="","",(COS(RADIANS((90-$Q$8)-W34))*AD34)+(-SIN(RADIANS((90-$Q$8)-W34))*AE34))</f>
        <v>0.9599563676793742</v>
      </c>
      <c r="AL34" s="572">
        <f>IF(M34="","",(SIN(RADIANS((90-$Q$8)-W34))*AD34)+(COS(RADIANS((90-$Q$8)-W34))*AE34))</f>
        <v>-0.21379647574263758</v>
      </c>
      <c r="AM34" s="577">
        <f>IF(M34="","",AF34)</f>
        <v>-0.18103822555430094</v>
      </c>
      <c r="AN34" s="524">
        <f>IF(M34="","",DEGREES(ATAN2(-AM34,AL34)))</f>
        <v>-49.742796391608337</v>
      </c>
      <c r="AO34" s="525">
        <f t="shared" si="110"/>
        <v>16.269130709601903</v>
      </c>
      <c r="AP34" s="528">
        <f>IF(M34="","",DEGREES(ATAN2(AK34,AL34)))</f>
        <v>-12.555698570611915</v>
      </c>
      <c r="AQ34" s="529">
        <f t="shared" si="13"/>
        <v>0.73763713572138245</v>
      </c>
      <c r="AR34" s="979"/>
      <c r="AS34" s="954">
        <f t="shared" si="147"/>
        <v>-244.69270004436862</v>
      </c>
      <c r="AT34" s="950">
        <f t="shared" si="14"/>
        <v>-0.1726530512545508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5.1159999999999997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16</v>
      </c>
      <c r="JN34" s="960">
        <f>($JO34-SMALL($JO$9:$JO$88,1))/((Settings!$C$19/2)-((Settings!$C$19/2)-LARGE($JO$9:$JO$88,1))-SMALL($JO$9:$JO$88,1))</f>
        <v>0.82258627889000702</v>
      </c>
      <c r="JO34" s="162">
        <f t="shared" si="134"/>
        <v>3.0904093206745125</v>
      </c>
      <c r="JP34" s="961">
        <f t="shared" si="135"/>
        <v>-49.742796391608337</v>
      </c>
      <c r="JQ34" s="961">
        <f t="shared" si="136"/>
        <v>16.269130709601903</v>
      </c>
      <c r="JS34" s="82">
        <v>26</v>
      </c>
      <c r="JT34" s="322">
        <f t="shared" si="137"/>
        <v>3.6554110247196512</v>
      </c>
      <c r="JU34" s="963">
        <f t="shared" si="138"/>
        <v>0.99176877955356246</v>
      </c>
      <c r="JV34" s="961">
        <f t="shared" si="287"/>
        <v>-79.987410921533467</v>
      </c>
      <c r="JW34" s="961">
        <f t="shared" si="92"/>
        <v>30.16382076092259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-55.234655669247296</v>
      </c>
      <c r="KD34" s="970">
        <v>-54.587139999999998</v>
      </c>
      <c r="KE34" s="968">
        <f t="shared" si="140"/>
        <v>0.64751566924729786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17.89443085882511</v>
      </c>
      <c r="KG34" s="966">
        <f t="shared" si="244"/>
        <v>-3.9363133333333309</v>
      </c>
      <c r="KH34" s="966">
        <f t="shared" si="141"/>
        <v>0.91111642449202179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-3.2834941059627401</v>
      </c>
      <c r="C35" s="572">
        <f t="shared" si="310"/>
        <v>-1.3699210375611164</v>
      </c>
      <c r="D35" s="576">
        <f t="shared" si="310"/>
        <v>-0.96790291919520366</v>
      </c>
      <c r="E35" s="580">
        <f t="shared" ref="E35:K35" si="311">R190</f>
        <v>-3.872853510380483E-3</v>
      </c>
      <c r="F35" s="572">
        <f t="shared" si="311"/>
        <v>-0.98856860918858847</v>
      </c>
      <c r="G35" s="579">
        <f t="shared" si="311"/>
        <v>0.15072194907387293</v>
      </c>
      <c r="H35" s="580">
        <f t="shared" si="311"/>
        <v>0.3125</v>
      </c>
      <c r="I35" s="572">
        <f t="shared" si="311"/>
        <v>0.52</v>
      </c>
      <c r="J35" s="483">
        <f t="shared" si="94"/>
        <v>5.1219999999999999</v>
      </c>
      <c r="K35" s="806">
        <f t="shared" si="311"/>
        <v>1613</v>
      </c>
      <c r="L35" s="309"/>
      <c r="M35" s="164">
        <f t="shared" si="4"/>
        <v>5.1219999999999999</v>
      </c>
      <c r="N35" s="575">
        <f t="shared" si="5"/>
        <v>-3.2834941059627401</v>
      </c>
      <c r="O35" s="572">
        <f t="shared" si="6"/>
        <v>-1.3699210375611164</v>
      </c>
      <c r="P35" s="576">
        <f t="shared" si="7"/>
        <v>-0.96790291919520366</v>
      </c>
      <c r="Q35" s="528">
        <f t="shared" si="144"/>
        <v>202.64660033978885</v>
      </c>
      <c r="R35" s="572">
        <f>IF(M35="","",SQRT(N35^2+O35^2))</f>
        <v>3.5578107303571644</v>
      </c>
      <c r="S35" s="577">
        <f>IF(M35="","",P35)</f>
        <v>-0.96790291919520366</v>
      </c>
      <c r="T35" s="578">
        <f>IF(M35="","",X35*COS(RADIANS(W35)))</f>
        <v>-1.4782812173572724</v>
      </c>
      <c r="U35" s="572">
        <f>IF(M35="","",X35*SIN(RADIANS(W35)))</f>
        <v>3.2361554096571572</v>
      </c>
      <c r="V35" s="579">
        <f>IF(M35="","",Y35)</f>
        <v>-0.96790291919520366</v>
      </c>
      <c r="W35" s="528">
        <f t="shared" si="268"/>
        <v>114.55100006482755</v>
      </c>
      <c r="X35" s="572">
        <f>IF(M35="","",R35)</f>
        <v>3.5578107303571644</v>
      </c>
      <c r="Y35" s="573">
        <f t="shared" si="271"/>
        <v>-0.96790291919520366</v>
      </c>
      <c r="Z35" s="575">
        <f t="shared" si="10"/>
        <v>3.872853510380483E-3</v>
      </c>
      <c r="AA35" s="572">
        <f t="shared" si="11"/>
        <v>0.98856860918858847</v>
      </c>
      <c r="AB35" s="572">
        <f t="shared" si="12"/>
        <v>-0.15072194907387293</v>
      </c>
      <c r="AC35" s="579">
        <f>IF(M35="","",SQRT(Z35^2+AA35^2+AB35^2))</f>
        <v>1</v>
      </c>
      <c r="AD35" s="580">
        <f>IF(M35="","",Z35*(1/SQRT(Z35^2+AA35^2+AB35^2)))</f>
        <v>3.872853510380483E-3</v>
      </c>
      <c r="AE35" s="572">
        <f>IF(M35="","",AA35*(1/SQRT(Z35^2+AA35^2+AB35^2)))</f>
        <v>0.98856860918858847</v>
      </c>
      <c r="AF35" s="576">
        <f>IF(M35="","",AB35*(1/SQRT(Z35^2+AA35^2+AB35^2)))</f>
        <v>-0.15072194907387293</v>
      </c>
      <c r="AG35" s="545">
        <f>IF(M35="","",DEGREES(ATAN2(-AF35,AE35)))</f>
        <v>81.331167616934465</v>
      </c>
      <c r="AH35" s="546">
        <f>IF(M35="","",DEGREES(ACOS(AD35)))</f>
        <v>89.778101284470821</v>
      </c>
      <c r="AI35" s="528">
        <f>IF(M35="","",DEGREES(-ACOS(-AF35)))</f>
        <v>-81.331233129718186</v>
      </c>
      <c r="AJ35" s="529">
        <f>IF(M35="","",DEGREES(ATAN2(-AE35,AD35)))</f>
        <v>179.77553705069857</v>
      </c>
      <c r="AK35" s="578">
        <f>IF(M35="","",(COS(RADIANS((90-$Q$8)-W35))*AD35)+(-SIN(RADIANS((90-$Q$8)-W35))*AE35))</f>
        <v>0.91085612577989106</v>
      </c>
      <c r="AL35" s="572">
        <f>IF(M35="","",(SIN(RADIANS((90-$Q$8)-W35))*AD35)+(COS(RADIANS((90-$Q$8)-W35))*AE35))</f>
        <v>-0.38421870360072324</v>
      </c>
      <c r="AM35" s="577">
        <f>IF(M35="","",AF35)</f>
        <v>-0.15072194907387293</v>
      </c>
      <c r="AN35" s="524">
        <f>IF(M35="","",DEGREES(ATAN2(-AM35,AL35)))</f>
        <v>-68.580833724860625</v>
      </c>
      <c r="AO35" s="525">
        <f t="shared" si="110"/>
        <v>24.376068843486443</v>
      </c>
      <c r="AP35" s="528">
        <f>IF(M35="","",DEGREES(ATAN2(AK35,AL35)))</f>
        <v>-22.871063289090262</v>
      </c>
      <c r="AQ35" s="529">
        <f t="shared" si="13"/>
        <v>0.64073998583246128</v>
      </c>
      <c r="AR35" s="979"/>
      <c r="AS35" s="954">
        <f t="shared" si="147"/>
        <v>-245.44899993517245</v>
      </c>
      <c r="AT35" s="950">
        <f t="shared" si="14"/>
        <v>-0.79612972498672363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5.1219999999999999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22</v>
      </c>
      <c r="JN35" s="960">
        <f>($JO35-SMALL($JO$9:$JO$88,1))/((Settings!$C$19/2)-((Settings!$C$19/2)-LARGE($JO$9:$JO$88,1))-SMALL($JO$9:$JO$88,1))</f>
        <v>0.96254362545663708</v>
      </c>
      <c r="JO35" s="162">
        <f t="shared" si="134"/>
        <v>3.5578107303571644</v>
      </c>
      <c r="JP35" s="961">
        <f t="shared" si="135"/>
        <v>-68.580833724860625</v>
      </c>
      <c r="JQ35" s="961">
        <f t="shared" si="136"/>
        <v>24.376068843486443</v>
      </c>
      <c r="JS35" s="82">
        <v>27</v>
      </c>
      <c r="JT35" s="322">
        <f t="shared" si="137"/>
        <v>3.6829000000000005</v>
      </c>
      <c r="JU35" s="963">
        <f t="shared" si="138"/>
        <v>0.99999999999999956</v>
      </c>
      <c r="JV35" s="961">
        <f t="shared" si="287"/>
        <v>-89.999987005609611</v>
      </c>
      <c r="JW35" s="961">
        <f t="shared" si="92"/>
        <v>29.999999999999993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-58.212930855626915</v>
      </c>
      <c r="KD35" s="970">
        <v>-58.523539999999997</v>
      </c>
      <c r="KE35" s="968">
        <f t="shared" si="140"/>
        <v>-0.31060914437308185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18.782431029946839</v>
      </c>
      <c r="KG35" s="966">
        <f t="shared" si="244"/>
        <v>-3.936399999999999</v>
      </c>
      <c r="KH35" s="966">
        <f t="shared" si="141"/>
        <v>0.88800017112172824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-3.4041526367357244</v>
      </c>
      <c r="C36" s="572">
        <f t="shared" si="312"/>
        <v>-1.405523829682453</v>
      </c>
      <c r="D36" s="576">
        <f t="shared" si="312"/>
        <v>-1.7690999999999999</v>
      </c>
      <c r="E36" s="580">
        <f t="shared" ref="E36:K36" si="313">R191</f>
        <v>-0.13165086650151242</v>
      </c>
      <c r="F36" s="572">
        <f t="shared" si="313"/>
        <v>-0.99129614613867456</v>
      </c>
      <c r="G36" s="579">
        <f t="shared" si="313"/>
        <v>1.1339744821566926E-7</v>
      </c>
      <c r="H36" s="580">
        <f t="shared" si="313"/>
        <v>0.3125</v>
      </c>
      <c r="I36" s="572">
        <f t="shared" si="313"/>
        <v>0.52</v>
      </c>
      <c r="J36" s="483">
        <f t="shared" si="94"/>
        <v>5.1280000000000001</v>
      </c>
      <c r="K36" s="806">
        <f t="shared" si="313"/>
        <v>1613</v>
      </c>
      <c r="L36" s="309"/>
      <c r="M36" s="164">
        <f t="shared" si="4"/>
        <v>5.1280000000000001</v>
      </c>
      <c r="N36" s="575">
        <f t="shared" si="5"/>
        <v>-3.4041526367357244</v>
      </c>
      <c r="O36" s="572">
        <f t="shared" si="6"/>
        <v>-1.405523829682453</v>
      </c>
      <c r="P36" s="576">
        <f t="shared" si="7"/>
        <v>-1.7690999999999999</v>
      </c>
      <c r="Q36" s="528">
        <f t="shared" si="144"/>
        <v>202.43499999999997</v>
      </c>
      <c r="R36" s="572">
        <f>IF(M36="","",SQRT(N36^2+O36^2))</f>
        <v>3.6829000000000018</v>
      </c>
      <c r="S36" s="577">
        <f>IF(M36="","",P36)</f>
        <v>-1.7690999999999999</v>
      </c>
      <c r="T36" s="578">
        <f>IF(M36="","",X36*COS(RADIANS(W36)))</f>
        <v>-1.5178740602193994</v>
      </c>
      <c r="U36" s="572">
        <f>IF(M36="","",X36*SIN(RADIANS(W36)))</f>
        <v>3.3555641473995235</v>
      </c>
      <c r="V36" s="579">
        <f>IF(M36="","",Y36)</f>
        <v>-1.7690999999999999</v>
      </c>
      <c r="W36" s="528">
        <f t="shared" si="268"/>
        <v>114.33939972503867</v>
      </c>
      <c r="X36" s="572">
        <f>IF(M36="","",R36)</f>
        <v>3.6829000000000018</v>
      </c>
      <c r="Y36" s="573">
        <f t="shared" si="271"/>
        <v>-1.7690999999999999</v>
      </c>
      <c r="Z36" s="575">
        <f t="shared" si="10"/>
        <v>0.13165086650151242</v>
      </c>
      <c r="AA36" s="572">
        <f t="shared" si="11"/>
        <v>0.99129614613867456</v>
      </c>
      <c r="AB36" s="572">
        <f t="shared" si="12"/>
        <v>-1.1339744821566926E-7</v>
      </c>
      <c r="AC36" s="579">
        <f>IF(M36="","",SQRT(Z36^2+AA36^2+AB36^2))</f>
        <v>1</v>
      </c>
      <c r="AD36" s="580">
        <f>IF(M36="","",Z36*(1/SQRT(Z36^2+AA36^2+AB36^2)))</f>
        <v>0.13165086650151242</v>
      </c>
      <c r="AE36" s="572">
        <f>IF(M36="","",AA36*(1/SQRT(Z36^2+AA36^2+AB36^2)))</f>
        <v>0.99129614613867456</v>
      </c>
      <c r="AF36" s="576">
        <f>IF(M36="","",AB36*(1/SQRT(Z36^2+AA36^2+AB36^2)))</f>
        <v>-1.1339744821566926E-7</v>
      </c>
      <c r="AG36" s="545">
        <f>IF(M36="","",DEGREES(ATAN2(-AF36,AE36)))</f>
        <v>89.999993445757653</v>
      </c>
      <c r="AH36" s="546">
        <f>IF(M36="","",DEGREES(ACOS(AD36)))</f>
        <v>82.435000000000684</v>
      </c>
      <c r="AI36" s="528">
        <f>IF(M36="","",DEGREES(-ACOS(-AF36)))</f>
        <v>-89.999993502804799</v>
      </c>
      <c r="AJ36" s="529">
        <f>IF(M36="","",DEGREES(ATAN2(-AE36,AD36)))</f>
        <v>172.43500000000066</v>
      </c>
      <c r="AK36" s="578">
        <f>IF(M36="","",(COS(RADIANS((90-$Q$8)-W36))*AD36)+(-SIN(RADIANS((90-$Q$8)-W36))*AE36))</f>
        <v>0.86602540378443893</v>
      </c>
      <c r="AL36" s="572">
        <f>IF(M36="","",(SIN(RADIANS((90-$Q$8)-W36))*AD36)+(COS(RADIANS((90-$Q$8)-W36))*AE36))</f>
        <v>-0.49999999999998679</v>
      </c>
      <c r="AM36" s="577">
        <f>IF(M36="","",AF36)</f>
        <v>-1.1339744821566926E-7</v>
      </c>
      <c r="AN36" s="524">
        <f>IF(M36="","",DEGREES(ATAN2(-AM36,AL36)))</f>
        <v>-89.999987005609626</v>
      </c>
      <c r="AO36" s="525">
        <f t="shared" si="110"/>
        <v>29.999999999999964</v>
      </c>
      <c r="AP36" s="528">
        <f>IF(M36="","",DEGREES(ATAN2(AK36,AL36)))</f>
        <v>-29.999999999999336</v>
      </c>
      <c r="AQ36" s="529">
        <f t="shared" si="13"/>
        <v>0.61897904982222884</v>
      </c>
      <c r="AR36" s="979"/>
      <c r="AS36" s="954">
        <f t="shared" si="147"/>
        <v>-245.66060027496133</v>
      </c>
      <c r="AT36" s="950">
        <f t="shared" si="14"/>
        <v>-1.597179861111111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5.1280000000000001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28</v>
      </c>
      <c r="JN36" s="960">
        <f>($JO36-SMALL($JO$9:$JO$88,1))/((Settings!$C$19/2)-((Settings!$C$19/2)-LARGE($JO$9:$JO$88,1))-SMALL($JO$9:$JO$88,1))</f>
        <v>1</v>
      </c>
      <c r="JO36" s="162">
        <f t="shared" si="134"/>
        <v>3.6829000000000018</v>
      </c>
      <c r="JP36" s="961">
        <f t="shared" si="135"/>
        <v>-89.999987005609626</v>
      </c>
      <c r="JQ36" s="961">
        <f t="shared" si="136"/>
        <v>29.999999999999964</v>
      </c>
      <c r="JS36" s="82">
        <v>28</v>
      </c>
      <c r="JT36" s="322">
        <f t="shared" si="137"/>
        <v>3.6829000000000018</v>
      </c>
      <c r="JU36" s="963">
        <f t="shared" si="138"/>
        <v>1</v>
      </c>
      <c r="JV36" s="961">
        <f t="shared" si="287"/>
        <v>-89.999987005609626</v>
      </c>
      <c r="JW36" s="961">
        <f t="shared" si="92"/>
        <v>29.999999999999964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-60.745556954711041</v>
      </c>
      <c r="KD36" s="970">
        <v>-62.459853333333328</v>
      </c>
      <c r="KE36" s="968">
        <f t="shared" si="140"/>
        <v>-1.7142963786222865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19.721559806821233</v>
      </c>
      <c r="KG36" s="966">
        <f t="shared" si="244"/>
        <v>-3.9363133333333309</v>
      </c>
      <c r="KH36" s="966">
        <f t="shared" si="141"/>
        <v>0.93912877687439433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-1.9025004399987724</v>
      </c>
      <c r="C37" s="572">
        <f t="shared" si="314"/>
        <v>1.1166724812044171</v>
      </c>
      <c r="D37" s="576">
        <f t="shared" si="314"/>
        <v>-4.310012998999186E-2</v>
      </c>
      <c r="E37" s="580">
        <f t="shared" ref="E37:K37" si="315">R192</f>
        <v>-0.53141232366450841</v>
      </c>
      <c r="F37" s="572">
        <f t="shared" si="315"/>
        <v>-0.80683667785736968</v>
      </c>
      <c r="G37" s="579">
        <f t="shared" si="315"/>
        <v>0.25809982084761512</v>
      </c>
      <c r="H37" s="580">
        <f t="shared" si="315"/>
        <v>0.3125</v>
      </c>
      <c r="I37" s="572">
        <f t="shared" si="315"/>
        <v>0.52</v>
      </c>
      <c r="J37" s="483">
        <f t="shared" si="94"/>
        <v>6.109</v>
      </c>
      <c r="K37" s="806">
        <f t="shared" si="315"/>
        <v>1613</v>
      </c>
      <c r="L37" s="309"/>
      <c r="M37" s="164">
        <f t="shared" si="4"/>
        <v>6.109</v>
      </c>
      <c r="N37" s="575">
        <f t="shared" si="5"/>
        <v>-1.9025004399987724</v>
      </c>
      <c r="O37" s="572">
        <f t="shared" si="6"/>
        <v>1.1166724812044171</v>
      </c>
      <c r="P37" s="576">
        <f t="shared" si="7"/>
        <v>-4.310012998999186E-2</v>
      </c>
      <c r="Q37" s="528">
        <f t="shared" si="144"/>
        <v>149.58920005931219</v>
      </c>
      <c r="R37" s="572">
        <f t="shared" si="95"/>
        <v>2.2060066533160665</v>
      </c>
      <c r="S37" s="577">
        <f t="shared" si="96"/>
        <v>-4.310012998999186E-2</v>
      </c>
      <c r="T37" s="578">
        <f t="shared" si="97"/>
        <v>1.0528319527819232</v>
      </c>
      <c r="U37" s="572">
        <f t="shared" si="98"/>
        <v>1.9385588032546637</v>
      </c>
      <c r="V37" s="579">
        <f t="shared" si="145"/>
        <v>-4.310012998999186E-2</v>
      </c>
      <c r="W37" s="528">
        <f t="shared" si="268"/>
        <v>61.493599784350891</v>
      </c>
      <c r="X37" s="572">
        <f t="shared" si="99"/>
        <v>2.2060066533160665</v>
      </c>
      <c r="Y37" s="573">
        <f t="shared" si="271"/>
        <v>-4.310012998999186E-2</v>
      </c>
      <c r="Z37" s="575">
        <f t="shared" si="10"/>
        <v>0.53141232366450841</v>
      </c>
      <c r="AA37" s="572">
        <f t="shared" si="11"/>
        <v>0.80683667785736968</v>
      </c>
      <c r="AB37" s="572">
        <f t="shared" si="12"/>
        <v>-0.25809982084761512</v>
      </c>
      <c r="AC37" s="579">
        <f t="shared" si="100"/>
        <v>1</v>
      </c>
      <c r="AD37" s="580">
        <f t="shared" si="146"/>
        <v>0.53141232366450841</v>
      </c>
      <c r="AE37" s="572">
        <f t="shared" si="101"/>
        <v>0.80683667785736968</v>
      </c>
      <c r="AF37" s="576">
        <f t="shared" si="102"/>
        <v>-0.25809982084761512</v>
      </c>
      <c r="AG37" s="545">
        <f t="shared" si="103"/>
        <v>72.260991808121531</v>
      </c>
      <c r="AH37" s="546">
        <f t="shared" si="104"/>
        <v>57.899070398757566</v>
      </c>
      <c r="AI37" s="528">
        <f t="shared" si="105"/>
        <v>-75.042657942255985</v>
      </c>
      <c r="AJ37" s="529">
        <f t="shared" si="106"/>
        <v>146.62962936175026</v>
      </c>
      <c r="AK37" s="578">
        <f t="shared" si="247"/>
        <v>0.96482966152454974</v>
      </c>
      <c r="AL37" s="572">
        <f t="shared" si="107"/>
        <v>-4.988192779807249E-2</v>
      </c>
      <c r="AM37" s="577">
        <f t="shared" si="108"/>
        <v>-0.25809982084761512</v>
      </c>
      <c r="AN37" s="524">
        <f t="shared" si="109"/>
        <v>-10.938468125080208</v>
      </c>
      <c r="AO37" s="525">
        <f t="shared" si="110"/>
        <v>15.240774905545788</v>
      </c>
      <c r="AP37" s="528">
        <f t="shared" si="111"/>
        <v>-2.9595706975619285</v>
      </c>
      <c r="AQ37" s="529">
        <f t="shared" si="13"/>
        <v>1.033305799670496</v>
      </c>
      <c r="AR37" s="979"/>
      <c r="AS37" s="954">
        <f t="shared" si="147"/>
        <v>-298.50640021564914</v>
      </c>
      <c r="AT37" s="950">
        <f t="shared" si="14"/>
        <v>0.16551848107993028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6.109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9</v>
      </c>
      <c r="JN37" s="960">
        <f>($JO37-SMALL($JO$9:$JO$88,1))/((Settings!$C$19/2)-((Settings!$C$19/2)-LARGE($JO$9:$JO$88,1))-SMALL($JO$9:$JO$88,1))</f>
        <v>0.55776326369204454</v>
      </c>
      <c r="JO37" s="162">
        <f t="shared" si="134"/>
        <v>2.2060066533160665</v>
      </c>
      <c r="JP37" s="961">
        <f t="shared" si="135"/>
        <v>-10.938468125080208</v>
      </c>
      <c r="JQ37" s="961">
        <f t="shared" si="136"/>
        <v>15.240774905545788</v>
      </c>
      <c r="JS37" s="82">
        <v>29</v>
      </c>
      <c r="JT37" s="322">
        <f t="shared" si="137"/>
        <v>3.6828999999999996</v>
      </c>
      <c r="JU37" s="963">
        <f t="shared" si="138"/>
        <v>0.99999999999999933</v>
      </c>
      <c r="JV37" s="961">
        <f t="shared" si="287"/>
        <v>-89.999987005609626</v>
      </c>
      <c r="JW37" s="961">
        <f t="shared" si="92"/>
        <v>29.99999999999994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-62.659031202207991</v>
      </c>
      <c r="KD37" s="970">
        <v>-66.344253333333327</v>
      </c>
      <c r="KE37" s="968">
        <f t="shared" si="140"/>
        <v>-3.6852221311253359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21.305813129853483</v>
      </c>
      <c r="KG37" s="966">
        <f t="shared" si="244"/>
        <v>-3.8843999999999994</v>
      </c>
      <c r="KH37" s="966">
        <f t="shared" si="141"/>
        <v>1.5842533230322502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-2.5441247248254841</v>
      </c>
      <c r="C38" s="572">
        <f t="shared" si="316"/>
        <v>1.5548059585953622</v>
      </c>
      <c r="D38" s="576">
        <f t="shared" si="316"/>
        <v>-0.26680080467122669</v>
      </c>
      <c r="E38" s="580">
        <f t="shared" ref="E38:K38" si="317">R193</f>
        <v>-0.66702416245742946</v>
      </c>
      <c r="F38" s="572">
        <f t="shared" si="317"/>
        <v>-0.71833673583165791</v>
      </c>
      <c r="G38" s="579">
        <f t="shared" si="317"/>
        <v>0.19766411068447337</v>
      </c>
      <c r="H38" s="580">
        <f t="shared" si="317"/>
        <v>0.3125</v>
      </c>
      <c r="I38" s="572">
        <f t="shared" si="317"/>
        <v>0.52</v>
      </c>
      <c r="J38" s="483">
        <f t="shared" si="94"/>
        <v>6.1150000000000002</v>
      </c>
      <c r="K38" s="806">
        <f t="shared" si="317"/>
        <v>1613</v>
      </c>
      <c r="L38" s="309"/>
      <c r="M38" s="164">
        <f t="shared" si="4"/>
        <v>6.1150000000000002</v>
      </c>
      <c r="N38" s="575">
        <f t="shared" si="5"/>
        <v>-2.5441247248254841</v>
      </c>
      <c r="O38" s="572">
        <f t="shared" si="6"/>
        <v>1.5548059585953622</v>
      </c>
      <c r="P38" s="576">
        <f t="shared" si="7"/>
        <v>-0.26680080467122669</v>
      </c>
      <c r="Q38" s="528">
        <f t="shared" si="144"/>
        <v>148.56940020655304</v>
      </c>
      <c r="R38" s="572">
        <f t="shared" si="95"/>
        <v>2.9816089925327214</v>
      </c>
      <c r="S38" s="577">
        <f t="shared" si="96"/>
        <v>-0.26680080467122669</v>
      </c>
      <c r="T38" s="578">
        <f t="shared" si="97"/>
        <v>1.4694010240034787</v>
      </c>
      <c r="U38" s="572">
        <f t="shared" si="98"/>
        <v>2.5943887170217028</v>
      </c>
      <c r="V38" s="579">
        <f t="shared" si="145"/>
        <v>-0.26680080467122669</v>
      </c>
      <c r="W38" s="528">
        <f t="shared" si="268"/>
        <v>60.473799931591742</v>
      </c>
      <c r="X38" s="572">
        <f t="shared" si="99"/>
        <v>2.9816089925327214</v>
      </c>
      <c r="Y38" s="573">
        <f t="shared" si="271"/>
        <v>-0.26680080467122669</v>
      </c>
      <c r="Z38" s="575">
        <f t="shared" si="10"/>
        <v>0.66702416245742946</v>
      </c>
      <c r="AA38" s="572">
        <f t="shared" si="11"/>
        <v>0.71833673583165791</v>
      </c>
      <c r="AB38" s="572">
        <f t="shared" si="12"/>
        <v>-0.19766411068447337</v>
      </c>
      <c r="AC38" s="579">
        <f t="shared" si="100"/>
        <v>1</v>
      </c>
      <c r="AD38" s="580">
        <f t="shared" si="146"/>
        <v>0.66702416245742946</v>
      </c>
      <c r="AE38" s="572">
        <f t="shared" si="101"/>
        <v>0.71833673583165791</v>
      </c>
      <c r="AF38" s="576">
        <f t="shared" si="102"/>
        <v>-0.19766411068447337</v>
      </c>
      <c r="AG38" s="545">
        <f t="shared" si="103"/>
        <v>74.614738831113343</v>
      </c>
      <c r="AH38" s="546">
        <f t="shared" si="104"/>
        <v>48.162198377832617</v>
      </c>
      <c r="AI38" s="528">
        <f t="shared" si="105"/>
        <v>-78.599604282771381</v>
      </c>
      <c r="AJ38" s="529">
        <f t="shared" si="106"/>
        <v>137.12121660321887</v>
      </c>
      <c r="AK38" s="578">
        <f t="shared" si="247"/>
        <v>0.9607669549796638</v>
      </c>
      <c r="AL38" s="572">
        <f t="shared" si="107"/>
        <v>-0.19456556110067652</v>
      </c>
      <c r="AM38" s="577">
        <f t="shared" si="108"/>
        <v>-0.19766411068447337</v>
      </c>
      <c r="AN38" s="524">
        <f t="shared" si="109"/>
        <v>-44.54738222645603</v>
      </c>
      <c r="AO38" s="525">
        <f t="shared" si="110"/>
        <v>16.102520271270226</v>
      </c>
      <c r="AP38" s="528">
        <f t="shared" si="111"/>
        <v>-11.448183603334151</v>
      </c>
      <c r="AQ38" s="529">
        <f t="shared" si="13"/>
        <v>0.76455072626106413</v>
      </c>
      <c r="AR38" s="979"/>
      <c r="AS38" s="954">
        <f t="shared" si="147"/>
        <v>-299.52620006840823</v>
      </c>
      <c r="AT38" s="950">
        <f t="shared" si="14"/>
        <v>-5.7473999259110731E-2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6.1150000000000002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15</v>
      </c>
      <c r="JN38" s="960">
        <f>($JO38-SMALL($JO$9:$JO$88,1))/((Settings!$C$19/2)-((Settings!$C$19/2)-LARGE($JO$9:$JO$88,1))-SMALL($JO$9:$JO$88,1))</f>
        <v>0.79000741858523693</v>
      </c>
      <c r="JO38" s="162">
        <f t="shared" si="134"/>
        <v>2.9816089925327214</v>
      </c>
      <c r="JP38" s="961">
        <f t="shared" si="135"/>
        <v>-44.54738222645603</v>
      </c>
      <c r="JQ38" s="961">
        <f t="shared" si="136"/>
        <v>16.102520271270226</v>
      </c>
      <c r="JS38" s="82">
        <v>30</v>
      </c>
      <c r="JT38" s="322">
        <f t="shared" si="137"/>
        <v>3.6829000000000005</v>
      </c>
      <c r="JU38" s="963">
        <f t="shared" si="138"/>
        <v>0.99999999999999956</v>
      </c>
      <c r="JV38" s="961">
        <f t="shared" si="287"/>
        <v>-89.999987005609611</v>
      </c>
      <c r="JW38" s="961">
        <f t="shared" si="92"/>
        <v>29.999999999999915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-65.205881713108425</v>
      </c>
      <c r="KD38" s="970">
        <v>-70.228653333333327</v>
      </c>
      <c r="KE38" s="968">
        <f t="shared" si="140"/>
        <v>-5.0227716202249013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22.155759297699703</v>
      </c>
      <c r="KG38" s="966">
        <f t="shared" si="244"/>
        <v>-3.8843999999999994</v>
      </c>
      <c r="KH38" s="966">
        <f t="shared" si="141"/>
        <v>0.84994616784621968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-2.9640292958810921</v>
      </c>
      <c r="C39" s="572">
        <f t="shared" si="318"/>
        <v>1.8712916767437882</v>
      </c>
      <c r="D39" s="576">
        <f t="shared" si="318"/>
        <v>-0.84910256089332348</v>
      </c>
      <c r="E39" s="580">
        <f t="shared" ref="E39:K39" si="319">R194</f>
        <v>-0.78855264928813096</v>
      </c>
      <c r="F39" s="572">
        <f t="shared" si="319"/>
        <v>-0.59525055772795787</v>
      </c>
      <c r="G39" s="579">
        <f t="shared" si="319"/>
        <v>0.15447165702880591</v>
      </c>
      <c r="H39" s="580">
        <f t="shared" si="319"/>
        <v>0.3125</v>
      </c>
      <c r="I39" s="572">
        <f t="shared" si="319"/>
        <v>0.52</v>
      </c>
      <c r="J39" s="483">
        <f t="shared" si="94"/>
        <v>6.1210000000000004</v>
      </c>
      <c r="K39" s="806">
        <f t="shared" si="319"/>
        <v>1613</v>
      </c>
      <c r="L39" s="309"/>
      <c r="M39" s="164">
        <f t="shared" si="4"/>
        <v>6.1210000000000004</v>
      </c>
      <c r="N39" s="575">
        <f t="shared" si="5"/>
        <v>-2.9640292958810921</v>
      </c>
      <c r="O39" s="572">
        <f t="shared" si="6"/>
        <v>1.8712916767437882</v>
      </c>
      <c r="P39" s="576">
        <f t="shared" si="7"/>
        <v>-0.84910256089332348</v>
      </c>
      <c r="Q39" s="528">
        <f t="shared" si="144"/>
        <v>147.73440032711213</v>
      </c>
      <c r="R39" s="572">
        <f t="shared" si="95"/>
        <v>3.5053105720166853</v>
      </c>
      <c r="S39" s="577">
        <f t="shared" si="96"/>
        <v>-0.84910256089332348</v>
      </c>
      <c r="T39" s="578">
        <f t="shared" si="97"/>
        <v>1.7717576991197828</v>
      </c>
      <c r="U39" s="572">
        <f t="shared" si="98"/>
        <v>3.0245787908238917</v>
      </c>
      <c r="V39" s="579">
        <f t="shared" si="145"/>
        <v>-0.84910256089332348</v>
      </c>
      <c r="W39" s="528">
        <f t="shared" si="268"/>
        <v>59.638800052150827</v>
      </c>
      <c r="X39" s="572">
        <f t="shared" si="99"/>
        <v>3.5053105720166853</v>
      </c>
      <c r="Y39" s="573">
        <f t="shared" si="271"/>
        <v>-0.84910256089332348</v>
      </c>
      <c r="Z39" s="575">
        <f t="shared" si="10"/>
        <v>0.78855264928813096</v>
      </c>
      <c r="AA39" s="572">
        <f t="shared" si="11"/>
        <v>0.59525055772795787</v>
      </c>
      <c r="AB39" s="572">
        <f t="shared" si="12"/>
        <v>-0.15447165702880591</v>
      </c>
      <c r="AC39" s="579">
        <f t="shared" si="100"/>
        <v>1</v>
      </c>
      <c r="AD39" s="580">
        <f t="shared" si="146"/>
        <v>0.78855264928813096</v>
      </c>
      <c r="AE39" s="572">
        <f t="shared" si="101"/>
        <v>0.59525055772795787</v>
      </c>
      <c r="AF39" s="576">
        <f t="shared" si="102"/>
        <v>-0.15447165702880591</v>
      </c>
      <c r="AG39" s="545">
        <f t="shared" si="103"/>
        <v>75.4522478756151</v>
      </c>
      <c r="AH39" s="546">
        <f t="shared" si="104"/>
        <v>37.949540697660538</v>
      </c>
      <c r="AI39" s="528">
        <f t="shared" si="105"/>
        <v>-81.113844611996456</v>
      </c>
      <c r="AJ39" s="529">
        <f t="shared" si="106"/>
        <v>127.04786658219086</v>
      </c>
      <c r="AK39" s="578">
        <f t="shared" si="247"/>
        <v>0.92429815681591676</v>
      </c>
      <c r="AL39" s="572">
        <f t="shared" si="107"/>
        <v>-0.34901493446767268</v>
      </c>
      <c r="AM39" s="577">
        <f t="shared" si="108"/>
        <v>-0.15447165702880591</v>
      </c>
      <c r="AN39" s="524">
        <f t="shared" si="109"/>
        <v>-66.126141719345824</v>
      </c>
      <c r="AO39" s="525">
        <f t="shared" si="110"/>
        <v>22.437240118831088</v>
      </c>
      <c r="AP39" s="528">
        <f t="shared" si="111"/>
        <v>-20.686533744921249</v>
      </c>
      <c r="AQ39" s="529">
        <f t="shared" si="13"/>
        <v>0.6503357355341699</v>
      </c>
      <c r="AR39" s="979"/>
      <c r="AS39" s="954">
        <f t="shared" si="147"/>
        <v>-300.36119994784917</v>
      </c>
      <c r="AT39" s="950">
        <f t="shared" si="14"/>
        <v>-0.63919589445381797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6.1210000000000004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21</v>
      </c>
      <c r="JN39" s="960">
        <f>($JO39-SMALL($JO$9:$JO$88,1))/((Settings!$C$19/2)-((Settings!$C$19/2)-LARGE($JO$9:$JO$88,1))-SMALL($JO$9:$JO$88,1))</f>
        <v>0.9468231276073682</v>
      </c>
      <c r="JO39" s="162">
        <f t="shared" si="134"/>
        <v>3.5053105720166853</v>
      </c>
      <c r="JP39" s="961">
        <f t="shared" si="135"/>
        <v>-66.126141719345824</v>
      </c>
      <c r="JQ39" s="961">
        <f t="shared" si="136"/>
        <v>22.437240118831088</v>
      </c>
      <c r="JS39" s="82">
        <v>31</v>
      </c>
      <c r="JT39" s="322">
        <f t="shared" si="137"/>
        <v>3.6828999999999987</v>
      </c>
      <c r="JU39" s="963">
        <f t="shared" si="138"/>
        <v>0.99999999999999911</v>
      </c>
      <c r="JV39" s="961">
        <f t="shared" si="287"/>
        <v>-89.999987005609611</v>
      </c>
      <c r="JW39" s="961">
        <f t="shared" si="92"/>
        <v>30.000000000000018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-66.983032660395438</v>
      </c>
      <c r="KD39" s="970">
        <v>-74.113140000000001</v>
      </c>
      <c r="KE39" s="968">
        <f t="shared" si="140"/>
        <v>-7.1301073396045638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23.114052023001328</v>
      </c>
      <c r="KG39" s="966">
        <f t="shared" si="244"/>
        <v>-3.8844866666666746</v>
      </c>
      <c r="KH39" s="966">
        <f t="shared" si="141"/>
        <v>0.95829272530162513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-3.1038794565551671</v>
      </c>
      <c r="C40" s="572">
        <f t="shared" si="320"/>
        <v>1.9823432420180929</v>
      </c>
      <c r="D40" s="576">
        <f t="shared" si="320"/>
        <v>-1.6501999999999994</v>
      </c>
      <c r="E40" s="580">
        <f t="shared" ref="E40:K40" si="321">R195</f>
        <v>-0.88753409945575912</v>
      </c>
      <c r="F40" s="572">
        <f t="shared" si="321"/>
        <v>-0.46074203444361572</v>
      </c>
      <c r="G40" s="579">
        <f t="shared" si="321"/>
        <v>1.1339744836951028E-7</v>
      </c>
      <c r="H40" s="580">
        <f t="shared" si="321"/>
        <v>0.3125</v>
      </c>
      <c r="I40" s="572">
        <f t="shared" si="321"/>
        <v>0.52</v>
      </c>
      <c r="J40" s="483">
        <f t="shared" si="94"/>
        <v>6.1269999999999998</v>
      </c>
      <c r="K40" s="806">
        <f t="shared" si="321"/>
        <v>1613</v>
      </c>
      <c r="L40" s="309"/>
      <c r="M40" s="164">
        <f t="shared" si="4"/>
        <v>6.1269999999999998</v>
      </c>
      <c r="N40" s="575">
        <f t="shared" si="5"/>
        <v>-3.1038794565551671</v>
      </c>
      <c r="O40" s="572">
        <f t="shared" si="6"/>
        <v>1.9823432420180929</v>
      </c>
      <c r="P40" s="576">
        <f t="shared" si="7"/>
        <v>-1.6501999999999994</v>
      </c>
      <c r="Q40" s="528">
        <f t="shared" si="144"/>
        <v>147.435</v>
      </c>
      <c r="R40" s="572">
        <f t="shared" si="95"/>
        <v>3.6829000000000005</v>
      </c>
      <c r="S40" s="577">
        <f t="shared" si="96"/>
        <v>-1.6501999999999994</v>
      </c>
      <c r="T40" s="578">
        <f t="shared" si="97"/>
        <v>1.8781004367948289</v>
      </c>
      <c r="U40" s="572">
        <f t="shared" si="98"/>
        <v>3.1680421650147075</v>
      </c>
      <c r="V40" s="579">
        <f t="shared" si="145"/>
        <v>-1.6501999999999994</v>
      </c>
      <c r="W40" s="528">
        <f t="shared" si="268"/>
        <v>59.339399725038703</v>
      </c>
      <c r="X40" s="572">
        <f t="shared" si="99"/>
        <v>3.6829000000000005</v>
      </c>
      <c r="Y40" s="573">
        <f t="shared" si="271"/>
        <v>-1.6501999999999994</v>
      </c>
      <c r="Z40" s="575">
        <f t="shared" si="10"/>
        <v>0.88753409945575912</v>
      </c>
      <c r="AA40" s="572">
        <f t="shared" si="11"/>
        <v>0.46074203444361572</v>
      </c>
      <c r="AB40" s="572">
        <f t="shared" si="12"/>
        <v>-1.1339744836951028E-7</v>
      </c>
      <c r="AC40" s="579">
        <f t="shared" si="100"/>
        <v>1</v>
      </c>
      <c r="AD40" s="580">
        <f t="shared" si="146"/>
        <v>0.88753409945575912</v>
      </c>
      <c r="AE40" s="572">
        <f t="shared" si="101"/>
        <v>0.46074203444361572</v>
      </c>
      <c r="AF40" s="576">
        <f t="shared" si="102"/>
        <v>-1.1339744836951028E-7</v>
      </c>
      <c r="AG40" s="545">
        <f t="shared" si="103"/>
        <v>89.999985898410159</v>
      </c>
      <c r="AH40" s="546">
        <f t="shared" si="104"/>
        <v>27.435000000001345</v>
      </c>
      <c r="AI40" s="528">
        <f t="shared" si="105"/>
        <v>-89.999993502804799</v>
      </c>
      <c r="AJ40" s="529">
        <f t="shared" si="106"/>
        <v>117.43500000000063</v>
      </c>
      <c r="AK40" s="578">
        <f t="shared" si="247"/>
        <v>0.86602540378443871</v>
      </c>
      <c r="AL40" s="572">
        <f t="shared" si="107"/>
        <v>-0.49999999999998718</v>
      </c>
      <c r="AM40" s="577">
        <f t="shared" si="108"/>
        <v>-1.1339744836951028E-7</v>
      </c>
      <c r="AN40" s="524">
        <f t="shared" si="109"/>
        <v>-89.999987005609611</v>
      </c>
      <c r="AO40" s="525">
        <f t="shared" si="110"/>
        <v>29.999999999999993</v>
      </c>
      <c r="AP40" s="528">
        <f t="shared" si="111"/>
        <v>-29.999999999999368</v>
      </c>
      <c r="AQ40" s="529">
        <f t="shared" si="13"/>
        <v>0.61897904982222918</v>
      </c>
      <c r="AR40" s="979"/>
      <c r="AS40" s="954">
        <f t="shared" si="147"/>
        <v>-300.66060027496133</v>
      </c>
      <c r="AT40" s="950">
        <f t="shared" si="14"/>
        <v>-1.4400854166666661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6.1269999999999998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42"/>
        <v/>
      </c>
      <c r="IN40" s="670" t="str">
        <f t="shared" si="81"/>
        <v/>
      </c>
      <c r="IO40" s="702">
        <v>3.73599364350947E-2</v>
      </c>
      <c r="IP40" s="5" t="str">
        <f t="shared" si="82"/>
        <v/>
      </c>
      <c r="IQ40" s="714">
        <v>450</v>
      </c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27</v>
      </c>
      <c r="JN40" s="960">
        <f>($JO40-SMALL($JO$9:$JO$88,1))/((Settings!$C$19/2)-((Settings!$C$19/2)-LARGE($JO$9:$JO$88,1))-SMALL($JO$9:$JO$88,1))</f>
        <v>0.99999999999999956</v>
      </c>
      <c r="JO40" s="162">
        <f t="shared" si="134"/>
        <v>3.6829000000000005</v>
      </c>
      <c r="JP40" s="961">
        <f t="shared" si="135"/>
        <v>-89.999987005609611</v>
      </c>
      <c r="JQ40" s="961">
        <f t="shared" si="136"/>
        <v>29.999999999999993</v>
      </c>
      <c r="JS40" s="82">
        <v>32</v>
      </c>
      <c r="JT40" s="322">
        <f t="shared" si="137"/>
        <v>3.682900000000001</v>
      </c>
      <c r="JU40" s="963">
        <f t="shared" si="138"/>
        <v>0.99999999999999978</v>
      </c>
      <c r="JV40" s="961">
        <f t="shared" si="287"/>
        <v>-89.999987005609597</v>
      </c>
      <c r="JW40" s="961">
        <f t="shared" si="92"/>
        <v>29.999999999999979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-68.781601508863602</v>
      </c>
      <c r="KD40" s="970">
        <v>-76.096977142857128</v>
      </c>
      <c r="KE40" s="968">
        <f t="shared" si="140"/>
        <v>-7.3153756339935256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24.437662359705428</v>
      </c>
      <c r="KG40" s="966">
        <f t="shared" si="244"/>
        <v>-1.9838371428571264</v>
      </c>
      <c r="KH40" s="966">
        <f t="shared" si="141"/>
        <v>1.3236103367040997</v>
      </c>
      <c r="KJ40" s="31"/>
    </row>
    <row r="41" spans="1:296" ht="15" customHeight="1" x14ac:dyDescent="0.25">
      <c r="A41" s="75" t="str">
        <f t="shared" ref="A41:A72" si="322">IF($K41="","",IF(AND($A$8="Y",ISNUMBER($K41)),$A$5,0))</f>
        <v/>
      </c>
      <c r="B41" s="578" t="str">
        <f t="shared" ref="B41:D41" si="323">IFERROR(O196+($A41*-E41),"")</f>
        <v/>
      </c>
      <c r="C41" s="572" t="str">
        <f t="shared" si="323"/>
        <v/>
      </c>
      <c r="D41" s="576" t="str">
        <f t="shared" si="323"/>
        <v/>
      </c>
      <c r="E41" s="580" t="str">
        <f t="shared" ref="E41:K41" si="324">R196</f>
        <v/>
      </c>
      <c r="F41" s="572" t="str">
        <f t="shared" si="324"/>
        <v/>
      </c>
      <c r="G41" s="579" t="str">
        <f t="shared" si="324"/>
        <v/>
      </c>
      <c r="H41" s="580" t="str">
        <f t="shared" si="324"/>
        <v/>
      </c>
      <c r="I41" s="572" t="str">
        <f t="shared" si="324"/>
        <v/>
      </c>
      <c r="J41" s="483" t="str">
        <f t="shared" si="94"/>
        <v/>
      </c>
      <c r="K41" s="806" t="str">
        <f t="shared" si="324"/>
        <v/>
      </c>
      <c r="L41" s="309"/>
      <c r="M41" s="164" t="str">
        <f t="shared" ref="M41:M72" si="325">IF(J41="","",VALUE(J41))</f>
        <v/>
      </c>
      <c r="N41" s="575" t="str">
        <f t="shared" ref="N41:N72" si="326">IF(M41="","",B41)</f>
        <v/>
      </c>
      <c r="O41" s="572" t="str">
        <f t="shared" ref="O41:O72" si="327">IF(M41="","",C41)</f>
        <v/>
      </c>
      <c r="P41" s="576" t="str">
        <f t="shared" ref="P41:P72" si="328">IF(M41="","",D41)</f>
        <v/>
      </c>
      <c r="Q41" s="528" t="str">
        <f t="shared" si="144"/>
        <v/>
      </c>
      <c r="R41" s="572" t="str">
        <f t="shared" si="95"/>
        <v/>
      </c>
      <c r="S41" s="577" t="str">
        <f t="shared" si="96"/>
        <v/>
      </c>
      <c r="T41" s="578" t="str">
        <f t="shared" si="97"/>
        <v/>
      </c>
      <c r="U41" s="572" t="str">
        <f t="shared" si="98"/>
        <v/>
      </c>
      <c r="V41" s="579" t="str">
        <f t="shared" si="145"/>
        <v/>
      </c>
      <c r="W41" s="528" t="str">
        <f t="shared" si="268"/>
        <v/>
      </c>
      <c r="X41" s="572" t="str">
        <f t="shared" si="99"/>
        <v/>
      </c>
      <c r="Y41" s="573" t="str">
        <f t="shared" si="271"/>
        <v/>
      </c>
      <c r="Z41" s="575" t="str">
        <f t="shared" ref="Z41:Z72" si="329">IF(M41="","",-E41)</f>
        <v/>
      </c>
      <c r="AA41" s="572" t="str">
        <f t="shared" ref="AA41:AA72" si="330">IF(M41="","",-F41)</f>
        <v/>
      </c>
      <c r="AB41" s="572" t="str">
        <f t="shared" ref="AB41:AB72" si="331">IF(M41="","",-G41)</f>
        <v/>
      </c>
      <c r="AC41" s="579" t="str">
        <f t="shared" si="100"/>
        <v/>
      </c>
      <c r="AD41" s="580" t="str">
        <f t="shared" si="146"/>
        <v/>
      </c>
      <c r="AE41" s="572" t="str">
        <f t="shared" si="101"/>
        <v/>
      </c>
      <c r="AF41" s="576" t="str">
        <f t="shared" si="102"/>
        <v/>
      </c>
      <c r="AG41" s="545" t="str">
        <f t="shared" si="103"/>
        <v/>
      </c>
      <c r="AH41" s="546" t="str">
        <f t="shared" si="104"/>
        <v/>
      </c>
      <c r="AI41" s="528" t="str">
        <f t="shared" si="105"/>
        <v/>
      </c>
      <c r="AJ41" s="529" t="str">
        <f t="shared" si="106"/>
        <v/>
      </c>
      <c r="AK41" s="578" t="str">
        <f t="shared" si="247"/>
        <v/>
      </c>
      <c r="AL41" s="572" t="str">
        <f t="shared" si="107"/>
        <v/>
      </c>
      <c r="AM41" s="577" t="str">
        <f t="shared" si="108"/>
        <v/>
      </c>
      <c r="AN41" s="524" t="str">
        <f t="shared" si="109"/>
        <v/>
      </c>
      <c r="AO41" s="525" t="str">
        <f t="shared" si="110"/>
        <v/>
      </c>
      <c r="AP41" s="528" t="str">
        <f t="shared" si="111"/>
        <v/>
      </c>
      <c r="AQ41" s="529" t="str">
        <f t="shared" ref="AQ41:AQ72" si="332">IF(M41="","",DEGREES(ATAN(($AS$5*SIN(RADIANS(90)))/(($X41*2*PI())-($AS$5*COS(RADIANS(90)))))))</f>
        <v/>
      </c>
      <c r="AR41" s="979"/>
      <c r="AS41" s="954" t="str">
        <f t="shared" si="147"/>
        <v/>
      </c>
      <c r="AT41" s="950" t="str">
        <f t="shared" ref="AT41:AT72" si="333">IF(M41="","",Y41+(((AS41-$AS$9)*$AS$6)*-1))</f>
        <v/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 t="str">
        <f t="shared" si="241"/>
        <v/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 t="str">
        <f t="shared" ref="IL41:IL72" si="485">IF(ISNUMBER($IK41),INDEX($K$9:$K$150,MATCH($IK41,$M$9:$M$150,0)),$K41)</f>
        <v/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>
        <v>3.5045320836344603E-2</v>
      </c>
      <c r="IP41" s="5" t="str">
        <f t="shared" ref="IP41:IP72" si="487">IF(ISNUMBER($IK41),(($IQ41*12)/60)/$AS$3,"")</f>
        <v/>
      </c>
      <c r="IQ41" s="714">
        <v>530</v>
      </c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 t="e">
        <f t="shared" si="133"/>
        <v>#VALUE!</v>
      </c>
      <c r="JN41" s="960" t="e">
        <f>($JO41-SMALL($JO$9:$JO$88,1))/((Settings!$C$19/2)-((Settings!$C$19/2)-LARGE($JO$9:$JO$88,1))-SMALL($JO$9:$JO$88,1))</f>
        <v>#VALUE!</v>
      </c>
      <c r="JO41" s="162" t="str">
        <f t="shared" si="134"/>
        <v/>
      </c>
      <c r="JP41" s="961" t="str">
        <f t="shared" si="135"/>
        <v/>
      </c>
      <c r="JQ41" s="961" t="str">
        <f t="shared" si="136"/>
        <v/>
      </c>
      <c r="JS41" s="82" t="e">
        <v>#VALUE!</v>
      </c>
      <c r="JT41" s="322" t="e">
        <f t="shared" si="137"/>
        <v>#VALUE!</v>
      </c>
      <c r="JU41" s="963" t="e">
        <f t="shared" si="138"/>
        <v>#VALUE!</v>
      </c>
      <c r="JV41" s="961" t="e">
        <f t="shared" si="287"/>
        <v>#VALUE!</v>
      </c>
      <c r="JW41" s="961" t="e">
        <f t="shared" si="92"/>
        <v>#VALUE!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-71.129026471584439</v>
      </c>
      <c r="KD41" s="970">
        <v>-78.080814285714283</v>
      </c>
      <c r="KE41" s="968">
        <f t="shared" si="140"/>
        <v>-6.9517878141298439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25.157828487115825</v>
      </c>
      <c r="KG41" s="966">
        <f t="shared" si="244"/>
        <v>-1.9838371428571548</v>
      </c>
      <c r="KH41" s="966">
        <f t="shared" si="141"/>
        <v>0.72016612741039765</v>
      </c>
      <c r="KJ41" s="31"/>
    </row>
    <row r="42" spans="1:296" ht="15" customHeight="1" x14ac:dyDescent="0.25">
      <c r="A42" s="75" t="str">
        <f t="shared" si="322"/>
        <v/>
      </c>
      <c r="B42" s="578" t="str">
        <f t="shared" ref="B42:D42" si="498">IFERROR(O197+($A42*-E42),"")</f>
        <v/>
      </c>
      <c r="C42" s="572" t="str">
        <f t="shared" si="498"/>
        <v/>
      </c>
      <c r="D42" s="576" t="str">
        <f t="shared" si="498"/>
        <v/>
      </c>
      <c r="E42" s="580" t="str">
        <f t="shared" ref="E42:K42" si="499">R197</f>
        <v/>
      </c>
      <c r="F42" s="572" t="str">
        <f t="shared" si="499"/>
        <v/>
      </c>
      <c r="G42" s="579" t="str">
        <f t="shared" si="499"/>
        <v/>
      </c>
      <c r="H42" s="580" t="str">
        <f t="shared" si="499"/>
        <v/>
      </c>
      <c r="I42" s="572" t="str">
        <f t="shared" si="499"/>
        <v/>
      </c>
      <c r="J42" s="483" t="str">
        <f t="shared" si="94"/>
        <v/>
      </c>
      <c r="K42" s="806" t="str">
        <f t="shared" si="499"/>
        <v/>
      </c>
      <c r="L42" s="309"/>
      <c r="M42" s="164" t="str">
        <f t="shared" si="325"/>
        <v/>
      </c>
      <c r="N42" s="575" t="str">
        <f t="shared" si="326"/>
        <v/>
      </c>
      <c r="O42" s="572" t="str">
        <f t="shared" si="327"/>
        <v/>
      </c>
      <c r="P42" s="576" t="str">
        <f t="shared" si="328"/>
        <v/>
      </c>
      <c r="Q42" s="528" t="str">
        <f t="shared" si="144"/>
        <v/>
      </c>
      <c r="R42" s="572" t="str">
        <f t="shared" ref="R42:R47" si="500">IF(M42="","",SQRT(N42^2+O42^2))</f>
        <v/>
      </c>
      <c r="S42" s="577" t="str">
        <f t="shared" ref="S42:S47" si="501">IF(M42="","",P42)</f>
        <v/>
      </c>
      <c r="T42" s="578" t="str">
        <f t="shared" ref="T42:T47" si="502">IF(M42="","",X42*COS(RADIANS(W42)))</f>
        <v/>
      </c>
      <c r="U42" s="572" t="str">
        <f t="shared" ref="U42:U47" si="503">IF(M42="","",X42*SIN(RADIANS(W42)))</f>
        <v/>
      </c>
      <c r="V42" s="579" t="str">
        <f t="shared" ref="V42:V47" si="504">IF(M42="","",Y42)</f>
        <v/>
      </c>
      <c r="W42" s="528" t="str">
        <f t="shared" si="268"/>
        <v/>
      </c>
      <c r="X42" s="572" t="str">
        <f t="shared" ref="X42:X47" si="505">IF(M42="","",R42)</f>
        <v/>
      </c>
      <c r="Y42" s="573" t="str">
        <f t="shared" si="271"/>
        <v/>
      </c>
      <c r="Z42" s="575" t="str">
        <f t="shared" si="329"/>
        <v/>
      </c>
      <c r="AA42" s="572" t="str">
        <f t="shared" si="330"/>
        <v/>
      </c>
      <c r="AB42" s="572" t="str">
        <f t="shared" si="331"/>
        <v/>
      </c>
      <c r="AC42" s="579" t="str">
        <f t="shared" ref="AC42:AC47" si="506">IF(M42="","",SQRT(Z42^2+AA42^2+AB42^2))</f>
        <v/>
      </c>
      <c r="AD42" s="580" t="str">
        <f t="shared" ref="AD42:AD47" si="507">IF(M42="","",Z42*(1/SQRT(Z42^2+AA42^2+AB42^2)))</f>
        <v/>
      </c>
      <c r="AE42" s="572" t="str">
        <f t="shared" ref="AE42:AE47" si="508">IF(M42="","",AA42*(1/SQRT(Z42^2+AA42^2+AB42^2)))</f>
        <v/>
      </c>
      <c r="AF42" s="576" t="str">
        <f t="shared" ref="AF42:AF47" si="509">IF(M42="","",AB42*(1/SQRT(Z42^2+AA42^2+AB42^2)))</f>
        <v/>
      </c>
      <c r="AG42" s="545" t="str">
        <f t="shared" ref="AG42:AG47" si="510">IF(M42="","",DEGREES(ATAN2(-AF42,AE42)))</f>
        <v/>
      </c>
      <c r="AH42" s="546" t="str">
        <f t="shared" ref="AH42:AH47" si="511">IF(M42="","",DEGREES(ACOS(AD42)))</f>
        <v/>
      </c>
      <c r="AI42" s="528" t="str">
        <f t="shared" ref="AI42:AI47" si="512">IF(M42="","",DEGREES(-ACOS(-AF42)))</f>
        <v/>
      </c>
      <c r="AJ42" s="529" t="str">
        <f t="shared" ref="AJ42:AJ47" si="513">IF(M42="","",DEGREES(ATAN2(-AE42,AD42)))</f>
        <v/>
      </c>
      <c r="AK42" s="578" t="str">
        <f t="shared" ref="AK42:AK47" si="514">IF(M42="","",(COS(RADIANS((90-$Q$8)-W42))*AD42)+(-SIN(RADIANS((90-$Q$8)-W42))*AE42))</f>
        <v/>
      </c>
      <c r="AL42" s="572" t="str">
        <f t="shared" ref="AL42:AL47" si="515">IF(M42="","",(SIN(RADIANS((90-$Q$8)-W42))*AD42)+(COS(RADIANS((90-$Q$8)-W42))*AE42))</f>
        <v/>
      </c>
      <c r="AM42" s="577" t="str">
        <f t="shared" ref="AM42:AM47" si="516">IF(M42="","",AF42)</f>
        <v/>
      </c>
      <c r="AN42" s="524" t="str">
        <f t="shared" ref="AN42:AN47" si="517">IF(M42="","",DEGREES(ATAN2(-AM42,AL42)))</f>
        <v/>
      </c>
      <c r="AO42" s="525" t="str">
        <f t="shared" si="110"/>
        <v/>
      </c>
      <c r="AP42" s="528" t="str">
        <f t="shared" ref="AP42:AP47" si="518">IF(M42="","",DEGREES(ATAN2(AK42,AL42)))</f>
        <v/>
      </c>
      <c r="AQ42" s="529" t="str">
        <f t="shared" si="332"/>
        <v/>
      </c>
      <c r="AR42" s="979"/>
      <c r="AS42" s="954" t="str">
        <f t="shared" si="147"/>
        <v/>
      </c>
      <c r="AT42" s="950" t="str">
        <f t="shared" si="333"/>
        <v/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 t="str">
        <f t="shared" si="241"/>
        <v/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 t="str">
        <f t="shared" si="485"/>
        <v/>
      </c>
      <c r="IM42" s="482" t="str">
        <f t="shared" si="242"/>
        <v/>
      </c>
      <c r="IN42" s="670" t="str">
        <f t="shared" si="486"/>
        <v/>
      </c>
      <c r="IO42" s="702">
        <v>3.3116741498209201E-2</v>
      </c>
      <c r="IP42" s="5" t="str">
        <f t="shared" si="487"/>
        <v/>
      </c>
      <c r="IQ42" s="714">
        <v>640</v>
      </c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 t="e">
        <f t="shared" si="133"/>
        <v>#VALUE!</v>
      </c>
      <c r="JN42" s="960" t="e">
        <f>($JO42-SMALL($JO$9:$JO$88,1))/((Settings!$C$19/2)-((Settings!$C$19/2)-LARGE($JO$9:$JO$88,1))-SMALL($JO$9:$JO$88,1))</f>
        <v>#VALUE!</v>
      </c>
      <c r="JO42" s="162" t="str">
        <f t="shared" si="134"/>
        <v/>
      </c>
      <c r="JP42" s="961" t="str">
        <f t="shared" si="135"/>
        <v/>
      </c>
      <c r="JQ42" s="961" t="str">
        <f t="shared" si="136"/>
        <v/>
      </c>
      <c r="JS42" s="82"/>
      <c r="JT42" s="322" t="e">
        <f t="shared" si="137"/>
        <v>#N/A</v>
      </c>
      <c r="JU42" s="963" t="e">
        <f t="shared" si="138"/>
        <v>#N/A</v>
      </c>
      <c r="JV42" s="961" t="e">
        <f t="shared" si="287"/>
        <v>#N/A</v>
      </c>
      <c r="JW42" s="961" t="e">
        <f t="shared" si="92"/>
        <v>#N/A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25.8201231284744</v>
      </c>
      <c r="KG42" s="966">
        <f t="shared" si="244"/>
        <v>-1.9838371428571406</v>
      </c>
      <c r="KH42" s="966">
        <f t="shared" si="141"/>
        <v>0.66229464135857441</v>
      </c>
      <c r="KJ42" s="31"/>
    </row>
    <row r="43" spans="1:296" ht="15" customHeight="1" x14ac:dyDescent="0.25">
      <c r="A43" s="75" t="str">
        <f t="shared" si="322"/>
        <v/>
      </c>
      <c r="B43" s="578" t="str">
        <f t="shared" ref="B43:D43" si="522">IFERROR(O198+($A43*-E43),"")</f>
        <v/>
      </c>
      <c r="C43" s="572" t="str">
        <f t="shared" si="522"/>
        <v/>
      </c>
      <c r="D43" s="576" t="str">
        <f t="shared" si="522"/>
        <v/>
      </c>
      <c r="E43" s="580" t="str">
        <f t="shared" ref="E43:K43" si="523">R198</f>
        <v/>
      </c>
      <c r="F43" s="572" t="str">
        <f t="shared" si="523"/>
        <v/>
      </c>
      <c r="G43" s="579" t="str">
        <f t="shared" si="523"/>
        <v/>
      </c>
      <c r="H43" s="580" t="str">
        <f t="shared" si="523"/>
        <v/>
      </c>
      <c r="I43" s="572" t="str">
        <f t="shared" si="523"/>
        <v/>
      </c>
      <c r="J43" s="483" t="str">
        <f t="shared" si="94"/>
        <v/>
      </c>
      <c r="K43" s="806" t="str">
        <f t="shared" si="523"/>
        <v/>
      </c>
      <c r="L43" s="309"/>
      <c r="M43" s="164" t="str">
        <f t="shared" si="325"/>
        <v/>
      </c>
      <c r="N43" s="575" t="str">
        <f t="shared" si="326"/>
        <v/>
      </c>
      <c r="O43" s="572" t="str">
        <f t="shared" si="327"/>
        <v/>
      </c>
      <c r="P43" s="576" t="str">
        <f t="shared" si="328"/>
        <v/>
      </c>
      <c r="Q43" s="528" t="str">
        <f t="shared" si="144"/>
        <v/>
      </c>
      <c r="R43" s="572" t="str">
        <f t="shared" si="500"/>
        <v/>
      </c>
      <c r="S43" s="577" t="str">
        <f t="shared" si="501"/>
        <v/>
      </c>
      <c r="T43" s="578" t="str">
        <f t="shared" si="502"/>
        <v/>
      </c>
      <c r="U43" s="572" t="str">
        <f t="shared" si="503"/>
        <v/>
      </c>
      <c r="V43" s="579" t="str">
        <f t="shared" si="504"/>
        <v/>
      </c>
      <c r="W43" s="528" t="str">
        <f t="shared" si="268"/>
        <v/>
      </c>
      <c r="X43" s="572" t="str">
        <f t="shared" si="505"/>
        <v/>
      </c>
      <c r="Y43" s="573" t="str">
        <f t="shared" si="271"/>
        <v/>
      </c>
      <c r="Z43" s="575" t="str">
        <f t="shared" si="329"/>
        <v/>
      </c>
      <c r="AA43" s="572" t="str">
        <f t="shared" si="330"/>
        <v/>
      </c>
      <c r="AB43" s="572" t="str">
        <f t="shared" si="331"/>
        <v/>
      </c>
      <c r="AC43" s="579" t="str">
        <f t="shared" si="506"/>
        <v/>
      </c>
      <c r="AD43" s="580" t="str">
        <f t="shared" si="507"/>
        <v/>
      </c>
      <c r="AE43" s="572" t="str">
        <f t="shared" si="508"/>
        <v/>
      </c>
      <c r="AF43" s="576" t="str">
        <f t="shared" si="509"/>
        <v/>
      </c>
      <c r="AG43" s="545" t="str">
        <f t="shared" si="510"/>
        <v/>
      </c>
      <c r="AH43" s="546" t="str">
        <f t="shared" si="511"/>
        <v/>
      </c>
      <c r="AI43" s="528" t="str">
        <f t="shared" si="512"/>
        <v/>
      </c>
      <c r="AJ43" s="529" t="str">
        <f t="shared" si="513"/>
        <v/>
      </c>
      <c r="AK43" s="578" t="str">
        <f t="shared" si="514"/>
        <v/>
      </c>
      <c r="AL43" s="572" t="str">
        <f t="shared" si="515"/>
        <v/>
      </c>
      <c r="AM43" s="577" t="str">
        <f t="shared" si="516"/>
        <v/>
      </c>
      <c r="AN43" s="524" t="str">
        <f t="shared" si="517"/>
        <v/>
      </c>
      <c r="AO43" s="525" t="str">
        <f t="shared" si="110"/>
        <v/>
      </c>
      <c r="AP43" s="528" t="str">
        <f t="shared" si="518"/>
        <v/>
      </c>
      <c r="AQ43" s="529" t="str">
        <f t="shared" si="332"/>
        <v/>
      </c>
      <c r="AR43" s="979"/>
      <c r="AS43" s="954" t="str">
        <f t="shared" ref="AS43:AS74" si="524">IF(G43="","",IF(AND(W43&lt;(AS42+180),W43&gt;(AS42-180)),W43,IF(W43&gt;(AS42+180),W43-360,IF(W43&lt;(AS42-180),W43+360,"Error"))))</f>
        <v/>
      </c>
      <c r="AT43" s="950" t="str">
        <f t="shared" si="333"/>
        <v/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 t="str">
        <f t="shared" si="241"/>
        <v/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 t="str">
        <f t="shared" si="485"/>
        <v/>
      </c>
      <c r="IM43" s="482" t="str">
        <f t="shared" si="242"/>
        <v/>
      </c>
      <c r="IN43" s="670" t="str">
        <f t="shared" si="486"/>
        <v/>
      </c>
      <c r="IO43" s="702">
        <v>3.1247104713684901E-2</v>
      </c>
      <c r="IP43" s="5" t="str">
        <f t="shared" si="487"/>
        <v/>
      </c>
      <c r="IQ43" s="714">
        <v>770</v>
      </c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 t="e">
        <f t="shared" si="133"/>
        <v>#VALUE!</v>
      </c>
      <c r="JN43" s="960" t="e">
        <f>($JO43-SMALL($JO$9:$JO$88,1))/((Settings!$C$19/2)-((Settings!$C$19/2)-LARGE($JO$9:$JO$88,1))-SMALL($JO$9:$JO$88,1))</f>
        <v>#VALUE!</v>
      </c>
      <c r="JO43" s="162" t="str">
        <f t="shared" si="134"/>
        <v/>
      </c>
      <c r="JP43" s="961" t="str">
        <f t="shared" si="135"/>
        <v/>
      </c>
      <c r="JQ43" s="961" t="str">
        <f t="shared" si="136"/>
        <v/>
      </c>
      <c r="JS43" s="82"/>
      <c r="JT43" s="322" t="e">
        <f t="shared" si="137"/>
        <v>#N/A</v>
      </c>
      <c r="JU43" s="963" t="e">
        <f t="shared" si="138"/>
        <v>#N/A</v>
      </c>
      <c r="JV43" s="961" t="e">
        <f t="shared" si="287"/>
        <v>#N/A</v>
      </c>
      <c r="JW43" s="961" t="e">
        <f t="shared" si="92"/>
        <v>#N/A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27.634738850235955</v>
      </c>
      <c r="KG43" s="966">
        <f t="shared" si="244"/>
        <v>-1.9838371428571548</v>
      </c>
      <c r="KH43" s="966">
        <f t="shared" si="141"/>
        <v>1.8146157217615553</v>
      </c>
      <c r="KJ43" s="31"/>
    </row>
    <row r="44" spans="1:296" ht="15" customHeight="1" x14ac:dyDescent="0.25">
      <c r="A44" s="75" t="str">
        <f t="shared" si="322"/>
        <v/>
      </c>
      <c r="B44" s="578" t="str">
        <f t="shared" ref="B44:D44" si="527">IFERROR(O199+($A44*-E44),"")</f>
        <v/>
      </c>
      <c r="C44" s="572" t="str">
        <f t="shared" si="527"/>
        <v/>
      </c>
      <c r="D44" s="576" t="str">
        <f t="shared" si="527"/>
        <v/>
      </c>
      <c r="E44" s="580" t="str">
        <f t="shared" ref="E44:K44" si="528">R199</f>
        <v/>
      </c>
      <c r="F44" s="572" t="str">
        <f t="shared" si="528"/>
        <v/>
      </c>
      <c r="G44" s="579" t="str">
        <f t="shared" si="528"/>
        <v/>
      </c>
      <c r="H44" s="580" t="str">
        <f t="shared" si="528"/>
        <v/>
      </c>
      <c r="I44" s="572" t="str">
        <f t="shared" si="528"/>
        <v/>
      </c>
      <c r="J44" s="483" t="str">
        <f t="shared" si="94"/>
        <v/>
      </c>
      <c r="K44" s="806" t="str">
        <f t="shared" si="528"/>
        <v/>
      </c>
      <c r="L44" s="309"/>
      <c r="M44" s="164" t="str">
        <f t="shared" si="325"/>
        <v/>
      </c>
      <c r="N44" s="575" t="str">
        <f t="shared" si="326"/>
        <v/>
      </c>
      <c r="O44" s="572" t="str">
        <f t="shared" si="327"/>
        <v/>
      </c>
      <c r="P44" s="576" t="str">
        <f t="shared" si="328"/>
        <v/>
      </c>
      <c r="Q44" s="528" t="str">
        <f t="shared" si="144"/>
        <v/>
      </c>
      <c r="R44" s="572" t="str">
        <f t="shared" si="500"/>
        <v/>
      </c>
      <c r="S44" s="577" t="str">
        <f t="shared" si="501"/>
        <v/>
      </c>
      <c r="T44" s="578" t="str">
        <f t="shared" si="502"/>
        <v/>
      </c>
      <c r="U44" s="572" t="str">
        <f t="shared" si="503"/>
        <v/>
      </c>
      <c r="V44" s="579" t="str">
        <f t="shared" si="504"/>
        <v/>
      </c>
      <c r="W44" s="528" t="str">
        <f t="shared" si="268"/>
        <v/>
      </c>
      <c r="X44" s="572" t="str">
        <f t="shared" si="505"/>
        <v/>
      </c>
      <c r="Y44" s="573" t="str">
        <f t="shared" si="271"/>
        <v/>
      </c>
      <c r="Z44" s="575" t="str">
        <f t="shared" si="329"/>
        <v/>
      </c>
      <c r="AA44" s="572" t="str">
        <f t="shared" si="330"/>
        <v/>
      </c>
      <c r="AB44" s="572" t="str">
        <f t="shared" si="331"/>
        <v/>
      </c>
      <c r="AC44" s="579" t="str">
        <f t="shared" si="506"/>
        <v/>
      </c>
      <c r="AD44" s="580" t="str">
        <f t="shared" si="507"/>
        <v/>
      </c>
      <c r="AE44" s="572" t="str">
        <f t="shared" si="508"/>
        <v/>
      </c>
      <c r="AF44" s="576" t="str">
        <f t="shared" si="509"/>
        <v/>
      </c>
      <c r="AG44" s="545" t="str">
        <f t="shared" si="510"/>
        <v/>
      </c>
      <c r="AH44" s="546" t="str">
        <f t="shared" si="511"/>
        <v/>
      </c>
      <c r="AI44" s="528" t="str">
        <f t="shared" si="512"/>
        <v/>
      </c>
      <c r="AJ44" s="529" t="str">
        <f t="shared" si="513"/>
        <v/>
      </c>
      <c r="AK44" s="578" t="str">
        <f t="shared" si="514"/>
        <v/>
      </c>
      <c r="AL44" s="572" t="str">
        <f t="shared" si="515"/>
        <v/>
      </c>
      <c r="AM44" s="577" t="str">
        <f t="shared" si="516"/>
        <v/>
      </c>
      <c r="AN44" s="524" t="str">
        <f t="shared" si="517"/>
        <v/>
      </c>
      <c r="AO44" s="525" t="str">
        <f t="shared" si="110"/>
        <v/>
      </c>
      <c r="AP44" s="528" t="str">
        <f t="shared" si="518"/>
        <v/>
      </c>
      <c r="AQ44" s="529" t="str">
        <f t="shared" si="332"/>
        <v/>
      </c>
      <c r="AR44" s="979"/>
      <c r="AS44" s="954" t="str">
        <f t="shared" si="524"/>
        <v/>
      </c>
      <c r="AT44" s="950" t="str">
        <f t="shared" si="333"/>
        <v/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 t="str">
        <f t="shared" si="241"/>
        <v/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 t="str">
        <f t="shared" si="485"/>
        <v/>
      </c>
      <c r="IM44" s="482" t="str">
        <f t="shared" si="242"/>
        <v/>
      </c>
      <c r="IN44" s="670" t="str">
        <f t="shared" si="486"/>
        <v/>
      </c>
      <c r="IO44" s="702">
        <v>2.9175360224122E-2</v>
      </c>
      <c r="IP44" s="5" t="str">
        <f t="shared" si="487"/>
        <v/>
      </c>
      <c r="IQ44" s="714">
        <v>940</v>
      </c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 t="e">
        <f t="shared" si="133"/>
        <v>#VALUE!</v>
      </c>
      <c r="JN44" s="960" t="e">
        <f>($JO44-SMALL($JO$9:$JO$88,1))/((Settings!$C$19/2)-((Settings!$C$19/2)-LARGE($JO$9:$JO$88,1))-SMALL($JO$9:$JO$88,1))</f>
        <v>#VALUE!</v>
      </c>
      <c r="JO44" s="162" t="str">
        <f t="shared" si="134"/>
        <v/>
      </c>
      <c r="JP44" s="961" t="str">
        <f t="shared" si="135"/>
        <v/>
      </c>
      <c r="JQ44" s="961" t="str">
        <f t="shared" si="136"/>
        <v/>
      </c>
      <c r="JS44" s="82"/>
      <c r="JT44" s="322" t="e">
        <f t="shared" si="137"/>
        <v>#N/A</v>
      </c>
      <c r="JU44" s="963" t="e">
        <f t="shared" si="138"/>
        <v>#N/A</v>
      </c>
      <c r="JV44" s="961" t="e">
        <f t="shared" si="287"/>
        <v>#N/A</v>
      </c>
      <c r="JW44" s="961" t="e">
        <f t="shared" si="92"/>
        <v>#N/A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2.4652611497640464</v>
      </c>
      <c r="KJ44" s="31"/>
    </row>
    <row r="45" spans="1:296" ht="15" customHeight="1" x14ac:dyDescent="0.25">
      <c r="A45" s="75" t="str">
        <f t="shared" si="322"/>
        <v/>
      </c>
      <c r="B45" s="578" t="str">
        <f t="shared" ref="B45:D45" si="529">IFERROR(O200+($A45*-E45),"")</f>
        <v/>
      </c>
      <c r="C45" s="572" t="str">
        <f t="shared" si="529"/>
        <v/>
      </c>
      <c r="D45" s="576" t="str">
        <f t="shared" si="529"/>
        <v/>
      </c>
      <c r="E45" s="580" t="str">
        <f t="shared" ref="E45:K45" si="530">R200</f>
        <v/>
      </c>
      <c r="F45" s="572" t="str">
        <f t="shared" si="530"/>
        <v/>
      </c>
      <c r="G45" s="579" t="str">
        <f t="shared" si="530"/>
        <v/>
      </c>
      <c r="H45" s="580" t="str">
        <f t="shared" si="530"/>
        <v/>
      </c>
      <c r="I45" s="572" t="str">
        <f t="shared" si="530"/>
        <v/>
      </c>
      <c r="J45" s="483" t="str">
        <f t="shared" si="94"/>
        <v/>
      </c>
      <c r="K45" s="806" t="str">
        <f t="shared" si="530"/>
        <v/>
      </c>
      <c r="L45" s="309"/>
      <c r="M45" s="164" t="str">
        <f t="shared" si="325"/>
        <v/>
      </c>
      <c r="N45" s="575" t="str">
        <f t="shared" si="326"/>
        <v/>
      </c>
      <c r="O45" s="572" t="str">
        <f t="shared" si="327"/>
        <v/>
      </c>
      <c r="P45" s="576" t="str">
        <f t="shared" si="328"/>
        <v/>
      </c>
      <c r="Q45" s="528" t="str">
        <f t="shared" si="144"/>
        <v/>
      </c>
      <c r="R45" s="572" t="str">
        <f t="shared" si="500"/>
        <v/>
      </c>
      <c r="S45" s="577" t="str">
        <f t="shared" si="501"/>
        <v/>
      </c>
      <c r="T45" s="578" t="str">
        <f t="shared" si="502"/>
        <v/>
      </c>
      <c r="U45" s="572" t="str">
        <f t="shared" si="503"/>
        <v/>
      </c>
      <c r="V45" s="579" t="str">
        <f t="shared" si="504"/>
        <v/>
      </c>
      <c r="W45" s="528" t="str">
        <f t="shared" si="268"/>
        <v/>
      </c>
      <c r="X45" s="572" t="str">
        <f t="shared" si="505"/>
        <v/>
      </c>
      <c r="Y45" s="573" t="str">
        <f t="shared" si="271"/>
        <v/>
      </c>
      <c r="Z45" s="575" t="str">
        <f t="shared" si="329"/>
        <v/>
      </c>
      <c r="AA45" s="572" t="str">
        <f t="shared" si="330"/>
        <v/>
      </c>
      <c r="AB45" s="572" t="str">
        <f t="shared" si="331"/>
        <v/>
      </c>
      <c r="AC45" s="579" t="str">
        <f t="shared" si="506"/>
        <v/>
      </c>
      <c r="AD45" s="580" t="str">
        <f t="shared" si="507"/>
        <v/>
      </c>
      <c r="AE45" s="572" t="str">
        <f t="shared" si="508"/>
        <v/>
      </c>
      <c r="AF45" s="576" t="str">
        <f t="shared" si="509"/>
        <v/>
      </c>
      <c r="AG45" s="545" t="str">
        <f t="shared" si="510"/>
        <v/>
      </c>
      <c r="AH45" s="546" t="str">
        <f t="shared" si="511"/>
        <v/>
      </c>
      <c r="AI45" s="528" t="str">
        <f t="shared" si="512"/>
        <v/>
      </c>
      <c r="AJ45" s="529" t="str">
        <f t="shared" si="513"/>
        <v/>
      </c>
      <c r="AK45" s="578" t="str">
        <f t="shared" si="514"/>
        <v/>
      </c>
      <c r="AL45" s="572" t="str">
        <f t="shared" si="515"/>
        <v/>
      </c>
      <c r="AM45" s="577" t="str">
        <f t="shared" si="516"/>
        <v/>
      </c>
      <c r="AN45" s="524" t="str">
        <f t="shared" si="517"/>
        <v/>
      </c>
      <c r="AO45" s="525" t="str">
        <f t="shared" si="110"/>
        <v/>
      </c>
      <c r="AP45" s="528" t="str">
        <f t="shared" si="518"/>
        <v/>
      </c>
      <c r="AQ45" s="529" t="str">
        <f t="shared" si="332"/>
        <v/>
      </c>
      <c r="AR45" s="979"/>
      <c r="AS45" s="954" t="str">
        <f t="shared" si="524"/>
        <v/>
      </c>
      <c r="AT45" s="950" t="str">
        <f t="shared" si="333"/>
        <v/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 t="str">
        <f t="shared" si="241"/>
        <v/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 t="str">
        <f t="shared" si="485"/>
        <v/>
      </c>
      <c r="IM45" s="482" t="str">
        <f t="shared" si="242"/>
        <v/>
      </c>
      <c r="IN45" s="670" t="str">
        <f t="shared" si="486"/>
        <v/>
      </c>
      <c r="IO45" s="702">
        <v>2.7270129450664999E-2</v>
      </c>
      <c r="IP45" s="5" t="str">
        <f t="shared" si="487"/>
        <v/>
      </c>
      <c r="IQ45" s="714">
        <v>1120</v>
      </c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 t="e">
        <f t="shared" si="133"/>
        <v>#VALUE!</v>
      </c>
      <c r="JN45" s="960" t="e">
        <f>($JO45-SMALL($JO$9:$JO$88,1))/((Settings!$C$19/2)-((Settings!$C$19/2)-LARGE($JO$9:$JO$88,1))-SMALL($JO$9:$JO$88,1))</f>
        <v>#VALUE!</v>
      </c>
      <c r="JO45" s="162" t="str">
        <f t="shared" si="134"/>
        <v/>
      </c>
      <c r="JP45" s="961" t="str">
        <f t="shared" si="135"/>
        <v/>
      </c>
      <c r="JQ45" s="961" t="str">
        <f t="shared" si="136"/>
        <v/>
      </c>
      <c r="JS45" s="82"/>
      <c r="JT45" s="322" t="e">
        <f t="shared" si="137"/>
        <v>#N/A</v>
      </c>
      <c r="JU45" s="963" t="e">
        <f t="shared" si="138"/>
        <v>#N/A</v>
      </c>
      <c r="JV45" s="961" t="e">
        <f t="shared" si="287"/>
        <v>#N/A</v>
      </c>
      <c r="JW45" s="961" t="e">
        <f t="shared" si="92"/>
        <v>#N/A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 t="str">
        <f t="shared" si="322"/>
        <v/>
      </c>
      <c r="B46" s="578" t="str">
        <f t="shared" ref="B46:D46" si="531">IFERROR(O201+($A46*-E46),"")</f>
        <v/>
      </c>
      <c r="C46" s="572" t="str">
        <f t="shared" si="531"/>
        <v/>
      </c>
      <c r="D46" s="576" t="str">
        <f t="shared" si="531"/>
        <v/>
      </c>
      <c r="E46" s="580" t="str">
        <f t="shared" ref="E46:K46" si="532">R201</f>
        <v/>
      </c>
      <c r="F46" s="572" t="str">
        <f t="shared" si="532"/>
        <v/>
      </c>
      <c r="G46" s="579" t="str">
        <f t="shared" si="532"/>
        <v/>
      </c>
      <c r="H46" s="580" t="str">
        <f t="shared" si="532"/>
        <v/>
      </c>
      <c r="I46" s="572" t="str">
        <f t="shared" si="532"/>
        <v/>
      </c>
      <c r="J46" s="483" t="str">
        <f t="shared" si="94"/>
        <v/>
      </c>
      <c r="K46" s="806" t="str">
        <f t="shared" si="532"/>
        <v/>
      </c>
      <c r="L46" s="309"/>
      <c r="M46" s="164" t="str">
        <f t="shared" si="325"/>
        <v/>
      </c>
      <c r="N46" s="575" t="str">
        <f t="shared" si="326"/>
        <v/>
      </c>
      <c r="O46" s="572" t="str">
        <f t="shared" si="327"/>
        <v/>
      </c>
      <c r="P46" s="576" t="str">
        <f t="shared" si="328"/>
        <v/>
      </c>
      <c r="Q46" s="528" t="str">
        <f t="shared" si="144"/>
        <v/>
      </c>
      <c r="R46" s="572" t="str">
        <f t="shared" si="500"/>
        <v/>
      </c>
      <c r="S46" s="577" t="str">
        <f t="shared" si="501"/>
        <v/>
      </c>
      <c r="T46" s="578" t="str">
        <f t="shared" si="502"/>
        <v/>
      </c>
      <c r="U46" s="572" t="str">
        <f t="shared" si="503"/>
        <v/>
      </c>
      <c r="V46" s="579" t="str">
        <f t="shared" si="504"/>
        <v/>
      </c>
      <c r="W46" s="528" t="str">
        <f t="shared" si="268"/>
        <v/>
      </c>
      <c r="X46" s="572" t="str">
        <f t="shared" si="505"/>
        <v/>
      </c>
      <c r="Y46" s="573" t="str">
        <f t="shared" si="271"/>
        <v/>
      </c>
      <c r="Z46" s="575" t="str">
        <f t="shared" si="329"/>
        <v/>
      </c>
      <c r="AA46" s="572" t="str">
        <f t="shared" si="330"/>
        <v/>
      </c>
      <c r="AB46" s="572" t="str">
        <f t="shared" si="331"/>
        <v/>
      </c>
      <c r="AC46" s="579" t="str">
        <f t="shared" si="506"/>
        <v/>
      </c>
      <c r="AD46" s="580" t="str">
        <f t="shared" si="507"/>
        <v/>
      </c>
      <c r="AE46" s="572" t="str">
        <f t="shared" si="508"/>
        <v/>
      </c>
      <c r="AF46" s="576" t="str">
        <f t="shared" si="509"/>
        <v/>
      </c>
      <c r="AG46" s="545" t="str">
        <f t="shared" si="510"/>
        <v/>
      </c>
      <c r="AH46" s="546" t="str">
        <f t="shared" si="511"/>
        <v/>
      </c>
      <c r="AI46" s="528" t="str">
        <f t="shared" si="512"/>
        <v/>
      </c>
      <c r="AJ46" s="529" t="str">
        <f t="shared" si="513"/>
        <v/>
      </c>
      <c r="AK46" s="578" t="str">
        <f t="shared" si="514"/>
        <v/>
      </c>
      <c r="AL46" s="572" t="str">
        <f t="shared" si="515"/>
        <v/>
      </c>
      <c r="AM46" s="577" t="str">
        <f t="shared" si="516"/>
        <v/>
      </c>
      <c r="AN46" s="524" t="str">
        <f t="shared" si="517"/>
        <v/>
      </c>
      <c r="AO46" s="525" t="str">
        <f t="shared" si="110"/>
        <v/>
      </c>
      <c r="AP46" s="528" t="str">
        <f t="shared" si="518"/>
        <v/>
      </c>
      <c r="AQ46" s="529" t="str">
        <f t="shared" si="332"/>
        <v/>
      </c>
      <c r="AR46" s="979"/>
      <c r="AS46" s="954" t="str">
        <f t="shared" si="524"/>
        <v/>
      </c>
      <c r="AT46" s="950" t="str">
        <f t="shared" si="333"/>
        <v/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 t="str">
        <f t="shared" si="241"/>
        <v/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 t="str">
        <f t="shared" si="485"/>
        <v/>
      </c>
      <c r="IM46" s="482" t="str">
        <f t="shared" si="242"/>
        <v/>
      </c>
      <c r="IN46" s="670" t="str">
        <f t="shared" si="486"/>
        <v/>
      </c>
      <c r="IO46" s="702">
        <v>2.6115504411536899E-2</v>
      </c>
      <c r="IP46" s="5" t="str">
        <f t="shared" si="487"/>
        <v/>
      </c>
      <c r="IQ46" s="714">
        <v>1270</v>
      </c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 t="e">
        <f t="shared" si="133"/>
        <v>#VALUE!</v>
      </c>
      <c r="JN46" s="960" t="e">
        <f>($JO46-SMALL($JO$9:$JO$88,1))/((Settings!$C$19/2)-((Settings!$C$19/2)-LARGE($JO$9:$JO$88,1))-SMALL($JO$9:$JO$88,1))</f>
        <v>#VALUE!</v>
      </c>
      <c r="JO46" s="162" t="str">
        <f t="shared" si="134"/>
        <v/>
      </c>
      <c r="JP46" s="961" t="str">
        <f t="shared" si="135"/>
        <v/>
      </c>
      <c r="JQ46" s="961" t="str">
        <f t="shared" si="136"/>
        <v/>
      </c>
      <c r="JS46" s="82"/>
      <c r="JT46" s="322" t="e">
        <f t="shared" si="137"/>
        <v>#N/A</v>
      </c>
      <c r="JU46" s="963" t="e">
        <f t="shared" si="138"/>
        <v>#N/A</v>
      </c>
      <c r="JV46" s="961" t="e">
        <f t="shared" si="287"/>
        <v>#N/A</v>
      </c>
      <c r="JW46" s="961" t="e">
        <f t="shared" si="92"/>
        <v>#N/A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 t="str">
        <f t="shared" si="322"/>
        <v/>
      </c>
      <c r="B47" s="578" t="str">
        <f t="shared" ref="B47:D47" si="533">IFERROR(O202+($A47*-E47),"")</f>
        <v/>
      </c>
      <c r="C47" s="572" t="str">
        <f t="shared" si="533"/>
        <v/>
      </c>
      <c r="D47" s="576" t="str">
        <f t="shared" si="533"/>
        <v/>
      </c>
      <c r="E47" s="580" t="str">
        <f t="shared" ref="E47:K47" si="534">R202</f>
        <v/>
      </c>
      <c r="F47" s="572" t="str">
        <f t="shared" si="534"/>
        <v/>
      </c>
      <c r="G47" s="579" t="str">
        <f t="shared" si="534"/>
        <v/>
      </c>
      <c r="H47" s="580" t="str">
        <f t="shared" si="534"/>
        <v/>
      </c>
      <c r="I47" s="572" t="str">
        <f t="shared" si="534"/>
        <v/>
      </c>
      <c r="J47" s="483" t="str">
        <f t="shared" si="94"/>
        <v/>
      </c>
      <c r="K47" s="806" t="str">
        <f t="shared" si="534"/>
        <v/>
      </c>
      <c r="L47" s="309"/>
      <c r="M47" s="164" t="str">
        <f t="shared" si="325"/>
        <v/>
      </c>
      <c r="N47" s="575" t="str">
        <f t="shared" si="326"/>
        <v/>
      </c>
      <c r="O47" s="572" t="str">
        <f t="shared" si="327"/>
        <v/>
      </c>
      <c r="P47" s="576" t="str">
        <f t="shared" si="328"/>
        <v/>
      </c>
      <c r="Q47" s="528" t="str">
        <f t="shared" si="144"/>
        <v/>
      </c>
      <c r="R47" s="572" t="str">
        <f t="shared" si="500"/>
        <v/>
      </c>
      <c r="S47" s="577" t="str">
        <f t="shared" si="501"/>
        <v/>
      </c>
      <c r="T47" s="578" t="str">
        <f t="shared" si="502"/>
        <v/>
      </c>
      <c r="U47" s="572" t="str">
        <f t="shared" si="503"/>
        <v/>
      </c>
      <c r="V47" s="579" t="str">
        <f t="shared" si="504"/>
        <v/>
      </c>
      <c r="W47" s="528" t="str">
        <f t="shared" si="268"/>
        <v/>
      </c>
      <c r="X47" s="572" t="str">
        <f t="shared" si="505"/>
        <v/>
      </c>
      <c r="Y47" s="573" t="str">
        <f t="shared" si="271"/>
        <v/>
      </c>
      <c r="Z47" s="575" t="str">
        <f t="shared" si="329"/>
        <v/>
      </c>
      <c r="AA47" s="572" t="str">
        <f t="shared" si="330"/>
        <v/>
      </c>
      <c r="AB47" s="572" t="str">
        <f t="shared" si="331"/>
        <v/>
      </c>
      <c r="AC47" s="579" t="str">
        <f t="shared" si="506"/>
        <v/>
      </c>
      <c r="AD47" s="580" t="str">
        <f t="shared" si="507"/>
        <v/>
      </c>
      <c r="AE47" s="572" t="str">
        <f t="shared" si="508"/>
        <v/>
      </c>
      <c r="AF47" s="576" t="str">
        <f t="shared" si="509"/>
        <v/>
      </c>
      <c r="AG47" s="545" t="str">
        <f t="shared" si="510"/>
        <v/>
      </c>
      <c r="AH47" s="546" t="str">
        <f t="shared" si="511"/>
        <v/>
      </c>
      <c r="AI47" s="528" t="str">
        <f t="shared" si="512"/>
        <v/>
      </c>
      <c r="AJ47" s="529" t="str">
        <f t="shared" si="513"/>
        <v/>
      </c>
      <c r="AK47" s="578" t="str">
        <f t="shared" si="514"/>
        <v/>
      </c>
      <c r="AL47" s="572" t="str">
        <f t="shared" si="515"/>
        <v/>
      </c>
      <c r="AM47" s="577" t="str">
        <f t="shared" si="516"/>
        <v/>
      </c>
      <c r="AN47" s="524" t="str">
        <f t="shared" si="517"/>
        <v/>
      </c>
      <c r="AO47" s="525" t="str">
        <f t="shared" si="110"/>
        <v/>
      </c>
      <c r="AP47" s="528" t="str">
        <f t="shared" si="518"/>
        <v/>
      </c>
      <c r="AQ47" s="529" t="str">
        <f t="shared" si="332"/>
        <v/>
      </c>
      <c r="AR47" s="979"/>
      <c r="AS47" s="954" t="str">
        <f t="shared" si="524"/>
        <v/>
      </c>
      <c r="AT47" s="950" t="str">
        <f t="shared" si="333"/>
        <v/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 t="str">
        <f t="shared" si="241"/>
        <v/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 t="str">
        <f t="shared" si="485"/>
        <v/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 t="e">
        <f t="shared" si="133"/>
        <v>#VALUE!</v>
      </c>
      <c r="JN47" s="960" t="e">
        <f>($JO47-SMALL($JO$9:$JO$88,1))/((Settings!$C$19/2)-((Settings!$C$19/2)-LARGE($JO$9:$JO$88,1))-SMALL($JO$9:$JO$88,1))</f>
        <v>#VALUE!</v>
      </c>
      <c r="JO47" s="162" t="str">
        <f t="shared" si="134"/>
        <v/>
      </c>
      <c r="JP47" s="961" t="str">
        <f t="shared" si="135"/>
        <v/>
      </c>
      <c r="JQ47" s="961" t="str">
        <f t="shared" si="136"/>
        <v/>
      </c>
      <c r="JS47" s="82"/>
      <c r="JT47" s="322" t="e">
        <f t="shared" si="137"/>
        <v>#N/A</v>
      </c>
      <c r="JU47" s="963" t="e">
        <f t="shared" si="138"/>
        <v>#N/A</v>
      </c>
      <c r="JV47" s="961" t="e">
        <f t="shared" si="287"/>
        <v>#N/A</v>
      </c>
      <c r="JW47" s="961" t="e">
        <f t="shared" si="92"/>
        <v>#N/A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 t="str">
        <f t="shared" si="322"/>
        <v/>
      </c>
      <c r="B48" s="578" t="str">
        <f t="shared" ref="B48:D48" si="535">IFERROR(O203+($A48*-E48),"")</f>
        <v/>
      </c>
      <c r="C48" s="572" t="str">
        <f t="shared" si="535"/>
        <v/>
      </c>
      <c r="D48" s="576" t="str">
        <f t="shared" si="535"/>
        <v/>
      </c>
      <c r="E48" s="580" t="str">
        <f t="shared" ref="E48:K48" si="536">R203</f>
        <v/>
      </c>
      <c r="F48" s="572" t="str">
        <f t="shared" si="536"/>
        <v/>
      </c>
      <c r="G48" s="579" t="str">
        <f t="shared" si="536"/>
        <v/>
      </c>
      <c r="H48" s="580" t="str">
        <f t="shared" si="536"/>
        <v/>
      </c>
      <c r="I48" s="572" t="str">
        <f t="shared" si="536"/>
        <v/>
      </c>
      <c r="J48" s="483" t="str">
        <f t="shared" si="94"/>
        <v/>
      </c>
      <c r="K48" s="806" t="str">
        <f t="shared" si="536"/>
        <v/>
      </c>
      <c r="L48" s="309"/>
      <c r="M48" s="164" t="str">
        <f t="shared" si="325"/>
        <v/>
      </c>
      <c r="N48" s="575" t="str">
        <f t="shared" si="326"/>
        <v/>
      </c>
      <c r="O48" s="572" t="str">
        <f t="shared" si="327"/>
        <v/>
      </c>
      <c r="P48" s="576" t="str">
        <f t="shared" si="328"/>
        <v/>
      </c>
      <c r="Q48" s="528" t="str">
        <f t="shared" si="144"/>
        <v/>
      </c>
      <c r="R48" s="572" t="str">
        <f t="shared" si="95"/>
        <v/>
      </c>
      <c r="S48" s="577" t="str">
        <f t="shared" si="96"/>
        <v/>
      </c>
      <c r="T48" s="578" t="str">
        <f t="shared" si="97"/>
        <v/>
      </c>
      <c r="U48" s="572" t="str">
        <f t="shared" si="98"/>
        <v/>
      </c>
      <c r="V48" s="579" t="str">
        <f t="shared" si="145"/>
        <v/>
      </c>
      <c r="W48" s="528" t="str">
        <f t="shared" si="268"/>
        <v/>
      </c>
      <c r="X48" s="572" t="str">
        <f t="shared" si="99"/>
        <v/>
      </c>
      <c r="Y48" s="573" t="str">
        <f t="shared" si="271"/>
        <v/>
      </c>
      <c r="Z48" s="575" t="str">
        <f t="shared" si="329"/>
        <v/>
      </c>
      <c r="AA48" s="572" t="str">
        <f t="shared" si="330"/>
        <v/>
      </c>
      <c r="AB48" s="572" t="str">
        <f t="shared" si="331"/>
        <v/>
      </c>
      <c r="AC48" s="579" t="str">
        <f t="shared" si="100"/>
        <v/>
      </c>
      <c r="AD48" s="580" t="str">
        <f t="shared" si="146"/>
        <v/>
      </c>
      <c r="AE48" s="572" t="str">
        <f t="shared" si="101"/>
        <v/>
      </c>
      <c r="AF48" s="576" t="str">
        <f t="shared" si="102"/>
        <v/>
      </c>
      <c r="AG48" s="545" t="str">
        <f t="shared" si="103"/>
        <v/>
      </c>
      <c r="AH48" s="546" t="str">
        <f t="shared" si="104"/>
        <v/>
      </c>
      <c r="AI48" s="528" t="str">
        <f t="shared" si="105"/>
        <v/>
      </c>
      <c r="AJ48" s="529" t="str">
        <f t="shared" si="106"/>
        <v/>
      </c>
      <c r="AK48" s="578" t="str">
        <f t="shared" si="247"/>
        <v/>
      </c>
      <c r="AL48" s="572" t="str">
        <f t="shared" si="107"/>
        <v/>
      </c>
      <c r="AM48" s="577" t="str">
        <f t="shared" si="108"/>
        <v/>
      </c>
      <c r="AN48" s="524" t="str">
        <f t="shared" si="109"/>
        <v/>
      </c>
      <c r="AO48" s="525" t="str">
        <f t="shared" si="110"/>
        <v/>
      </c>
      <c r="AP48" s="528" t="str">
        <f t="shared" si="111"/>
        <v/>
      </c>
      <c r="AQ48" s="529" t="str">
        <f t="shared" si="332"/>
        <v/>
      </c>
      <c r="AR48" s="979"/>
      <c r="AS48" s="954" t="str">
        <f t="shared" si="524"/>
        <v/>
      </c>
      <c r="AT48" s="950" t="str">
        <f t="shared" si="333"/>
        <v/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 t="str">
        <f t="shared" si="241"/>
        <v/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 t="str">
        <f t="shared" si="485"/>
        <v/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 t="e">
        <f t="shared" si="133"/>
        <v>#VALUE!</v>
      </c>
      <c r="JN48" s="960" t="e">
        <f>($JO48-SMALL($JO$9:$JO$88,1))/((Settings!$C$19/2)-((Settings!$C$19/2)-LARGE($JO$9:$JO$88,1))-SMALL($JO$9:$JO$88,1))</f>
        <v>#VALUE!</v>
      </c>
      <c r="JO48" s="162" t="str">
        <f t="shared" si="134"/>
        <v/>
      </c>
      <c r="JP48" s="961" t="str">
        <f t="shared" si="135"/>
        <v/>
      </c>
      <c r="JQ48" s="961" t="str">
        <f t="shared" si="136"/>
        <v/>
      </c>
      <c r="JS48" s="82"/>
      <c r="JT48" s="322" t="e">
        <f t="shared" si="137"/>
        <v>#N/A</v>
      </c>
      <c r="JU48" s="963" t="e">
        <f t="shared" si="138"/>
        <v>#N/A</v>
      </c>
      <c r="JV48" s="961" t="e">
        <f t="shared" si="287"/>
        <v>#N/A</v>
      </c>
      <c r="JW48" s="961" t="e">
        <f t="shared" si="92"/>
        <v>#N/A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 t="str">
        <f t="shared" si="322"/>
        <v/>
      </c>
      <c r="B49" s="578" t="str">
        <f t="shared" ref="B49:D49" si="537">IFERROR(O204+($A49*-E49),"")</f>
        <v/>
      </c>
      <c r="C49" s="572" t="str">
        <f t="shared" si="537"/>
        <v/>
      </c>
      <c r="D49" s="576" t="str">
        <f t="shared" si="537"/>
        <v/>
      </c>
      <c r="E49" s="580" t="str">
        <f t="shared" ref="E49:K49" si="538">R204</f>
        <v/>
      </c>
      <c r="F49" s="572" t="str">
        <f t="shared" si="538"/>
        <v/>
      </c>
      <c r="G49" s="579" t="str">
        <f t="shared" si="538"/>
        <v/>
      </c>
      <c r="H49" s="580" t="str">
        <f t="shared" si="538"/>
        <v/>
      </c>
      <c r="I49" s="572" t="str">
        <f t="shared" si="538"/>
        <v/>
      </c>
      <c r="J49" s="483" t="str">
        <f t="shared" si="94"/>
        <v/>
      </c>
      <c r="K49" s="806" t="str">
        <f t="shared" si="538"/>
        <v/>
      </c>
      <c r="L49" s="309"/>
      <c r="M49" s="164" t="str">
        <f t="shared" si="325"/>
        <v/>
      </c>
      <c r="N49" s="575" t="str">
        <f t="shared" si="326"/>
        <v/>
      </c>
      <c r="O49" s="572" t="str">
        <f t="shared" si="327"/>
        <v/>
      </c>
      <c r="P49" s="576" t="str">
        <f t="shared" si="328"/>
        <v/>
      </c>
      <c r="Q49" s="528" t="str">
        <f t="shared" si="144"/>
        <v/>
      </c>
      <c r="R49" s="572" t="str">
        <f t="shared" si="95"/>
        <v/>
      </c>
      <c r="S49" s="577" t="str">
        <f t="shared" si="96"/>
        <v/>
      </c>
      <c r="T49" s="578" t="str">
        <f t="shared" si="97"/>
        <v/>
      </c>
      <c r="U49" s="572" t="str">
        <f t="shared" si="98"/>
        <v/>
      </c>
      <c r="V49" s="579" t="str">
        <f t="shared" si="145"/>
        <v/>
      </c>
      <c r="W49" s="528" t="str">
        <f t="shared" si="268"/>
        <v/>
      </c>
      <c r="X49" s="572" t="str">
        <f t="shared" si="99"/>
        <v/>
      </c>
      <c r="Y49" s="573" t="str">
        <f t="shared" si="271"/>
        <v/>
      </c>
      <c r="Z49" s="575" t="str">
        <f t="shared" si="329"/>
        <v/>
      </c>
      <c r="AA49" s="572" t="str">
        <f t="shared" si="330"/>
        <v/>
      </c>
      <c r="AB49" s="572" t="str">
        <f t="shared" si="331"/>
        <v/>
      </c>
      <c r="AC49" s="579" t="str">
        <f t="shared" si="100"/>
        <v/>
      </c>
      <c r="AD49" s="580" t="str">
        <f t="shared" si="146"/>
        <v/>
      </c>
      <c r="AE49" s="572" t="str">
        <f t="shared" si="101"/>
        <v/>
      </c>
      <c r="AF49" s="576" t="str">
        <f t="shared" si="102"/>
        <v/>
      </c>
      <c r="AG49" s="545" t="str">
        <f t="shared" si="103"/>
        <v/>
      </c>
      <c r="AH49" s="546" t="str">
        <f t="shared" si="104"/>
        <v/>
      </c>
      <c r="AI49" s="528" t="str">
        <f t="shared" si="105"/>
        <v/>
      </c>
      <c r="AJ49" s="529" t="str">
        <f t="shared" si="106"/>
        <v/>
      </c>
      <c r="AK49" s="578" t="str">
        <f t="shared" si="247"/>
        <v/>
      </c>
      <c r="AL49" s="572" t="str">
        <f t="shared" si="107"/>
        <v/>
      </c>
      <c r="AM49" s="577" t="str">
        <f t="shared" si="108"/>
        <v/>
      </c>
      <c r="AN49" s="524" t="str">
        <f t="shared" si="109"/>
        <v/>
      </c>
      <c r="AO49" s="525" t="str">
        <f t="shared" si="110"/>
        <v/>
      </c>
      <c r="AP49" s="528" t="str">
        <f t="shared" si="111"/>
        <v/>
      </c>
      <c r="AQ49" s="529" t="str">
        <f t="shared" si="332"/>
        <v/>
      </c>
      <c r="AR49" s="979"/>
      <c r="AS49" s="954" t="str">
        <f t="shared" si="524"/>
        <v/>
      </c>
      <c r="AT49" s="950" t="str">
        <f t="shared" si="333"/>
        <v/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41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85"/>
        <v/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 t="e">
        <f t="shared" si="133"/>
        <v>#VALUE!</v>
      </c>
      <c r="JN49" s="960" t="e">
        <f>($JO49-SMALL($JO$9:$JO$88,1))/((Settings!$C$19/2)-((Settings!$C$19/2)-LARGE($JO$9:$JO$88,1))-SMALL($JO$9:$JO$88,1))</f>
        <v>#VALUE!</v>
      </c>
      <c r="JO49" s="162" t="str">
        <f t="shared" si="134"/>
        <v/>
      </c>
      <c r="JP49" s="961" t="str">
        <f t="shared" si="135"/>
        <v/>
      </c>
      <c r="JQ49" s="961" t="str">
        <f t="shared" si="136"/>
        <v/>
      </c>
      <c r="JS49" s="82"/>
      <c r="JT49" s="322" t="e">
        <f t="shared" si="137"/>
        <v>#N/A</v>
      </c>
      <c r="JU49" s="963" t="e">
        <f t="shared" si="138"/>
        <v>#N/A</v>
      </c>
      <c r="JV49" s="961" t="e">
        <f t="shared" si="287"/>
        <v>#N/A</v>
      </c>
      <c r="JW49" s="961" t="e">
        <f t="shared" si="92"/>
        <v>#N/A</v>
      </c>
      <c r="JX49" s="1"/>
    </row>
    <row r="50" spans="1:284" ht="15" customHeight="1" x14ac:dyDescent="0.25">
      <c r="A50" s="75" t="str">
        <f t="shared" si="322"/>
        <v/>
      </c>
      <c r="B50" s="578" t="str">
        <f t="shared" ref="B50:D50" si="539">IFERROR(O205+($A50*-E50),"")</f>
        <v/>
      </c>
      <c r="C50" s="572" t="str">
        <f t="shared" si="539"/>
        <v/>
      </c>
      <c r="D50" s="576" t="str">
        <f t="shared" si="539"/>
        <v/>
      </c>
      <c r="E50" s="580" t="str">
        <f t="shared" ref="E50:K50" si="540">R205</f>
        <v/>
      </c>
      <c r="F50" s="572" t="str">
        <f t="shared" si="540"/>
        <v/>
      </c>
      <c r="G50" s="579" t="str">
        <f t="shared" si="540"/>
        <v/>
      </c>
      <c r="H50" s="580" t="str">
        <f t="shared" si="540"/>
        <v/>
      </c>
      <c r="I50" s="572" t="str">
        <f t="shared" si="540"/>
        <v/>
      </c>
      <c r="J50" s="483" t="str">
        <f t="shared" si="94"/>
        <v/>
      </c>
      <c r="K50" s="806" t="str">
        <f t="shared" si="540"/>
        <v/>
      </c>
      <c r="L50" s="309"/>
      <c r="M50" s="164" t="str">
        <f t="shared" si="325"/>
        <v/>
      </c>
      <c r="N50" s="575" t="str">
        <f t="shared" si="326"/>
        <v/>
      </c>
      <c r="O50" s="572" t="str">
        <f t="shared" si="327"/>
        <v/>
      </c>
      <c r="P50" s="576" t="str">
        <f t="shared" si="328"/>
        <v/>
      </c>
      <c r="Q50" s="528" t="str">
        <f t="shared" si="144"/>
        <v/>
      </c>
      <c r="R50" s="572" t="str">
        <f t="shared" si="95"/>
        <v/>
      </c>
      <c r="S50" s="577" t="str">
        <f t="shared" si="96"/>
        <v/>
      </c>
      <c r="T50" s="578" t="str">
        <f t="shared" si="97"/>
        <v/>
      </c>
      <c r="U50" s="572" t="str">
        <f t="shared" si="98"/>
        <v/>
      </c>
      <c r="V50" s="579" t="str">
        <f t="shared" si="145"/>
        <v/>
      </c>
      <c r="W50" s="528" t="str">
        <f t="shared" si="268"/>
        <v/>
      </c>
      <c r="X50" s="572" t="str">
        <f t="shared" si="99"/>
        <v/>
      </c>
      <c r="Y50" s="573" t="str">
        <f t="shared" si="271"/>
        <v/>
      </c>
      <c r="Z50" s="575" t="str">
        <f t="shared" si="329"/>
        <v/>
      </c>
      <c r="AA50" s="572" t="str">
        <f t="shared" si="330"/>
        <v/>
      </c>
      <c r="AB50" s="572" t="str">
        <f t="shared" si="331"/>
        <v/>
      </c>
      <c r="AC50" s="579" t="str">
        <f t="shared" si="100"/>
        <v/>
      </c>
      <c r="AD50" s="580" t="str">
        <f t="shared" si="146"/>
        <v/>
      </c>
      <c r="AE50" s="572" t="str">
        <f t="shared" si="101"/>
        <v/>
      </c>
      <c r="AF50" s="576" t="str">
        <f t="shared" si="102"/>
        <v/>
      </c>
      <c r="AG50" s="545" t="str">
        <f t="shared" si="103"/>
        <v/>
      </c>
      <c r="AH50" s="546" t="str">
        <f t="shared" si="104"/>
        <v/>
      </c>
      <c r="AI50" s="528" t="str">
        <f t="shared" si="105"/>
        <v/>
      </c>
      <c r="AJ50" s="529" t="str">
        <f t="shared" si="106"/>
        <v/>
      </c>
      <c r="AK50" s="578" t="str">
        <f t="shared" si="247"/>
        <v/>
      </c>
      <c r="AL50" s="572" t="str">
        <f t="shared" si="107"/>
        <v/>
      </c>
      <c r="AM50" s="577" t="str">
        <f t="shared" si="108"/>
        <v/>
      </c>
      <c r="AN50" s="524" t="str">
        <f t="shared" si="109"/>
        <v/>
      </c>
      <c r="AO50" s="525" t="str">
        <f t="shared" si="110"/>
        <v/>
      </c>
      <c r="AP50" s="528" t="str">
        <f t="shared" si="111"/>
        <v/>
      </c>
      <c r="AQ50" s="529" t="str">
        <f t="shared" si="332"/>
        <v/>
      </c>
      <c r="AR50" s="979"/>
      <c r="AS50" s="954" t="str">
        <f t="shared" si="524"/>
        <v/>
      </c>
      <c r="AT50" s="950" t="str">
        <f t="shared" si="333"/>
        <v/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41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85"/>
        <v/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 t="e">
        <f t="shared" si="133"/>
        <v>#VALUE!</v>
      </c>
      <c r="JN50" s="960" t="e">
        <f>($JO50-SMALL($JO$9:$JO$88,1))/((Settings!$C$19/2)-((Settings!$C$19/2)-LARGE($JO$9:$JO$88,1))-SMALL($JO$9:$JO$88,1))</f>
        <v>#VALUE!</v>
      </c>
      <c r="JO50" s="162" t="str">
        <f t="shared" si="134"/>
        <v/>
      </c>
      <c r="JP50" s="961" t="str">
        <f t="shared" si="135"/>
        <v/>
      </c>
      <c r="JQ50" s="961" t="str">
        <f t="shared" si="136"/>
        <v/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 t="str">
        <f t="shared" si="322"/>
        <v/>
      </c>
      <c r="B51" s="578" t="str">
        <f t="shared" ref="B51:D51" si="541">IFERROR(O206+($A51*-E51),"")</f>
        <v/>
      </c>
      <c r="C51" s="572" t="str">
        <f t="shared" si="541"/>
        <v/>
      </c>
      <c r="D51" s="576" t="str">
        <f t="shared" si="541"/>
        <v/>
      </c>
      <c r="E51" s="580" t="str">
        <f t="shared" ref="E51:K51" si="542">R206</f>
        <v/>
      </c>
      <c r="F51" s="572" t="str">
        <f t="shared" si="542"/>
        <v/>
      </c>
      <c r="G51" s="579" t="str">
        <f t="shared" si="542"/>
        <v/>
      </c>
      <c r="H51" s="580" t="str">
        <f t="shared" si="542"/>
        <v/>
      </c>
      <c r="I51" s="572" t="str">
        <f t="shared" si="542"/>
        <v/>
      </c>
      <c r="J51" s="483" t="str">
        <f t="shared" si="94"/>
        <v/>
      </c>
      <c r="K51" s="806" t="str">
        <f t="shared" si="542"/>
        <v/>
      </c>
      <c r="L51" s="309"/>
      <c r="M51" s="164" t="str">
        <f t="shared" si="325"/>
        <v/>
      </c>
      <c r="N51" s="575" t="str">
        <f t="shared" si="326"/>
        <v/>
      </c>
      <c r="O51" s="572" t="str">
        <f t="shared" si="327"/>
        <v/>
      </c>
      <c r="P51" s="576" t="str">
        <f t="shared" si="328"/>
        <v/>
      </c>
      <c r="Q51" s="528" t="str">
        <f t="shared" si="144"/>
        <v/>
      </c>
      <c r="R51" s="572" t="str">
        <f t="shared" si="95"/>
        <v/>
      </c>
      <c r="S51" s="577" t="str">
        <f t="shared" si="96"/>
        <v/>
      </c>
      <c r="T51" s="578" t="str">
        <f t="shared" si="97"/>
        <v/>
      </c>
      <c r="U51" s="572" t="str">
        <f t="shared" si="98"/>
        <v/>
      </c>
      <c r="V51" s="579" t="str">
        <f t="shared" si="145"/>
        <v/>
      </c>
      <c r="W51" s="528" t="str">
        <f t="shared" si="268"/>
        <v/>
      </c>
      <c r="X51" s="572" t="str">
        <f t="shared" si="99"/>
        <v/>
      </c>
      <c r="Y51" s="573" t="str">
        <f t="shared" si="271"/>
        <v/>
      </c>
      <c r="Z51" s="575" t="str">
        <f t="shared" si="329"/>
        <v/>
      </c>
      <c r="AA51" s="572" t="str">
        <f t="shared" si="330"/>
        <v/>
      </c>
      <c r="AB51" s="572" t="str">
        <f t="shared" si="331"/>
        <v/>
      </c>
      <c r="AC51" s="579" t="str">
        <f t="shared" si="100"/>
        <v/>
      </c>
      <c r="AD51" s="580" t="str">
        <f t="shared" si="146"/>
        <v/>
      </c>
      <c r="AE51" s="572" t="str">
        <f t="shared" si="101"/>
        <v/>
      </c>
      <c r="AF51" s="576" t="str">
        <f t="shared" si="102"/>
        <v/>
      </c>
      <c r="AG51" s="545" t="str">
        <f t="shared" si="103"/>
        <v/>
      </c>
      <c r="AH51" s="546" t="str">
        <f t="shared" si="104"/>
        <v/>
      </c>
      <c r="AI51" s="528" t="str">
        <f t="shared" si="105"/>
        <v/>
      </c>
      <c r="AJ51" s="529" t="str">
        <f t="shared" si="106"/>
        <v/>
      </c>
      <c r="AK51" s="578" t="str">
        <f t="shared" si="247"/>
        <v/>
      </c>
      <c r="AL51" s="572" t="str">
        <f t="shared" si="107"/>
        <v/>
      </c>
      <c r="AM51" s="577" t="str">
        <f t="shared" si="108"/>
        <v/>
      </c>
      <c r="AN51" s="524" t="str">
        <f t="shared" si="109"/>
        <v/>
      </c>
      <c r="AO51" s="525" t="str">
        <f t="shared" si="110"/>
        <v/>
      </c>
      <c r="AP51" s="528" t="str">
        <f t="shared" si="111"/>
        <v/>
      </c>
      <c r="AQ51" s="529" t="str">
        <f t="shared" si="332"/>
        <v/>
      </c>
      <c r="AR51" s="979"/>
      <c r="AS51" s="954" t="str">
        <f t="shared" si="524"/>
        <v/>
      </c>
      <c r="AT51" s="950" t="str">
        <f t="shared" si="333"/>
        <v/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41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85"/>
        <v/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 t="e">
        <f t="shared" si="133"/>
        <v>#VALUE!</v>
      </c>
      <c r="JN51" s="960" t="e">
        <f>($JO51-SMALL($JO$9:$JO$88,1))/((Settings!$C$19/2)-((Settings!$C$19/2)-LARGE($JO$9:$JO$88,1))-SMALL($JO$9:$JO$88,1))</f>
        <v>#VALUE!</v>
      </c>
      <c r="JO51" s="162" t="str">
        <f t="shared" si="134"/>
        <v/>
      </c>
      <c r="JP51" s="961" t="str">
        <f t="shared" si="135"/>
        <v/>
      </c>
      <c r="JQ51" s="961" t="str">
        <f t="shared" si="136"/>
        <v/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 t="str">
        <f t="shared" si="322"/>
        <v/>
      </c>
      <c r="B52" s="578" t="str">
        <f t="shared" ref="B52:D52" si="543">IFERROR(O207+($A52*-E52),"")</f>
        <v/>
      </c>
      <c r="C52" s="572" t="str">
        <f t="shared" si="543"/>
        <v/>
      </c>
      <c r="D52" s="576" t="str">
        <f t="shared" si="543"/>
        <v/>
      </c>
      <c r="E52" s="580" t="str">
        <f t="shared" ref="E52:K52" si="544">R207</f>
        <v/>
      </c>
      <c r="F52" s="572" t="str">
        <f t="shared" si="544"/>
        <v/>
      </c>
      <c r="G52" s="579" t="str">
        <f t="shared" si="544"/>
        <v/>
      </c>
      <c r="H52" s="580" t="str">
        <f t="shared" si="544"/>
        <v/>
      </c>
      <c r="I52" s="572" t="str">
        <f t="shared" si="544"/>
        <v/>
      </c>
      <c r="J52" s="483" t="str">
        <f t="shared" si="94"/>
        <v/>
      </c>
      <c r="K52" s="806" t="str">
        <f t="shared" si="544"/>
        <v/>
      </c>
      <c r="L52" s="309"/>
      <c r="M52" s="164" t="str">
        <f t="shared" si="325"/>
        <v/>
      </c>
      <c r="N52" s="575" t="str">
        <f t="shared" si="326"/>
        <v/>
      </c>
      <c r="O52" s="572" t="str">
        <f t="shared" si="327"/>
        <v/>
      </c>
      <c r="P52" s="576" t="str">
        <f t="shared" si="328"/>
        <v/>
      </c>
      <c r="Q52" s="528" t="str">
        <f t="shared" si="144"/>
        <v/>
      </c>
      <c r="R52" s="572" t="str">
        <f t="shared" si="95"/>
        <v/>
      </c>
      <c r="S52" s="577" t="str">
        <f t="shared" si="96"/>
        <v/>
      </c>
      <c r="T52" s="578" t="str">
        <f t="shared" si="97"/>
        <v/>
      </c>
      <c r="U52" s="572" t="str">
        <f t="shared" si="98"/>
        <v/>
      </c>
      <c r="V52" s="579" t="str">
        <f t="shared" si="145"/>
        <v/>
      </c>
      <c r="W52" s="528" t="str">
        <f t="shared" si="268"/>
        <v/>
      </c>
      <c r="X52" s="572" t="str">
        <f t="shared" si="99"/>
        <v/>
      </c>
      <c r="Y52" s="573" t="str">
        <f t="shared" si="271"/>
        <v/>
      </c>
      <c r="Z52" s="575" t="str">
        <f t="shared" si="329"/>
        <v/>
      </c>
      <c r="AA52" s="572" t="str">
        <f t="shared" si="330"/>
        <v/>
      </c>
      <c r="AB52" s="572" t="str">
        <f t="shared" si="331"/>
        <v/>
      </c>
      <c r="AC52" s="579" t="str">
        <f t="shared" si="100"/>
        <v/>
      </c>
      <c r="AD52" s="580" t="str">
        <f t="shared" si="146"/>
        <v/>
      </c>
      <c r="AE52" s="572" t="str">
        <f t="shared" si="101"/>
        <v/>
      </c>
      <c r="AF52" s="576" t="str">
        <f t="shared" si="102"/>
        <v/>
      </c>
      <c r="AG52" s="545" t="str">
        <f t="shared" si="103"/>
        <v/>
      </c>
      <c r="AH52" s="546" t="str">
        <f t="shared" si="104"/>
        <v/>
      </c>
      <c r="AI52" s="528" t="str">
        <f t="shared" si="105"/>
        <v/>
      </c>
      <c r="AJ52" s="529" t="str">
        <f t="shared" si="106"/>
        <v/>
      </c>
      <c r="AK52" s="578" t="str">
        <f t="shared" si="247"/>
        <v/>
      </c>
      <c r="AL52" s="572" t="str">
        <f t="shared" si="107"/>
        <v/>
      </c>
      <c r="AM52" s="577" t="str">
        <f t="shared" si="108"/>
        <v/>
      </c>
      <c r="AN52" s="524" t="str">
        <f t="shared" si="109"/>
        <v/>
      </c>
      <c r="AO52" s="525" t="str">
        <f t="shared" si="110"/>
        <v/>
      </c>
      <c r="AP52" s="528" t="str">
        <f t="shared" si="111"/>
        <v/>
      </c>
      <c r="AQ52" s="529" t="str">
        <f t="shared" si="332"/>
        <v/>
      </c>
      <c r="AR52" s="979"/>
      <c r="AS52" s="954" t="str">
        <f t="shared" si="524"/>
        <v/>
      </c>
      <c r="AT52" s="950" t="str">
        <f t="shared" si="333"/>
        <v/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41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85"/>
        <v/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 t="e">
        <f t="shared" si="133"/>
        <v>#VALUE!</v>
      </c>
      <c r="JN52" s="960" t="e">
        <f>($JO52-SMALL($JO$9:$JO$88,1))/((Settings!$C$19/2)-((Settings!$C$19/2)-LARGE($JO$9:$JO$88,1))-SMALL($JO$9:$JO$88,1))</f>
        <v>#VALUE!</v>
      </c>
      <c r="JO52" s="162" t="str">
        <f t="shared" si="134"/>
        <v/>
      </c>
      <c r="JP52" s="961" t="str">
        <f t="shared" si="135"/>
        <v/>
      </c>
      <c r="JQ52" s="961" t="str">
        <f t="shared" si="136"/>
        <v/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 t="str">
        <f t="shared" si="322"/>
        <v/>
      </c>
      <c r="B53" s="578" t="str">
        <f t="shared" ref="B53:D53" si="545">IFERROR(O208+($A53*-E53),"")</f>
        <v/>
      </c>
      <c r="C53" s="572" t="str">
        <f t="shared" si="545"/>
        <v/>
      </c>
      <c r="D53" s="576" t="str">
        <f t="shared" si="545"/>
        <v/>
      </c>
      <c r="E53" s="580" t="str">
        <f t="shared" ref="E53:K53" si="546">R208</f>
        <v/>
      </c>
      <c r="F53" s="572" t="str">
        <f t="shared" si="546"/>
        <v/>
      </c>
      <c r="G53" s="579" t="str">
        <f t="shared" si="546"/>
        <v/>
      </c>
      <c r="H53" s="580" t="str">
        <f t="shared" si="546"/>
        <v/>
      </c>
      <c r="I53" s="572" t="str">
        <f t="shared" si="546"/>
        <v/>
      </c>
      <c r="J53" s="483" t="str">
        <f t="shared" si="94"/>
        <v/>
      </c>
      <c r="K53" s="806" t="str">
        <f t="shared" si="546"/>
        <v/>
      </c>
      <c r="L53" s="309"/>
      <c r="M53" s="164" t="str">
        <f t="shared" si="325"/>
        <v/>
      </c>
      <c r="N53" s="575" t="str">
        <f t="shared" si="326"/>
        <v/>
      </c>
      <c r="O53" s="572" t="str">
        <f t="shared" si="327"/>
        <v/>
      </c>
      <c r="P53" s="576" t="str">
        <f t="shared" si="328"/>
        <v/>
      </c>
      <c r="Q53" s="528" t="str">
        <f t="shared" si="144"/>
        <v/>
      </c>
      <c r="R53" s="572" t="str">
        <f t="shared" ref="R53:R58" si="547">IF(M53="","",SQRT(N53^2+O53^2))</f>
        <v/>
      </c>
      <c r="S53" s="577" t="str">
        <f t="shared" ref="S53:S58" si="548">IF(M53="","",P53)</f>
        <v/>
      </c>
      <c r="T53" s="578" t="str">
        <f t="shared" ref="T53:T58" si="549">IF(M53="","",X53*COS(RADIANS(W53)))</f>
        <v/>
      </c>
      <c r="U53" s="572" t="str">
        <f t="shared" ref="U53:U58" si="550">IF(M53="","",X53*SIN(RADIANS(W53)))</f>
        <v/>
      </c>
      <c r="V53" s="579" t="str">
        <f t="shared" ref="V53:V58" si="551">IF(M53="","",Y53)</f>
        <v/>
      </c>
      <c r="W53" s="528" t="str">
        <f t="shared" si="268"/>
        <v/>
      </c>
      <c r="X53" s="572" t="str">
        <f t="shared" ref="X53:X58" si="552">IF(M53="","",R53)</f>
        <v/>
      </c>
      <c r="Y53" s="573" t="str">
        <f t="shared" si="271"/>
        <v/>
      </c>
      <c r="Z53" s="575" t="str">
        <f t="shared" si="329"/>
        <v/>
      </c>
      <c r="AA53" s="572" t="str">
        <f t="shared" si="330"/>
        <v/>
      </c>
      <c r="AB53" s="572" t="str">
        <f t="shared" si="331"/>
        <v/>
      </c>
      <c r="AC53" s="579" t="str">
        <f t="shared" ref="AC53:AC58" si="553">IF(M53="","",SQRT(Z53^2+AA53^2+AB53^2))</f>
        <v/>
      </c>
      <c r="AD53" s="580" t="str">
        <f t="shared" ref="AD53:AD58" si="554">IF(M53="","",Z53*(1/SQRT(Z53^2+AA53^2+AB53^2)))</f>
        <v/>
      </c>
      <c r="AE53" s="572" t="str">
        <f t="shared" ref="AE53:AE58" si="555">IF(M53="","",AA53*(1/SQRT(Z53^2+AA53^2+AB53^2)))</f>
        <v/>
      </c>
      <c r="AF53" s="576" t="str">
        <f t="shared" ref="AF53:AF58" si="556">IF(M53="","",AB53*(1/SQRT(Z53^2+AA53^2+AB53^2)))</f>
        <v/>
      </c>
      <c r="AG53" s="545" t="str">
        <f t="shared" ref="AG53:AG58" si="557">IF(M53="","",DEGREES(ATAN2(-AF53,AE53)))</f>
        <v/>
      </c>
      <c r="AH53" s="546" t="str">
        <f t="shared" ref="AH53:AH58" si="558">IF(M53="","",DEGREES(ACOS(AD53)))</f>
        <v/>
      </c>
      <c r="AI53" s="528" t="str">
        <f t="shared" ref="AI53:AI58" si="559">IF(M53="","",DEGREES(-ACOS(-AF53)))</f>
        <v/>
      </c>
      <c r="AJ53" s="529" t="str">
        <f t="shared" ref="AJ53:AJ58" si="560">IF(M53="","",DEGREES(ATAN2(-AE53,AD53)))</f>
        <v/>
      </c>
      <c r="AK53" s="578" t="str">
        <f t="shared" ref="AK53:AK58" si="561">IF(M53="","",(COS(RADIANS((90-$Q$8)-W53))*AD53)+(-SIN(RADIANS((90-$Q$8)-W53))*AE53))</f>
        <v/>
      </c>
      <c r="AL53" s="572" t="str">
        <f t="shared" ref="AL53:AL58" si="562">IF(M53="","",(SIN(RADIANS((90-$Q$8)-W53))*AD53)+(COS(RADIANS((90-$Q$8)-W53))*AE53))</f>
        <v/>
      </c>
      <c r="AM53" s="577" t="str">
        <f t="shared" ref="AM53:AM58" si="563">IF(M53="","",AF53)</f>
        <v/>
      </c>
      <c r="AN53" s="524" t="str">
        <f t="shared" ref="AN53:AN58" si="564">IF(M53="","",DEGREES(ATAN2(-AM53,AL53)))</f>
        <v/>
      </c>
      <c r="AO53" s="525" t="str">
        <f t="shared" si="110"/>
        <v/>
      </c>
      <c r="AP53" s="528" t="str">
        <f t="shared" ref="AP53:AP58" si="565">IF(M53="","",DEGREES(ATAN2(AK53,AL53)))</f>
        <v/>
      </c>
      <c r="AQ53" s="529" t="str">
        <f t="shared" si="332"/>
        <v/>
      </c>
      <c r="AR53" s="979"/>
      <c r="AS53" s="954" t="str">
        <f t="shared" si="524"/>
        <v/>
      </c>
      <c r="AT53" s="950" t="str">
        <f t="shared" si="333"/>
        <v/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41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85"/>
        <v/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 t="e">
        <f t="shared" si="133"/>
        <v>#VALUE!</v>
      </c>
      <c r="JN53" s="960" t="e">
        <f>($JO53-SMALL($JO$9:$JO$88,1))/((Settings!$C$19/2)-((Settings!$C$19/2)-LARGE($JO$9:$JO$88,1))-SMALL($JO$9:$JO$88,1))</f>
        <v>#VALUE!</v>
      </c>
      <c r="JO53" s="162" t="str">
        <f t="shared" si="134"/>
        <v/>
      </c>
      <c r="JP53" s="961" t="str">
        <f t="shared" si="135"/>
        <v/>
      </c>
      <c r="JQ53" s="961" t="str">
        <f t="shared" si="136"/>
        <v/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 t="str">
        <f t="shared" si="322"/>
        <v/>
      </c>
      <c r="B54" s="578" t="str">
        <f t="shared" ref="B54:D54" si="566">IFERROR(O209+($A54*-E54),"")</f>
        <v/>
      </c>
      <c r="C54" s="572" t="str">
        <f t="shared" si="566"/>
        <v/>
      </c>
      <c r="D54" s="576" t="str">
        <f t="shared" si="566"/>
        <v/>
      </c>
      <c r="E54" s="580" t="str">
        <f t="shared" ref="E54:K54" si="567">R209</f>
        <v/>
      </c>
      <c r="F54" s="572" t="str">
        <f t="shared" si="567"/>
        <v/>
      </c>
      <c r="G54" s="579" t="str">
        <f t="shared" si="567"/>
        <v/>
      </c>
      <c r="H54" s="580" t="str">
        <f t="shared" si="567"/>
        <v/>
      </c>
      <c r="I54" s="572" t="str">
        <f t="shared" si="567"/>
        <v/>
      </c>
      <c r="J54" s="483" t="str">
        <f t="shared" si="94"/>
        <v/>
      </c>
      <c r="K54" s="806" t="str">
        <f t="shared" si="567"/>
        <v/>
      </c>
      <c r="L54" s="309"/>
      <c r="M54" s="164" t="str">
        <f t="shared" si="325"/>
        <v/>
      </c>
      <c r="N54" s="575" t="str">
        <f t="shared" si="326"/>
        <v/>
      </c>
      <c r="O54" s="572" t="str">
        <f t="shared" si="327"/>
        <v/>
      </c>
      <c r="P54" s="576" t="str">
        <f t="shared" si="328"/>
        <v/>
      </c>
      <c r="Q54" s="528" t="str">
        <f t="shared" si="144"/>
        <v/>
      </c>
      <c r="R54" s="572" t="str">
        <f t="shared" si="547"/>
        <v/>
      </c>
      <c r="S54" s="577" t="str">
        <f t="shared" si="548"/>
        <v/>
      </c>
      <c r="T54" s="578" t="str">
        <f t="shared" si="549"/>
        <v/>
      </c>
      <c r="U54" s="572" t="str">
        <f t="shared" si="550"/>
        <v/>
      </c>
      <c r="V54" s="579" t="str">
        <f t="shared" si="551"/>
        <v/>
      </c>
      <c r="W54" s="528" t="str">
        <f t="shared" si="268"/>
        <v/>
      </c>
      <c r="X54" s="572" t="str">
        <f t="shared" si="552"/>
        <v/>
      </c>
      <c r="Y54" s="573" t="str">
        <f t="shared" si="271"/>
        <v/>
      </c>
      <c r="Z54" s="575" t="str">
        <f t="shared" si="329"/>
        <v/>
      </c>
      <c r="AA54" s="572" t="str">
        <f t="shared" si="330"/>
        <v/>
      </c>
      <c r="AB54" s="572" t="str">
        <f t="shared" si="331"/>
        <v/>
      </c>
      <c r="AC54" s="579" t="str">
        <f t="shared" si="553"/>
        <v/>
      </c>
      <c r="AD54" s="580" t="str">
        <f t="shared" si="554"/>
        <v/>
      </c>
      <c r="AE54" s="572" t="str">
        <f t="shared" si="555"/>
        <v/>
      </c>
      <c r="AF54" s="576" t="str">
        <f t="shared" si="556"/>
        <v/>
      </c>
      <c r="AG54" s="545" t="str">
        <f t="shared" si="557"/>
        <v/>
      </c>
      <c r="AH54" s="546" t="str">
        <f t="shared" si="558"/>
        <v/>
      </c>
      <c r="AI54" s="528" t="str">
        <f t="shared" si="559"/>
        <v/>
      </c>
      <c r="AJ54" s="529" t="str">
        <f t="shared" si="560"/>
        <v/>
      </c>
      <c r="AK54" s="578" t="str">
        <f t="shared" si="561"/>
        <v/>
      </c>
      <c r="AL54" s="572" t="str">
        <f t="shared" si="562"/>
        <v/>
      </c>
      <c r="AM54" s="577" t="str">
        <f t="shared" si="563"/>
        <v/>
      </c>
      <c r="AN54" s="524" t="str">
        <f t="shared" si="564"/>
        <v/>
      </c>
      <c r="AO54" s="525" t="str">
        <f t="shared" si="110"/>
        <v/>
      </c>
      <c r="AP54" s="528" t="str">
        <f t="shared" si="565"/>
        <v/>
      </c>
      <c r="AQ54" s="529" t="str">
        <f t="shared" si="332"/>
        <v/>
      </c>
      <c r="AR54" s="979"/>
      <c r="AS54" s="954" t="str">
        <f t="shared" si="524"/>
        <v/>
      </c>
      <c r="AT54" s="950" t="str">
        <f t="shared" si="333"/>
        <v/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41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85"/>
        <v/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 t="e">
        <f t="shared" si="133"/>
        <v>#VALUE!</v>
      </c>
      <c r="JN54" s="960" t="e">
        <f>($JO54-SMALL($JO$9:$JO$88,1))/((Settings!$C$19/2)-((Settings!$C$19/2)-LARGE($JO$9:$JO$88,1))-SMALL($JO$9:$JO$88,1))</f>
        <v>#VALUE!</v>
      </c>
      <c r="JO54" s="162" t="str">
        <f t="shared" si="134"/>
        <v/>
      </c>
      <c r="JP54" s="961" t="str">
        <f t="shared" si="135"/>
        <v/>
      </c>
      <c r="JQ54" s="961" t="str">
        <f t="shared" si="136"/>
        <v/>
      </c>
      <c r="JU54" s="962"/>
      <c r="JV54" s="959"/>
      <c r="JW54" s="959"/>
    </row>
    <row r="55" spans="1:284" ht="15" customHeight="1" x14ac:dyDescent="0.25">
      <c r="A55" s="75" t="str">
        <f t="shared" si="322"/>
        <v/>
      </c>
      <c r="B55" s="578" t="str">
        <f t="shared" ref="B55:D55" si="600">IFERROR(O210+($A55*-E55),"")</f>
        <v/>
      </c>
      <c r="C55" s="572" t="str">
        <f t="shared" si="600"/>
        <v/>
      </c>
      <c r="D55" s="576" t="str">
        <f t="shared" si="600"/>
        <v/>
      </c>
      <c r="E55" s="580" t="str">
        <f t="shared" ref="E55:K55" si="601">R210</f>
        <v/>
      </c>
      <c r="F55" s="572" t="str">
        <f t="shared" si="601"/>
        <v/>
      </c>
      <c r="G55" s="579" t="str">
        <f t="shared" si="601"/>
        <v/>
      </c>
      <c r="H55" s="580" t="str">
        <f t="shared" si="601"/>
        <v/>
      </c>
      <c r="I55" s="572" t="str">
        <f t="shared" si="601"/>
        <v/>
      </c>
      <c r="J55" s="483" t="str">
        <f t="shared" si="94"/>
        <v/>
      </c>
      <c r="K55" s="806" t="str">
        <f t="shared" si="601"/>
        <v/>
      </c>
      <c r="L55" s="309"/>
      <c r="M55" s="164" t="str">
        <f t="shared" si="325"/>
        <v/>
      </c>
      <c r="N55" s="575" t="str">
        <f t="shared" si="326"/>
        <v/>
      </c>
      <c r="O55" s="572" t="str">
        <f t="shared" si="327"/>
        <v/>
      </c>
      <c r="P55" s="576" t="str">
        <f t="shared" si="328"/>
        <v/>
      </c>
      <c r="Q55" s="528" t="str">
        <f t="shared" si="144"/>
        <v/>
      </c>
      <c r="R55" s="572" t="str">
        <f t="shared" si="547"/>
        <v/>
      </c>
      <c r="S55" s="577" t="str">
        <f t="shared" si="548"/>
        <v/>
      </c>
      <c r="T55" s="578" t="str">
        <f t="shared" si="549"/>
        <v/>
      </c>
      <c r="U55" s="572" t="str">
        <f t="shared" si="550"/>
        <v/>
      </c>
      <c r="V55" s="579" t="str">
        <f t="shared" si="551"/>
        <v/>
      </c>
      <c r="W55" s="528" t="str">
        <f t="shared" si="268"/>
        <v/>
      </c>
      <c r="X55" s="572" t="str">
        <f t="shared" si="552"/>
        <v/>
      </c>
      <c r="Y55" s="573" t="str">
        <f t="shared" si="271"/>
        <v/>
      </c>
      <c r="Z55" s="575" t="str">
        <f t="shared" si="329"/>
        <v/>
      </c>
      <c r="AA55" s="572" t="str">
        <f t="shared" si="330"/>
        <v/>
      </c>
      <c r="AB55" s="572" t="str">
        <f t="shared" si="331"/>
        <v/>
      </c>
      <c r="AC55" s="579" t="str">
        <f t="shared" si="553"/>
        <v/>
      </c>
      <c r="AD55" s="580" t="str">
        <f t="shared" si="554"/>
        <v/>
      </c>
      <c r="AE55" s="572" t="str">
        <f t="shared" si="555"/>
        <v/>
      </c>
      <c r="AF55" s="576" t="str">
        <f t="shared" si="556"/>
        <v/>
      </c>
      <c r="AG55" s="545" t="str">
        <f t="shared" si="557"/>
        <v/>
      </c>
      <c r="AH55" s="546" t="str">
        <f t="shared" si="558"/>
        <v/>
      </c>
      <c r="AI55" s="528" t="str">
        <f t="shared" si="559"/>
        <v/>
      </c>
      <c r="AJ55" s="529" t="str">
        <f t="shared" si="560"/>
        <v/>
      </c>
      <c r="AK55" s="578" t="str">
        <f t="shared" si="561"/>
        <v/>
      </c>
      <c r="AL55" s="572" t="str">
        <f t="shared" si="562"/>
        <v/>
      </c>
      <c r="AM55" s="577" t="str">
        <f t="shared" si="563"/>
        <v/>
      </c>
      <c r="AN55" s="524" t="str">
        <f t="shared" si="564"/>
        <v/>
      </c>
      <c r="AO55" s="525" t="str">
        <f>IF(ROUND(IF(M55="",0,DEGREES(ACOS(AK55))),4)=90,0,IF(M55="","",DEGREES(ACOS(AK55))))</f>
        <v/>
      </c>
      <c r="AP55" s="528" t="str">
        <f t="shared" si="565"/>
        <v/>
      </c>
      <c r="AQ55" s="529" t="str">
        <f t="shared" si="332"/>
        <v/>
      </c>
      <c r="AR55" s="979"/>
      <c r="AS55" s="954" t="str">
        <f t="shared" si="524"/>
        <v/>
      </c>
      <c r="AT55" s="950" t="str">
        <f t="shared" si="333"/>
        <v/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41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85"/>
        <v/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 t="e">
        <f t="shared" si="133"/>
        <v>#VALUE!</v>
      </c>
      <c r="JN55" s="960" t="e">
        <f>($JO55-SMALL($JO$9:$JO$88,1))/((Settings!$C$19/2)-((Settings!$C$19/2)-LARGE($JO$9:$JO$88,1))-SMALL($JO$9:$JO$88,1))</f>
        <v>#VALUE!</v>
      </c>
      <c r="JO55" s="162" t="str">
        <f t="shared" si="134"/>
        <v/>
      </c>
      <c r="JP55" s="961" t="str">
        <f t="shared" si="135"/>
        <v/>
      </c>
      <c r="JQ55" s="961" t="str">
        <f t="shared" si="136"/>
        <v/>
      </c>
      <c r="JU55" s="962"/>
      <c r="JV55" s="959"/>
      <c r="JW55" s="959"/>
    </row>
    <row r="56" spans="1:284" ht="15" customHeight="1" x14ac:dyDescent="0.25">
      <c r="A56" s="75" t="str">
        <f t="shared" si="322"/>
        <v/>
      </c>
      <c r="B56" s="578" t="str">
        <f t="shared" ref="B56:D56" si="602">IFERROR(O211+($A56*-E56),"")</f>
        <v/>
      </c>
      <c r="C56" s="572" t="str">
        <f t="shared" si="602"/>
        <v/>
      </c>
      <c r="D56" s="576" t="str">
        <f t="shared" si="602"/>
        <v/>
      </c>
      <c r="E56" s="580" t="str">
        <f t="shared" ref="E56:K56" si="603">R211</f>
        <v/>
      </c>
      <c r="F56" s="572" t="str">
        <f t="shared" si="603"/>
        <v/>
      </c>
      <c r="G56" s="579" t="str">
        <f t="shared" si="603"/>
        <v/>
      </c>
      <c r="H56" s="580" t="str">
        <f t="shared" si="603"/>
        <v/>
      </c>
      <c r="I56" s="572" t="str">
        <f t="shared" si="603"/>
        <v/>
      </c>
      <c r="J56" s="483" t="str">
        <f t="shared" si="94"/>
        <v/>
      </c>
      <c r="K56" s="806" t="str">
        <f t="shared" si="603"/>
        <v/>
      </c>
      <c r="L56" s="309"/>
      <c r="M56" s="164" t="str">
        <f t="shared" si="325"/>
        <v/>
      </c>
      <c r="N56" s="575" t="str">
        <f t="shared" si="326"/>
        <v/>
      </c>
      <c r="O56" s="572" t="str">
        <f t="shared" si="327"/>
        <v/>
      </c>
      <c r="P56" s="576" t="str">
        <f t="shared" si="328"/>
        <v/>
      </c>
      <c r="Q56" s="528" t="str">
        <f t="shared" si="144"/>
        <v/>
      </c>
      <c r="R56" s="572" t="str">
        <f t="shared" si="547"/>
        <v/>
      </c>
      <c r="S56" s="577" t="str">
        <f t="shared" si="548"/>
        <v/>
      </c>
      <c r="T56" s="578" t="str">
        <f t="shared" si="549"/>
        <v/>
      </c>
      <c r="U56" s="572" t="str">
        <f t="shared" si="550"/>
        <v/>
      </c>
      <c r="V56" s="579" t="str">
        <f t="shared" si="551"/>
        <v/>
      </c>
      <c r="W56" s="528" t="str">
        <f t="shared" si="268"/>
        <v/>
      </c>
      <c r="X56" s="572" t="str">
        <f t="shared" si="552"/>
        <v/>
      </c>
      <c r="Y56" s="573" t="str">
        <f t="shared" si="271"/>
        <v/>
      </c>
      <c r="Z56" s="575" t="str">
        <f t="shared" si="329"/>
        <v/>
      </c>
      <c r="AA56" s="572" t="str">
        <f t="shared" si="330"/>
        <v/>
      </c>
      <c r="AB56" s="572" t="str">
        <f t="shared" si="331"/>
        <v/>
      </c>
      <c r="AC56" s="579" t="str">
        <f t="shared" si="553"/>
        <v/>
      </c>
      <c r="AD56" s="580" t="str">
        <f t="shared" si="554"/>
        <v/>
      </c>
      <c r="AE56" s="572" t="str">
        <f t="shared" si="555"/>
        <v/>
      </c>
      <c r="AF56" s="576" t="str">
        <f t="shared" si="556"/>
        <v/>
      </c>
      <c r="AG56" s="545" t="str">
        <f t="shared" si="557"/>
        <v/>
      </c>
      <c r="AH56" s="546" t="str">
        <f t="shared" si="558"/>
        <v/>
      </c>
      <c r="AI56" s="528" t="str">
        <f t="shared" si="559"/>
        <v/>
      </c>
      <c r="AJ56" s="529" t="str">
        <f t="shared" si="560"/>
        <v/>
      </c>
      <c r="AK56" s="578" t="str">
        <f t="shared" si="561"/>
        <v/>
      </c>
      <c r="AL56" s="572" t="str">
        <f t="shared" si="562"/>
        <v/>
      </c>
      <c r="AM56" s="577" t="str">
        <f t="shared" si="563"/>
        <v/>
      </c>
      <c r="AN56" s="524" t="str">
        <f t="shared" si="564"/>
        <v/>
      </c>
      <c r="AO56" s="525" t="str">
        <f t="shared" ref="AO56:AO119" si="604">IF(ROUND(IF(M56="",0,DEGREES(ACOS(AK56))),4)=90,0,IF(M56="","",DEGREES(ACOS(AK56))))</f>
        <v/>
      </c>
      <c r="AP56" s="528" t="str">
        <f t="shared" si="565"/>
        <v/>
      </c>
      <c r="AQ56" s="529" t="str">
        <f t="shared" si="332"/>
        <v/>
      </c>
      <c r="AR56" s="979"/>
      <c r="AS56" s="954" t="str">
        <f t="shared" si="524"/>
        <v/>
      </c>
      <c r="AT56" s="950" t="str">
        <f t="shared" si="333"/>
        <v/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41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85"/>
        <v/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 t="e">
        <f t="shared" si="133"/>
        <v>#VALUE!</v>
      </c>
      <c r="JN56" s="960" t="e">
        <f>($JO56-SMALL($JO$9:$JO$88,1))/((Settings!$C$19/2)-((Settings!$C$19/2)-LARGE($JO$9:$JO$88,1))-SMALL($JO$9:$JO$88,1))</f>
        <v>#VALUE!</v>
      </c>
      <c r="JO56" s="162" t="str">
        <f t="shared" si="134"/>
        <v/>
      </c>
      <c r="JP56" s="961" t="str">
        <f t="shared" si="135"/>
        <v/>
      </c>
      <c r="JQ56" s="961" t="str">
        <f t="shared" si="136"/>
        <v/>
      </c>
      <c r="JU56" s="962"/>
      <c r="JV56" s="959"/>
      <c r="JW56" s="959"/>
    </row>
    <row r="57" spans="1:284" ht="15" customHeight="1" x14ac:dyDescent="0.25">
      <c r="A57" s="75" t="str">
        <f t="shared" si="322"/>
        <v/>
      </c>
      <c r="B57" s="578" t="str">
        <f t="shared" ref="B57:D57" si="605">IFERROR(O212+($A57*-E57),"")</f>
        <v/>
      </c>
      <c r="C57" s="572" t="str">
        <f t="shared" si="605"/>
        <v/>
      </c>
      <c r="D57" s="576" t="str">
        <f t="shared" si="605"/>
        <v/>
      </c>
      <c r="E57" s="580" t="str">
        <f t="shared" ref="E57:K57" si="606">R212</f>
        <v/>
      </c>
      <c r="F57" s="572" t="str">
        <f t="shared" si="606"/>
        <v/>
      </c>
      <c r="G57" s="579" t="str">
        <f t="shared" si="606"/>
        <v/>
      </c>
      <c r="H57" s="580" t="str">
        <f t="shared" si="606"/>
        <v/>
      </c>
      <c r="I57" s="572" t="str">
        <f t="shared" si="606"/>
        <v/>
      </c>
      <c r="J57" s="483" t="str">
        <f t="shared" si="94"/>
        <v/>
      </c>
      <c r="K57" s="806" t="str">
        <f t="shared" si="606"/>
        <v/>
      </c>
      <c r="L57" s="309"/>
      <c r="M57" s="164" t="str">
        <f t="shared" si="325"/>
        <v/>
      </c>
      <c r="N57" s="575" t="str">
        <f t="shared" si="326"/>
        <v/>
      </c>
      <c r="O57" s="572" t="str">
        <f t="shared" si="327"/>
        <v/>
      </c>
      <c r="P57" s="576" t="str">
        <f t="shared" si="328"/>
        <v/>
      </c>
      <c r="Q57" s="528" t="str">
        <f t="shared" si="144"/>
        <v/>
      </c>
      <c r="R57" s="572" t="str">
        <f t="shared" si="547"/>
        <v/>
      </c>
      <c r="S57" s="577" t="str">
        <f t="shared" si="548"/>
        <v/>
      </c>
      <c r="T57" s="578" t="str">
        <f t="shared" si="549"/>
        <v/>
      </c>
      <c r="U57" s="572" t="str">
        <f t="shared" si="550"/>
        <v/>
      </c>
      <c r="V57" s="579" t="str">
        <f t="shared" si="551"/>
        <v/>
      </c>
      <c r="W57" s="528" t="str">
        <f t="shared" si="268"/>
        <v/>
      </c>
      <c r="X57" s="572" t="str">
        <f t="shared" si="552"/>
        <v/>
      </c>
      <c r="Y57" s="573" t="str">
        <f t="shared" si="271"/>
        <v/>
      </c>
      <c r="Z57" s="575" t="str">
        <f t="shared" si="329"/>
        <v/>
      </c>
      <c r="AA57" s="572" t="str">
        <f t="shared" si="330"/>
        <v/>
      </c>
      <c r="AB57" s="572" t="str">
        <f t="shared" si="331"/>
        <v/>
      </c>
      <c r="AC57" s="579" t="str">
        <f t="shared" si="553"/>
        <v/>
      </c>
      <c r="AD57" s="580" t="str">
        <f t="shared" si="554"/>
        <v/>
      </c>
      <c r="AE57" s="572" t="str">
        <f t="shared" si="555"/>
        <v/>
      </c>
      <c r="AF57" s="576" t="str">
        <f t="shared" si="556"/>
        <v/>
      </c>
      <c r="AG57" s="545" t="str">
        <f t="shared" si="557"/>
        <v/>
      </c>
      <c r="AH57" s="546" t="str">
        <f t="shared" si="558"/>
        <v/>
      </c>
      <c r="AI57" s="528" t="str">
        <f t="shared" si="559"/>
        <v/>
      </c>
      <c r="AJ57" s="529" t="str">
        <f t="shared" si="560"/>
        <v/>
      </c>
      <c r="AK57" s="578" t="str">
        <f t="shared" si="561"/>
        <v/>
      </c>
      <c r="AL57" s="572" t="str">
        <f t="shared" si="562"/>
        <v/>
      </c>
      <c r="AM57" s="577" t="str">
        <f t="shared" si="563"/>
        <v/>
      </c>
      <c r="AN57" s="524" t="str">
        <f t="shared" si="564"/>
        <v/>
      </c>
      <c r="AO57" s="525" t="str">
        <f t="shared" si="604"/>
        <v/>
      </c>
      <c r="AP57" s="528" t="str">
        <f t="shared" si="565"/>
        <v/>
      </c>
      <c r="AQ57" s="529" t="str">
        <f t="shared" si="332"/>
        <v/>
      </c>
      <c r="AR57" s="979"/>
      <c r="AS57" s="954" t="str">
        <f t="shared" si="524"/>
        <v/>
      </c>
      <c r="AT57" s="950" t="str">
        <f t="shared" si="333"/>
        <v/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41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85"/>
        <v/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 t="e">
        <f t="shared" si="133"/>
        <v>#VALUE!</v>
      </c>
      <c r="JN57" s="960" t="e">
        <f>($JO57-SMALL($JO$9:$JO$88,1))/((Settings!$C$19/2)-((Settings!$C$19/2)-LARGE($JO$9:$JO$88,1))-SMALL($JO$9:$JO$88,1))</f>
        <v>#VALUE!</v>
      </c>
      <c r="JO57" s="162" t="str">
        <f t="shared" si="134"/>
        <v/>
      </c>
      <c r="JP57" s="961" t="str">
        <f t="shared" si="135"/>
        <v/>
      </c>
      <c r="JQ57" s="961" t="str">
        <f t="shared" si="136"/>
        <v/>
      </c>
      <c r="JU57" s="962"/>
      <c r="JV57" s="959"/>
      <c r="JW57" s="959"/>
    </row>
    <row r="58" spans="1:284" ht="15" customHeight="1" x14ac:dyDescent="0.25">
      <c r="A58" s="75" t="str">
        <f t="shared" si="322"/>
        <v/>
      </c>
      <c r="B58" s="578" t="str">
        <f t="shared" ref="B58:D58" si="607">IFERROR(O213+($A58*-E58),"")</f>
        <v/>
      </c>
      <c r="C58" s="572" t="str">
        <f t="shared" si="607"/>
        <v/>
      </c>
      <c r="D58" s="576" t="str">
        <f t="shared" si="607"/>
        <v/>
      </c>
      <c r="E58" s="580" t="str">
        <f t="shared" ref="E58:K58" si="608">R213</f>
        <v/>
      </c>
      <c r="F58" s="572" t="str">
        <f t="shared" si="608"/>
        <v/>
      </c>
      <c r="G58" s="579" t="str">
        <f t="shared" si="608"/>
        <v/>
      </c>
      <c r="H58" s="580" t="str">
        <f t="shared" si="608"/>
        <v/>
      </c>
      <c r="I58" s="572" t="str">
        <f t="shared" si="608"/>
        <v/>
      </c>
      <c r="J58" s="483" t="str">
        <f t="shared" si="94"/>
        <v/>
      </c>
      <c r="K58" s="806" t="str">
        <f t="shared" si="608"/>
        <v/>
      </c>
      <c r="L58" s="309"/>
      <c r="M58" s="164" t="str">
        <f t="shared" si="325"/>
        <v/>
      </c>
      <c r="N58" s="575" t="str">
        <f t="shared" si="326"/>
        <v/>
      </c>
      <c r="O58" s="572" t="str">
        <f t="shared" si="327"/>
        <v/>
      </c>
      <c r="P58" s="576" t="str">
        <f t="shared" si="328"/>
        <v/>
      </c>
      <c r="Q58" s="528" t="str">
        <f t="shared" si="144"/>
        <v/>
      </c>
      <c r="R58" s="572" t="str">
        <f t="shared" si="547"/>
        <v/>
      </c>
      <c r="S58" s="577" t="str">
        <f t="shared" si="548"/>
        <v/>
      </c>
      <c r="T58" s="578" t="str">
        <f t="shared" si="549"/>
        <v/>
      </c>
      <c r="U58" s="572" t="str">
        <f t="shared" si="550"/>
        <v/>
      </c>
      <c r="V58" s="579" t="str">
        <f t="shared" si="551"/>
        <v/>
      </c>
      <c r="W58" s="528" t="str">
        <f t="shared" si="268"/>
        <v/>
      </c>
      <c r="X58" s="572" t="str">
        <f t="shared" si="552"/>
        <v/>
      </c>
      <c r="Y58" s="573" t="str">
        <f t="shared" si="271"/>
        <v/>
      </c>
      <c r="Z58" s="575" t="str">
        <f t="shared" si="329"/>
        <v/>
      </c>
      <c r="AA58" s="572" t="str">
        <f t="shared" si="330"/>
        <v/>
      </c>
      <c r="AB58" s="572" t="str">
        <f t="shared" si="331"/>
        <v/>
      </c>
      <c r="AC58" s="579" t="str">
        <f t="shared" si="553"/>
        <v/>
      </c>
      <c r="AD58" s="580" t="str">
        <f t="shared" si="554"/>
        <v/>
      </c>
      <c r="AE58" s="572" t="str">
        <f t="shared" si="555"/>
        <v/>
      </c>
      <c r="AF58" s="576" t="str">
        <f t="shared" si="556"/>
        <v/>
      </c>
      <c r="AG58" s="545" t="str">
        <f t="shared" si="557"/>
        <v/>
      </c>
      <c r="AH58" s="546" t="str">
        <f t="shared" si="558"/>
        <v/>
      </c>
      <c r="AI58" s="528" t="str">
        <f t="shared" si="559"/>
        <v/>
      </c>
      <c r="AJ58" s="529" t="str">
        <f t="shared" si="560"/>
        <v/>
      </c>
      <c r="AK58" s="578" t="str">
        <f t="shared" si="561"/>
        <v/>
      </c>
      <c r="AL58" s="572" t="str">
        <f t="shared" si="562"/>
        <v/>
      </c>
      <c r="AM58" s="577" t="str">
        <f t="shared" si="563"/>
        <v/>
      </c>
      <c r="AN58" s="524" t="str">
        <f t="shared" si="564"/>
        <v/>
      </c>
      <c r="AO58" s="525" t="str">
        <f t="shared" si="604"/>
        <v/>
      </c>
      <c r="AP58" s="528" t="str">
        <f t="shared" si="565"/>
        <v/>
      </c>
      <c r="AQ58" s="529" t="str">
        <f t="shared" si="332"/>
        <v/>
      </c>
      <c r="AR58" s="979"/>
      <c r="AS58" s="954" t="str">
        <f t="shared" si="524"/>
        <v/>
      </c>
      <c r="AT58" s="950" t="str">
        <f t="shared" si="333"/>
        <v/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41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85"/>
        <v/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 t="e">
        <f t="shared" si="133"/>
        <v>#VALUE!</v>
      </c>
      <c r="JN58" s="960" t="e">
        <f>($JO58-SMALL($JO$9:$JO$88,1))/((Settings!$C$19/2)-((Settings!$C$19/2)-LARGE($JO$9:$JO$88,1))-SMALL($JO$9:$JO$88,1))</f>
        <v>#VALUE!</v>
      </c>
      <c r="JO58" s="162" t="str">
        <f t="shared" si="134"/>
        <v/>
      </c>
      <c r="JP58" s="961" t="str">
        <f t="shared" si="135"/>
        <v/>
      </c>
      <c r="JQ58" s="961" t="str">
        <f t="shared" si="136"/>
        <v/>
      </c>
      <c r="JU58" s="962"/>
      <c r="JV58" s="959"/>
      <c r="JW58" s="959"/>
    </row>
    <row r="59" spans="1:284" ht="15" customHeight="1" x14ac:dyDescent="0.25">
      <c r="A59" s="75" t="str">
        <f t="shared" si="322"/>
        <v/>
      </c>
      <c r="B59" s="578" t="str">
        <f t="shared" ref="B59:D59" si="609">IFERROR(O214+($A59*-E59),"")</f>
        <v/>
      </c>
      <c r="C59" s="572" t="str">
        <f t="shared" si="609"/>
        <v/>
      </c>
      <c r="D59" s="576" t="str">
        <f t="shared" si="609"/>
        <v/>
      </c>
      <c r="E59" s="580" t="str">
        <f t="shared" ref="E59:K59" si="610">R214</f>
        <v/>
      </c>
      <c r="F59" s="572" t="str">
        <f t="shared" si="610"/>
        <v/>
      </c>
      <c r="G59" s="579" t="str">
        <f t="shared" si="610"/>
        <v/>
      </c>
      <c r="H59" s="580" t="str">
        <f t="shared" si="610"/>
        <v/>
      </c>
      <c r="I59" s="572" t="str">
        <f t="shared" si="610"/>
        <v/>
      </c>
      <c r="J59" s="483" t="str">
        <f t="shared" si="94"/>
        <v/>
      </c>
      <c r="K59" s="806" t="str">
        <f t="shared" si="610"/>
        <v/>
      </c>
      <c r="L59" s="309"/>
      <c r="M59" s="164" t="str">
        <f t="shared" si="325"/>
        <v/>
      </c>
      <c r="N59" s="575" t="str">
        <f t="shared" si="326"/>
        <v/>
      </c>
      <c r="O59" s="572" t="str">
        <f t="shared" si="327"/>
        <v/>
      </c>
      <c r="P59" s="576" t="str">
        <f t="shared" si="328"/>
        <v/>
      </c>
      <c r="Q59" s="528" t="str">
        <f t="shared" si="144"/>
        <v/>
      </c>
      <c r="R59" s="572" t="str">
        <f t="shared" si="95"/>
        <v/>
      </c>
      <c r="S59" s="577" t="str">
        <f t="shared" si="96"/>
        <v/>
      </c>
      <c r="T59" s="578" t="str">
        <f t="shared" si="97"/>
        <v/>
      </c>
      <c r="U59" s="572" t="str">
        <f t="shared" si="98"/>
        <v/>
      </c>
      <c r="V59" s="579" t="str">
        <f t="shared" si="145"/>
        <v/>
      </c>
      <c r="W59" s="528" t="str">
        <f t="shared" si="268"/>
        <v/>
      </c>
      <c r="X59" s="572" t="str">
        <f t="shared" si="99"/>
        <v/>
      </c>
      <c r="Y59" s="573" t="str">
        <f t="shared" si="271"/>
        <v/>
      </c>
      <c r="Z59" s="575" t="str">
        <f t="shared" si="329"/>
        <v/>
      </c>
      <c r="AA59" s="572" t="str">
        <f t="shared" si="330"/>
        <v/>
      </c>
      <c r="AB59" s="572" t="str">
        <f t="shared" si="331"/>
        <v/>
      </c>
      <c r="AC59" s="579" t="str">
        <f t="shared" si="100"/>
        <v/>
      </c>
      <c r="AD59" s="580" t="str">
        <f t="shared" si="146"/>
        <v/>
      </c>
      <c r="AE59" s="572" t="str">
        <f t="shared" si="101"/>
        <v/>
      </c>
      <c r="AF59" s="576" t="str">
        <f t="shared" si="102"/>
        <v/>
      </c>
      <c r="AG59" s="545" t="str">
        <f t="shared" si="103"/>
        <v/>
      </c>
      <c r="AH59" s="546" t="str">
        <f t="shared" si="104"/>
        <v/>
      </c>
      <c r="AI59" s="528" t="str">
        <f t="shared" si="105"/>
        <v/>
      </c>
      <c r="AJ59" s="529" t="str">
        <f t="shared" si="106"/>
        <v/>
      </c>
      <c r="AK59" s="578" t="str">
        <f t="shared" si="247"/>
        <v/>
      </c>
      <c r="AL59" s="572" t="str">
        <f t="shared" si="107"/>
        <v/>
      </c>
      <c r="AM59" s="577" t="str">
        <f t="shared" si="108"/>
        <v/>
      </c>
      <c r="AN59" s="524" t="str">
        <f t="shared" si="109"/>
        <v/>
      </c>
      <c r="AO59" s="525" t="str">
        <f t="shared" si="604"/>
        <v/>
      </c>
      <c r="AP59" s="528" t="str">
        <f t="shared" si="111"/>
        <v/>
      </c>
      <c r="AQ59" s="529" t="str">
        <f t="shared" si="332"/>
        <v/>
      </c>
      <c r="AR59" s="979"/>
      <c r="AS59" s="954" t="str">
        <f t="shared" si="524"/>
        <v/>
      </c>
      <c r="AT59" s="950" t="str">
        <f t="shared" si="333"/>
        <v/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41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85"/>
        <v/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 t="e">
        <f t="shared" si="133"/>
        <v>#VALUE!</v>
      </c>
      <c r="JN59" s="960" t="e">
        <f>($JO59-SMALL($JO$9:$JO$88,1))/((Settings!$C$19/2)-((Settings!$C$19/2)-LARGE($JO$9:$JO$88,1))-SMALL($JO$9:$JO$88,1))</f>
        <v>#VALUE!</v>
      </c>
      <c r="JO59" s="162" t="str">
        <f t="shared" si="134"/>
        <v/>
      </c>
      <c r="JP59" s="961" t="str">
        <f t="shared" si="135"/>
        <v/>
      </c>
      <c r="JQ59" s="961" t="str">
        <f t="shared" si="136"/>
        <v/>
      </c>
      <c r="JU59" s="962"/>
      <c r="JV59" s="959"/>
      <c r="JW59" s="959"/>
    </row>
    <row r="60" spans="1:284" ht="15" customHeight="1" x14ac:dyDescent="0.25">
      <c r="A60" s="75" t="str">
        <f t="shared" si="322"/>
        <v/>
      </c>
      <c r="B60" s="578" t="str">
        <f t="shared" ref="B60:D60" si="611">IFERROR(O215+($A60*-E60),"")</f>
        <v/>
      </c>
      <c r="C60" s="572" t="str">
        <f t="shared" si="611"/>
        <v/>
      </c>
      <c r="D60" s="576" t="str">
        <f t="shared" si="611"/>
        <v/>
      </c>
      <c r="E60" s="580" t="str">
        <f t="shared" ref="E60:K60" si="612">R215</f>
        <v/>
      </c>
      <c r="F60" s="572" t="str">
        <f t="shared" si="612"/>
        <v/>
      </c>
      <c r="G60" s="579" t="str">
        <f t="shared" si="612"/>
        <v/>
      </c>
      <c r="H60" s="580" t="str">
        <f t="shared" si="612"/>
        <v/>
      </c>
      <c r="I60" s="572" t="str">
        <f t="shared" si="612"/>
        <v/>
      </c>
      <c r="J60" s="483" t="str">
        <f t="shared" si="94"/>
        <v/>
      </c>
      <c r="K60" s="806" t="str">
        <f t="shared" si="612"/>
        <v/>
      </c>
      <c r="L60" s="309"/>
      <c r="M60" s="164" t="str">
        <f t="shared" si="325"/>
        <v/>
      </c>
      <c r="N60" s="575" t="str">
        <f t="shared" si="326"/>
        <v/>
      </c>
      <c r="O60" s="572" t="str">
        <f t="shared" si="327"/>
        <v/>
      </c>
      <c r="P60" s="576" t="str">
        <f t="shared" si="328"/>
        <v/>
      </c>
      <c r="Q60" s="528" t="str">
        <f t="shared" si="144"/>
        <v/>
      </c>
      <c r="R60" s="572" t="str">
        <f t="shared" si="95"/>
        <v/>
      </c>
      <c r="S60" s="577" t="str">
        <f t="shared" si="96"/>
        <v/>
      </c>
      <c r="T60" s="578" t="str">
        <f t="shared" si="97"/>
        <v/>
      </c>
      <c r="U60" s="572" t="str">
        <f t="shared" si="98"/>
        <v/>
      </c>
      <c r="V60" s="579" t="str">
        <f t="shared" si="145"/>
        <v/>
      </c>
      <c r="W60" s="528" t="str">
        <f t="shared" si="268"/>
        <v/>
      </c>
      <c r="X60" s="572" t="str">
        <f t="shared" si="99"/>
        <v/>
      </c>
      <c r="Y60" s="573" t="str">
        <f t="shared" si="271"/>
        <v/>
      </c>
      <c r="Z60" s="575" t="str">
        <f t="shared" si="329"/>
        <v/>
      </c>
      <c r="AA60" s="572" t="str">
        <f t="shared" si="330"/>
        <v/>
      </c>
      <c r="AB60" s="572" t="str">
        <f t="shared" si="331"/>
        <v/>
      </c>
      <c r="AC60" s="579" t="str">
        <f t="shared" si="100"/>
        <v/>
      </c>
      <c r="AD60" s="580" t="str">
        <f t="shared" si="146"/>
        <v/>
      </c>
      <c r="AE60" s="572" t="str">
        <f t="shared" si="101"/>
        <v/>
      </c>
      <c r="AF60" s="576" t="str">
        <f t="shared" si="102"/>
        <v/>
      </c>
      <c r="AG60" s="545" t="str">
        <f t="shared" si="103"/>
        <v/>
      </c>
      <c r="AH60" s="546" t="str">
        <f t="shared" si="104"/>
        <v/>
      </c>
      <c r="AI60" s="528" t="str">
        <f t="shared" si="105"/>
        <v/>
      </c>
      <c r="AJ60" s="529" t="str">
        <f t="shared" si="106"/>
        <v/>
      </c>
      <c r="AK60" s="578" t="str">
        <f t="shared" si="247"/>
        <v/>
      </c>
      <c r="AL60" s="572" t="str">
        <f t="shared" si="107"/>
        <v/>
      </c>
      <c r="AM60" s="577" t="str">
        <f t="shared" si="108"/>
        <v/>
      </c>
      <c r="AN60" s="524" t="str">
        <f t="shared" si="109"/>
        <v/>
      </c>
      <c r="AO60" s="525" t="str">
        <f t="shared" si="604"/>
        <v/>
      </c>
      <c r="AP60" s="528" t="str">
        <f t="shared" si="111"/>
        <v/>
      </c>
      <c r="AQ60" s="529" t="str">
        <f t="shared" si="332"/>
        <v/>
      </c>
      <c r="AR60" s="979"/>
      <c r="AS60" s="954" t="str">
        <f t="shared" si="524"/>
        <v/>
      </c>
      <c r="AT60" s="950" t="str">
        <f t="shared" si="333"/>
        <v/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41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85"/>
        <v/>
      </c>
      <c r="IM60" s="482" t="str">
        <f t="shared" si="242"/>
        <v/>
      </c>
      <c r="IN60" s="670" t="str">
        <f t="shared" si="486"/>
        <v/>
      </c>
      <c r="IO60" s="702">
        <v>3.9384943410456001E-2</v>
      </c>
      <c r="IP60" s="5" t="str">
        <f t="shared" si="487"/>
        <v/>
      </c>
      <c r="IQ60" s="714">
        <v>400</v>
      </c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 t="e">
        <f t="shared" si="133"/>
        <v>#VALUE!</v>
      </c>
      <c r="JN60" s="960" t="e">
        <f>($JO60-SMALL($JO$9:$JO$88,1))/((Settings!$C$19/2)-((Settings!$C$19/2)-LARGE($JO$9:$JO$88,1))-SMALL($JO$9:$JO$88,1))</f>
        <v>#VALUE!</v>
      </c>
      <c r="JO60" s="162" t="str">
        <f t="shared" si="134"/>
        <v/>
      </c>
      <c r="JP60" s="961" t="str">
        <f t="shared" si="135"/>
        <v/>
      </c>
      <c r="JQ60" s="961" t="str">
        <f t="shared" si="136"/>
        <v/>
      </c>
      <c r="JU60" s="962"/>
      <c r="JV60" s="959"/>
      <c r="JW60" s="959"/>
    </row>
    <row r="61" spans="1:284" ht="15" customHeight="1" x14ac:dyDescent="0.25">
      <c r="A61" s="75" t="str">
        <f t="shared" si="322"/>
        <v/>
      </c>
      <c r="B61" s="578" t="str">
        <f t="shared" ref="B61:D61" si="613">IFERROR(O216+($A61*-E61),"")</f>
        <v/>
      </c>
      <c r="C61" s="572" t="str">
        <f t="shared" si="613"/>
        <v/>
      </c>
      <c r="D61" s="576" t="str">
        <f t="shared" si="613"/>
        <v/>
      </c>
      <c r="E61" s="580" t="str">
        <f t="shared" ref="E61:K61" si="614">R216</f>
        <v/>
      </c>
      <c r="F61" s="572" t="str">
        <f t="shared" si="614"/>
        <v/>
      </c>
      <c r="G61" s="579" t="str">
        <f t="shared" si="614"/>
        <v/>
      </c>
      <c r="H61" s="580" t="str">
        <f t="shared" si="614"/>
        <v/>
      </c>
      <c r="I61" s="572" t="str">
        <f t="shared" si="614"/>
        <v/>
      </c>
      <c r="J61" s="483" t="str">
        <f t="shared" si="94"/>
        <v/>
      </c>
      <c r="K61" s="806" t="str">
        <f t="shared" si="614"/>
        <v/>
      </c>
      <c r="L61" s="309"/>
      <c r="M61" s="164" t="str">
        <f t="shared" si="325"/>
        <v/>
      </c>
      <c r="N61" s="575" t="str">
        <f t="shared" si="326"/>
        <v/>
      </c>
      <c r="O61" s="572" t="str">
        <f t="shared" si="327"/>
        <v/>
      </c>
      <c r="P61" s="576" t="str">
        <f t="shared" si="328"/>
        <v/>
      </c>
      <c r="Q61" s="528" t="str">
        <f t="shared" si="144"/>
        <v/>
      </c>
      <c r="R61" s="572" t="str">
        <f t="shared" si="95"/>
        <v/>
      </c>
      <c r="S61" s="577" t="str">
        <f t="shared" si="96"/>
        <v/>
      </c>
      <c r="T61" s="578" t="str">
        <f t="shared" si="97"/>
        <v/>
      </c>
      <c r="U61" s="572" t="str">
        <f t="shared" si="98"/>
        <v/>
      </c>
      <c r="V61" s="579" t="str">
        <f t="shared" si="145"/>
        <v/>
      </c>
      <c r="W61" s="528" t="str">
        <f t="shared" si="268"/>
        <v/>
      </c>
      <c r="X61" s="572" t="str">
        <f t="shared" si="99"/>
        <v/>
      </c>
      <c r="Y61" s="573" t="str">
        <f t="shared" si="271"/>
        <v/>
      </c>
      <c r="Z61" s="575" t="str">
        <f t="shared" si="329"/>
        <v/>
      </c>
      <c r="AA61" s="572" t="str">
        <f t="shared" si="330"/>
        <v/>
      </c>
      <c r="AB61" s="572" t="str">
        <f t="shared" si="331"/>
        <v/>
      </c>
      <c r="AC61" s="579" t="str">
        <f t="shared" si="100"/>
        <v/>
      </c>
      <c r="AD61" s="580" t="str">
        <f t="shared" si="146"/>
        <v/>
      </c>
      <c r="AE61" s="572" t="str">
        <f t="shared" si="101"/>
        <v/>
      </c>
      <c r="AF61" s="576" t="str">
        <f t="shared" si="102"/>
        <v/>
      </c>
      <c r="AG61" s="545" t="str">
        <f t="shared" si="103"/>
        <v/>
      </c>
      <c r="AH61" s="546" t="str">
        <f t="shared" si="104"/>
        <v/>
      </c>
      <c r="AI61" s="528" t="str">
        <f t="shared" si="105"/>
        <v/>
      </c>
      <c r="AJ61" s="529" t="str">
        <f t="shared" si="106"/>
        <v/>
      </c>
      <c r="AK61" s="578" t="str">
        <f t="shared" si="247"/>
        <v/>
      </c>
      <c r="AL61" s="572" t="str">
        <f t="shared" si="107"/>
        <v/>
      </c>
      <c r="AM61" s="577" t="str">
        <f t="shared" si="108"/>
        <v/>
      </c>
      <c r="AN61" s="524" t="str">
        <f t="shared" si="109"/>
        <v/>
      </c>
      <c r="AO61" s="525" t="str">
        <f t="shared" si="604"/>
        <v/>
      </c>
      <c r="AP61" s="528" t="str">
        <f t="shared" si="111"/>
        <v/>
      </c>
      <c r="AQ61" s="529" t="str">
        <f t="shared" si="332"/>
        <v/>
      </c>
      <c r="AR61" s="979"/>
      <c r="AS61" s="954" t="str">
        <f t="shared" si="524"/>
        <v/>
      </c>
      <c r="AT61" s="950" t="str">
        <f t="shared" si="333"/>
        <v/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41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85"/>
        <v/>
      </c>
      <c r="IM61" s="482" t="str">
        <f t="shared" si="242"/>
        <v/>
      </c>
      <c r="IN61" s="670" t="str">
        <f t="shared" si="486"/>
        <v/>
      </c>
      <c r="IO61" s="702">
        <v>3.6515543168214898E-2</v>
      </c>
      <c r="IP61" s="5" t="str">
        <f t="shared" si="487"/>
        <v/>
      </c>
      <c r="IQ61" s="714">
        <v>470</v>
      </c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 t="e">
        <f t="shared" si="133"/>
        <v>#VALUE!</v>
      </c>
      <c r="JN61" s="960" t="e">
        <f>($JO61-SMALL($JO$9:$JO$88,1))/((Settings!$C$19/2)-((Settings!$C$19/2)-LARGE($JO$9:$JO$88,1))-SMALL($JO$9:$JO$88,1))</f>
        <v>#VALUE!</v>
      </c>
      <c r="JO61" s="162" t="str">
        <f t="shared" si="134"/>
        <v/>
      </c>
      <c r="JP61" s="961" t="str">
        <f t="shared" si="135"/>
        <v/>
      </c>
      <c r="JQ61" s="961" t="str">
        <f t="shared" si="136"/>
        <v/>
      </c>
      <c r="JU61" s="962"/>
      <c r="JV61" s="959"/>
      <c r="JW61" s="959"/>
    </row>
    <row r="62" spans="1:284" ht="15" customHeight="1" x14ac:dyDescent="0.25">
      <c r="A62" s="75" t="str">
        <f t="shared" si="322"/>
        <v/>
      </c>
      <c r="B62" s="578" t="str">
        <f t="shared" ref="B62:D62" si="615">IFERROR(O217+($A62*-E62),"")</f>
        <v/>
      </c>
      <c r="C62" s="572" t="str">
        <f t="shared" si="615"/>
        <v/>
      </c>
      <c r="D62" s="576" t="str">
        <f t="shared" si="615"/>
        <v/>
      </c>
      <c r="E62" s="580" t="str">
        <f t="shared" ref="E62:K62" si="616">R217</f>
        <v/>
      </c>
      <c r="F62" s="572" t="str">
        <f t="shared" si="616"/>
        <v/>
      </c>
      <c r="G62" s="579" t="str">
        <f t="shared" si="616"/>
        <v/>
      </c>
      <c r="H62" s="580" t="str">
        <f t="shared" si="616"/>
        <v/>
      </c>
      <c r="I62" s="572" t="str">
        <f t="shared" si="616"/>
        <v/>
      </c>
      <c r="J62" s="483" t="str">
        <f t="shared" si="94"/>
        <v/>
      </c>
      <c r="K62" s="806" t="str">
        <f t="shared" si="616"/>
        <v/>
      </c>
      <c r="L62" s="309"/>
      <c r="M62" s="164" t="str">
        <f t="shared" si="325"/>
        <v/>
      </c>
      <c r="N62" s="575" t="str">
        <f t="shared" si="326"/>
        <v/>
      </c>
      <c r="O62" s="572" t="str">
        <f t="shared" si="327"/>
        <v/>
      </c>
      <c r="P62" s="576" t="str">
        <f t="shared" si="328"/>
        <v/>
      </c>
      <c r="Q62" s="528" t="str">
        <f t="shared" si="144"/>
        <v/>
      </c>
      <c r="R62" s="572" t="str">
        <f t="shared" si="95"/>
        <v/>
      </c>
      <c r="S62" s="577" t="str">
        <f t="shared" si="96"/>
        <v/>
      </c>
      <c r="T62" s="578" t="str">
        <f t="shared" si="97"/>
        <v/>
      </c>
      <c r="U62" s="572" t="str">
        <f t="shared" si="98"/>
        <v/>
      </c>
      <c r="V62" s="579" t="str">
        <f t="shared" si="145"/>
        <v/>
      </c>
      <c r="W62" s="528" t="str">
        <f t="shared" si="268"/>
        <v/>
      </c>
      <c r="X62" s="572" t="str">
        <f t="shared" si="99"/>
        <v/>
      </c>
      <c r="Y62" s="573" t="str">
        <f t="shared" si="271"/>
        <v/>
      </c>
      <c r="Z62" s="575" t="str">
        <f t="shared" si="329"/>
        <v/>
      </c>
      <c r="AA62" s="572" t="str">
        <f t="shared" si="330"/>
        <v/>
      </c>
      <c r="AB62" s="572" t="str">
        <f t="shared" si="331"/>
        <v/>
      </c>
      <c r="AC62" s="579" t="str">
        <f t="shared" si="100"/>
        <v/>
      </c>
      <c r="AD62" s="580" t="str">
        <f t="shared" si="146"/>
        <v/>
      </c>
      <c r="AE62" s="572" t="str">
        <f t="shared" si="101"/>
        <v/>
      </c>
      <c r="AF62" s="576" t="str">
        <f t="shared" si="102"/>
        <v/>
      </c>
      <c r="AG62" s="545" t="str">
        <f t="shared" si="103"/>
        <v/>
      </c>
      <c r="AH62" s="546" t="str">
        <f t="shared" si="104"/>
        <v/>
      </c>
      <c r="AI62" s="528" t="str">
        <f t="shared" si="105"/>
        <v/>
      </c>
      <c r="AJ62" s="529" t="str">
        <f t="shared" si="106"/>
        <v/>
      </c>
      <c r="AK62" s="578" t="str">
        <f t="shared" si="247"/>
        <v/>
      </c>
      <c r="AL62" s="572" t="str">
        <f t="shared" si="107"/>
        <v/>
      </c>
      <c r="AM62" s="577" t="str">
        <f t="shared" si="108"/>
        <v/>
      </c>
      <c r="AN62" s="524" t="str">
        <f t="shared" si="109"/>
        <v/>
      </c>
      <c r="AO62" s="525" t="str">
        <f t="shared" si="604"/>
        <v/>
      </c>
      <c r="AP62" s="528" t="str">
        <f t="shared" si="111"/>
        <v/>
      </c>
      <c r="AQ62" s="529" t="str">
        <f t="shared" si="332"/>
        <v/>
      </c>
      <c r="AR62" s="979"/>
      <c r="AS62" s="954" t="str">
        <f t="shared" si="524"/>
        <v/>
      </c>
      <c r="AT62" s="950" t="str">
        <f t="shared" si="333"/>
        <v/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41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85"/>
        <v/>
      </c>
      <c r="IM62" s="482" t="str">
        <f t="shared" si="242"/>
        <v/>
      </c>
      <c r="IN62" s="670" t="str">
        <f t="shared" si="486"/>
        <v/>
      </c>
      <c r="IO62" s="702">
        <v>3.4402600360482601E-2</v>
      </c>
      <c r="IP62" s="5" t="str">
        <f t="shared" si="487"/>
        <v/>
      </c>
      <c r="IQ62" s="714">
        <v>560</v>
      </c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 t="e">
        <f t="shared" si="133"/>
        <v>#VALUE!</v>
      </c>
      <c r="JN62" s="960" t="e">
        <f>($JO62-SMALL($JO$9:$JO$88,1))/((Settings!$C$19/2)-((Settings!$C$19/2)-LARGE($JO$9:$JO$88,1))-SMALL($JO$9:$JO$88,1))</f>
        <v>#VALUE!</v>
      </c>
      <c r="JO62" s="162" t="str">
        <f t="shared" si="134"/>
        <v/>
      </c>
      <c r="JP62" s="961" t="str">
        <f t="shared" si="135"/>
        <v/>
      </c>
      <c r="JQ62" s="961" t="str">
        <f t="shared" si="136"/>
        <v/>
      </c>
      <c r="JU62" s="962"/>
      <c r="JV62" s="959"/>
      <c r="JW62" s="959"/>
    </row>
    <row r="63" spans="1:284" ht="15" customHeight="1" x14ac:dyDescent="0.25">
      <c r="A63" s="75" t="str">
        <f t="shared" si="322"/>
        <v/>
      </c>
      <c r="B63" s="578" t="str">
        <f t="shared" ref="B63:D63" si="617">IFERROR(O218+($A63*-E63),"")</f>
        <v/>
      </c>
      <c r="C63" s="572" t="str">
        <f t="shared" si="617"/>
        <v/>
      </c>
      <c r="D63" s="576" t="str">
        <f t="shared" si="617"/>
        <v/>
      </c>
      <c r="E63" s="580" t="str">
        <f t="shared" ref="E63:K63" si="618">R218</f>
        <v/>
      </c>
      <c r="F63" s="572" t="str">
        <f t="shared" si="618"/>
        <v/>
      </c>
      <c r="G63" s="579" t="str">
        <f t="shared" si="618"/>
        <v/>
      </c>
      <c r="H63" s="580" t="str">
        <f t="shared" si="618"/>
        <v/>
      </c>
      <c r="I63" s="572" t="str">
        <f t="shared" si="618"/>
        <v/>
      </c>
      <c r="J63" s="483" t="str">
        <f t="shared" si="94"/>
        <v/>
      </c>
      <c r="K63" s="806" t="str">
        <f t="shared" si="618"/>
        <v/>
      </c>
      <c r="L63" s="309"/>
      <c r="M63" s="164" t="str">
        <f t="shared" si="325"/>
        <v/>
      </c>
      <c r="N63" s="575" t="str">
        <f t="shared" si="326"/>
        <v/>
      </c>
      <c r="O63" s="572" t="str">
        <f t="shared" si="327"/>
        <v/>
      </c>
      <c r="P63" s="576" t="str">
        <f t="shared" si="328"/>
        <v/>
      </c>
      <c r="Q63" s="528" t="str">
        <f t="shared" si="144"/>
        <v/>
      </c>
      <c r="R63" s="572" t="str">
        <f t="shared" si="95"/>
        <v/>
      </c>
      <c r="S63" s="577" t="str">
        <f t="shared" si="96"/>
        <v/>
      </c>
      <c r="T63" s="578" t="str">
        <f t="shared" si="97"/>
        <v/>
      </c>
      <c r="U63" s="572" t="str">
        <f t="shared" si="98"/>
        <v/>
      </c>
      <c r="V63" s="579" t="str">
        <f t="shared" si="145"/>
        <v/>
      </c>
      <c r="W63" s="528" t="str">
        <f t="shared" si="268"/>
        <v/>
      </c>
      <c r="X63" s="572" t="str">
        <f t="shared" si="99"/>
        <v/>
      </c>
      <c r="Y63" s="573" t="str">
        <f t="shared" si="271"/>
        <v/>
      </c>
      <c r="Z63" s="575" t="str">
        <f t="shared" si="329"/>
        <v/>
      </c>
      <c r="AA63" s="572" t="str">
        <f t="shared" si="330"/>
        <v/>
      </c>
      <c r="AB63" s="572" t="str">
        <f t="shared" si="331"/>
        <v/>
      </c>
      <c r="AC63" s="579" t="str">
        <f t="shared" si="100"/>
        <v/>
      </c>
      <c r="AD63" s="580" t="str">
        <f t="shared" si="146"/>
        <v/>
      </c>
      <c r="AE63" s="572" t="str">
        <f t="shared" si="101"/>
        <v/>
      </c>
      <c r="AF63" s="576" t="str">
        <f t="shared" si="102"/>
        <v/>
      </c>
      <c r="AG63" s="545" t="str">
        <f t="shared" si="103"/>
        <v/>
      </c>
      <c r="AH63" s="546" t="str">
        <f t="shared" si="104"/>
        <v/>
      </c>
      <c r="AI63" s="528" t="str">
        <f t="shared" si="105"/>
        <v/>
      </c>
      <c r="AJ63" s="529" t="str">
        <f t="shared" si="106"/>
        <v/>
      </c>
      <c r="AK63" s="578" t="str">
        <f t="shared" si="247"/>
        <v/>
      </c>
      <c r="AL63" s="572" t="str">
        <f t="shared" si="107"/>
        <v/>
      </c>
      <c r="AM63" s="577" t="str">
        <f t="shared" si="108"/>
        <v/>
      </c>
      <c r="AN63" s="524" t="str">
        <f t="shared" si="109"/>
        <v/>
      </c>
      <c r="AO63" s="525" t="str">
        <f t="shared" si="604"/>
        <v/>
      </c>
      <c r="AP63" s="528" t="str">
        <f t="shared" si="111"/>
        <v/>
      </c>
      <c r="AQ63" s="529" t="str">
        <f t="shared" si="332"/>
        <v/>
      </c>
      <c r="AR63" s="979"/>
      <c r="AS63" s="954" t="str">
        <f t="shared" si="524"/>
        <v/>
      </c>
      <c r="AT63" s="950" t="str">
        <f t="shared" si="333"/>
        <v/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41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85"/>
        <v/>
      </c>
      <c r="IM63" s="482" t="str">
        <f t="shared" si="242"/>
        <v/>
      </c>
      <c r="IN63" s="670" t="str">
        <f t="shared" si="486"/>
        <v/>
      </c>
      <c r="IO63" s="702">
        <v>3.2515620511347001E-2</v>
      </c>
      <c r="IP63" s="5" t="str">
        <f t="shared" si="487"/>
        <v/>
      </c>
      <c r="IQ63" s="714">
        <v>680</v>
      </c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 t="e">
        <f t="shared" si="133"/>
        <v>#VALUE!</v>
      </c>
      <c r="JN63" s="960" t="e">
        <f>($JO63-SMALL($JO$9:$JO$88,1))/((Settings!$C$19/2)-((Settings!$C$19/2)-LARGE($JO$9:$JO$88,1))-SMALL($JO$9:$JO$88,1))</f>
        <v>#VALUE!</v>
      </c>
      <c r="JO63" s="162" t="str">
        <f t="shared" si="134"/>
        <v/>
      </c>
      <c r="JP63" s="961" t="str">
        <f t="shared" si="135"/>
        <v/>
      </c>
      <c r="JQ63" s="961" t="str">
        <f t="shared" si="136"/>
        <v/>
      </c>
      <c r="JU63" s="962"/>
      <c r="JV63" s="959"/>
      <c r="JW63" s="959"/>
    </row>
    <row r="64" spans="1:284" ht="15" customHeight="1" x14ac:dyDescent="0.25">
      <c r="A64" s="75" t="str">
        <f t="shared" si="322"/>
        <v/>
      </c>
      <c r="B64" s="578" t="str">
        <f t="shared" ref="B64:D64" si="619">IFERROR(O219+($A64*-E64),"")</f>
        <v/>
      </c>
      <c r="C64" s="572" t="str">
        <f t="shared" si="619"/>
        <v/>
      </c>
      <c r="D64" s="576" t="str">
        <f t="shared" si="619"/>
        <v/>
      </c>
      <c r="E64" s="580" t="str">
        <f t="shared" ref="E64:K64" si="620">R219</f>
        <v/>
      </c>
      <c r="F64" s="572" t="str">
        <f t="shared" si="620"/>
        <v/>
      </c>
      <c r="G64" s="579" t="str">
        <f t="shared" si="620"/>
        <v/>
      </c>
      <c r="H64" s="580" t="str">
        <f t="shared" si="620"/>
        <v/>
      </c>
      <c r="I64" s="572" t="str">
        <f t="shared" si="620"/>
        <v/>
      </c>
      <c r="J64" s="483" t="str">
        <f t="shared" si="94"/>
        <v/>
      </c>
      <c r="K64" s="806" t="str">
        <f t="shared" si="620"/>
        <v/>
      </c>
      <c r="L64" s="309"/>
      <c r="M64" s="164" t="str">
        <f t="shared" si="325"/>
        <v/>
      </c>
      <c r="N64" s="575" t="str">
        <f t="shared" si="326"/>
        <v/>
      </c>
      <c r="O64" s="572" t="str">
        <f t="shared" si="327"/>
        <v/>
      </c>
      <c r="P64" s="576" t="str">
        <f t="shared" si="328"/>
        <v/>
      </c>
      <c r="Q64" s="528" t="str">
        <f t="shared" si="144"/>
        <v/>
      </c>
      <c r="R64" s="572" t="str">
        <f t="shared" si="95"/>
        <v/>
      </c>
      <c r="S64" s="577" t="str">
        <f t="shared" si="96"/>
        <v/>
      </c>
      <c r="T64" s="578" t="str">
        <f t="shared" si="97"/>
        <v/>
      </c>
      <c r="U64" s="572" t="str">
        <f t="shared" si="98"/>
        <v/>
      </c>
      <c r="V64" s="579" t="str">
        <f t="shared" si="145"/>
        <v/>
      </c>
      <c r="W64" s="528" t="str">
        <f t="shared" si="268"/>
        <v/>
      </c>
      <c r="X64" s="572" t="str">
        <f t="shared" si="99"/>
        <v/>
      </c>
      <c r="Y64" s="573" t="str">
        <f t="shared" si="271"/>
        <v/>
      </c>
      <c r="Z64" s="575" t="str">
        <f t="shared" si="329"/>
        <v/>
      </c>
      <c r="AA64" s="572" t="str">
        <f t="shared" si="330"/>
        <v/>
      </c>
      <c r="AB64" s="572" t="str">
        <f t="shared" si="331"/>
        <v/>
      </c>
      <c r="AC64" s="579" t="str">
        <f t="shared" si="100"/>
        <v/>
      </c>
      <c r="AD64" s="580" t="str">
        <f t="shared" si="146"/>
        <v/>
      </c>
      <c r="AE64" s="572" t="str">
        <f t="shared" si="101"/>
        <v/>
      </c>
      <c r="AF64" s="576" t="str">
        <f t="shared" si="102"/>
        <v/>
      </c>
      <c r="AG64" s="545" t="str">
        <f t="shared" si="103"/>
        <v/>
      </c>
      <c r="AH64" s="546" t="str">
        <f t="shared" si="104"/>
        <v/>
      </c>
      <c r="AI64" s="528" t="str">
        <f t="shared" si="105"/>
        <v/>
      </c>
      <c r="AJ64" s="529" t="str">
        <f t="shared" si="106"/>
        <v/>
      </c>
      <c r="AK64" s="578" t="str">
        <f t="shared" si="247"/>
        <v/>
      </c>
      <c r="AL64" s="572" t="str">
        <f t="shared" si="107"/>
        <v/>
      </c>
      <c r="AM64" s="577" t="str">
        <f t="shared" si="108"/>
        <v/>
      </c>
      <c r="AN64" s="524" t="str">
        <f t="shared" si="109"/>
        <v/>
      </c>
      <c r="AO64" s="525" t="str">
        <f t="shared" si="604"/>
        <v/>
      </c>
      <c r="AP64" s="528" t="str">
        <f t="shared" si="111"/>
        <v/>
      </c>
      <c r="AQ64" s="529" t="str">
        <f t="shared" si="332"/>
        <v/>
      </c>
      <c r="AR64" s="979"/>
      <c r="AS64" s="954" t="str">
        <f t="shared" si="524"/>
        <v/>
      </c>
      <c r="AT64" s="950" t="str">
        <f t="shared" si="333"/>
        <v/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41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85"/>
        <v/>
      </c>
      <c r="IM64" s="482" t="str">
        <f t="shared" si="242"/>
        <v/>
      </c>
      <c r="IN64" s="670" t="str">
        <f t="shared" si="486"/>
        <v/>
      </c>
      <c r="IO64" s="702">
        <v>3.0583009588151099E-2</v>
      </c>
      <c r="IP64" s="5" t="str">
        <f t="shared" si="487"/>
        <v/>
      </c>
      <c r="IQ64" s="714">
        <v>820</v>
      </c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 t="e">
        <f t="shared" si="133"/>
        <v>#VALUE!</v>
      </c>
      <c r="JN64" s="960" t="e">
        <f>($JO64-SMALL($JO$9:$JO$88,1))/((Settings!$C$19/2)-((Settings!$C$19/2)-LARGE($JO$9:$JO$88,1))-SMALL($JO$9:$JO$88,1))</f>
        <v>#VALUE!</v>
      </c>
      <c r="JO64" s="162" t="str">
        <f t="shared" si="134"/>
        <v/>
      </c>
      <c r="JP64" s="961" t="str">
        <f t="shared" si="135"/>
        <v/>
      </c>
      <c r="JQ64" s="961" t="str">
        <f t="shared" si="136"/>
        <v/>
      </c>
      <c r="JU64" s="962"/>
      <c r="JV64" s="959"/>
      <c r="JW64" s="959"/>
    </row>
    <row r="65" spans="1:283" ht="15" customHeight="1" x14ac:dyDescent="0.25">
      <c r="A65" s="75" t="str">
        <f t="shared" si="322"/>
        <v/>
      </c>
      <c r="B65" s="578" t="str">
        <f t="shared" ref="B65:D65" si="621">IFERROR(O220+($A65*-E65),"")</f>
        <v/>
      </c>
      <c r="C65" s="572" t="str">
        <f t="shared" si="621"/>
        <v/>
      </c>
      <c r="D65" s="576" t="str">
        <f t="shared" si="621"/>
        <v/>
      </c>
      <c r="E65" s="580" t="str">
        <f t="shared" ref="E65:K65" si="622">R220</f>
        <v/>
      </c>
      <c r="F65" s="572" t="str">
        <f t="shared" si="622"/>
        <v/>
      </c>
      <c r="G65" s="579" t="str">
        <f t="shared" si="622"/>
        <v/>
      </c>
      <c r="H65" s="580" t="str">
        <f t="shared" si="622"/>
        <v/>
      </c>
      <c r="I65" s="572" t="str">
        <f t="shared" si="622"/>
        <v/>
      </c>
      <c r="J65" s="483" t="str">
        <f t="shared" si="94"/>
        <v/>
      </c>
      <c r="K65" s="806" t="str">
        <f t="shared" si="622"/>
        <v/>
      </c>
      <c r="L65" s="309"/>
      <c r="M65" s="164" t="str">
        <f t="shared" si="325"/>
        <v/>
      </c>
      <c r="N65" s="575" t="str">
        <f t="shared" si="326"/>
        <v/>
      </c>
      <c r="O65" s="572" t="str">
        <f t="shared" si="327"/>
        <v/>
      </c>
      <c r="P65" s="576" t="str">
        <f t="shared" si="328"/>
        <v/>
      </c>
      <c r="Q65" s="528" t="str">
        <f t="shared" si="144"/>
        <v/>
      </c>
      <c r="R65" s="572" t="str">
        <f t="shared" si="95"/>
        <v/>
      </c>
      <c r="S65" s="577" t="str">
        <f t="shared" si="96"/>
        <v/>
      </c>
      <c r="T65" s="578" t="str">
        <f t="shared" si="97"/>
        <v/>
      </c>
      <c r="U65" s="572" t="str">
        <f t="shared" si="98"/>
        <v/>
      </c>
      <c r="V65" s="579" t="str">
        <f t="shared" si="145"/>
        <v/>
      </c>
      <c r="W65" s="528" t="str">
        <f t="shared" si="268"/>
        <v/>
      </c>
      <c r="X65" s="572" t="str">
        <f t="shared" si="99"/>
        <v/>
      </c>
      <c r="Y65" s="573" t="str">
        <f t="shared" si="271"/>
        <v/>
      </c>
      <c r="Z65" s="575" t="str">
        <f t="shared" si="329"/>
        <v/>
      </c>
      <c r="AA65" s="572" t="str">
        <f t="shared" si="330"/>
        <v/>
      </c>
      <c r="AB65" s="572" t="str">
        <f t="shared" si="331"/>
        <v/>
      </c>
      <c r="AC65" s="579" t="str">
        <f t="shared" si="100"/>
        <v/>
      </c>
      <c r="AD65" s="580" t="str">
        <f t="shared" si="146"/>
        <v/>
      </c>
      <c r="AE65" s="572" t="str">
        <f t="shared" si="101"/>
        <v/>
      </c>
      <c r="AF65" s="576" t="str">
        <f t="shared" si="102"/>
        <v/>
      </c>
      <c r="AG65" s="545" t="str">
        <f t="shared" si="103"/>
        <v/>
      </c>
      <c r="AH65" s="546" t="str">
        <f t="shared" si="104"/>
        <v/>
      </c>
      <c r="AI65" s="528" t="str">
        <f t="shared" si="105"/>
        <v/>
      </c>
      <c r="AJ65" s="529" t="str">
        <f t="shared" si="106"/>
        <v/>
      </c>
      <c r="AK65" s="578" t="str">
        <f t="shared" si="247"/>
        <v/>
      </c>
      <c r="AL65" s="572" t="str">
        <f t="shared" si="107"/>
        <v/>
      </c>
      <c r="AM65" s="577" t="str">
        <f t="shared" si="108"/>
        <v/>
      </c>
      <c r="AN65" s="524" t="str">
        <f t="shared" si="109"/>
        <v/>
      </c>
      <c r="AO65" s="525" t="str">
        <f t="shared" si="604"/>
        <v/>
      </c>
      <c r="AP65" s="528" t="str">
        <f t="shared" si="111"/>
        <v/>
      </c>
      <c r="AQ65" s="529" t="str">
        <f t="shared" si="332"/>
        <v/>
      </c>
      <c r="AR65" s="979"/>
      <c r="AS65" s="954" t="str">
        <f t="shared" si="524"/>
        <v/>
      </c>
      <c r="AT65" s="950" t="str">
        <f t="shared" si="333"/>
        <v/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4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85"/>
        <v/>
      </c>
      <c r="IM65" s="482" t="str">
        <f t="shared" si="242"/>
        <v/>
      </c>
      <c r="IN65" s="670" t="str">
        <f t="shared" si="486"/>
        <v/>
      </c>
      <c r="IO65" s="702">
        <v>2.8423563354491199E-2</v>
      </c>
      <c r="IP65" s="5" t="str">
        <f t="shared" si="487"/>
        <v/>
      </c>
      <c r="IQ65" s="714">
        <v>1000</v>
      </c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 t="e">
        <f t="shared" si="133"/>
        <v>#VALUE!</v>
      </c>
      <c r="JN65" s="960" t="e">
        <f>($JO65-SMALL($JO$9:$JO$88,1))/((Settings!$C$19/2)-((Settings!$C$19/2)-LARGE($JO$9:$JO$88,1))-SMALL($JO$9:$JO$88,1))</f>
        <v>#VALUE!</v>
      </c>
      <c r="JO65" s="162" t="str">
        <f t="shared" si="134"/>
        <v/>
      </c>
      <c r="JP65" s="961" t="str">
        <f t="shared" si="135"/>
        <v/>
      </c>
      <c r="JQ65" s="961" t="str">
        <f t="shared" si="136"/>
        <v/>
      </c>
      <c r="JU65" s="962"/>
      <c r="JV65" s="959"/>
      <c r="JW65" s="959"/>
    </row>
    <row r="66" spans="1:283" ht="15" customHeight="1" x14ac:dyDescent="0.25">
      <c r="A66" s="75" t="str">
        <f t="shared" si="322"/>
        <v/>
      </c>
      <c r="B66" s="578" t="str">
        <f t="shared" ref="B66:D66" si="623">IFERROR(O221+($A66*-E66),"")</f>
        <v/>
      </c>
      <c r="C66" s="572" t="str">
        <f t="shared" si="623"/>
        <v/>
      </c>
      <c r="D66" s="576" t="str">
        <f t="shared" si="623"/>
        <v/>
      </c>
      <c r="E66" s="580" t="str">
        <f t="shared" ref="E66:K66" si="624">R221</f>
        <v/>
      </c>
      <c r="F66" s="572" t="str">
        <f t="shared" si="624"/>
        <v/>
      </c>
      <c r="G66" s="579" t="str">
        <f t="shared" si="624"/>
        <v/>
      </c>
      <c r="H66" s="580" t="str">
        <f t="shared" si="624"/>
        <v/>
      </c>
      <c r="I66" s="572" t="str">
        <f t="shared" si="624"/>
        <v/>
      </c>
      <c r="J66" s="483" t="str">
        <f t="shared" si="94"/>
        <v/>
      </c>
      <c r="K66" s="806" t="str">
        <f t="shared" si="624"/>
        <v/>
      </c>
      <c r="L66" s="309"/>
      <c r="M66" s="164" t="str">
        <f t="shared" si="325"/>
        <v/>
      </c>
      <c r="N66" s="575" t="str">
        <f t="shared" si="326"/>
        <v/>
      </c>
      <c r="O66" s="572" t="str">
        <f t="shared" si="327"/>
        <v/>
      </c>
      <c r="P66" s="576" t="str">
        <f t="shared" si="328"/>
        <v/>
      </c>
      <c r="Q66" s="528" t="str">
        <f t="shared" si="144"/>
        <v/>
      </c>
      <c r="R66" s="572" t="str">
        <f t="shared" si="95"/>
        <v/>
      </c>
      <c r="S66" s="577" t="str">
        <f t="shared" si="96"/>
        <v/>
      </c>
      <c r="T66" s="578" t="str">
        <f t="shared" si="97"/>
        <v/>
      </c>
      <c r="U66" s="572" t="str">
        <f t="shared" si="98"/>
        <v/>
      </c>
      <c r="V66" s="579" t="str">
        <f t="shared" si="145"/>
        <v/>
      </c>
      <c r="W66" s="528" t="str">
        <f t="shared" si="268"/>
        <v/>
      </c>
      <c r="X66" s="572" t="str">
        <f t="shared" si="99"/>
        <v/>
      </c>
      <c r="Y66" s="573" t="str">
        <f t="shared" si="271"/>
        <v/>
      </c>
      <c r="Z66" s="575" t="str">
        <f t="shared" si="329"/>
        <v/>
      </c>
      <c r="AA66" s="572" t="str">
        <f t="shared" si="330"/>
        <v/>
      </c>
      <c r="AB66" s="572" t="str">
        <f t="shared" si="331"/>
        <v/>
      </c>
      <c r="AC66" s="579" t="str">
        <f t="shared" si="100"/>
        <v/>
      </c>
      <c r="AD66" s="580" t="str">
        <f t="shared" si="146"/>
        <v/>
      </c>
      <c r="AE66" s="572" t="str">
        <f t="shared" si="101"/>
        <v/>
      </c>
      <c r="AF66" s="576" t="str">
        <f t="shared" si="102"/>
        <v/>
      </c>
      <c r="AG66" s="545" t="str">
        <f t="shared" si="103"/>
        <v/>
      </c>
      <c r="AH66" s="546" t="str">
        <f t="shared" si="104"/>
        <v/>
      </c>
      <c r="AI66" s="528" t="str">
        <f t="shared" si="105"/>
        <v/>
      </c>
      <c r="AJ66" s="529" t="str">
        <f t="shared" si="106"/>
        <v/>
      </c>
      <c r="AK66" s="578" t="str">
        <f t="shared" si="247"/>
        <v/>
      </c>
      <c r="AL66" s="572" t="str">
        <f t="shared" si="107"/>
        <v/>
      </c>
      <c r="AM66" s="577" t="str">
        <f t="shared" si="108"/>
        <v/>
      </c>
      <c r="AN66" s="524" t="str">
        <f t="shared" si="109"/>
        <v/>
      </c>
      <c r="AO66" s="525" t="str">
        <f t="shared" si="604"/>
        <v/>
      </c>
      <c r="AP66" s="528" t="str">
        <f t="shared" si="111"/>
        <v/>
      </c>
      <c r="AQ66" s="529" t="str">
        <f t="shared" si="332"/>
        <v/>
      </c>
      <c r="AR66" s="979"/>
      <c r="AS66" s="954" t="str">
        <f t="shared" si="524"/>
        <v/>
      </c>
      <c r="AT66" s="950" t="str">
        <f t="shared" si="333"/>
        <v/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4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85"/>
        <v/>
      </c>
      <c r="IM66" s="482" t="str">
        <f t="shared" si="242"/>
        <v/>
      </c>
      <c r="IN66" s="670" t="str">
        <f t="shared" si="486"/>
        <v/>
      </c>
      <c r="IO66" s="702">
        <v>2.6871514487582199E-2</v>
      </c>
      <c r="IP66" s="5" t="str">
        <f t="shared" si="487"/>
        <v/>
      </c>
      <c r="IQ66" s="714">
        <v>1160</v>
      </c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 t="e">
        <f t="shared" si="133"/>
        <v>#VALUE!</v>
      </c>
      <c r="JN66" s="960" t="e">
        <f>($JO66-SMALL($JO$9:$JO$88,1))/((Settings!$C$19/2)-((Settings!$C$19/2)-LARGE($JO$9:$JO$88,1))-SMALL($JO$9:$JO$88,1))</f>
        <v>#VALUE!</v>
      </c>
      <c r="JO66" s="162" t="str">
        <f t="shared" si="134"/>
        <v/>
      </c>
      <c r="JP66" s="961" t="str">
        <f t="shared" si="135"/>
        <v/>
      </c>
      <c r="JQ66" s="961" t="str">
        <f t="shared" si="136"/>
        <v/>
      </c>
      <c r="JU66" s="962"/>
      <c r="JV66" s="959"/>
      <c r="JW66" s="959"/>
    </row>
    <row r="67" spans="1:283" ht="15" customHeight="1" x14ac:dyDescent="0.25">
      <c r="A67" s="75" t="str">
        <f t="shared" si="322"/>
        <v/>
      </c>
      <c r="B67" s="578" t="str">
        <f t="shared" ref="B67:D67" si="625">IFERROR(O222+($A67*-E67),"")</f>
        <v/>
      </c>
      <c r="C67" s="572" t="str">
        <f t="shared" si="625"/>
        <v/>
      </c>
      <c r="D67" s="576" t="str">
        <f t="shared" si="625"/>
        <v/>
      </c>
      <c r="E67" s="580" t="str">
        <f t="shared" ref="E67:K67" si="626">R222</f>
        <v/>
      </c>
      <c r="F67" s="572" t="str">
        <f t="shared" si="626"/>
        <v/>
      </c>
      <c r="G67" s="579" t="str">
        <f t="shared" si="626"/>
        <v/>
      </c>
      <c r="H67" s="580" t="str">
        <f t="shared" si="626"/>
        <v/>
      </c>
      <c r="I67" s="572" t="str">
        <f t="shared" si="626"/>
        <v/>
      </c>
      <c r="J67" s="483" t="str">
        <f t="shared" si="94"/>
        <v/>
      </c>
      <c r="K67" s="806" t="str">
        <f t="shared" si="626"/>
        <v/>
      </c>
      <c r="L67" s="309"/>
      <c r="M67" s="164" t="str">
        <f t="shared" si="325"/>
        <v/>
      </c>
      <c r="N67" s="575" t="str">
        <f t="shared" si="326"/>
        <v/>
      </c>
      <c r="O67" s="572" t="str">
        <f t="shared" si="327"/>
        <v/>
      </c>
      <c r="P67" s="576" t="str">
        <f t="shared" si="328"/>
        <v/>
      </c>
      <c r="Q67" s="528" t="str">
        <f t="shared" si="14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68"/>
        <v/>
      </c>
      <c r="X67" s="572" t="str">
        <f>IF(M67="","",R67)</f>
        <v/>
      </c>
      <c r="Y67" s="573" t="str">
        <f t="shared" si="271"/>
        <v/>
      </c>
      <c r="Z67" s="575" t="str">
        <f t="shared" si="329"/>
        <v/>
      </c>
      <c r="AA67" s="572" t="str">
        <f t="shared" si="330"/>
        <v/>
      </c>
      <c r="AB67" s="572" t="str">
        <f t="shared" si="33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604"/>
        <v/>
      </c>
      <c r="AP67" s="528" t="str">
        <f>IF(M67="","",DEGREES(ATAN2(AK67,AL67)))</f>
        <v/>
      </c>
      <c r="AQ67" s="529" t="str">
        <f t="shared" si="332"/>
        <v/>
      </c>
      <c r="AR67" s="979"/>
      <c r="AS67" s="954" t="str">
        <f t="shared" si="524"/>
        <v/>
      </c>
      <c r="AT67" s="950" t="str">
        <f t="shared" si="333"/>
        <v/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4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85"/>
        <v/>
      </c>
      <c r="IM67" s="482" t="str">
        <f t="shared" si="242"/>
        <v/>
      </c>
      <c r="IN67" s="670" t="str">
        <f t="shared" si="486"/>
        <v/>
      </c>
      <c r="IO67" s="702">
        <v>2.5723717152020001E-2</v>
      </c>
      <c r="IP67" s="5" t="str">
        <f t="shared" si="487"/>
        <v/>
      </c>
      <c r="IQ67" s="714">
        <v>1320</v>
      </c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 t="e">
        <f t="shared" si="133"/>
        <v>#VALUE!</v>
      </c>
      <c r="JN67" s="960" t="e">
        <f>($JO67-SMALL($JO$9:$JO$88,1))/((Settings!$C$19/2)-((Settings!$C$19/2)-LARGE($JO$9:$JO$88,1))-SMALL($JO$9:$JO$88,1))</f>
        <v>#VALUE!</v>
      </c>
      <c r="JO67" s="162" t="str">
        <f t="shared" si="134"/>
        <v/>
      </c>
      <c r="JP67" s="961" t="str">
        <f t="shared" si="135"/>
        <v/>
      </c>
      <c r="JQ67" s="961" t="str">
        <f t="shared" si="136"/>
        <v/>
      </c>
      <c r="JU67" s="962"/>
      <c r="JV67" s="959"/>
      <c r="JW67" s="959"/>
    </row>
    <row r="68" spans="1:283" ht="15" customHeight="1" x14ac:dyDescent="0.25">
      <c r="A68" s="75" t="str">
        <f t="shared" si="322"/>
        <v/>
      </c>
      <c r="B68" s="578" t="str">
        <f t="shared" ref="B68:D68" si="627">IFERROR(O223+($A68*-E68),"")</f>
        <v/>
      </c>
      <c r="C68" s="572" t="str">
        <f t="shared" si="627"/>
        <v/>
      </c>
      <c r="D68" s="576" t="str">
        <f t="shared" si="627"/>
        <v/>
      </c>
      <c r="E68" s="580" t="str">
        <f t="shared" ref="E68:K68" si="628">R223</f>
        <v/>
      </c>
      <c r="F68" s="572" t="str">
        <f t="shared" si="628"/>
        <v/>
      </c>
      <c r="G68" s="579" t="str">
        <f t="shared" si="628"/>
        <v/>
      </c>
      <c r="H68" s="580" t="str">
        <f t="shared" si="628"/>
        <v/>
      </c>
      <c r="I68" s="572" t="str">
        <f t="shared" si="628"/>
        <v/>
      </c>
      <c r="J68" s="483" t="str">
        <f t="shared" si="94"/>
        <v/>
      </c>
      <c r="K68" s="806" t="str">
        <f t="shared" si="628"/>
        <v/>
      </c>
      <c r="L68" s="309"/>
      <c r="M68" s="164" t="str">
        <f t="shared" si="325"/>
        <v/>
      </c>
      <c r="N68" s="575" t="str">
        <f t="shared" si="326"/>
        <v/>
      </c>
      <c r="O68" s="572" t="str">
        <f t="shared" si="327"/>
        <v/>
      </c>
      <c r="P68" s="576" t="str">
        <f t="shared" si="328"/>
        <v/>
      </c>
      <c r="Q68" s="528" t="str">
        <f t="shared" si="14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68"/>
        <v/>
      </c>
      <c r="X68" s="572" t="str">
        <f>IF(M68="","",R68)</f>
        <v/>
      </c>
      <c r="Y68" s="573" t="str">
        <f t="shared" si="271"/>
        <v/>
      </c>
      <c r="Z68" s="575" t="str">
        <f t="shared" si="329"/>
        <v/>
      </c>
      <c r="AA68" s="572" t="str">
        <f t="shared" si="330"/>
        <v/>
      </c>
      <c r="AB68" s="572" t="str">
        <f t="shared" si="33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604"/>
        <v/>
      </c>
      <c r="AP68" s="528" t="str">
        <f>IF(M68="","",DEGREES(ATAN2(AK68,AL68)))</f>
        <v/>
      </c>
      <c r="AQ68" s="529" t="str">
        <f t="shared" si="332"/>
        <v/>
      </c>
      <c r="AR68" s="979"/>
      <c r="AS68" s="954" t="str">
        <f t="shared" si="524"/>
        <v/>
      </c>
      <c r="AT68" s="950" t="str">
        <f t="shared" si="333"/>
        <v/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4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85"/>
        <v/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 t="e">
        <f t="shared" si="133"/>
        <v>#VALUE!</v>
      </c>
      <c r="JN68" s="960" t="e">
        <f>($JO68-SMALL($JO$9:$JO$88,1))/((Settings!$C$19/2)-((Settings!$C$19/2)-LARGE($JO$9:$JO$88,1))-SMALL($JO$9:$JO$88,1))</f>
        <v>#VALUE!</v>
      </c>
      <c r="JO68" s="162" t="str">
        <f t="shared" si="134"/>
        <v/>
      </c>
      <c r="JP68" s="961" t="str">
        <f t="shared" si="135"/>
        <v/>
      </c>
      <c r="JQ68" s="961" t="str">
        <f t="shared" si="136"/>
        <v/>
      </c>
      <c r="JU68" s="962"/>
      <c r="JV68" s="959"/>
      <c r="JW68" s="959"/>
    </row>
    <row r="69" spans="1:283" ht="15" customHeight="1" x14ac:dyDescent="0.25">
      <c r="A69" s="75" t="str">
        <f t="shared" si="322"/>
        <v/>
      </c>
      <c r="B69" s="578" t="str">
        <f t="shared" ref="B69:D69" si="629">IFERROR(O224+($A69*-E69),"")</f>
        <v/>
      </c>
      <c r="C69" s="572" t="str">
        <f t="shared" si="629"/>
        <v/>
      </c>
      <c r="D69" s="576" t="str">
        <f t="shared" si="629"/>
        <v/>
      </c>
      <c r="E69" s="580" t="str">
        <f t="shared" ref="E69:K69" si="630">R224</f>
        <v/>
      </c>
      <c r="F69" s="572" t="str">
        <f t="shared" si="630"/>
        <v/>
      </c>
      <c r="G69" s="579" t="str">
        <f t="shared" si="630"/>
        <v/>
      </c>
      <c r="H69" s="580" t="str">
        <f t="shared" si="630"/>
        <v/>
      </c>
      <c r="I69" s="572" t="str">
        <f t="shared" si="630"/>
        <v/>
      </c>
      <c r="J69" s="483" t="str">
        <f t="shared" si="94"/>
        <v/>
      </c>
      <c r="K69" s="806" t="str">
        <f t="shared" si="630"/>
        <v/>
      </c>
      <c r="L69" s="309"/>
      <c r="M69" s="164" t="str">
        <f t="shared" si="325"/>
        <v/>
      </c>
      <c r="N69" s="575" t="str">
        <f t="shared" si="326"/>
        <v/>
      </c>
      <c r="O69" s="572" t="str">
        <f t="shared" si="327"/>
        <v/>
      </c>
      <c r="P69" s="576" t="str">
        <f t="shared" si="328"/>
        <v/>
      </c>
      <c r="Q69" s="528" t="str">
        <f t="shared" si="144"/>
        <v/>
      </c>
      <c r="R69" s="572" t="str">
        <f t="shared" si="95"/>
        <v/>
      </c>
      <c r="S69" s="577" t="str">
        <f t="shared" si="96"/>
        <v/>
      </c>
      <c r="T69" s="578" t="str">
        <f t="shared" si="97"/>
        <v/>
      </c>
      <c r="U69" s="572" t="str">
        <f t="shared" si="98"/>
        <v/>
      </c>
      <c r="V69" s="579" t="str">
        <f t="shared" si="145"/>
        <v/>
      </c>
      <c r="W69" s="528" t="str">
        <f t="shared" si="268"/>
        <v/>
      </c>
      <c r="X69" s="572" t="str">
        <f t="shared" si="99"/>
        <v/>
      </c>
      <c r="Y69" s="573" t="str">
        <f t="shared" si="271"/>
        <v/>
      </c>
      <c r="Z69" s="575" t="str">
        <f t="shared" si="329"/>
        <v/>
      </c>
      <c r="AA69" s="572" t="str">
        <f t="shared" si="330"/>
        <v/>
      </c>
      <c r="AB69" s="572" t="str">
        <f t="shared" si="331"/>
        <v/>
      </c>
      <c r="AC69" s="579" t="str">
        <f t="shared" si="100"/>
        <v/>
      </c>
      <c r="AD69" s="580" t="str">
        <f t="shared" si="146"/>
        <v/>
      </c>
      <c r="AE69" s="572" t="str">
        <f t="shared" si="101"/>
        <v/>
      </c>
      <c r="AF69" s="576" t="str">
        <f t="shared" si="102"/>
        <v/>
      </c>
      <c r="AG69" s="545" t="str">
        <f t="shared" si="103"/>
        <v/>
      </c>
      <c r="AH69" s="546" t="str">
        <f t="shared" si="104"/>
        <v/>
      </c>
      <c r="AI69" s="528" t="str">
        <f t="shared" si="105"/>
        <v/>
      </c>
      <c r="AJ69" s="529" t="str">
        <f t="shared" si="106"/>
        <v/>
      </c>
      <c r="AK69" s="578" t="str">
        <f t="shared" si="247"/>
        <v/>
      </c>
      <c r="AL69" s="572" t="str">
        <f t="shared" si="107"/>
        <v/>
      </c>
      <c r="AM69" s="577" t="str">
        <f t="shared" si="108"/>
        <v/>
      </c>
      <c r="AN69" s="524" t="str">
        <f t="shared" si="109"/>
        <v/>
      </c>
      <c r="AO69" s="525" t="str">
        <f t="shared" si="604"/>
        <v/>
      </c>
      <c r="AP69" s="528" t="str">
        <f t="shared" si="111"/>
        <v/>
      </c>
      <c r="AQ69" s="529" t="str">
        <f t="shared" si="332"/>
        <v/>
      </c>
      <c r="AR69" s="979"/>
      <c r="AS69" s="954" t="str">
        <f t="shared" si="524"/>
        <v/>
      </c>
      <c r="AT69" s="950" t="str">
        <f t="shared" si="333"/>
        <v/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4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85"/>
        <v/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>IF(ISNUMBER($IK69),(INDEX($X$9:$X$150,MATCH($IK69,$M$9:$M$150,0))*-1),"")</f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 t="e">
        <f t="shared" si="133"/>
        <v>#VALUE!</v>
      </c>
      <c r="JN69" s="960" t="e">
        <f>($JO69-SMALL($JO$9:$JO$88,1))/((Settings!$C$19/2)-((Settings!$C$19/2)-LARGE($JO$9:$JO$88,1))-SMALL($JO$9:$JO$88,1))</f>
        <v>#VALUE!</v>
      </c>
      <c r="JO69" s="162" t="str">
        <f t="shared" si="134"/>
        <v/>
      </c>
      <c r="JP69" s="961" t="str">
        <f t="shared" si="135"/>
        <v/>
      </c>
      <c r="JQ69" s="961" t="str">
        <f t="shared" si="136"/>
        <v/>
      </c>
      <c r="JU69" s="962"/>
      <c r="JV69" s="959"/>
      <c r="JW69" s="959"/>
    </row>
    <row r="70" spans="1:283" ht="15" customHeight="1" x14ac:dyDescent="0.25">
      <c r="A70" s="75" t="str">
        <f t="shared" si="322"/>
        <v/>
      </c>
      <c r="B70" s="578" t="str">
        <f t="shared" ref="B70:D70" si="631">IFERROR(O225+($A70*-E70),"")</f>
        <v/>
      </c>
      <c r="C70" s="572" t="str">
        <f t="shared" si="631"/>
        <v/>
      </c>
      <c r="D70" s="576" t="str">
        <f t="shared" si="631"/>
        <v/>
      </c>
      <c r="E70" s="580" t="str">
        <f t="shared" ref="E70:K70" si="632">R225</f>
        <v/>
      </c>
      <c r="F70" s="572" t="str">
        <f t="shared" si="632"/>
        <v/>
      </c>
      <c r="G70" s="579" t="str">
        <f t="shared" si="632"/>
        <v/>
      </c>
      <c r="H70" s="580" t="str">
        <f t="shared" si="632"/>
        <v/>
      </c>
      <c r="I70" s="572" t="str">
        <f t="shared" si="632"/>
        <v/>
      </c>
      <c r="J70" s="483" t="str">
        <f t="shared" si="94"/>
        <v/>
      </c>
      <c r="K70" s="806" t="str">
        <f t="shared" si="632"/>
        <v/>
      </c>
      <c r="L70" s="309"/>
      <c r="M70" s="164" t="str">
        <f t="shared" si="325"/>
        <v/>
      </c>
      <c r="N70" s="575" t="str">
        <f t="shared" si="326"/>
        <v/>
      </c>
      <c r="O70" s="572" t="str">
        <f t="shared" si="327"/>
        <v/>
      </c>
      <c r="P70" s="576" t="str">
        <f t="shared" si="328"/>
        <v/>
      </c>
      <c r="Q70" s="528" t="str">
        <f t="shared" si="144"/>
        <v/>
      </c>
      <c r="R70" s="572" t="str">
        <f t="shared" si="95"/>
        <v/>
      </c>
      <c r="S70" s="577" t="str">
        <f t="shared" si="96"/>
        <v/>
      </c>
      <c r="T70" s="578" t="str">
        <f t="shared" si="97"/>
        <v/>
      </c>
      <c r="U70" s="572" t="str">
        <f t="shared" si="98"/>
        <v/>
      </c>
      <c r="V70" s="579" t="str">
        <f t="shared" si="145"/>
        <v/>
      </c>
      <c r="W70" s="528" t="str">
        <f t="shared" si="268"/>
        <v/>
      </c>
      <c r="X70" s="572" t="str">
        <f t="shared" si="99"/>
        <v/>
      </c>
      <c r="Y70" s="573" t="str">
        <f t="shared" si="271"/>
        <v/>
      </c>
      <c r="Z70" s="575" t="str">
        <f t="shared" si="329"/>
        <v/>
      </c>
      <c r="AA70" s="572" t="str">
        <f t="shared" si="330"/>
        <v/>
      </c>
      <c r="AB70" s="572" t="str">
        <f t="shared" si="331"/>
        <v/>
      </c>
      <c r="AC70" s="579" t="str">
        <f t="shared" si="100"/>
        <v/>
      </c>
      <c r="AD70" s="580" t="str">
        <f t="shared" si="146"/>
        <v/>
      </c>
      <c r="AE70" s="572" t="str">
        <f t="shared" si="101"/>
        <v/>
      </c>
      <c r="AF70" s="576" t="str">
        <f t="shared" si="102"/>
        <v/>
      </c>
      <c r="AG70" s="545" t="str">
        <f t="shared" si="103"/>
        <v/>
      </c>
      <c r="AH70" s="546" t="str">
        <f t="shared" si="104"/>
        <v/>
      </c>
      <c r="AI70" s="528" t="str">
        <f t="shared" si="105"/>
        <v/>
      </c>
      <c r="AJ70" s="529" t="str">
        <f t="shared" si="106"/>
        <v/>
      </c>
      <c r="AK70" s="578" t="str">
        <f t="shared" si="247"/>
        <v/>
      </c>
      <c r="AL70" s="572" t="str">
        <f t="shared" si="107"/>
        <v/>
      </c>
      <c r="AM70" s="577" t="str">
        <f t="shared" si="108"/>
        <v/>
      </c>
      <c r="AN70" s="524" t="str">
        <f t="shared" si="109"/>
        <v/>
      </c>
      <c r="AO70" s="525" t="str">
        <f t="shared" si="604"/>
        <v/>
      </c>
      <c r="AP70" s="528" t="str">
        <f t="shared" si="111"/>
        <v/>
      </c>
      <c r="AQ70" s="529" t="str">
        <f t="shared" si="332"/>
        <v/>
      </c>
      <c r="AR70" s="979"/>
      <c r="AS70" s="954" t="str">
        <f t="shared" si="524"/>
        <v/>
      </c>
      <c r="AT70" s="950" t="str">
        <f t="shared" si="333"/>
        <v/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4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85"/>
        <v/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 t="e">
        <f t="shared" si="133"/>
        <v>#VALUE!</v>
      </c>
      <c r="JN70" s="960" t="e">
        <f>($JO70-SMALL($JO$9:$JO$88,1))/((Settings!$C$19/2)-((Settings!$C$19/2)-LARGE($JO$9:$JO$88,1))-SMALL($JO$9:$JO$88,1))</f>
        <v>#VALUE!</v>
      </c>
      <c r="JO70" s="162" t="str">
        <f t="shared" si="134"/>
        <v/>
      </c>
      <c r="JP70" s="961" t="str">
        <f t="shared" si="135"/>
        <v/>
      </c>
      <c r="JQ70" s="961" t="str">
        <f t="shared" si="136"/>
        <v/>
      </c>
      <c r="JU70" s="962"/>
      <c r="JV70" s="959"/>
      <c r="JW70" s="959"/>
    </row>
    <row r="71" spans="1:283" ht="15" customHeight="1" x14ac:dyDescent="0.25">
      <c r="A71" s="75" t="str">
        <f t="shared" si="322"/>
        <v/>
      </c>
      <c r="B71" s="578" t="str">
        <f t="shared" ref="B71:D71" si="633">IFERROR(O226+($A71*-E71),"")</f>
        <v/>
      </c>
      <c r="C71" s="572" t="str">
        <f t="shared" si="633"/>
        <v/>
      </c>
      <c r="D71" s="576" t="str">
        <f t="shared" si="633"/>
        <v/>
      </c>
      <c r="E71" s="580" t="str">
        <f t="shared" ref="E71:K71" si="634">R226</f>
        <v/>
      </c>
      <c r="F71" s="572" t="str">
        <f t="shared" si="634"/>
        <v/>
      </c>
      <c r="G71" s="579" t="str">
        <f t="shared" si="634"/>
        <v/>
      </c>
      <c r="H71" s="580" t="str">
        <f t="shared" si="634"/>
        <v/>
      </c>
      <c r="I71" s="572" t="str">
        <f t="shared" si="634"/>
        <v/>
      </c>
      <c r="J71" s="483" t="str">
        <f t="shared" si="94"/>
        <v/>
      </c>
      <c r="K71" s="806" t="str">
        <f t="shared" si="634"/>
        <v/>
      </c>
      <c r="L71" s="309"/>
      <c r="M71" s="164" t="str">
        <f t="shared" si="325"/>
        <v/>
      </c>
      <c r="N71" s="575" t="str">
        <f t="shared" si="326"/>
        <v/>
      </c>
      <c r="O71" s="572" t="str">
        <f t="shared" si="327"/>
        <v/>
      </c>
      <c r="P71" s="576" t="str">
        <f t="shared" si="328"/>
        <v/>
      </c>
      <c r="Q71" s="528" t="str">
        <f t="shared" si="144"/>
        <v/>
      </c>
      <c r="R71" s="572" t="str">
        <f t="shared" si="95"/>
        <v/>
      </c>
      <c r="S71" s="577" t="str">
        <f t="shared" si="96"/>
        <v/>
      </c>
      <c r="T71" s="578" t="str">
        <f t="shared" si="97"/>
        <v/>
      </c>
      <c r="U71" s="572" t="str">
        <f t="shared" si="98"/>
        <v/>
      </c>
      <c r="V71" s="579" t="str">
        <f t="shared" si="145"/>
        <v/>
      </c>
      <c r="W71" s="528" t="str">
        <f t="shared" si="268"/>
        <v/>
      </c>
      <c r="X71" s="572" t="str">
        <f t="shared" si="99"/>
        <v/>
      </c>
      <c r="Y71" s="573" t="str">
        <f t="shared" si="271"/>
        <v/>
      </c>
      <c r="Z71" s="575" t="str">
        <f t="shared" si="329"/>
        <v/>
      </c>
      <c r="AA71" s="572" t="str">
        <f t="shared" si="330"/>
        <v/>
      </c>
      <c r="AB71" s="572" t="str">
        <f t="shared" si="331"/>
        <v/>
      </c>
      <c r="AC71" s="579" t="str">
        <f t="shared" si="100"/>
        <v/>
      </c>
      <c r="AD71" s="580" t="str">
        <f t="shared" si="146"/>
        <v/>
      </c>
      <c r="AE71" s="572" t="str">
        <f t="shared" si="101"/>
        <v/>
      </c>
      <c r="AF71" s="576" t="str">
        <f t="shared" si="102"/>
        <v/>
      </c>
      <c r="AG71" s="545" t="str">
        <f t="shared" si="103"/>
        <v/>
      </c>
      <c r="AH71" s="546" t="str">
        <f t="shared" si="104"/>
        <v/>
      </c>
      <c r="AI71" s="528" t="str">
        <f t="shared" si="105"/>
        <v/>
      </c>
      <c r="AJ71" s="529" t="str">
        <f t="shared" si="106"/>
        <v/>
      </c>
      <c r="AK71" s="578" t="str">
        <f t="shared" si="247"/>
        <v/>
      </c>
      <c r="AL71" s="572" t="str">
        <f t="shared" si="107"/>
        <v/>
      </c>
      <c r="AM71" s="577" t="str">
        <f t="shared" si="108"/>
        <v/>
      </c>
      <c r="AN71" s="524" t="str">
        <f t="shared" si="109"/>
        <v/>
      </c>
      <c r="AO71" s="525" t="str">
        <f t="shared" si="604"/>
        <v/>
      </c>
      <c r="AP71" s="528" t="str">
        <f t="shared" si="111"/>
        <v/>
      </c>
      <c r="AQ71" s="529" t="str">
        <f t="shared" si="332"/>
        <v/>
      </c>
      <c r="AR71" s="979"/>
      <c r="AS71" s="954" t="str">
        <f t="shared" si="524"/>
        <v/>
      </c>
      <c r="AT71" s="950" t="str">
        <f t="shared" si="333"/>
        <v/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4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85"/>
        <v/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 t="e">
        <f t="shared" si="133"/>
        <v>#VALUE!</v>
      </c>
      <c r="JN71" s="960" t="e">
        <f>($JO71-SMALL($JO$9:$JO$88,1))/((Settings!$C$19/2)-((Settings!$C$19/2)-LARGE($JO$9:$JO$88,1))-SMALL($JO$9:$JO$88,1))</f>
        <v>#VALUE!</v>
      </c>
      <c r="JO71" s="162" t="str">
        <f t="shared" ref="JO71:JO88" si="635">X71</f>
        <v/>
      </c>
      <c r="JP71" s="961" t="str">
        <f t="shared" ref="JP71:JP88" si="636">AN71</f>
        <v/>
      </c>
      <c r="JQ71" s="961" t="str">
        <f t="shared" ref="JQ71:JQ88" si="637">AO71</f>
        <v/>
      </c>
      <c r="JU71" s="962"/>
      <c r="JV71" s="959"/>
      <c r="JW71" s="959"/>
    </row>
    <row r="72" spans="1:283" ht="15" customHeight="1" x14ac:dyDescent="0.25">
      <c r="A72" s="75" t="str">
        <f t="shared" si="322"/>
        <v/>
      </c>
      <c r="B72" s="578" t="str">
        <f t="shared" ref="B72:D72" si="638">IFERROR(O227+($A72*-E72),"")</f>
        <v/>
      </c>
      <c r="C72" s="572" t="str">
        <f t="shared" si="638"/>
        <v/>
      </c>
      <c r="D72" s="576" t="str">
        <f t="shared" si="638"/>
        <v/>
      </c>
      <c r="E72" s="580" t="str">
        <f t="shared" ref="E72:K72" si="639">R227</f>
        <v/>
      </c>
      <c r="F72" s="572" t="str">
        <f t="shared" si="639"/>
        <v/>
      </c>
      <c r="G72" s="579" t="str">
        <f t="shared" si="639"/>
        <v/>
      </c>
      <c r="H72" s="580" t="str">
        <f t="shared" si="639"/>
        <v/>
      </c>
      <c r="I72" s="572" t="str">
        <f t="shared" si="639"/>
        <v/>
      </c>
      <c r="J72" s="483" t="str">
        <f t="shared" si="94"/>
        <v/>
      </c>
      <c r="K72" s="806" t="str">
        <f t="shared" si="639"/>
        <v/>
      </c>
      <c r="L72" s="309"/>
      <c r="M72" s="164" t="str">
        <f t="shared" si="325"/>
        <v/>
      </c>
      <c r="N72" s="575" t="str">
        <f t="shared" si="326"/>
        <v/>
      </c>
      <c r="O72" s="572" t="str">
        <f t="shared" si="327"/>
        <v/>
      </c>
      <c r="P72" s="576" t="str">
        <f t="shared" si="328"/>
        <v/>
      </c>
      <c r="Q72" s="528" t="str">
        <f t="shared" si="144"/>
        <v/>
      </c>
      <c r="R72" s="572" t="str">
        <f t="shared" si="95"/>
        <v/>
      </c>
      <c r="S72" s="577" t="str">
        <f t="shared" si="96"/>
        <v/>
      </c>
      <c r="T72" s="578" t="str">
        <f t="shared" si="97"/>
        <v/>
      </c>
      <c r="U72" s="572" t="str">
        <f t="shared" si="98"/>
        <v/>
      </c>
      <c r="V72" s="579" t="str">
        <f t="shared" si="145"/>
        <v/>
      </c>
      <c r="W72" s="528" t="str">
        <f t="shared" si="268"/>
        <v/>
      </c>
      <c r="X72" s="572" t="str">
        <f t="shared" si="99"/>
        <v/>
      </c>
      <c r="Y72" s="573" t="str">
        <f t="shared" si="271"/>
        <v/>
      </c>
      <c r="Z72" s="575" t="str">
        <f t="shared" si="329"/>
        <v/>
      </c>
      <c r="AA72" s="572" t="str">
        <f t="shared" si="330"/>
        <v/>
      </c>
      <c r="AB72" s="572" t="str">
        <f t="shared" si="331"/>
        <v/>
      </c>
      <c r="AC72" s="579" t="str">
        <f t="shared" si="100"/>
        <v/>
      </c>
      <c r="AD72" s="580" t="str">
        <f t="shared" si="146"/>
        <v/>
      </c>
      <c r="AE72" s="572" t="str">
        <f t="shared" si="101"/>
        <v/>
      </c>
      <c r="AF72" s="576" t="str">
        <f t="shared" si="102"/>
        <v/>
      </c>
      <c r="AG72" s="545" t="str">
        <f t="shared" si="103"/>
        <v/>
      </c>
      <c r="AH72" s="546" t="str">
        <f t="shared" si="104"/>
        <v/>
      </c>
      <c r="AI72" s="528" t="str">
        <f t="shared" si="105"/>
        <v/>
      </c>
      <c r="AJ72" s="529" t="str">
        <f t="shared" si="106"/>
        <v/>
      </c>
      <c r="AK72" s="578" t="str">
        <f t="shared" si="247"/>
        <v/>
      </c>
      <c r="AL72" s="572" t="str">
        <f t="shared" si="107"/>
        <v/>
      </c>
      <c r="AM72" s="577" t="str">
        <f t="shared" si="108"/>
        <v/>
      </c>
      <c r="AN72" s="524" t="str">
        <f t="shared" si="109"/>
        <v/>
      </c>
      <c r="AO72" s="525" t="str">
        <f t="shared" si="604"/>
        <v/>
      </c>
      <c r="AP72" s="528" t="str">
        <f t="shared" si="111"/>
        <v/>
      </c>
      <c r="AQ72" s="529" t="str">
        <f t="shared" si="332"/>
        <v/>
      </c>
      <c r="AR72" s="979"/>
      <c r="AS72" s="954" t="str">
        <f t="shared" si="524"/>
        <v/>
      </c>
      <c r="AT72" s="950" t="str">
        <f t="shared" si="333"/>
        <v/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4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85"/>
        <v/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 t="e">
        <f t="shared" si="133"/>
        <v>#VALUE!</v>
      </c>
      <c r="JN72" s="960" t="e">
        <f>($JO72-SMALL($JO$9:$JO$88,1))/((Settings!$C$19/2)-((Settings!$C$19/2)-LARGE($JO$9:$JO$88,1))-SMALL($JO$9:$JO$88,1))</f>
        <v>#VALUE!</v>
      </c>
      <c r="JO72" s="162" t="str">
        <f t="shared" si="635"/>
        <v/>
      </c>
      <c r="JP72" s="961" t="str">
        <f t="shared" si="636"/>
        <v/>
      </c>
      <c r="JQ72" s="961" t="str">
        <f t="shared" si="637"/>
        <v/>
      </c>
      <c r="JU72" s="962"/>
      <c r="JV72" s="959"/>
      <c r="JW72" s="959"/>
    </row>
    <row r="73" spans="1:283" ht="15" customHeight="1" x14ac:dyDescent="0.25">
      <c r="A73" s="75" t="str">
        <f t="shared" ref="A73:A104" si="640">IF($K73="","",IF(AND($A$8="Y",ISNUMBER($K73)),$A$5,0))</f>
        <v/>
      </c>
      <c r="B73" s="578" t="str">
        <f t="shared" ref="B73:D73" si="641">IFERROR(O228+($A73*-E73),"")</f>
        <v/>
      </c>
      <c r="C73" s="572" t="str">
        <f t="shared" si="641"/>
        <v/>
      </c>
      <c r="D73" s="576" t="str">
        <f t="shared" si="641"/>
        <v/>
      </c>
      <c r="E73" s="580" t="str">
        <f t="shared" ref="E73:K73" si="642">R228</f>
        <v/>
      </c>
      <c r="F73" s="572" t="str">
        <f t="shared" si="642"/>
        <v/>
      </c>
      <c r="G73" s="579" t="str">
        <f t="shared" si="642"/>
        <v/>
      </c>
      <c r="H73" s="580" t="str">
        <f t="shared" si="642"/>
        <v/>
      </c>
      <c r="I73" s="572" t="str">
        <f t="shared" si="642"/>
        <v/>
      </c>
      <c r="J73" s="483" t="str">
        <f t="shared" si="94"/>
        <v/>
      </c>
      <c r="K73" s="806" t="str">
        <f t="shared" si="642"/>
        <v/>
      </c>
      <c r="L73" s="309"/>
      <c r="M73" s="164" t="str">
        <f t="shared" ref="M73:M104" si="643">IF(J73="","",VALUE(J73))</f>
        <v/>
      </c>
      <c r="N73" s="575" t="str">
        <f t="shared" ref="N73:N104" si="644">IF(M73="","",B73)</f>
        <v/>
      </c>
      <c r="O73" s="572" t="str">
        <f t="shared" ref="O73:O104" si="645">IF(M73="","",C73)</f>
        <v/>
      </c>
      <c r="P73" s="576" t="str">
        <f t="shared" ref="P73:P104" si="646">IF(M73="","",D73)</f>
        <v/>
      </c>
      <c r="Q73" s="528" t="str">
        <f t="shared" si="14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68"/>
        <v/>
      </c>
      <c r="X73" s="572" t="str">
        <f>IF(M73="","",R73)</f>
        <v/>
      </c>
      <c r="Y73" s="573" t="str">
        <f t="shared" si="271"/>
        <v/>
      </c>
      <c r="Z73" s="575" t="str">
        <f t="shared" ref="Z73:Z104" si="647">IF(M73="","",-E73)</f>
        <v/>
      </c>
      <c r="AA73" s="572" t="str">
        <f t="shared" ref="AA73:AA104" si="648">IF(M73="","",-F73)</f>
        <v/>
      </c>
      <c r="AB73" s="572" t="str">
        <f t="shared" ref="AB73:AB104" si="649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604"/>
        <v/>
      </c>
      <c r="AP73" s="528" t="str">
        <f>IF(M73="","",DEGREES(ATAN2(AK73,AL73)))</f>
        <v/>
      </c>
      <c r="AQ73" s="529" t="str">
        <f t="shared" ref="AQ73:AQ104" si="650">IF(M73="","",DEGREES(ATAN(($AS$5*SIN(RADIANS(90)))/(($X73*2*PI())-($AS$5*COS(RADIANS(90)))))))</f>
        <v/>
      </c>
      <c r="AR73" s="979"/>
      <c r="AS73" s="954" t="str">
        <f t="shared" si="524"/>
        <v/>
      </c>
      <c r="AT73" s="950" t="str">
        <f t="shared" ref="AT73:AT104" si="651">IF(M73="","",Y73+(((AS73-$AS$9)*$AS$6)*-1))</f>
        <v/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4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713">IF(ISNUMBER($IK73),INDEX($K$9:$K$150,MATCH($IK73,$M$9:$M$150,0)),$K73)</f>
        <v/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 t="e">
        <f t="shared" si="133"/>
        <v>#VALUE!</v>
      </c>
      <c r="JN73" s="960" t="e">
        <f>($JO73-SMALL($JO$9:$JO$88,1))/((Settings!$C$19/2)-((Settings!$C$19/2)-LARGE($JO$9:$JO$88,1))-SMALL($JO$9:$JO$88,1))</f>
        <v>#VALUE!</v>
      </c>
      <c r="JO73" s="162" t="str">
        <f t="shared" si="635"/>
        <v/>
      </c>
      <c r="JP73" s="961" t="str">
        <f t="shared" si="636"/>
        <v/>
      </c>
      <c r="JQ73" s="961" t="str">
        <f t="shared" si="637"/>
        <v/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>
        <v>3.8322760573998201E-2</v>
      </c>
      <c r="IP78" s="5" t="str">
        <f t="shared" si="715"/>
        <v/>
      </c>
      <c r="IQ78" s="714">
        <v>420</v>
      </c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>
        <v>3.5763600033360501E-2</v>
      </c>
      <c r="IP79" s="5" t="str">
        <f t="shared" si="715"/>
        <v/>
      </c>
      <c r="IQ79" s="714">
        <v>500</v>
      </c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>
        <v>3.37660793965818E-2</v>
      </c>
      <c r="IP80" s="5" t="str">
        <f t="shared" si="715"/>
        <v/>
      </c>
      <c r="IQ80" s="714">
        <v>600</v>
      </c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>
        <v>3.1891358274996597E-2</v>
      </c>
      <c r="IP81" s="5" t="str">
        <f t="shared" si="715"/>
        <v/>
      </c>
      <c r="IQ81" s="714">
        <v>720</v>
      </c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>
        <v>2.9876616997133801E-2</v>
      </c>
      <c r="IP82" s="5" t="str">
        <f t="shared" si="715"/>
        <v/>
      </c>
      <c r="IQ82" s="714">
        <v>880</v>
      </c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>
        <v>2.7647064820249902E-2</v>
      </c>
      <c r="IP83" s="5" t="str">
        <f t="shared" si="715"/>
        <v/>
      </c>
      <c r="IQ83" s="714">
        <v>1070</v>
      </c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>
        <v>2.6469513751967901E-2</v>
      </c>
      <c r="IP84" s="5" t="str">
        <f t="shared" si="715"/>
        <v/>
      </c>
      <c r="IQ84" s="714">
        <v>1210</v>
      </c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>
        <v>2.53380673903662E-2</v>
      </c>
      <c r="IP85" s="5" t="str">
        <f t="shared" si="715"/>
        <v/>
      </c>
      <c r="IQ85" s="714">
        <v>1380</v>
      </c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>
        <v>3.7359936435093603E-2</v>
      </c>
      <c r="IP99" s="5" t="str">
        <f t="shared" si="715"/>
        <v/>
      </c>
      <c r="IQ99" s="714">
        <v>450</v>
      </c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>
        <v>3.5045320836344998E-2</v>
      </c>
      <c r="IP100" s="5" t="str">
        <f t="shared" si="715"/>
        <v/>
      </c>
      <c r="IQ100" s="714">
        <v>530</v>
      </c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>
        <v>3.3116741498209E-2</v>
      </c>
      <c r="IP101" s="5" t="str">
        <f t="shared" si="715"/>
        <v/>
      </c>
      <c r="IQ101" s="714">
        <v>640</v>
      </c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>
        <v>3.12471047136848E-2</v>
      </c>
      <c r="IP102" s="5" t="str">
        <f t="shared" si="715"/>
        <v/>
      </c>
      <c r="IQ102" s="714">
        <v>770</v>
      </c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>
        <v>2.9175360224121899E-2</v>
      </c>
      <c r="IP103" s="5" t="str">
        <f t="shared" si="715"/>
        <v/>
      </c>
      <c r="IQ103" s="714">
        <v>940</v>
      </c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>
        <v>2.7270129450664999E-2</v>
      </c>
      <c r="IP104" s="5" t="str">
        <f t="shared" si="715"/>
        <v/>
      </c>
      <c r="IQ104" s="714">
        <v>1120</v>
      </c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>
        <v>2.6115504411547499E-2</v>
      </c>
      <c r="IP105" s="5" t="str">
        <f t="shared" ref="IP105:IP136" si="992">IF(ISNUMBER($IK105),(($IQ105*12)/60)/$AS$3,"")</f>
        <v/>
      </c>
      <c r="IQ105" s="714">
        <v>1270</v>
      </c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>
        <v>3.9384943410453101E-2</v>
      </c>
      <c r="IP116" s="5" t="str">
        <f t="shared" si="992"/>
        <v/>
      </c>
      <c r="IQ116" s="714">
        <v>400</v>
      </c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>
        <v>3.6515543168214898E-2</v>
      </c>
      <c r="IP117" s="5" t="str">
        <f t="shared" si="992"/>
        <v/>
      </c>
      <c r="IQ117" s="714">
        <v>470</v>
      </c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>
        <v>3.44026003604819E-2</v>
      </c>
      <c r="IP118" s="5" t="str">
        <f t="shared" si="992"/>
        <v/>
      </c>
      <c r="IQ118" s="714">
        <v>560</v>
      </c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>
        <v>3.2515620511347799E-2</v>
      </c>
      <c r="IP119" s="5" t="str">
        <f t="shared" si="992"/>
        <v/>
      </c>
      <c r="IQ119" s="714">
        <v>680</v>
      </c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>
        <v>3.05830095881513E-2</v>
      </c>
      <c r="IP120" s="5" t="str">
        <f t="shared" si="992"/>
        <v/>
      </c>
      <c r="IQ120" s="714">
        <v>820</v>
      </c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>
        <v>2.8423563354491199E-2</v>
      </c>
      <c r="IP121" s="5" t="str">
        <f t="shared" si="992"/>
        <v/>
      </c>
      <c r="IQ121" s="714">
        <v>1000</v>
      </c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>
        <v>2.6871514487582199E-2</v>
      </c>
      <c r="IP122" s="5" t="str">
        <f t="shared" si="992"/>
        <v/>
      </c>
      <c r="IQ122" s="714">
        <v>1160</v>
      </c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>
        <v>2.5723717152020001E-2</v>
      </c>
      <c r="IP123" s="5" t="str">
        <f t="shared" si="992"/>
        <v/>
      </c>
      <c r="IQ123" s="714">
        <v>1320</v>
      </c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1.343141391509723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0.34330103539592277</v>
      </c>
      <c r="D164" s="647">
        <v>-0.49520149352770448</v>
      </c>
      <c r="E164" s="648">
        <v>-0.93969263802333458</v>
      </c>
      <c r="F164" s="646">
        <v>-8.8521302156295584E-2</v>
      </c>
      <c r="G164" s="649">
        <v>0.33036604714967344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0.34330103539592277</v>
      </c>
      <c r="Q164" s="162">
        <f t="shared" ref="Q164:Q195" si="1326">IFERROR(INDEX(D$164:D$305,MATCH($W164,$J$164:$J$305,0)),"")</f>
        <v>-0.49520149352770448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-8.8521302156295584E-2</v>
      </c>
      <c r="T164" s="162">
        <f t="shared" ref="T164:T227" si="1328">IFERROR(IF($L164="Y",-1*INDEX(G$164:G$305,MATCH($W164,$J$164:$J$305,0)),INDEX(G$164:G$305,MATCH($W164,$J$164:$J$305,0))),"")</f>
        <v>0.33036604714967344</v>
      </c>
      <c r="U164" s="162">
        <f>IFERROR(IF(ISNUMBER(MATCH($X164,Settings!$AK$52:$AK$60,0)),INDEX(Settings!$AO$14:$AO$60,MATCH($X164,Settings!$AK$14:$AK$60,0))/2,INDEX(Settings!$AM$14:$AM$60,MATCH($X164,Settings!$AK$14:$AK$60,0))/2),"")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195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3.9056889284418761E-16</v>
      </c>
      <c r="C165" s="651">
        <v>1.0693032250185266</v>
      </c>
      <c r="D165" s="652">
        <v>-0.30070090691393542</v>
      </c>
      <c r="E165" s="653">
        <v>-0.96592583607220739</v>
      </c>
      <c r="F165" s="651">
        <v>-6.6987279208207184E-2</v>
      </c>
      <c r="G165" s="654">
        <v>0.24999996726497564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3.9056889284418761E-16</v>
      </c>
      <c r="P165" s="162">
        <f t="shared" si="1325"/>
        <v>1.0693032250185266</v>
      </c>
      <c r="Q165" s="162">
        <f t="shared" si="1326"/>
        <v>-0.30070090691393542</v>
      </c>
      <c r="R165" s="162">
        <f t="shared" ref="R165:R228" si="1331">IFERROR(IF($L165="Y",-1*INDEX(E$164:E$305,MATCH($W165,$J$164:$J$305,0)),INDEX(E$164:E$305,MATCH($W165,$J$164:$J$305,0))),"")</f>
        <v>-0.96592583607220739</v>
      </c>
      <c r="S165" s="162">
        <f t="shared" si="1327"/>
        <v>-6.6987279208207184E-2</v>
      </c>
      <c r="T165" s="162">
        <f t="shared" si="1328"/>
        <v>0.24999996726497564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-8.5370249802008226E-18</v>
      </c>
      <c r="C166" s="651">
        <v>1.7943054116251218</v>
      </c>
      <c r="D166" s="652">
        <v>-0.1065003212049688</v>
      </c>
      <c r="E166" s="653">
        <v>-0.98480775301220813</v>
      </c>
      <c r="F166" s="651">
        <v>-4.4943449187448817E-2</v>
      </c>
      <c r="G166" s="654">
        <v>0.16773126119534493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-8.5370249802008226E-18</v>
      </c>
      <c r="P166" s="162">
        <f t="shared" si="1325"/>
        <v>1.7943054116251218</v>
      </c>
      <c r="Q166" s="162">
        <f t="shared" si="1326"/>
        <v>-0.1065003212049688</v>
      </c>
      <c r="R166" s="162">
        <f>IFERROR(IF($L166="Y",-1*INDEX(E$164:E$305,MATCH($W166,$J$164:$J$305,0)),INDEX(E$164:E$305,MATCH($W166,$J$164:$J$305,0))),"")</f>
        <v>-0.98480775301220813</v>
      </c>
      <c r="S166" s="162">
        <f t="shared" si="1327"/>
        <v>-4.4943449187448817E-2</v>
      </c>
      <c r="T166" s="162">
        <f t="shared" si="1328"/>
        <v>0.16773126119534493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4.1525127014845876E-2</v>
      </c>
      <c r="C167" s="651">
        <v>2.6171784885812936</v>
      </c>
      <c r="D167" s="652">
        <v>-0.10080030401371684</v>
      </c>
      <c r="E167" s="653">
        <v>-0.96101099711342941</v>
      </c>
      <c r="F167" s="651">
        <v>0.13603385418383587</v>
      </c>
      <c r="G167" s="654">
        <v>0.24073357460674868</v>
      </c>
      <c r="H167" s="653">
        <v>0.314</v>
      </c>
      <c r="I167" s="942">
        <v>0.52</v>
      </c>
      <c r="J167" s="946">
        <v>1.1120000000000001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4.1525127014845876E-2</v>
      </c>
      <c r="P167" s="162">
        <f t="shared" si="1325"/>
        <v>2.6171784885812936</v>
      </c>
      <c r="Q167" s="162">
        <f t="shared" si="1326"/>
        <v>-0.10080030401371684</v>
      </c>
      <c r="R167" s="162">
        <f>IFERROR(IF($L167="Y",-1*INDEX(E$164:E$305,MATCH($W167,$J$164:$J$305,0)),INDEX(E$164:E$305,MATCH($W167,$J$164:$J$305,0))),"")</f>
        <v>-0.96101099711342941</v>
      </c>
      <c r="S167" s="162">
        <f t="shared" si="1327"/>
        <v>0.13603385418383587</v>
      </c>
      <c r="T167" s="162">
        <f t="shared" si="1328"/>
        <v>0.24073357460674868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1.1120000000000001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0.1091638821707743</v>
      </c>
      <c r="C168" s="651">
        <v>3.283095543207676</v>
      </c>
      <c r="D168" s="652">
        <v>-0.5247015824999729</v>
      </c>
      <c r="E168" s="653">
        <v>-0.93948851336091654</v>
      </c>
      <c r="F168" s="651">
        <v>0.29625628196016229</v>
      </c>
      <c r="G168" s="654">
        <v>0.17202775549903498</v>
      </c>
      <c r="H168" s="653">
        <v>0.314</v>
      </c>
      <c r="I168" s="942">
        <v>0.52</v>
      </c>
      <c r="J168" s="946">
        <v>1.1180000000000001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0.1091638821707743</v>
      </c>
      <c r="P168" s="162">
        <f t="shared" si="1325"/>
        <v>3.283095543207676</v>
      </c>
      <c r="Q168" s="162">
        <f t="shared" si="1326"/>
        <v>-0.5247015824999729</v>
      </c>
      <c r="R168" s="162">
        <f t="shared" si="1331"/>
        <v>-0.93948851336091654</v>
      </c>
      <c r="S168" s="162">
        <f t="shared" si="1327"/>
        <v>0.29625628196016229</v>
      </c>
      <c r="T168" s="162">
        <f t="shared" si="1328"/>
        <v>0.17202775549903498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1.1180000000000001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0.15588234920333341</v>
      </c>
      <c r="C169" s="651">
        <v>3.6207569275582911</v>
      </c>
      <c r="D169" s="652">
        <v>-1.2188036759118865</v>
      </c>
      <c r="E169" s="653">
        <v>-0.87691222519662104</v>
      </c>
      <c r="F169" s="651">
        <v>0.4666214331930808</v>
      </c>
      <c r="G169" s="654">
        <v>0.11527960524544605</v>
      </c>
      <c r="H169" s="653">
        <v>0.314</v>
      </c>
      <c r="I169" s="942">
        <v>0.52</v>
      </c>
      <c r="J169" s="946">
        <v>1.1240000000000001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0.15588234920333341</v>
      </c>
      <c r="P169" s="162">
        <f t="shared" si="1325"/>
        <v>3.6207569275582911</v>
      </c>
      <c r="Q169" s="162">
        <f t="shared" si="1326"/>
        <v>-1.2188036759118865</v>
      </c>
      <c r="R169" s="162">
        <f t="shared" si="1331"/>
        <v>-0.87691222519662104</v>
      </c>
      <c r="S169" s="162">
        <f t="shared" si="1327"/>
        <v>0.4666214331930808</v>
      </c>
      <c r="T169" s="162">
        <f t="shared" si="1328"/>
        <v>0.11527960524544605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1.1240000000000001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0.16481987833048795</v>
      </c>
      <c r="C170" s="651">
        <v>3.6792100806704591</v>
      </c>
      <c r="D170" s="652">
        <v>-2.0039999999999996</v>
      </c>
      <c r="E170" s="653">
        <v>-0.84278135614737548</v>
      </c>
      <c r="F170" s="651">
        <v>0.5382560596318241</v>
      </c>
      <c r="G170" s="654">
        <v>1.1339744831728188E-7</v>
      </c>
      <c r="H170" s="653">
        <v>0.314</v>
      </c>
      <c r="I170" s="942">
        <v>0.52</v>
      </c>
      <c r="J170" s="946">
        <v>1.1299999999999999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0.16481987833048795</v>
      </c>
      <c r="P170" s="162">
        <f t="shared" si="1325"/>
        <v>3.6792100806704591</v>
      </c>
      <c r="Q170" s="162">
        <f t="shared" si="1326"/>
        <v>-2.0039999999999996</v>
      </c>
      <c r="R170" s="162">
        <f t="shared" si="1331"/>
        <v>-0.84278135614737548</v>
      </c>
      <c r="S170" s="162">
        <f t="shared" si="1327"/>
        <v>0.5382560596318241</v>
      </c>
      <c r="T170" s="162">
        <f t="shared" si="1328"/>
        <v>1.1339744831728188E-7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1.1299999999999999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2.0514231182241853</v>
      </c>
      <c r="C171" s="651">
        <v>1.39768152604278</v>
      </c>
      <c r="D171" s="652">
        <v>-6.8100205390219562E-2</v>
      </c>
      <c r="E171" s="653">
        <v>-0.45738172233859925</v>
      </c>
      <c r="F171" s="651">
        <v>0.85452443201725636</v>
      </c>
      <c r="G171" s="654">
        <v>0.24615026946189156</v>
      </c>
      <c r="H171" s="653">
        <v>0.314</v>
      </c>
      <c r="I171" s="942">
        <v>0.52</v>
      </c>
      <c r="J171" s="946">
        <v>2.1110000000000002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2.0514231182241853</v>
      </c>
      <c r="P171" s="162">
        <f t="shared" si="1325"/>
        <v>1.39768152604278</v>
      </c>
      <c r="Q171" s="162">
        <f t="shared" si="1326"/>
        <v>-6.8100205390219562E-2</v>
      </c>
      <c r="R171" s="162">
        <f>IFERROR(IF($L171="Y",-1*INDEX(E$164:E$305,MATCH($W171,$J$164:$J$305,0)),INDEX(E$164:E$305,MATCH($W171,$J$164:$J$305,0))),"")</f>
        <v>-0.45738172233859925</v>
      </c>
      <c r="S171" s="162">
        <f t="shared" si="1327"/>
        <v>0.85452443201725636</v>
      </c>
      <c r="T171" s="162">
        <f t="shared" si="1328"/>
        <v>0.24615026946189156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2.1110000000000002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2.6694433370615047</v>
      </c>
      <c r="C172" s="651">
        <v>1.7497774035637161</v>
      </c>
      <c r="D172" s="652">
        <v>-0.42990129658231047</v>
      </c>
      <c r="E172" s="653">
        <v>-0.32316837426443368</v>
      </c>
      <c r="F172" s="651">
        <v>0.92946837998477394</v>
      </c>
      <c r="G172" s="654">
        <v>0.17790652737817955</v>
      </c>
      <c r="H172" s="653">
        <v>0.314</v>
      </c>
      <c r="I172" s="942">
        <v>0.52</v>
      </c>
      <c r="J172" s="946">
        <v>2.117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2.6694433370615047</v>
      </c>
      <c r="P172" s="162">
        <f t="shared" si="1325"/>
        <v>1.7497774035637161</v>
      </c>
      <c r="Q172" s="162">
        <f t="shared" si="1326"/>
        <v>-0.42990129658231047</v>
      </c>
      <c r="R172" s="162">
        <f t="shared" si="1331"/>
        <v>-0.32316837426443368</v>
      </c>
      <c r="S172" s="162">
        <f t="shared" si="1327"/>
        <v>0.92946837998477394</v>
      </c>
      <c r="T172" s="162">
        <f t="shared" si="1328"/>
        <v>0.17790652737817955</v>
      </c>
      <c r="U172" s="162">
        <f>IFERROR(IF(ISNUMBER(MATCH($X172,Settings!$AK$52:$AK$60,0)),INDEX(Settings!$AO$14:$AO$60,MATCH($X172,Settings!$AK$14:$AK$60,0))/2,INDEX(Settings!$AM$14:$AM$60,MATCH($X172,Settings!$AK$14:$AK$60,0))/2),"")</f>
        <v>0.3125</v>
      </c>
      <c r="V172" s="162">
        <f t="shared" si="1329"/>
        <v>0.52</v>
      </c>
      <c r="W172" s="75">
        <v>2.117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3.0324059417669922</v>
      </c>
      <c r="C173" s="651">
        <v>1.9376569042580503</v>
      </c>
      <c r="D173" s="652">
        <v>-1.0918032928787313</v>
      </c>
      <c r="E173" s="653">
        <v>-0.1435454277288527</v>
      </c>
      <c r="F173" s="651">
        <v>0.98056810289493512</v>
      </c>
      <c r="G173" s="654">
        <v>0.13371950404921806</v>
      </c>
      <c r="H173" s="653">
        <v>0.314</v>
      </c>
      <c r="I173" s="942">
        <v>0.52</v>
      </c>
      <c r="J173" s="946">
        <v>2.1230000000000002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3.0324059417669922</v>
      </c>
      <c r="P173" s="162">
        <f t="shared" si="1325"/>
        <v>1.9376569042580503</v>
      </c>
      <c r="Q173" s="162">
        <f t="shared" si="1326"/>
        <v>-1.0918032928787313</v>
      </c>
      <c r="R173" s="162">
        <f t="shared" si="1331"/>
        <v>-0.1435454277288527</v>
      </c>
      <c r="S173" s="162">
        <f t="shared" si="1327"/>
        <v>0.98056810289493512</v>
      </c>
      <c r="T173" s="162">
        <f t="shared" si="1328"/>
        <v>0.13371950404921806</v>
      </c>
      <c r="U173" s="162">
        <f>IFERROR(IF(ISNUMBER(MATCH($X173,Settings!$AK$52:$AK$60,0)),INDEX(Settings!$AO$14:$AO$60,MATCH($X173,Settings!$AK$14:$AK$60,0))/2,INDEX(Settings!$AM$14:$AM$60,MATCH($X173,Settings!$AK$14:$AK$60,0))/2),"")</f>
        <v>0.3125</v>
      </c>
      <c r="V173" s="162">
        <f t="shared" si="1329"/>
        <v>0.52</v>
      </c>
      <c r="W173" s="75">
        <v>2.1230000000000002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3.1083692574024866</v>
      </c>
      <c r="C174" s="651">
        <v>1.9752956663839238</v>
      </c>
      <c r="D174" s="652">
        <v>-1.8859999999999997</v>
      </c>
      <c r="E174" s="653">
        <v>-4.2485975283767075E-2</v>
      </c>
      <c r="F174" s="651">
        <v>0.99909706330474934</v>
      </c>
      <c r="G174" s="654">
        <v>1.1339744821699087E-7</v>
      </c>
      <c r="H174" s="653">
        <v>0.314</v>
      </c>
      <c r="I174" s="942">
        <v>0.52</v>
      </c>
      <c r="J174" s="946">
        <v>2.129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3.1083692574024866</v>
      </c>
      <c r="P174" s="162">
        <f t="shared" si="1325"/>
        <v>1.9752956663839238</v>
      </c>
      <c r="Q174" s="162">
        <f t="shared" si="1326"/>
        <v>-1.8859999999999997</v>
      </c>
      <c r="R174" s="162">
        <f t="shared" si="1331"/>
        <v>-4.2485975283767075E-2</v>
      </c>
      <c r="S174" s="162">
        <f t="shared" si="1327"/>
        <v>0.99909706330474934</v>
      </c>
      <c r="T174" s="162">
        <f t="shared" si="1328"/>
        <v>1.1339744821699087E-7</v>
      </c>
      <c r="U174" s="162">
        <f>IFERROR(IF(ISNUMBER(MATCH($X174,Settings!$AK$52:$AK$60,0)),INDEX(Settings!$AO$14:$AO$60,MATCH($X174,Settings!$AK$14:$AK$60,0))/2,INDEX(Settings!$AM$14:$AM$60,MATCH($X174,Settings!$AK$14:$AK$60,0))/2),"")</f>
        <v>0.3125</v>
      </c>
      <c r="V174" s="162">
        <f t="shared" si="1329"/>
        <v>0.52</v>
      </c>
      <c r="W174" s="75">
        <v>2.129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0.50749241721481131</v>
      </c>
      <c r="C175" s="651">
        <v>-0.29300088369066563</v>
      </c>
      <c r="D175" s="652">
        <v>-0.43020129748711322</v>
      </c>
      <c r="E175" s="653">
        <v>0.40945713989620697</v>
      </c>
      <c r="F175" s="651">
        <v>0.86485730186198995</v>
      </c>
      <c r="G175" s="654">
        <v>0.29045946017304536</v>
      </c>
      <c r="H175" s="653">
        <v>0.314</v>
      </c>
      <c r="I175" s="942">
        <v>0.52</v>
      </c>
      <c r="J175" s="946">
        <v>3.1019999999999999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0.50749241721481131</v>
      </c>
      <c r="P175" s="162">
        <f t="shared" si="1325"/>
        <v>-0.29300088369066563</v>
      </c>
      <c r="Q175" s="162">
        <f t="shared" si="1326"/>
        <v>-0.43020129748711322</v>
      </c>
      <c r="R175" s="162">
        <f t="shared" si="1331"/>
        <v>0.40945713989620697</v>
      </c>
      <c r="S175" s="162">
        <f t="shared" si="1327"/>
        <v>0.86485730186198995</v>
      </c>
      <c r="T175" s="162">
        <f t="shared" si="1328"/>
        <v>0.29045946017304536</v>
      </c>
      <c r="U175" s="162">
        <f>IFERROR(IF(ISNUMBER(MATCH($X175,Settings!$AK$52:$AK$60,0)),INDEX(Settings!$AO$14:$AO$60,MATCH($X175,Settings!$AK$14:$AK$60,0))/2,INDEX(Settings!$AM$14:$AM$60,MATCH($X175,Settings!$AK$14:$AK$60,0))/2),"")</f>
        <v>0.3125</v>
      </c>
      <c r="V175" s="162">
        <f t="shared" si="1329"/>
        <v>0.52</v>
      </c>
      <c r="W175" s="75">
        <v>3.1019999999999999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1.1353627286153885</v>
      </c>
      <c r="C176" s="651">
        <v>-0.65550197699396351</v>
      </c>
      <c r="D176" s="652">
        <v>-0.23600071177814683</v>
      </c>
      <c r="E176" s="653">
        <v>0.42495023251139563</v>
      </c>
      <c r="F176" s="651">
        <v>0.87000995181435825</v>
      </c>
      <c r="G176" s="654">
        <v>0.24999996726497567</v>
      </c>
      <c r="H176" s="653">
        <v>0.314</v>
      </c>
      <c r="I176" s="942">
        <v>0.52</v>
      </c>
      <c r="J176" s="946">
        <v>3.105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1.1353627286153885</v>
      </c>
      <c r="P176" s="162">
        <f t="shared" si="1325"/>
        <v>-0.65550197699396351</v>
      </c>
      <c r="Q176" s="162">
        <f t="shared" si="1326"/>
        <v>-0.23600071177814683</v>
      </c>
      <c r="R176" s="162">
        <f t="shared" si="1331"/>
        <v>0.42495023251139563</v>
      </c>
      <c r="S176" s="162">
        <f t="shared" si="1327"/>
        <v>0.87000995181435825</v>
      </c>
      <c r="T176" s="162">
        <f t="shared" si="1328"/>
        <v>0.24999996726497567</v>
      </c>
      <c r="U176" s="162">
        <f>IFERROR(IF(ISNUMBER(MATCH($X176,Settings!$AK$52:$AK$60,0)),INDEX(Settings!$AO$14:$AO$60,MATCH($X176,Settings!$AK$14:$AK$60,0))/2,INDEX(Settings!$AM$14:$AM$60,MATCH($X176,Settings!$AK$14:$AK$60,0))/2),"")</f>
        <v>0.3125</v>
      </c>
      <c r="V176" s="162">
        <f t="shared" si="1329"/>
        <v>0.52</v>
      </c>
      <c r="W176" s="75">
        <v>3.105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1.7856242987971149</v>
      </c>
      <c r="C177" s="651">
        <v>-1.0423729708120617</v>
      </c>
      <c r="D177" s="652">
        <v>-5.0900153514863149E-2</v>
      </c>
      <c r="E177" s="653">
        <v>0.50626769450897102</v>
      </c>
      <c r="F177" s="651">
        <v>0.82212966165481816</v>
      </c>
      <c r="G177" s="654">
        <v>0.26037634478559207</v>
      </c>
      <c r="H177" s="653">
        <v>0.314</v>
      </c>
      <c r="I177" s="942">
        <v>0.52</v>
      </c>
      <c r="J177" s="946">
        <v>3.1080000000000001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1.7856242987971149</v>
      </c>
      <c r="P177" s="162">
        <f t="shared" si="1325"/>
        <v>-1.0423729708120617</v>
      </c>
      <c r="Q177" s="162">
        <f t="shared" si="1326"/>
        <v>-5.0900153514863149E-2</v>
      </c>
      <c r="R177" s="162">
        <f t="shared" si="1331"/>
        <v>0.50626769450897102</v>
      </c>
      <c r="S177" s="162">
        <f t="shared" si="1327"/>
        <v>0.82212966165481816</v>
      </c>
      <c r="T177" s="162">
        <f t="shared" si="1328"/>
        <v>0.26037634478559207</v>
      </c>
      <c r="U177" s="162">
        <f>IFERROR(IF(ISNUMBER(MATCH($X177,Settings!$AK$52:$AK$60,0)),INDEX(Settings!$AO$14:$AO$60,MATCH($X177,Settings!$AK$14:$AK$60,0))/2,INDEX(Settings!$AM$14:$AM$60,MATCH($X177,Settings!$AK$14:$AK$60,0))/2),"")</f>
        <v>0.3125</v>
      </c>
      <c r="V177" s="162">
        <f t="shared" si="1329"/>
        <v>0.52</v>
      </c>
      <c r="W177" s="75">
        <v>3.1080000000000001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2.4496326622762261</v>
      </c>
      <c r="C178" s="651">
        <v>-1.4869474479237548</v>
      </c>
      <c r="D178" s="652">
        <v>-0.20000060320181925</v>
      </c>
      <c r="E178" s="653">
        <v>0.64768868444151129</v>
      </c>
      <c r="F178" s="651">
        <v>0.73169773292332718</v>
      </c>
      <c r="G178" s="654">
        <v>0.21240949997890363</v>
      </c>
      <c r="H178" s="653">
        <v>0.314</v>
      </c>
      <c r="I178" s="942">
        <v>0.52</v>
      </c>
      <c r="J178" s="946">
        <v>3.1139999999999999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1613</v>
      </c>
      <c r="L178" s="683"/>
      <c r="M178" s="934"/>
      <c r="N178" s="31" t="str">
        <f t="shared" si="1330"/>
        <v>Y</v>
      </c>
      <c r="O178" s="162">
        <f t="shared" si="1324"/>
        <v>2.4496326622762261</v>
      </c>
      <c r="P178" s="162">
        <f t="shared" si="1325"/>
        <v>-1.4869474479237548</v>
      </c>
      <c r="Q178" s="162">
        <f t="shared" si="1326"/>
        <v>-0.20000060320181925</v>
      </c>
      <c r="R178" s="162">
        <f>IFERROR(IF($L178="Y",-1*INDEX(E$164:E$305,MATCH($W178,$J$164:$J$305,0)),INDEX(E$164:E$305,MATCH($W178,$J$164:$J$305,0))),"")</f>
        <v>0.64768868444151129</v>
      </c>
      <c r="S178" s="162">
        <f t="shared" si="1327"/>
        <v>0.73169773292332718</v>
      </c>
      <c r="T178" s="162">
        <f t="shared" si="1328"/>
        <v>0.21240949997890363</v>
      </c>
      <c r="U178" s="162">
        <f>IFERROR(IF(ISNUMBER(MATCH($X178,Settings!$AK$52:$AK$60,0)),INDEX(Settings!$AO$14:$AO$60,MATCH($X178,Settings!$AK$14:$AK$60,0))/2,INDEX(Settings!$AM$14:$AM$60,MATCH($X178,Settings!$AK$14:$AK$60,0))/2),"")</f>
        <v>0.3125</v>
      </c>
      <c r="V178" s="162">
        <f t="shared" si="1329"/>
        <v>0.52</v>
      </c>
      <c r="W178" s="75">
        <v>3.1139999999999999</v>
      </c>
      <c r="X178" s="937">
        <f t="shared" si="1332"/>
        <v>1613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2.9142639604898943</v>
      </c>
      <c r="C179" s="651">
        <v>-1.832469181999101</v>
      </c>
      <c r="D179" s="652">
        <v>-0.73440221495708025</v>
      </c>
      <c r="E179" s="653">
        <v>0.77048535162025389</v>
      </c>
      <c r="F179" s="651">
        <v>0.61520749005718856</v>
      </c>
      <c r="G179" s="654">
        <v>0.16694929504537614</v>
      </c>
      <c r="H179" s="653">
        <v>0.314</v>
      </c>
      <c r="I179" s="942">
        <v>0.52</v>
      </c>
      <c r="J179" s="946">
        <v>3.12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1613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2.9142639604898943</v>
      </c>
      <c r="P179" s="162">
        <f t="shared" si="1325"/>
        <v>-1.832469181999101</v>
      </c>
      <c r="Q179" s="162">
        <f t="shared" si="1326"/>
        <v>-0.73440221495708025</v>
      </c>
      <c r="R179" s="162">
        <f>IFERROR(IF($L179="Y",-1*INDEX(E$164:E$305,MATCH($W179,$J$164:$J$305,0)),INDEX(E$164:E$305,MATCH($W179,$J$164:$J$305,0))),"")</f>
        <v>0.77048535162025389</v>
      </c>
      <c r="S179" s="162">
        <f t="shared" si="1327"/>
        <v>0.61520749005718856</v>
      </c>
      <c r="T179" s="162">
        <f t="shared" si="1328"/>
        <v>0.16694929504537614</v>
      </c>
      <c r="U179" s="162">
        <f>IFERROR(IF(ISNUMBER(MATCH($X179,Settings!$AK$52:$AK$60,0)),INDEX(Settings!$AO$14:$AO$60,MATCH($X179,Settings!$AK$14:$AK$60,0))/2,INDEX(Settings!$AM$14:$AM$60,MATCH($X179,Settings!$AK$14:$AK$60,0))/2),"")</f>
        <v>0.3125</v>
      </c>
      <c r="V179" s="162">
        <f t="shared" si="1329"/>
        <v>0.52</v>
      </c>
      <c r="W179" s="75">
        <v>3.12</v>
      </c>
      <c r="X179" s="937">
        <f t="shared" si="1332"/>
        <v>1613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3.0826304224058583</v>
      </c>
      <c r="C180" s="651">
        <v>-1.9645405158712943</v>
      </c>
      <c r="D180" s="652">
        <v>-1.4729044422797983</v>
      </c>
      <c r="E180" s="653">
        <v>0.8819466304234479</v>
      </c>
      <c r="F180" s="651">
        <v>0.46318241082616823</v>
      </c>
      <c r="G180" s="654">
        <v>8.7362436927922171E-2</v>
      </c>
      <c r="H180" s="653">
        <v>0.314</v>
      </c>
      <c r="I180" s="942">
        <v>0.52</v>
      </c>
      <c r="J180" s="946">
        <v>3.1259999999999999</v>
      </c>
      <c r="K180" s="931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1613</v>
      </c>
      <c r="L180" s="683"/>
      <c r="M180" s="934"/>
      <c r="N180" s="31" t="s">
        <v>9</v>
      </c>
      <c r="O180" s="162">
        <f t="shared" si="1324"/>
        <v>3.0826304224058583</v>
      </c>
      <c r="P180" s="162">
        <f t="shared" si="1325"/>
        <v>-1.9645405158712943</v>
      </c>
      <c r="Q180" s="162">
        <f t="shared" si="1326"/>
        <v>-1.4729044422797983</v>
      </c>
      <c r="R180" s="162">
        <f t="shared" si="1331"/>
        <v>0.8819466304234479</v>
      </c>
      <c r="S180" s="162">
        <f t="shared" si="1327"/>
        <v>0.46318241082616823</v>
      </c>
      <c r="T180" s="162">
        <f t="shared" si="1328"/>
        <v>8.7362436927922171E-2</v>
      </c>
      <c r="U180" s="162">
        <f>IFERROR(IF(ISNUMBER(MATCH($X180,Settings!$AK$52:$AK$60,0)),INDEX(Settings!$AO$14:$AO$60,MATCH($X180,Settings!$AK$14:$AK$60,0))/2,INDEX(Settings!$AM$14:$AM$60,MATCH($X180,Settings!$AK$14:$AK$60,0))/2),"")</f>
        <v>0.3125</v>
      </c>
      <c r="V180" s="162">
        <f t="shared" si="1329"/>
        <v>0.52</v>
      </c>
      <c r="W180" s="75">
        <v>3.1259999999999999</v>
      </c>
      <c r="X180" s="937">
        <f t="shared" si="1332"/>
        <v>1613</v>
      </c>
      <c r="AK180" s="82" t="str">
        <f t="shared" si="1333"/>
        <v>Y</v>
      </c>
      <c r="AL180" s="419" t="s">
        <v>9</v>
      </c>
    </row>
    <row r="181" spans="2:38" x14ac:dyDescent="0.25">
      <c r="B181" s="650">
        <v>3.1038794565551666</v>
      </c>
      <c r="C181" s="651">
        <v>-1.9823432420180942</v>
      </c>
      <c r="D181" s="652">
        <v>-2.2439999999999998</v>
      </c>
      <c r="E181" s="653">
        <v>0.88753409945575934</v>
      </c>
      <c r="F181" s="651">
        <v>0.46074203444361533</v>
      </c>
      <c r="G181" s="654">
        <v>1.1339744847606502E-7</v>
      </c>
      <c r="H181" s="653">
        <v>0.314</v>
      </c>
      <c r="I181" s="942">
        <v>0.52</v>
      </c>
      <c r="J181" s="946">
        <v>3.1320000000000001</v>
      </c>
      <c r="K181" s="931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1613</v>
      </c>
      <c r="L181" s="683"/>
      <c r="M181" s="934"/>
      <c r="N181" s="31" t="str">
        <f t="shared" si="1330"/>
        <v>Y</v>
      </c>
      <c r="O181" s="162">
        <f t="shared" si="1324"/>
        <v>3.1038794565551666</v>
      </c>
      <c r="P181" s="162">
        <f t="shared" si="1325"/>
        <v>-1.9823432420180942</v>
      </c>
      <c r="Q181" s="162">
        <f t="shared" si="1326"/>
        <v>-2.2439999999999998</v>
      </c>
      <c r="R181" s="162">
        <f t="shared" si="1331"/>
        <v>0.88753409945575934</v>
      </c>
      <c r="S181" s="162">
        <f t="shared" si="1327"/>
        <v>0.46074203444361533</v>
      </c>
      <c r="T181" s="162">
        <f t="shared" si="1328"/>
        <v>1.1339744847606502E-7</v>
      </c>
      <c r="U181" s="162">
        <f>IFERROR(IF(ISNUMBER(MATCH($X181,Settings!$AK$52:$AK$60,0)),INDEX(Settings!$AO$14:$AO$60,MATCH($X181,Settings!$AK$14:$AK$60,0))/2,INDEX(Settings!$AM$14:$AM$60,MATCH($X181,Settings!$AK$14:$AK$60,0))/2),"")</f>
        <v>0.3125</v>
      </c>
      <c r="V181" s="162">
        <f t="shared" si="1329"/>
        <v>0.52</v>
      </c>
      <c r="W181" s="75">
        <v>3.1320000000000001</v>
      </c>
      <c r="X181" s="937">
        <f t="shared" si="1332"/>
        <v>1613</v>
      </c>
      <c r="AK181" s="82" t="str">
        <f t="shared" si="1333"/>
        <v>Y</v>
      </c>
      <c r="AL181" s="419" t="s">
        <v>9</v>
      </c>
    </row>
    <row r="182" spans="2:38" x14ac:dyDescent="0.25">
      <c r="B182" s="650">
        <v>-5.1878282447179444E-2</v>
      </c>
      <c r="C182" s="651">
        <v>-2.7435178261088362</v>
      </c>
      <c r="D182" s="652">
        <v>-0.1446004361149151</v>
      </c>
      <c r="E182" s="653">
        <v>0.95928517772265409</v>
      </c>
      <c r="F182" s="651">
        <v>-0.17014164002412846</v>
      </c>
      <c r="G182" s="654">
        <v>0.22544127867698927</v>
      </c>
      <c r="H182" s="653">
        <v>0.314</v>
      </c>
      <c r="I182" s="942">
        <v>0.52</v>
      </c>
      <c r="J182" s="946">
        <v>4.1130000000000004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1613</v>
      </c>
      <c r="L182" s="683"/>
      <c r="M182" s="934"/>
      <c r="N182" s="31" t="str">
        <f t="shared" si="1330"/>
        <v>Y</v>
      </c>
      <c r="O182" s="162">
        <f t="shared" si="1324"/>
        <v>-5.1878282447179444E-2</v>
      </c>
      <c r="P182" s="162">
        <f t="shared" si="1325"/>
        <v>-2.7435178261088362</v>
      </c>
      <c r="Q182" s="162">
        <f t="shared" si="1326"/>
        <v>-0.1446004361149151</v>
      </c>
      <c r="R182" s="162">
        <f t="shared" si="1331"/>
        <v>0.95928517772265409</v>
      </c>
      <c r="S182" s="162">
        <f t="shared" si="1327"/>
        <v>-0.17014164002412846</v>
      </c>
      <c r="T182" s="162">
        <f t="shared" si="1328"/>
        <v>0.22544127867698927</v>
      </c>
      <c r="U182" s="162">
        <f>IFERROR(IF(ISNUMBER(MATCH($X182,Settings!$AK$52:$AK$60,0)),INDEX(Settings!$AO$14:$AO$60,MATCH($X182,Settings!$AK$14:$AK$60,0))/2,INDEX(Settings!$AM$14:$AM$60,MATCH($X182,Settings!$AK$14:$AK$60,0))/2),"")</f>
        <v>0.3125</v>
      </c>
      <c r="V182" s="162">
        <f t="shared" si="1329"/>
        <v>0.52</v>
      </c>
      <c r="W182" s="75">
        <v>4.1130000000000004</v>
      </c>
      <c r="X182" s="937">
        <f t="shared" si="1332"/>
        <v>1613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-0.11983882450764211</v>
      </c>
      <c r="C183" s="651">
        <v>-3.365877460630994</v>
      </c>
      <c r="D183" s="652">
        <v>-0.62650188952969876</v>
      </c>
      <c r="E183" s="653">
        <v>0.93197238539281901</v>
      </c>
      <c r="F183" s="651">
        <v>-0.32310771849591996</v>
      </c>
      <c r="G183" s="654">
        <v>0.16440460794509454</v>
      </c>
      <c r="H183" s="653">
        <v>0.314</v>
      </c>
      <c r="I183" s="942">
        <v>0.52</v>
      </c>
      <c r="J183" s="946">
        <v>4.1189999999999998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1613</v>
      </c>
      <c r="L183" s="683"/>
      <c r="M183" s="934"/>
      <c r="N183" s="31" t="str">
        <f t="shared" si="1330"/>
        <v>Y</v>
      </c>
      <c r="O183" s="162">
        <f t="shared" si="1324"/>
        <v>-0.11983882450764211</v>
      </c>
      <c r="P183" s="162">
        <f t="shared" si="1325"/>
        <v>-3.365877460630994</v>
      </c>
      <c r="Q183" s="162">
        <f t="shared" si="1326"/>
        <v>-0.62650188952969876</v>
      </c>
      <c r="R183" s="162">
        <f t="shared" si="1331"/>
        <v>0.93197238539281901</v>
      </c>
      <c r="S183" s="162">
        <f t="shared" si="1327"/>
        <v>-0.32310771849591996</v>
      </c>
      <c r="T183" s="162">
        <f t="shared" si="1328"/>
        <v>0.16440460794509454</v>
      </c>
      <c r="U183" s="162">
        <f>IFERROR(IF(ISNUMBER(MATCH($X183,Settings!$AK$52:$AK$60,0)),INDEX(Settings!$AO$14:$AO$60,MATCH($X183,Settings!$AK$14:$AK$60,0))/2,INDEX(Settings!$AM$14:$AM$60,MATCH($X183,Settings!$AK$14:$AK$60,0))/2),"")</f>
        <v>0.3125</v>
      </c>
      <c r="V183" s="162">
        <f t="shared" si="1329"/>
        <v>0.52</v>
      </c>
      <c r="W183" s="75">
        <v>4.1189999999999998</v>
      </c>
      <c r="X183" s="937">
        <f t="shared" si="1332"/>
        <v>1613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-0.15944005016089216</v>
      </c>
      <c r="C184" s="651">
        <v>-3.643023651864457</v>
      </c>
      <c r="D184" s="652">
        <v>-1.3420040474842074</v>
      </c>
      <c r="E184" s="653">
        <v>0.85976502690607115</v>
      </c>
      <c r="F184" s="651">
        <v>-0.50010247574411115</v>
      </c>
      <c r="G184" s="654">
        <v>0.103448597205635</v>
      </c>
      <c r="H184" s="653">
        <v>0.314</v>
      </c>
      <c r="I184" s="942">
        <v>0.52</v>
      </c>
      <c r="J184" s="946">
        <v>4.125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1613</v>
      </c>
      <c r="L184" s="683"/>
      <c r="M184" s="934"/>
      <c r="N184" s="31" t="str">
        <f t="shared" si="1330"/>
        <v>Y</v>
      </c>
      <c r="O184" s="162">
        <f t="shared" si="1324"/>
        <v>-0.15944005016089216</v>
      </c>
      <c r="P184" s="162">
        <f t="shared" si="1325"/>
        <v>-3.643023651864457</v>
      </c>
      <c r="Q184" s="162">
        <f t="shared" si="1326"/>
        <v>-1.3420040474842074</v>
      </c>
      <c r="R184" s="162">
        <f t="shared" si="1331"/>
        <v>0.85976502690607115</v>
      </c>
      <c r="S184" s="162">
        <f t="shared" si="1327"/>
        <v>-0.50010247574411115</v>
      </c>
      <c r="T184" s="162">
        <f t="shared" si="1328"/>
        <v>0.103448597205635</v>
      </c>
      <c r="U184" s="162">
        <f>IFERROR(IF(ISNUMBER(MATCH($X184,Settings!$AK$52:$AK$60,0)),INDEX(Settings!$AO$14:$AO$60,MATCH($X184,Settings!$AK$14:$AK$60,0))/2,INDEX(Settings!$AM$14:$AM$60,MATCH($X184,Settings!$AK$14:$AK$60,0))/2),"")</f>
        <v>0.3125</v>
      </c>
      <c r="V184" s="162">
        <f t="shared" si="1329"/>
        <v>0.52</v>
      </c>
      <c r="W184" s="75">
        <v>4.125</v>
      </c>
      <c r="X184" s="937">
        <f t="shared" si="1332"/>
        <v>1613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-0.1648198783304885</v>
      </c>
      <c r="C185" s="651">
        <v>-3.6792100806704577</v>
      </c>
      <c r="D185" s="652">
        <v>-2.1219999999999994</v>
      </c>
      <c r="E185" s="653">
        <v>0.84278135614737537</v>
      </c>
      <c r="F185" s="651">
        <v>-0.53825605963182421</v>
      </c>
      <c r="G185" s="654">
        <v>1.1339744839037244E-7</v>
      </c>
      <c r="H185" s="653">
        <v>0.314</v>
      </c>
      <c r="I185" s="942">
        <v>0.52</v>
      </c>
      <c r="J185" s="946">
        <v>4.1310000000000002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1613</v>
      </c>
      <c r="L185" s="683"/>
      <c r="M185" s="934"/>
      <c r="N185" s="31" t="str">
        <f t="shared" si="1330"/>
        <v>Y</v>
      </c>
      <c r="O185" s="162">
        <f t="shared" si="1324"/>
        <v>-0.1648198783304885</v>
      </c>
      <c r="P185" s="162">
        <f t="shared" si="1325"/>
        <v>-3.6792100806704577</v>
      </c>
      <c r="Q185" s="162">
        <f t="shared" si="1326"/>
        <v>-2.1219999999999994</v>
      </c>
      <c r="R185" s="162">
        <f t="shared" si="1331"/>
        <v>0.84278135614737537</v>
      </c>
      <c r="S185" s="162">
        <f t="shared" si="1327"/>
        <v>-0.53825605963182421</v>
      </c>
      <c r="T185" s="162">
        <f t="shared" si="1328"/>
        <v>1.1339744839037244E-7</v>
      </c>
      <c r="U185" s="162">
        <f>IFERROR(IF(ISNUMBER(MATCH($X185,Settings!$AK$52:$AK$60,0)),INDEX(Settings!$AO$14:$AO$60,MATCH($X185,Settings!$AK$14:$AK$60,0))/2,INDEX(Settings!$AM$14:$AM$60,MATCH($X185,Settings!$AK$14:$AK$60,0))/2),"")</f>
        <v>0.3125</v>
      </c>
      <c r="V185" s="162">
        <f t="shared" si="1329"/>
        <v>0.52</v>
      </c>
      <c r="W185" s="75">
        <v>4.1310000000000002</v>
      </c>
      <c r="X185" s="937">
        <f t="shared" si="1332"/>
        <v>1613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-0.75015321779234023</v>
      </c>
      <c r="C186" s="651">
        <v>-0.34980219024618281</v>
      </c>
      <c r="D186" s="652">
        <v>-0.36550110235132471</v>
      </c>
      <c r="E186" s="653">
        <v>0.46892899059006449</v>
      </c>
      <c r="F186" s="651">
        <v>-0.84711605943441681</v>
      </c>
      <c r="G186" s="654">
        <v>0.24999996726497564</v>
      </c>
      <c r="H186" s="653">
        <v>0.314</v>
      </c>
      <c r="I186" s="942">
        <v>0.52</v>
      </c>
      <c r="J186" s="946">
        <v>5.1029999999999998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1613</v>
      </c>
      <c r="L186" s="683"/>
      <c r="M186" s="934"/>
      <c r="N186" s="31" t="str">
        <f t="shared" si="1330"/>
        <v>Y</v>
      </c>
      <c r="O186" s="162">
        <f t="shared" si="1324"/>
        <v>-0.75015321779234023</v>
      </c>
      <c r="P186" s="162">
        <f t="shared" si="1325"/>
        <v>-0.34980219024618281</v>
      </c>
      <c r="Q186" s="162">
        <f t="shared" si="1326"/>
        <v>-0.36550110235132471</v>
      </c>
      <c r="R186" s="162">
        <f t="shared" si="1331"/>
        <v>0.46892899059006449</v>
      </c>
      <c r="S186" s="162">
        <f t="shared" si="1327"/>
        <v>-0.84711605943441681</v>
      </c>
      <c r="T186" s="162">
        <f t="shared" si="1328"/>
        <v>0.24999996726497564</v>
      </c>
      <c r="U186" s="162">
        <f>IFERROR(IF(ISNUMBER(MATCH($X186,Settings!$AK$52:$AK$60,0)),INDEX(Settings!$AO$14:$AO$60,MATCH($X186,Settings!$AK$14:$AK$60,0))/2,INDEX(Settings!$AM$14:$AM$60,MATCH($X186,Settings!$AK$14:$AK$60,0))/2),"")</f>
        <v>0.3125</v>
      </c>
      <c r="V186" s="162">
        <f t="shared" si="1329"/>
        <v>0.52</v>
      </c>
      <c r="W186" s="75">
        <v>5.1029999999999998</v>
      </c>
      <c r="X186" s="937">
        <f t="shared" si="1332"/>
        <v>1613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-1.4071377140804486</v>
      </c>
      <c r="C187" s="651">
        <v>-0.65615909215443202</v>
      </c>
      <c r="D187" s="652">
        <v>-0.171200516340757</v>
      </c>
      <c r="E187" s="653">
        <v>0.46892899059006449</v>
      </c>
      <c r="F187" s="651">
        <v>-0.84711605943441681</v>
      </c>
      <c r="G187" s="654">
        <v>0.24999996726497564</v>
      </c>
      <c r="H187" s="653">
        <v>0.314</v>
      </c>
      <c r="I187" s="942">
        <v>0.52</v>
      </c>
      <c r="J187" s="946">
        <v>5.1059999999999999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>
        <f t="shared" si="1324"/>
        <v>-1.4071377140804486</v>
      </c>
      <c r="P187" s="162">
        <f t="shared" si="1325"/>
        <v>-0.65615909215443202</v>
      </c>
      <c r="Q187" s="162">
        <f t="shared" si="1326"/>
        <v>-0.171200516340757</v>
      </c>
      <c r="R187" s="162">
        <f t="shared" si="1331"/>
        <v>0.46892899059006449</v>
      </c>
      <c r="S187" s="162">
        <f t="shared" si="1327"/>
        <v>-0.84711605943441681</v>
      </c>
      <c r="T187" s="162">
        <f t="shared" si="1328"/>
        <v>0.24999996726497564</v>
      </c>
      <c r="U187" s="162">
        <f>IFERROR(IF(ISNUMBER(MATCH($X187,Settings!$AK$52:$AK$60,0)),INDEX(Settings!$AO$14:$AO$60,MATCH($X187,Settings!$AK$14:$AK$60,0))/2,INDEX(Settings!$AM$14:$AM$60,MATCH($X187,Settings!$AK$14:$AK$60,0))/2),"")</f>
        <v>0.3125</v>
      </c>
      <c r="V187" s="162">
        <f t="shared" si="1329"/>
        <v>0.52</v>
      </c>
      <c r="W187" s="75">
        <v>5.1059999999999999</v>
      </c>
      <c r="X187" s="937">
        <f t="shared" si="1332"/>
        <v>1613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-2.1346943302811936</v>
      </c>
      <c r="C188" s="651">
        <v>-0.96991307241817903</v>
      </c>
      <c r="D188" s="652">
        <v>-4.8800147181243883E-2</v>
      </c>
      <c r="E188" s="653">
        <v>0.32899261516757766</v>
      </c>
      <c r="F188" s="651">
        <v>-0.90971424123505007</v>
      </c>
      <c r="G188" s="654">
        <v>0.25334533439425211</v>
      </c>
      <c r="H188" s="653">
        <v>0.314</v>
      </c>
      <c r="I188" s="942">
        <v>0.52</v>
      </c>
      <c r="J188" s="946">
        <v>5.1100000000000003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>
        <f t="shared" si="1324"/>
        <v>-2.1346943302811936</v>
      </c>
      <c r="P188" s="162">
        <f t="shared" si="1325"/>
        <v>-0.96991307241817903</v>
      </c>
      <c r="Q188" s="162">
        <f t="shared" si="1326"/>
        <v>-4.8800147181243883E-2</v>
      </c>
      <c r="R188" s="162">
        <f t="shared" si="1331"/>
        <v>0.32899261516757766</v>
      </c>
      <c r="S188" s="162">
        <f t="shared" si="1327"/>
        <v>-0.90971424123505007</v>
      </c>
      <c r="T188" s="162">
        <f t="shared" si="1328"/>
        <v>0.25334533439425211</v>
      </c>
      <c r="U188" s="162">
        <f>IFERROR(IF(ISNUMBER(MATCH($X188,Settings!$AK$52:$AK$60,0)),INDEX(Settings!$AO$14:$AO$60,MATCH($X188,Settings!$AK$14:$AK$60,0))/2,INDEX(Settings!$AM$14:$AM$60,MATCH($X188,Settings!$AK$14:$AK$60,0))/2),"")</f>
        <v>0.3125</v>
      </c>
      <c r="V188" s="162">
        <f t="shared" si="1329"/>
        <v>0.52</v>
      </c>
      <c r="W188" s="75">
        <v>5.1100000000000003</v>
      </c>
      <c r="X188" s="937">
        <f t="shared" si="1332"/>
        <v>1613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-2.8361753189900671</v>
      </c>
      <c r="C189" s="651">
        <v>-1.22749310762362</v>
      </c>
      <c r="D189" s="652">
        <v>-0.34390103720552812</v>
      </c>
      <c r="E189" s="653">
        <v>0.18508083486904289</v>
      </c>
      <c r="F189" s="651">
        <v>-0.96590384896858561</v>
      </c>
      <c r="G189" s="654">
        <v>0.18103822555430094</v>
      </c>
      <c r="H189" s="653">
        <v>0.314</v>
      </c>
      <c r="I189" s="942">
        <v>0.52</v>
      </c>
      <c r="J189" s="946">
        <v>5.1159999999999997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-2.8361753189900671</v>
      </c>
      <c r="P189" s="162">
        <f t="shared" si="1325"/>
        <v>-1.22749310762362</v>
      </c>
      <c r="Q189" s="162">
        <f t="shared" si="1326"/>
        <v>-0.34390103720552812</v>
      </c>
      <c r="R189" s="162">
        <f t="shared" si="1331"/>
        <v>0.18508083486904289</v>
      </c>
      <c r="S189" s="162">
        <f t="shared" si="1327"/>
        <v>-0.96590384896858561</v>
      </c>
      <c r="T189" s="162">
        <f t="shared" si="1328"/>
        <v>0.18103822555430094</v>
      </c>
      <c r="U189" s="162">
        <f>IFERROR(IF(ISNUMBER(MATCH($X189,Settings!$AK$52:$AK$60,0)),INDEX(Settings!$AO$14:$AO$60,MATCH($X189,Settings!$AK$14:$AK$60,0))/2,INDEX(Settings!$AM$14:$AM$60,MATCH($X189,Settings!$AK$14:$AK$60,0))/2),"")</f>
        <v>0.3125</v>
      </c>
      <c r="V189" s="162">
        <f t="shared" si="1329"/>
        <v>0.52</v>
      </c>
      <c r="W189" s="75">
        <v>5.1159999999999997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-3.2834941059627401</v>
      </c>
      <c r="C190" s="651">
        <v>-1.3699210375611164</v>
      </c>
      <c r="D190" s="652">
        <v>-0.96790291919520366</v>
      </c>
      <c r="E190" s="653">
        <v>-3.872853510380483E-3</v>
      </c>
      <c r="F190" s="651">
        <v>-0.98856860918858847</v>
      </c>
      <c r="G190" s="654">
        <v>0.15072194907387293</v>
      </c>
      <c r="H190" s="653">
        <v>0.314</v>
      </c>
      <c r="I190" s="942">
        <v>0.52</v>
      </c>
      <c r="J190" s="946">
        <v>5.1219999999999999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-3.2834941059627401</v>
      </c>
      <c r="P190" s="162">
        <f t="shared" si="1325"/>
        <v>-1.3699210375611164</v>
      </c>
      <c r="Q190" s="162">
        <f t="shared" si="1326"/>
        <v>-0.96790291919520366</v>
      </c>
      <c r="R190" s="162">
        <f t="shared" si="1331"/>
        <v>-3.872853510380483E-3</v>
      </c>
      <c r="S190" s="162">
        <f t="shared" si="1327"/>
        <v>-0.98856860918858847</v>
      </c>
      <c r="T190" s="162">
        <f t="shared" si="1328"/>
        <v>0.15072194907387293</v>
      </c>
      <c r="U190" s="162">
        <f>IFERROR(IF(ISNUMBER(MATCH($X190,Settings!$AK$52:$AK$60,0)),INDEX(Settings!$AO$14:$AO$60,MATCH($X190,Settings!$AK$14:$AK$60,0))/2,INDEX(Settings!$AM$14:$AM$60,MATCH($X190,Settings!$AK$14:$AK$60,0))/2),"")</f>
        <v>0.3125</v>
      </c>
      <c r="V190" s="162">
        <f t="shared" si="1329"/>
        <v>0.52</v>
      </c>
      <c r="W190" s="75">
        <v>5.1219999999999999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-3.4041526367357244</v>
      </c>
      <c r="C191" s="651">
        <v>-1.405523829682453</v>
      </c>
      <c r="D191" s="652">
        <v>-1.7690999999999999</v>
      </c>
      <c r="E191" s="653">
        <v>-0.13165086650151242</v>
      </c>
      <c r="F191" s="651">
        <v>-0.99129614613867456</v>
      </c>
      <c r="G191" s="654">
        <v>1.1339744821566926E-7</v>
      </c>
      <c r="H191" s="653">
        <v>0.314</v>
      </c>
      <c r="I191" s="942">
        <v>0.52</v>
      </c>
      <c r="J191" s="946">
        <v>5.1280000000000001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-3.4041526367357244</v>
      </c>
      <c r="P191" s="162">
        <f t="shared" si="1325"/>
        <v>-1.405523829682453</v>
      </c>
      <c r="Q191" s="162">
        <f t="shared" si="1326"/>
        <v>-1.7690999999999999</v>
      </c>
      <c r="R191" s="162">
        <f t="shared" si="1331"/>
        <v>-0.13165086650151242</v>
      </c>
      <c r="S191" s="162">
        <f t="shared" si="1327"/>
        <v>-0.99129614613867456</v>
      </c>
      <c r="T191" s="162">
        <f t="shared" si="1328"/>
        <v>1.1339744821566926E-7</v>
      </c>
      <c r="U191" s="162">
        <f>IFERROR(IF(ISNUMBER(MATCH($X191,Settings!$AK$52:$AK$60,0)),INDEX(Settings!$AO$14:$AO$60,MATCH($X191,Settings!$AK$14:$AK$60,0))/2,INDEX(Settings!$AM$14:$AM$60,MATCH($X191,Settings!$AK$14:$AK$60,0))/2),"")</f>
        <v>0.3125</v>
      </c>
      <c r="V191" s="162">
        <f t="shared" si="1329"/>
        <v>0.52</v>
      </c>
      <c r="W191" s="75">
        <v>5.1280000000000001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-1.9025004399987724</v>
      </c>
      <c r="C192" s="651">
        <v>1.1166724812044171</v>
      </c>
      <c r="D192" s="652">
        <v>-4.310012998999186E-2</v>
      </c>
      <c r="E192" s="653">
        <v>-0.53141232366450841</v>
      </c>
      <c r="F192" s="651">
        <v>-0.80683667785736968</v>
      </c>
      <c r="G192" s="654">
        <v>0.25809982084761512</v>
      </c>
      <c r="H192" s="653">
        <v>0.314</v>
      </c>
      <c r="I192" s="942">
        <v>0.52</v>
      </c>
      <c r="J192" s="946">
        <v>6.109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-1.9025004399987724</v>
      </c>
      <c r="P192" s="162">
        <f t="shared" si="1325"/>
        <v>1.1166724812044171</v>
      </c>
      <c r="Q192" s="162">
        <f t="shared" si="1326"/>
        <v>-4.310012998999186E-2</v>
      </c>
      <c r="R192" s="162">
        <f t="shared" si="1331"/>
        <v>-0.53141232366450841</v>
      </c>
      <c r="S192" s="162">
        <f t="shared" si="1327"/>
        <v>-0.80683667785736968</v>
      </c>
      <c r="T192" s="162">
        <f t="shared" si="1328"/>
        <v>0.25809982084761512</v>
      </c>
      <c r="U192" s="162">
        <f>IFERROR(IF(ISNUMBER(MATCH($X192,Settings!$AK$52:$AK$60,0)),INDEX(Settings!$AO$14:$AO$60,MATCH($X192,Settings!$AK$14:$AK$60,0))/2,INDEX(Settings!$AM$14:$AM$60,MATCH($X192,Settings!$AK$14:$AK$60,0))/2),"")</f>
        <v>0.3125</v>
      </c>
      <c r="V192" s="162">
        <f t="shared" si="1329"/>
        <v>0.52</v>
      </c>
      <c r="W192" s="75">
        <v>6.109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-2.5441247248254841</v>
      </c>
      <c r="C193" s="651">
        <v>1.5548059585953622</v>
      </c>
      <c r="D193" s="652">
        <v>-0.26680080467122669</v>
      </c>
      <c r="E193" s="653">
        <v>-0.66702416245742946</v>
      </c>
      <c r="F193" s="651">
        <v>-0.71833673583165791</v>
      </c>
      <c r="G193" s="654">
        <v>0.19766411068447337</v>
      </c>
      <c r="H193" s="653">
        <v>0.314</v>
      </c>
      <c r="I193" s="942">
        <v>0.52</v>
      </c>
      <c r="J193" s="946">
        <v>6.1150000000000002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-2.5441247248254841</v>
      </c>
      <c r="P193" s="162">
        <f t="shared" si="1325"/>
        <v>1.5548059585953622</v>
      </c>
      <c r="Q193" s="162">
        <f t="shared" si="1326"/>
        <v>-0.26680080467122669</v>
      </c>
      <c r="R193" s="162">
        <f t="shared" si="1331"/>
        <v>-0.66702416245742946</v>
      </c>
      <c r="S193" s="162">
        <f t="shared" si="1327"/>
        <v>-0.71833673583165791</v>
      </c>
      <c r="T193" s="162">
        <f t="shared" si="1328"/>
        <v>0.19766411068447337</v>
      </c>
      <c r="U193" s="162">
        <f>IFERROR(IF(ISNUMBER(MATCH($X193,Settings!$AK$52:$AK$60,0)),INDEX(Settings!$AO$14:$AO$60,MATCH($X193,Settings!$AK$14:$AK$60,0))/2,INDEX(Settings!$AM$14:$AM$60,MATCH($X193,Settings!$AK$14:$AK$60,0))/2),"")</f>
        <v>0.3125</v>
      </c>
      <c r="V193" s="162">
        <f t="shared" si="1329"/>
        <v>0.52</v>
      </c>
      <c r="W193" s="75">
        <v>6.1150000000000002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-2.9640292958810921</v>
      </c>
      <c r="C194" s="651">
        <v>1.8712916767437882</v>
      </c>
      <c r="D194" s="652">
        <v>-0.84910256089332348</v>
      </c>
      <c r="E194" s="653">
        <v>-0.78855264928813096</v>
      </c>
      <c r="F194" s="651">
        <v>-0.59525055772795787</v>
      </c>
      <c r="G194" s="654">
        <v>0.15447165702880591</v>
      </c>
      <c r="H194" s="653">
        <v>0.314</v>
      </c>
      <c r="I194" s="942">
        <v>0.52</v>
      </c>
      <c r="J194" s="946">
        <v>6.1210000000000004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-2.9640292958810921</v>
      </c>
      <c r="P194" s="162">
        <f t="shared" si="1325"/>
        <v>1.8712916767437882</v>
      </c>
      <c r="Q194" s="162">
        <f t="shared" si="1326"/>
        <v>-0.84910256089332348</v>
      </c>
      <c r="R194" s="162">
        <f t="shared" si="1331"/>
        <v>-0.78855264928813096</v>
      </c>
      <c r="S194" s="162">
        <f t="shared" si="1327"/>
        <v>-0.59525055772795787</v>
      </c>
      <c r="T194" s="162">
        <f t="shared" si="1328"/>
        <v>0.15447165702880591</v>
      </c>
      <c r="U194" s="162">
        <f>IFERROR(IF(ISNUMBER(MATCH($X194,Settings!$AK$52:$AK$60,0)),INDEX(Settings!$AO$14:$AO$60,MATCH($X194,Settings!$AK$14:$AK$60,0))/2,INDEX(Settings!$AM$14:$AM$60,MATCH($X194,Settings!$AK$14:$AK$60,0))/2),"")</f>
        <v>0.3125</v>
      </c>
      <c r="V194" s="162">
        <f t="shared" si="1329"/>
        <v>0.52</v>
      </c>
      <c r="W194" s="75">
        <v>6.1210000000000004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-3.1038794565551671</v>
      </c>
      <c r="C195" s="651">
        <v>1.9823432420180929</v>
      </c>
      <c r="D195" s="652">
        <v>-1.6501999999999994</v>
      </c>
      <c r="E195" s="653">
        <v>-0.88753409945575912</v>
      </c>
      <c r="F195" s="651">
        <v>-0.46074203444361572</v>
      </c>
      <c r="G195" s="654">
        <v>1.1339744836951028E-7</v>
      </c>
      <c r="H195" s="653">
        <v>0.314</v>
      </c>
      <c r="I195" s="942">
        <v>0.52</v>
      </c>
      <c r="J195" s="946">
        <v>6.1269999999999998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1613</v>
      </c>
      <c r="L195" s="683"/>
      <c r="M195" s="934"/>
      <c r="N195" s="31" t="str">
        <f t="shared" si="1330"/>
        <v>Y</v>
      </c>
      <c r="O195" s="162">
        <f t="shared" si="1324"/>
        <v>-3.1038794565551671</v>
      </c>
      <c r="P195" s="162">
        <f t="shared" si="1325"/>
        <v>1.9823432420180929</v>
      </c>
      <c r="Q195" s="162">
        <f t="shared" si="1326"/>
        <v>-1.6501999999999994</v>
      </c>
      <c r="R195" s="162">
        <f t="shared" si="1331"/>
        <v>-0.88753409945575912</v>
      </c>
      <c r="S195" s="162">
        <f t="shared" si="1327"/>
        <v>-0.46074203444361572</v>
      </c>
      <c r="T195" s="162">
        <f t="shared" si="1328"/>
        <v>1.1339744836951028E-7</v>
      </c>
      <c r="U195" s="162">
        <f>IFERROR(IF(ISNUMBER(MATCH($X195,Settings!$AK$52:$AK$60,0)),INDEX(Settings!$AO$14:$AO$60,MATCH($X195,Settings!$AK$14:$AK$60,0))/2,INDEX(Settings!$AM$14:$AM$60,MATCH($X195,Settings!$AK$14:$AK$60,0))/2),"")</f>
        <v>0.3125</v>
      </c>
      <c r="V195" s="162">
        <f t="shared" si="1329"/>
        <v>0.52</v>
      </c>
      <c r="W195" s="75">
        <v>6.1269999999999998</v>
      </c>
      <c r="X195" s="937">
        <f t="shared" si="1332"/>
        <v>1613</v>
      </c>
      <c r="AK195" s="82" t="str">
        <f t="shared" si="1333"/>
        <v>Y</v>
      </c>
      <c r="AL195" s="419" t="s">
        <v>400</v>
      </c>
    </row>
    <row r="196" spans="2:38" x14ac:dyDescent="0.25">
      <c r="B196" s="650"/>
      <c r="C196" s="651"/>
      <c r="D196" s="652"/>
      <c r="E196" s="653"/>
      <c r="F196" s="651"/>
      <c r="G196" s="654"/>
      <c r="H196" s="653"/>
      <c r="I196" s="942"/>
      <c r="J196" s="946"/>
      <c r="K196" s="931" t="str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/>
      </c>
      <c r="L196" s="683"/>
      <c r="M196" s="934"/>
      <c r="N196" s="31" t="str">
        <f t="shared" si="1330"/>
        <v>Y</v>
      </c>
      <c r="O196" s="162" t="str">
        <f t="shared" ref="O196:O227" si="1334">IFERROR(INDEX(B$164:B$305,MATCH($W196,$J$164:$J$305,0)),"")</f>
        <v/>
      </c>
      <c r="P196" s="162" t="str">
        <f t="shared" ref="P196:P227" si="1335">IFERROR(INDEX(C$164:C$305,MATCH($W196,$J$164:$J$305,0)),"")</f>
        <v/>
      </c>
      <c r="Q196" s="162" t="str">
        <f t="shared" ref="Q196:Q227" si="1336">IFERROR(INDEX(D$164:D$305,MATCH($W196,$J$164:$J$305,0)),"")</f>
        <v/>
      </c>
      <c r="R196" s="162" t="str">
        <f t="shared" si="1331"/>
        <v/>
      </c>
      <c r="S196" s="162" t="str">
        <f t="shared" si="1327"/>
        <v/>
      </c>
      <c r="T196" s="162" t="str">
        <f t="shared" si="1328"/>
        <v/>
      </c>
      <c r="U196" s="162" t="str">
        <f>IFERROR(IF(ISNUMBER(MATCH($X196,Settings!$AK$52:$AK$60,0)),INDEX(Settings!$AO$14:$AO$60,MATCH($X196,Settings!$AK$14:$AK$60,0))/2,INDEX(Settings!$AM$14:$AM$60,MATCH($X196,Settings!$AK$14:$AK$60,0))/2),"")</f>
        <v/>
      </c>
      <c r="V196" s="162" t="str">
        <f t="shared" ref="V196:V227" si="1337">IFERROR(INDEX(I$164:I$305,MATCH($W196,$J$164:$J$305,0)),"")</f>
        <v/>
      </c>
      <c r="W196" s="75"/>
      <c r="X196" s="937" t="str">
        <f t="shared" si="1332"/>
        <v/>
      </c>
      <c r="AK196" s="82" t="str">
        <f t="shared" si="1333"/>
        <v>Y</v>
      </c>
      <c r="AL196" s="419" t="s">
        <v>400</v>
      </c>
    </row>
    <row r="197" spans="2:38" x14ac:dyDescent="0.25">
      <c r="B197" s="650"/>
      <c r="C197" s="651"/>
      <c r="D197" s="652"/>
      <c r="E197" s="653"/>
      <c r="F197" s="651"/>
      <c r="G197" s="654"/>
      <c r="H197" s="653"/>
      <c r="I197" s="942"/>
      <c r="J197" s="946"/>
      <c r="K197" s="931" t="str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/>
      </c>
      <c r="L197" s="683"/>
      <c r="M197" s="934"/>
      <c r="N197" s="31" t="str">
        <f t="shared" si="1330"/>
        <v>Y</v>
      </c>
      <c r="O197" s="162" t="str">
        <f t="shared" si="1334"/>
        <v/>
      </c>
      <c r="P197" s="162" t="str">
        <f t="shared" si="1335"/>
        <v/>
      </c>
      <c r="Q197" s="162" t="str">
        <f t="shared" si="1336"/>
        <v/>
      </c>
      <c r="R197" s="162" t="str">
        <f t="shared" si="1331"/>
        <v/>
      </c>
      <c r="S197" s="162" t="str">
        <f t="shared" si="1327"/>
        <v/>
      </c>
      <c r="T197" s="162" t="str">
        <f t="shared" si="1328"/>
        <v/>
      </c>
      <c r="U197" s="162" t="str">
        <f>IFERROR(IF(ISNUMBER(MATCH($X197,Settings!$AK$52:$AK$60,0)),INDEX(Settings!$AO$14:$AO$60,MATCH($X197,Settings!$AK$14:$AK$60,0))/2,INDEX(Settings!$AM$14:$AM$60,MATCH($X197,Settings!$AK$14:$AK$60,0))/2),"")</f>
        <v/>
      </c>
      <c r="V197" s="162" t="str">
        <f t="shared" si="1337"/>
        <v/>
      </c>
      <c r="W197" s="75"/>
      <c r="X197" s="937" t="str">
        <f t="shared" si="1332"/>
        <v/>
      </c>
      <c r="AK197" s="82" t="str">
        <f t="shared" si="1333"/>
        <v>Y</v>
      </c>
      <c r="AL197" s="419" t="s">
        <v>400</v>
      </c>
    </row>
    <row r="198" spans="2:38" x14ac:dyDescent="0.25">
      <c r="B198" s="650"/>
      <c r="C198" s="651"/>
      <c r="D198" s="652"/>
      <c r="E198" s="653"/>
      <c r="F198" s="651"/>
      <c r="G198" s="654"/>
      <c r="H198" s="653"/>
      <c r="I198" s="942"/>
      <c r="J198" s="946"/>
      <c r="K198" s="931" t="str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/>
      </c>
      <c r="L198" s="683"/>
      <c r="M198" s="934"/>
      <c r="N198" s="31" t="str">
        <f t="shared" si="1330"/>
        <v>Y</v>
      </c>
      <c r="O198" s="162" t="str">
        <f t="shared" si="1334"/>
        <v/>
      </c>
      <c r="P198" s="162" t="str">
        <f t="shared" si="1335"/>
        <v/>
      </c>
      <c r="Q198" s="162" t="str">
        <f t="shared" si="1336"/>
        <v/>
      </c>
      <c r="R198" s="162" t="str">
        <f t="shared" si="1331"/>
        <v/>
      </c>
      <c r="S198" s="162" t="str">
        <f t="shared" si="1327"/>
        <v/>
      </c>
      <c r="T198" s="162" t="str">
        <f t="shared" si="1328"/>
        <v/>
      </c>
      <c r="U198" s="162" t="str">
        <f>IFERROR(IF(ISNUMBER(MATCH($X198,Settings!$AK$52:$AK$60,0)),INDEX(Settings!$AO$14:$AO$60,MATCH($X198,Settings!$AK$14:$AK$60,0))/2,INDEX(Settings!$AM$14:$AM$60,MATCH($X198,Settings!$AK$14:$AK$60,0))/2),"")</f>
        <v/>
      </c>
      <c r="V198" s="162" t="str">
        <f t="shared" si="1337"/>
        <v/>
      </c>
      <c r="W198" s="75"/>
      <c r="X198" s="937" t="str">
        <f t="shared" si="1332"/>
        <v/>
      </c>
      <c r="AK198" s="82" t="str">
        <f t="shared" si="1333"/>
        <v>Y</v>
      </c>
      <c r="AL198" s="419" t="s">
        <v>400</v>
      </c>
    </row>
    <row r="199" spans="2:38" x14ac:dyDescent="0.25">
      <c r="B199" s="650"/>
      <c r="C199" s="651"/>
      <c r="D199" s="652"/>
      <c r="E199" s="653"/>
      <c r="F199" s="651"/>
      <c r="G199" s="654"/>
      <c r="H199" s="653"/>
      <c r="I199" s="942"/>
      <c r="J199" s="946"/>
      <c r="K199" s="931" t="str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/>
      </c>
      <c r="L199" s="683"/>
      <c r="M199" s="934"/>
      <c r="N199" s="31" t="str">
        <f t="shared" si="1330"/>
        <v>Y</v>
      </c>
      <c r="O199" s="162" t="str">
        <f t="shared" si="1334"/>
        <v/>
      </c>
      <c r="P199" s="162" t="str">
        <f t="shared" si="1335"/>
        <v/>
      </c>
      <c r="Q199" s="162" t="str">
        <f t="shared" si="1336"/>
        <v/>
      </c>
      <c r="R199" s="162" t="str">
        <f t="shared" si="1331"/>
        <v/>
      </c>
      <c r="S199" s="162" t="str">
        <f t="shared" si="1327"/>
        <v/>
      </c>
      <c r="T199" s="162" t="str">
        <f t="shared" si="1328"/>
        <v/>
      </c>
      <c r="U199" s="162" t="str">
        <f>IFERROR(IF(ISNUMBER(MATCH($X199,Settings!$AK$52:$AK$60,0)),INDEX(Settings!$AO$14:$AO$60,MATCH($X199,Settings!$AK$14:$AK$60,0))/2,INDEX(Settings!$AM$14:$AM$60,MATCH($X199,Settings!$AK$14:$AK$60,0))/2),"")</f>
        <v/>
      </c>
      <c r="V199" s="162" t="str">
        <f t="shared" si="1337"/>
        <v/>
      </c>
      <c r="W199" s="75"/>
      <c r="X199" s="937" t="str">
        <f t="shared" si="1332"/>
        <v/>
      </c>
      <c r="AK199" s="82" t="str">
        <f t="shared" si="1333"/>
        <v>Y</v>
      </c>
      <c r="AL199" s="419" t="s">
        <v>400</v>
      </c>
    </row>
    <row r="200" spans="2:38" x14ac:dyDescent="0.25">
      <c r="B200" s="650"/>
      <c r="C200" s="651"/>
      <c r="D200" s="652"/>
      <c r="E200" s="653"/>
      <c r="F200" s="651"/>
      <c r="G200" s="654"/>
      <c r="H200" s="653"/>
      <c r="I200" s="942"/>
      <c r="J200" s="946"/>
      <c r="K200" s="931" t="str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/>
      </c>
      <c r="L200" s="683"/>
      <c r="M200" s="934"/>
      <c r="N200" s="31" t="str">
        <f t="shared" si="1330"/>
        <v>Y</v>
      </c>
      <c r="O200" s="162" t="str">
        <f t="shared" si="1334"/>
        <v/>
      </c>
      <c r="P200" s="162" t="str">
        <f t="shared" si="1335"/>
        <v/>
      </c>
      <c r="Q200" s="162" t="str">
        <f t="shared" si="1336"/>
        <v/>
      </c>
      <c r="R200" s="162" t="str">
        <f t="shared" si="1331"/>
        <v/>
      </c>
      <c r="S200" s="162" t="str">
        <f t="shared" si="1327"/>
        <v/>
      </c>
      <c r="T200" s="162" t="str">
        <f t="shared" si="1328"/>
        <v/>
      </c>
      <c r="U200" s="162" t="str">
        <f>IFERROR(IF(ISNUMBER(MATCH($X200,Settings!$AK$52:$AK$60,0)),INDEX(Settings!$AO$14:$AO$60,MATCH($X200,Settings!$AK$14:$AK$60,0))/2,INDEX(Settings!$AM$14:$AM$60,MATCH($X200,Settings!$AK$14:$AK$60,0))/2),"")</f>
        <v/>
      </c>
      <c r="V200" s="162" t="str">
        <f t="shared" si="1337"/>
        <v/>
      </c>
      <c r="W200" s="75"/>
      <c r="X200" s="937" t="str">
        <f t="shared" si="1332"/>
        <v/>
      </c>
      <c r="AK200" s="82" t="str">
        <f t="shared" si="1333"/>
        <v>Y</v>
      </c>
      <c r="AL200" s="419" t="s">
        <v>400</v>
      </c>
    </row>
    <row r="201" spans="2:38" x14ac:dyDescent="0.25">
      <c r="B201" s="650"/>
      <c r="C201" s="651"/>
      <c r="D201" s="652"/>
      <c r="E201" s="653"/>
      <c r="F201" s="651"/>
      <c r="G201" s="654"/>
      <c r="H201" s="653"/>
      <c r="I201" s="942"/>
      <c r="J201" s="946"/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/>
      </c>
      <c r="L201" s="683"/>
      <c r="M201" s="934"/>
      <c r="N201" s="31" t="str">
        <f t="shared" si="1330"/>
        <v>Y</v>
      </c>
      <c r="O201" s="162" t="str">
        <f t="shared" si="1334"/>
        <v/>
      </c>
      <c r="P201" s="162" t="str">
        <f t="shared" si="1335"/>
        <v/>
      </c>
      <c r="Q201" s="162" t="str">
        <f t="shared" si="1336"/>
        <v/>
      </c>
      <c r="R201" s="162" t="str">
        <f t="shared" si="1331"/>
        <v/>
      </c>
      <c r="S201" s="162" t="str">
        <f t="shared" si="1327"/>
        <v/>
      </c>
      <c r="T201" s="162" t="str">
        <f t="shared" si="1328"/>
        <v/>
      </c>
      <c r="U201" s="162" t="str">
        <f>IFERROR(IF(ISNUMBER(MATCH($X201,Settings!$AK$52:$AK$60,0)),INDEX(Settings!$AO$14:$AO$60,MATCH($X201,Settings!$AK$14:$AK$60,0))/2,INDEX(Settings!$AM$14:$AM$60,MATCH($X201,Settings!$AK$14:$AK$60,0))/2),"")</f>
        <v/>
      </c>
      <c r="V201" s="162" t="str">
        <f t="shared" si="1337"/>
        <v/>
      </c>
      <c r="W201" s="75"/>
      <c r="X201" s="937" t="str">
        <f t="shared" si="1332"/>
        <v/>
      </c>
      <c r="AK201" s="82" t="str">
        <f t="shared" si="1333"/>
        <v>Y</v>
      </c>
      <c r="AL201" s="419" t="s">
        <v>400</v>
      </c>
    </row>
    <row r="202" spans="2:38" x14ac:dyDescent="0.25">
      <c r="B202" s="650"/>
      <c r="C202" s="651"/>
      <c r="D202" s="652"/>
      <c r="E202" s="653"/>
      <c r="F202" s="651"/>
      <c r="G202" s="654"/>
      <c r="H202" s="653"/>
      <c r="I202" s="942"/>
      <c r="J202" s="946"/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/>
      </c>
      <c r="L202" s="683"/>
      <c r="M202" s="934"/>
      <c r="N202" s="31" t="str">
        <f t="shared" si="1330"/>
        <v>Y</v>
      </c>
      <c r="O202" s="162" t="str">
        <f t="shared" si="1334"/>
        <v/>
      </c>
      <c r="P202" s="162" t="str">
        <f t="shared" si="1335"/>
        <v/>
      </c>
      <c r="Q202" s="162" t="str">
        <f t="shared" si="1336"/>
        <v/>
      </c>
      <c r="R202" s="162" t="str">
        <f t="shared" si="1331"/>
        <v/>
      </c>
      <c r="S202" s="162" t="str">
        <f t="shared" si="1327"/>
        <v/>
      </c>
      <c r="T202" s="162" t="str">
        <f t="shared" si="1328"/>
        <v/>
      </c>
      <c r="U202" s="162" t="str">
        <f>IFERROR(IF(ISNUMBER(MATCH($X202,Settings!$AK$52:$AK$60,0)),INDEX(Settings!$AO$14:$AO$60,MATCH($X202,Settings!$AK$14:$AK$60,0))/2,INDEX(Settings!$AM$14:$AM$60,MATCH($X202,Settings!$AK$14:$AK$60,0))/2),"")</f>
        <v/>
      </c>
      <c r="V202" s="162" t="str">
        <f t="shared" si="1337"/>
        <v/>
      </c>
      <c r="W202" s="75"/>
      <c r="X202" s="937" t="str">
        <f t="shared" si="1332"/>
        <v/>
      </c>
      <c r="AK202" s="82" t="str">
        <f t="shared" si="1333"/>
        <v>Y</v>
      </c>
      <c r="AL202" s="419" t="s">
        <v>400</v>
      </c>
    </row>
    <row r="203" spans="2:38" x14ac:dyDescent="0.25">
      <c r="B203" s="650"/>
      <c r="C203" s="651"/>
      <c r="D203" s="652"/>
      <c r="E203" s="653"/>
      <c r="F203" s="651"/>
      <c r="G203" s="654"/>
      <c r="H203" s="653"/>
      <c r="I203" s="942"/>
      <c r="J203" s="946"/>
      <c r="K203" s="931" t="str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/>
      </c>
      <c r="L203" s="683"/>
      <c r="M203" s="934"/>
      <c r="N203" s="31" t="str">
        <f t="shared" si="1330"/>
        <v>Y</v>
      </c>
      <c r="O203" s="162" t="str">
        <f t="shared" si="1334"/>
        <v/>
      </c>
      <c r="P203" s="162" t="str">
        <f t="shared" si="1335"/>
        <v/>
      </c>
      <c r="Q203" s="162" t="str">
        <f t="shared" si="1336"/>
        <v/>
      </c>
      <c r="R203" s="162" t="str">
        <f t="shared" si="1331"/>
        <v/>
      </c>
      <c r="S203" s="162" t="str">
        <f t="shared" si="1327"/>
        <v/>
      </c>
      <c r="T203" s="162" t="str">
        <f t="shared" si="1328"/>
        <v/>
      </c>
      <c r="U203" s="162" t="str">
        <f>IFERROR(IF(ISNUMBER(MATCH($X203,Settings!$AK$52:$AK$60,0)),INDEX(Settings!$AO$14:$AO$60,MATCH($X203,Settings!$AK$14:$AK$60,0))/2,INDEX(Settings!$AM$14:$AM$60,MATCH($X203,Settings!$AK$14:$AK$60,0))/2),"")</f>
        <v/>
      </c>
      <c r="V203" s="162" t="str">
        <f t="shared" si="1337"/>
        <v/>
      </c>
      <c r="W203" s="75"/>
      <c r="X203" s="937" t="str">
        <f t="shared" si="1332"/>
        <v/>
      </c>
      <c r="AK203" s="82" t="str">
        <f t="shared" si="1333"/>
        <v>Y</v>
      </c>
      <c r="AL203" s="419" t="s">
        <v>400</v>
      </c>
    </row>
    <row r="204" spans="2:38" x14ac:dyDescent="0.25">
      <c r="B204" s="650"/>
      <c r="C204" s="651"/>
      <c r="D204" s="652"/>
      <c r="E204" s="653"/>
      <c r="F204" s="651"/>
      <c r="G204" s="654"/>
      <c r="H204" s="653"/>
      <c r="I204" s="942"/>
      <c r="J204" s="946"/>
      <c r="K204" s="931" t="str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/>
      </c>
      <c r="L204" s="683"/>
      <c r="M204" s="934"/>
      <c r="N204" s="31" t="str">
        <f t="shared" si="1330"/>
        <v>Y</v>
      </c>
      <c r="O204" s="162" t="str">
        <f t="shared" si="1334"/>
        <v/>
      </c>
      <c r="P204" s="162" t="str">
        <f t="shared" si="1335"/>
        <v/>
      </c>
      <c r="Q204" s="162" t="str">
        <f t="shared" si="1336"/>
        <v/>
      </c>
      <c r="R204" s="162" t="str">
        <f t="shared" si="1331"/>
        <v/>
      </c>
      <c r="S204" s="162" t="str">
        <f t="shared" si="1327"/>
        <v/>
      </c>
      <c r="T204" s="162" t="str">
        <f t="shared" si="1328"/>
        <v/>
      </c>
      <c r="U204" s="162" t="str">
        <f>IFERROR(IF(ISNUMBER(MATCH($X204,Settings!$AK$52:$AK$60,0)),INDEX(Settings!$AO$14:$AO$60,MATCH($X204,Settings!$AK$14:$AK$60,0))/2,INDEX(Settings!$AM$14:$AM$60,MATCH($X204,Settings!$AK$14:$AK$60,0))/2),"")</f>
        <v/>
      </c>
      <c r="V204" s="162" t="str">
        <f t="shared" si="1337"/>
        <v/>
      </c>
      <c r="W204" s="75"/>
      <c r="X204" s="937" t="str">
        <f t="shared" si="1332"/>
        <v/>
      </c>
      <c r="AK204" s="82" t="str">
        <f t="shared" si="1333"/>
        <v>Y</v>
      </c>
      <c r="AL204" s="419" t="s">
        <v>400</v>
      </c>
    </row>
    <row r="205" spans="2:38" x14ac:dyDescent="0.25">
      <c r="B205" s="650"/>
      <c r="C205" s="651"/>
      <c r="D205" s="652"/>
      <c r="E205" s="653"/>
      <c r="F205" s="651"/>
      <c r="G205" s="654"/>
      <c r="H205" s="653"/>
      <c r="I205" s="942"/>
      <c r="J205" s="946"/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/>
      </c>
      <c r="L205" s="683"/>
      <c r="M205" s="934"/>
      <c r="N205" s="31" t="str">
        <f t="shared" si="1330"/>
        <v>Y</v>
      </c>
      <c r="O205" s="162" t="str">
        <f t="shared" si="1334"/>
        <v/>
      </c>
      <c r="P205" s="162" t="str">
        <f t="shared" si="1335"/>
        <v/>
      </c>
      <c r="Q205" s="162" t="str">
        <f t="shared" si="1336"/>
        <v/>
      </c>
      <c r="R205" s="162" t="str">
        <f t="shared" si="1331"/>
        <v/>
      </c>
      <c r="S205" s="162" t="str">
        <f t="shared" si="1327"/>
        <v/>
      </c>
      <c r="T205" s="162" t="str">
        <f t="shared" si="1328"/>
        <v/>
      </c>
      <c r="U205" s="162" t="str">
        <f>IFERROR(IF(ISNUMBER(MATCH($X205,Settings!$AK$52:$AK$60,0)),INDEX(Settings!$AO$14:$AO$60,MATCH($X205,Settings!$AK$14:$AK$60,0))/2,INDEX(Settings!$AM$14:$AM$60,MATCH($X205,Settings!$AK$14:$AK$60,0))/2),"")</f>
        <v/>
      </c>
      <c r="V205" s="162" t="str">
        <f t="shared" si="1337"/>
        <v/>
      </c>
      <c r="W205" s="75"/>
      <c r="X205" s="937" t="str">
        <f t="shared" si="1332"/>
        <v/>
      </c>
      <c r="AK205" s="82" t="str">
        <f t="shared" si="1333"/>
        <v>Y</v>
      </c>
      <c r="AL205" s="419" t="s">
        <v>400</v>
      </c>
    </row>
    <row r="206" spans="2:38" x14ac:dyDescent="0.25">
      <c r="B206" s="650"/>
      <c r="C206" s="651"/>
      <c r="D206" s="652"/>
      <c r="E206" s="653"/>
      <c r="F206" s="651"/>
      <c r="G206" s="654"/>
      <c r="H206" s="653"/>
      <c r="I206" s="942"/>
      <c r="J206" s="946"/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/>
      </c>
      <c r="L206" s="683"/>
      <c r="M206" s="934"/>
      <c r="N206" s="31" t="str">
        <f t="shared" si="1330"/>
        <v>Y</v>
      </c>
      <c r="O206" s="162" t="str">
        <f t="shared" si="1334"/>
        <v/>
      </c>
      <c r="P206" s="162" t="str">
        <f t="shared" si="1335"/>
        <v/>
      </c>
      <c r="Q206" s="162" t="str">
        <f t="shared" si="1336"/>
        <v/>
      </c>
      <c r="R206" s="162" t="str">
        <f t="shared" si="1331"/>
        <v/>
      </c>
      <c r="S206" s="162" t="str">
        <f t="shared" si="1327"/>
        <v/>
      </c>
      <c r="T206" s="162" t="str">
        <f t="shared" si="1328"/>
        <v/>
      </c>
      <c r="U206" s="162" t="str">
        <f>IFERROR(IF(ISNUMBER(MATCH($X206,Settings!$AK$52:$AK$60,0)),INDEX(Settings!$AO$14:$AO$60,MATCH($X206,Settings!$AK$14:$AK$60,0))/2,INDEX(Settings!$AM$14:$AM$60,MATCH($X206,Settings!$AK$14:$AK$60,0))/2),"")</f>
        <v/>
      </c>
      <c r="V206" s="162" t="str">
        <f t="shared" si="1337"/>
        <v/>
      </c>
      <c r="W206" s="75"/>
      <c r="X206" s="937" t="str">
        <f t="shared" si="1332"/>
        <v/>
      </c>
      <c r="AK206" s="82" t="str">
        <f t="shared" si="1333"/>
        <v>Y</v>
      </c>
      <c r="AL206" s="419" t="s">
        <v>9</v>
      </c>
    </row>
    <row r="207" spans="2:38" x14ac:dyDescent="0.25">
      <c r="B207" s="650"/>
      <c r="C207" s="651"/>
      <c r="D207" s="652"/>
      <c r="E207" s="653"/>
      <c r="F207" s="651"/>
      <c r="G207" s="654"/>
      <c r="H207" s="653"/>
      <c r="I207" s="942"/>
      <c r="J207" s="946"/>
      <c r="K207" s="931" t="str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/>
      </c>
      <c r="L207" s="683"/>
      <c r="M207" s="934"/>
      <c r="N207" s="31" t="str">
        <f t="shared" si="1330"/>
        <v>Y</v>
      </c>
      <c r="O207" s="162" t="str">
        <f t="shared" si="1334"/>
        <v/>
      </c>
      <c r="P207" s="162" t="str">
        <f t="shared" si="1335"/>
        <v/>
      </c>
      <c r="Q207" s="162" t="str">
        <f t="shared" si="1336"/>
        <v/>
      </c>
      <c r="R207" s="162" t="str">
        <f t="shared" si="1331"/>
        <v/>
      </c>
      <c r="S207" s="162" t="str">
        <f t="shared" si="1327"/>
        <v/>
      </c>
      <c r="T207" s="162" t="str">
        <f t="shared" si="1328"/>
        <v/>
      </c>
      <c r="U207" s="162" t="str">
        <f>IFERROR(IF(ISNUMBER(MATCH($X207,Settings!$AK$52:$AK$60,0)),INDEX(Settings!$AO$14:$AO$60,MATCH($X207,Settings!$AK$14:$AK$60,0))/2,INDEX(Settings!$AM$14:$AM$60,MATCH($X207,Settings!$AK$14:$AK$60,0))/2),"")</f>
        <v/>
      </c>
      <c r="V207" s="162" t="str">
        <f t="shared" si="1337"/>
        <v/>
      </c>
      <c r="W207" s="75"/>
      <c r="X207" s="937" t="str">
        <f t="shared" si="1332"/>
        <v/>
      </c>
      <c r="AK207" s="82" t="str">
        <f t="shared" si="1333"/>
        <v>Y</v>
      </c>
      <c r="AL207" s="419" t="s">
        <v>9</v>
      </c>
    </row>
    <row r="208" spans="2:38" x14ac:dyDescent="0.25">
      <c r="B208" s="650"/>
      <c r="C208" s="651"/>
      <c r="D208" s="652"/>
      <c r="E208" s="653"/>
      <c r="F208" s="651"/>
      <c r="G208" s="654"/>
      <c r="H208" s="653"/>
      <c r="I208" s="942"/>
      <c r="J208" s="946"/>
      <c r="K208" s="931" t="str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/>
      </c>
      <c r="L208" s="683"/>
      <c r="M208" s="934"/>
      <c r="N208" s="31" t="str">
        <f t="shared" si="1330"/>
        <v>Y</v>
      </c>
      <c r="O208" s="162" t="str">
        <f t="shared" si="1334"/>
        <v/>
      </c>
      <c r="P208" s="162" t="str">
        <f t="shared" si="1335"/>
        <v/>
      </c>
      <c r="Q208" s="162" t="str">
        <f t="shared" si="1336"/>
        <v/>
      </c>
      <c r="R208" s="162" t="str">
        <f t="shared" si="1331"/>
        <v/>
      </c>
      <c r="S208" s="162" t="str">
        <f t="shared" si="1327"/>
        <v/>
      </c>
      <c r="T208" s="162" t="str">
        <f t="shared" si="1328"/>
        <v/>
      </c>
      <c r="U208" s="162" t="str">
        <f>IFERROR(IF(ISNUMBER(MATCH($X208,Settings!$AK$52:$AK$60,0)),INDEX(Settings!$AO$14:$AO$60,MATCH($X208,Settings!$AK$14:$AK$60,0))/2,INDEX(Settings!$AM$14:$AM$60,MATCH($X208,Settings!$AK$14:$AK$60,0))/2),"")</f>
        <v/>
      </c>
      <c r="V208" s="162" t="str">
        <f t="shared" si="1337"/>
        <v/>
      </c>
      <c r="W208" s="75"/>
      <c r="X208" s="937" t="str">
        <f t="shared" si="1332"/>
        <v/>
      </c>
      <c r="AK208" s="82" t="str">
        <f t="shared" si="1333"/>
        <v>Y</v>
      </c>
      <c r="AL208" s="419" t="s">
        <v>9</v>
      </c>
    </row>
    <row r="209" spans="2:38" x14ac:dyDescent="0.25">
      <c r="B209" s="650"/>
      <c r="C209" s="651"/>
      <c r="D209" s="652"/>
      <c r="E209" s="653"/>
      <c r="F209" s="651"/>
      <c r="G209" s="654"/>
      <c r="H209" s="653"/>
      <c r="I209" s="942"/>
      <c r="J209" s="946"/>
      <c r="K209" s="931" t="str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/>
      </c>
      <c r="L209" s="683"/>
      <c r="M209" s="934"/>
      <c r="N209" s="31" t="str">
        <f t="shared" si="1330"/>
        <v>Y</v>
      </c>
      <c r="O209" s="162" t="str">
        <f t="shared" si="1334"/>
        <v/>
      </c>
      <c r="P209" s="162" t="str">
        <f t="shared" si="1335"/>
        <v/>
      </c>
      <c r="Q209" s="162" t="str">
        <f t="shared" si="1336"/>
        <v/>
      </c>
      <c r="R209" s="162" t="str">
        <f t="shared" si="1331"/>
        <v/>
      </c>
      <c r="S209" s="162" t="str">
        <f t="shared" si="1327"/>
        <v/>
      </c>
      <c r="T209" s="162" t="str">
        <f t="shared" si="1328"/>
        <v/>
      </c>
      <c r="U209" s="162" t="str">
        <f>IFERROR(IF(ISNUMBER(MATCH($X209,Settings!$AK$52:$AK$60,0)),INDEX(Settings!$AO$14:$AO$60,MATCH($X209,Settings!$AK$14:$AK$60,0))/2,INDEX(Settings!$AM$14:$AM$60,MATCH($X209,Settings!$AK$14:$AK$60,0))/2),"")</f>
        <v/>
      </c>
      <c r="V209" s="162" t="str">
        <f t="shared" si="1337"/>
        <v/>
      </c>
      <c r="W209" s="75"/>
      <c r="X209" s="937" t="str">
        <f t="shared" si="1332"/>
        <v/>
      </c>
      <c r="AK209" s="82" t="str">
        <f t="shared" si="1333"/>
        <v>Y</v>
      </c>
      <c r="AL209" s="419" t="s">
        <v>9</v>
      </c>
    </row>
    <row r="210" spans="2:38" x14ac:dyDescent="0.25">
      <c r="B210" s="650"/>
      <c r="C210" s="651"/>
      <c r="D210" s="652"/>
      <c r="E210" s="653"/>
      <c r="F210" s="651"/>
      <c r="G210" s="654"/>
      <c r="H210" s="653"/>
      <c r="I210" s="942"/>
      <c r="J210" s="946"/>
      <c r="K210" s="931" t="str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/>
      </c>
      <c r="L210" s="683"/>
      <c r="M210" s="934"/>
      <c r="N210" s="31" t="str">
        <f t="shared" si="1330"/>
        <v>Y</v>
      </c>
      <c r="O210" s="162" t="str">
        <f t="shared" si="1334"/>
        <v/>
      </c>
      <c r="P210" s="162" t="str">
        <f t="shared" si="1335"/>
        <v/>
      </c>
      <c r="Q210" s="162" t="str">
        <f t="shared" si="1336"/>
        <v/>
      </c>
      <c r="R210" s="162" t="str">
        <f t="shared" si="1331"/>
        <v/>
      </c>
      <c r="S210" s="162" t="str">
        <f t="shared" si="1327"/>
        <v/>
      </c>
      <c r="T210" s="162" t="str">
        <f t="shared" si="1328"/>
        <v/>
      </c>
      <c r="U210" s="162" t="str">
        <f>IFERROR(IF(ISNUMBER(MATCH($X210,Settings!$AK$52:$AK$60,0)),INDEX(Settings!$AO$14:$AO$60,MATCH($X210,Settings!$AK$14:$AK$60,0))/2,INDEX(Settings!$AM$14:$AM$60,MATCH($X210,Settings!$AK$14:$AK$60,0))/2),"")</f>
        <v/>
      </c>
      <c r="V210" s="162" t="str">
        <f t="shared" si="1337"/>
        <v/>
      </c>
      <c r="W210" s="75"/>
      <c r="X210" s="937" t="str">
        <f t="shared" si="1332"/>
        <v/>
      </c>
      <c r="AK210" s="82" t="str">
        <f t="shared" si="1333"/>
        <v>Y</v>
      </c>
      <c r="AL210" s="419" t="s">
        <v>9</v>
      </c>
    </row>
    <row r="211" spans="2:38" x14ac:dyDescent="0.25">
      <c r="B211" s="650"/>
      <c r="C211" s="651"/>
      <c r="D211" s="652"/>
      <c r="E211" s="653"/>
      <c r="F211" s="651"/>
      <c r="G211" s="654"/>
      <c r="H211" s="653"/>
      <c r="I211" s="942"/>
      <c r="J211" s="946"/>
      <c r="K211" s="931" t="str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/>
      </c>
      <c r="L211" s="683"/>
      <c r="M211" s="934"/>
      <c r="N211" s="31" t="str">
        <f t="shared" si="1330"/>
        <v>Y</v>
      </c>
      <c r="O211" s="162" t="str">
        <f t="shared" si="1334"/>
        <v/>
      </c>
      <c r="P211" s="162" t="str">
        <f t="shared" si="1335"/>
        <v/>
      </c>
      <c r="Q211" s="162" t="str">
        <f t="shared" si="1336"/>
        <v/>
      </c>
      <c r="R211" s="162" t="str">
        <f t="shared" si="1331"/>
        <v/>
      </c>
      <c r="S211" s="162" t="str">
        <f t="shared" si="1327"/>
        <v/>
      </c>
      <c r="T211" s="162" t="str">
        <f t="shared" si="1328"/>
        <v/>
      </c>
      <c r="U211" s="162" t="str">
        <f>IFERROR(IF(ISNUMBER(MATCH($X211,Settings!$AK$52:$AK$60,0)),INDEX(Settings!$AO$14:$AO$60,MATCH($X211,Settings!$AK$14:$AK$60,0))/2,INDEX(Settings!$AM$14:$AM$60,MATCH($X211,Settings!$AK$14:$AK$60,0))/2),"")</f>
        <v/>
      </c>
      <c r="V211" s="162" t="str">
        <f t="shared" si="1337"/>
        <v/>
      </c>
      <c r="W211" s="75"/>
      <c r="X211" s="937" t="str">
        <f t="shared" si="1332"/>
        <v/>
      </c>
      <c r="AK211" s="82" t="str">
        <f t="shared" si="1333"/>
        <v>Y</v>
      </c>
      <c r="AL211" s="419" t="s">
        <v>9</v>
      </c>
    </row>
    <row r="212" spans="2:38" x14ac:dyDescent="0.25">
      <c r="B212" s="650"/>
      <c r="C212" s="651"/>
      <c r="D212" s="652"/>
      <c r="E212" s="653"/>
      <c r="F212" s="651"/>
      <c r="G212" s="654"/>
      <c r="H212" s="653"/>
      <c r="I212" s="942"/>
      <c r="J212" s="946"/>
      <c r="K212" s="931" t="str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/>
      </c>
      <c r="L212" s="683"/>
      <c r="M212" s="934"/>
      <c r="N212" s="31" t="str">
        <f t="shared" si="1330"/>
        <v>Y</v>
      </c>
      <c r="O212" s="162" t="str">
        <f t="shared" si="1334"/>
        <v/>
      </c>
      <c r="P212" s="162" t="str">
        <f t="shared" si="1335"/>
        <v/>
      </c>
      <c r="Q212" s="162" t="str">
        <f t="shared" si="1336"/>
        <v/>
      </c>
      <c r="R212" s="162" t="str">
        <f t="shared" si="1331"/>
        <v/>
      </c>
      <c r="S212" s="162" t="str">
        <f t="shared" si="1327"/>
        <v/>
      </c>
      <c r="T212" s="162" t="str">
        <f t="shared" si="1328"/>
        <v/>
      </c>
      <c r="U212" s="162" t="str">
        <f>IFERROR(IF(ISNUMBER(MATCH($X212,Settings!$AK$52:$AK$60,0)),INDEX(Settings!$AO$14:$AO$60,MATCH($X212,Settings!$AK$14:$AK$60,0))/2,INDEX(Settings!$AM$14:$AM$60,MATCH($X212,Settings!$AK$14:$AK$60,0))/2),"")</f>
        <v/>
      </c>
      <c r="V212" s="162" t="str">
        <f t="shared" si="1337"/>
        <v/>
      </c>
      <c r="W212" s="75"/>
      <c r="X212" s="937" t="str">
        <f t="shared" si="1332"/>
        <v/>
      </c>
      <c r="AK212" s="82" t="str">
        <f t="shared" si="1333"/>
        <v>Y</v>
      </c>
      <c r="AL212" s="419" t="s">
        <v>9</v>
      </c>
    </row>
    <row r="213" spans="2:38" x14ac:dyDescent="0.25">
      <c r="B213" s="650"/>
      <c r="C213" s="651"/>
      <c r="D213" s="652"/>
      <c r="E213" s="653"/>
      <c r="F213" s="651"/>
      <c r="G213" s="654"/>
      <c r="H213" s="653"/>
      <c r="I213" s="942"/>
      <c r="J213" s="946"/>
      <c r="K213" s="931" t="str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/>
      </c>
      <c r="L213" s="683"/>
      <c r="M213" s="934"/>
      <c r="N213" s="31" t="str">
        <f t="shared" si="1330"/>
        <v>Y</v>
      </c>
      <c r="O213" s="162" t="str">
        <f t="shared" si="1334"/>
        <v/>
      </c>
      <c r="P213" s="162" t="str">
        <f t="shared" si="1335"/>
        <v/>
      </c>
      <c r="Q213" s="162" t="str">
        <f t="shared" si="1336"/>
        <v/>
      </c>
      <c r="R213" s="162" t="str">
        <f t="shared" si="1331"/>
        <v/>
      </c>
      <c r="S213" s="162" t="str">
        <f t="shared" si="1327"/>
        <v/>
      </c>
      <c r="T213" s="162" t="str">
        <f t="shared" si="1328"/>
        <v/>
      </c>
      <c r="U213" s="162" t="str">
        <f>IFERROR(IF(ISNUMBER(MATCH($X213,Settings!$AK$52:$AK$60,0)),INDEX(Settings!$AO$14:$AO$60,MATCH($X213,Settings!$AK$14:$AK$60,0))/2,INDEX(Settings!$AM$14:$AM$60,MATCH($X213,Settings!$AK$14:$AK$60,0))/2),"")</f>
        <v/>
      </c>
      <c r="V213" s="162" t="str">
        <f t="shared" si="1337"/>
        <v/>
      </c>
      <c r="W213" s="75"/>
      <c r="X213" s="937" t="str">
        <f t="shared" si="1332"/>
        <v/>
      </c>
      <c r="AK213" s="82" t="str">
        <f t="shared" si="1333"/>
        <v>Y</v>
      </c>
      <c r="AL213" s="419" t="s">
        <v>400</v>
      </c>
    </row>
    <row r="214" spans="2:38" x14ac:dyDescent="0.25">
      <c r="B214" s="650"/>
      <c r="C214" s="651"/>
      <c r="D214" s="652"/>
      <c r="E214" s="653"/>
      <c r="F214" s="651"/>
      <c r="G214" s="654"/>
      <c r="H214" s="653"/>
      <c r="I214" s="942"/>
      <c r="J214" s="946"/>
      <c r="K214" s="931" t="str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/>
      </c>
      <c r="L214" s="683"/>
      <c r="M214" s="934"/>
      <c r="N214" s="31" t="str">
        <f t="shared" si="1330"/>
        <v>Y</v>
      </c>
      <c r="O214" s="162" t="str">
        <f t="shared" si="1334"/>
        <v/>
      </c>
      <c r="P214" s="162" t="str">
        <f t="shared" si="1335"/>
        <v/>
      </c>
      <c r="Q214" s="162" t="str">
        <f t="shared" si="1336"/>
        <v/>
      </c>
      <c r="R214" s="162" t="str">
        <f t="shared" si="1331"/>
        <v/>
      </c>
      <c r="S214" s="162" t="str">
        <f t="shared" si="1327"/>
        <v/>
      </c>
      <c r="T214" s="162" t="str">
        <f t="shared" si="1328"/>
        <v/>
      </c>
      <c r="U214" s="162" t="str">
        <f>IFERROR(IF(ISNUMBER(MATCH($X214,Settings!$AK$52:$AK$60,0)),INDEX(Settings!$AO$14:$AO$60,MATCH($X214,Settings!$AK$14:$AK$60,0))/2,INDEX(Settings!$AM$14:$AM$60,MATCH($X214,Settings!$AK$14:$AK$60,0))/2),"")</f>
        <v/>
      </c>
      <c r="V214" s="162" t="str">
        <f t="shared" si="1337"/>
        <v/>
      </c>
      <c r="W214" s="75"/>
      <c r="X214" s="937" t="str">
        <f t="shared" si="1332"/>
        <v/>
      </c>
      <c r="AK214" s="82" t="str">
        <f t="shared" si="1333"/>
        <v>Y</v>
      </c>
      <c r="AL214" s="419" t="s">
        <v>400</v>
      </c>
    </row>
    <row r="215" spans="2:38" x14ac:dyDescent="0.25">
      <c r="B215" s="650"/>
      <c r="C215" s="651"/>
      <c r="D215" s="652"/>
      <c r="E215" s="653"/>
      <c r="F215" s="651"/>
      <c r="G215" s="654"/>
      <c r="H215" s="653"/>
      <c r="I215" s="942"/>
      <c r="J215" s="946"/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/>
      </c>
      <c r="L215" s="683"/>
      <c r="M215" s="934"/>
      <c r="N215" s="31" t="str">
        <f t="shared" si="1330"/>
        <v>Y</v>
      </c>
      <c r="O215" s="162" t="str">
        <f t="shared" si="1334"/>
        <v/>
      </c>
      <c r="P215" s="162" t="str">
        <f t="shared" si="1335"/>
        <v/>
      </c>
      <c r="Q215" s="162" t="str">
        <f t="shared" si="1336"/>
        <v/>
      </c>
      <c r="R215" s="162" t="str">
        <f t="shared" si="1331"/>
        <v/>
      </c>
      <c r="S215" s="162" t="str">
        <f t="shared" si="1327"/>
        <v/>
      </c>
      <c r="T215" s="162" t="str">
        <f t="shared" si="1328"/>
        <v/>
      </c>
      <c r="U215" s="162" t="str">
        <f>IFERROR(IF(ISNUMBER(MATCH($X215,Settings!$AK$52:$AK$60,0)),INDEX(Settings!$AO$14:$AO$60,MATCH($X215,Settings!$AK$14:$AK$60,0))/2,INDEX(Settings!$AM$14:$AM$60,MATCH($X215,Settings!$AK$14:$AK$60,0))/2),"")</f>
        <v/>
      </c>
      <c r="V215" s="162" t="str">
        <f t="shared" si="1337"/>
        <v/>
      </c>
      <c r="W215" s="75"/>
      <c r="X215" s="937" t="str">
        <f t="shared" si="1332"/>
        <v/>
      </c>
      <c r="AK215" s="82" t="str">
        <f t="shared" si="1333"/>
        <v>Y</v>
      </c>
      <c r="AL215" s="419" t="s">
        <v>400</v>
      </c>
    </row>
    <row r="216" spans="2:38" x14ac:dyDescent="0.25">
      <c r="B216" s="650"/>
      <c r="C216" s="651"/>
      <c r="D216" s="652"/>
      <c r="E216" s="653"/>
      <c r="F216" s="651"/>
      <c r="G216" s="654"/>
      <c r="H216" s="653"/>
      <c r="I216" s="942"/>
      <c r="J216" s="946"/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/>
      </c>
      <c r="L216" s="683"/>
      <c r="M216" s="934"/>
      <c r="N216" s="31" t="str">
        <f t="shared" si="1330"/>
        <v>Y</v>
      </c>
      <c r="O216" s="162" t="str">
        <f t="shared" si="1334"/>
        <v/>
      </c>
      <c r="P216" s="162" t="str">
        <f t="shared" si="1335"/>
        <v/>
      </c>
      <c r="Q216" s="162" t="str">
        <f t="shared" si="1336"/>
        <v/>
      </c>
      <c r="R216" s="162" t="str">
        <f t="shared" si="1331"/>
        <v/>
      </c>
      <c r="S216" s="162" t="str">
        <f t="shared" si="1327"/>
        <v/>
      </c>
      <c r="T216" s="162" t="str">
        <f t="shared" si="1328"/>
        <v/>
      </c>
      <c r="U216" s="162" t="str">
        <f>IFERROR(IF(ISNUMBER(MATCH($X216,Settings!$AK$52:$AK$60,0)),INDEX(Settings!$AO$14:$AO$60,MATCH($X216,Settings!$AK$14:$AK$60,0))/2,INDEX(Settings!$AM$14:$AM$60,MATCH($X216,Settings!$AK$14:$AK$60,0))/2),"")</f>
        <v/>
      </c>
      <c r="V216" s="162" t="str">
        <f t="shared" si="1337"/>
        <v/>
      </c>
      <c r="W216" s="75"/>
      <c r="X216" s="937" t="str">
        <f t="shared" si="1332"/>
        <v/>
      </c>
      <c r="AK216" s="82" t="str">
        <f t="shared" si="1333"/>
        <v>Y</v>
      </c>
      <c r="AL216" s="419" t="s">
        <v>400</v>
      </c>
    </row>
    <row r="217" spans="2:38" x14ac:dyDescent="0.25">
      <c r="B217" s="650"/>
      <c r="C217" s="651"/>
      <c r="D217" s="652"/>
      <c r="E217" s="653"/>
      <c r="F217" s="651"/>
      <c r="G217" s="654"/>
      <c r="H217" s="653"/>
      <c r="I217" s="942"/>
      <c r="J217" s="946"/>
      <c r="K217" s="931" t="str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/>
      </c>
      <c r="L217" s="683"/>
      <c r="M217" s="934"/>
      <c r="N217" s="31" t="str">
        <f t="shared" si="1330"/>
        <v>Y</v>
      </c>
      <c r="O217" s="162" t="str">
        <f t="shared" si="1334"/>
        <v/>
      </c>
      <c r="P217" s="162" t="str">
        <f t="shared" si="1335"/>
        <v/>
      </c>
      <c r="Q217" s="162" t="str">
        <f t="shared" si="1336"/>
        <v/>
      </c>
      <c r="R217" s="162" t="str">
        <f t="shared" si="1331"/>
        <v/>
      </c>
      <c r="S217" s="162" t="str">
        <f t="shared" si="1327"/>
        <v/>
      </c>
      <c r="T217" s="162" t="str">
        <f t="shared" si="1328"/>
        <v/>
      </c>
      <c r="U217" s="162" t="str">
        <f>IFERROR(IF(ISNUMBER(MATCH($X217,Settings!$AK$52:$AK$60,0)),INDEX(Settings!$AO$14:$AO$60,MATCH($X217,Settings!$AK$14:$AK$60,0))/2,INDEX(Settings!$AM$14:$AM$60,MATCH($X217,Settings!$AK$14:$AK$60,0))/2),"")</f>
        <v/>
      </c>
      <c r="V217" s="162" t="str">
        <f t="shared" si="1337"/>
        <v/>
      </c>
      <c r="W217" s="75"/>
      <c r="X217" s="937" t="str">
        <f t="shared" si="1332"/>
        <v/>
      </c>
      <c r="AK217" s="82" t="str">
        <f t="shared" si="1333"/>
        <v>Y</v>
      </c>
      <c r="AL217" s="419" t="s">
        <v>400</v>
      </c>
    </row>
    <row r="218" spans="2:38" x14ac:dyDescent="0.25">
      <c r="B218" s="650"/>
      <c r="C218" s="651"/>
      <c r="D218" s="652"/>
      <c r="E218" s="653"/>
      <c r="F218" s="651"/>
      <c r="G218" s="654"/>
      <c r="H218" s="653"/>
      <c r="I218" s="942"/>
      <c r="J218" s="946"/>
      <c r="K218" s="931" t="str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/>
      </c>
      <c r="L218" s="683"/>
      <c r="M218" s="934"/>
      <c r="N218" s="31" t="str">
        <f t="shared" si="1330"/>
        <v>Y</v>
      </c>
      <c r="O218" s="162" t="str">
        <f t="shared" si="1334"/>
        <v/>
      </c>
      <c r="P218" s="162" t="str">
        <f t="shared" si="1335"/>
        <v/>
      </c>
      <c r="Q218" s="162" t="str">
        <f t="shared" si="1336"/>
        <v/>
      </c>
      <c r="R218" s="162" t="str">
        <f t="shared" si="1331"/>
        <v/>
      </c>
      <c r="S218" s="162" t="str">
        <f t="shared" si="1327"/>
        <v/>
      </c>
      <c r="T218" s="162" t="str">
        <f t="shared" si="1328"/>
        <v/>
      </c>
      <c r="U218" s="162" t="str">
        <f>IFERROR(IF(ISNUMBER(MATCH($X218,Settings!$AK$52:$AK$60,0)),INDEX(Settings!$AO$14:$AO$60,MATCH($X218,Settings!$AK$14:$AK$60,0))/2,INDEX(Settings!$AM$14:$AM$60,MATCH($X218,Settings!$AK$14:$AK$60,0))/2),"")</f>
        <v/>
      </c>
      <c r="V218" s="162" t="str">
        <f t="shared" si="1337"/>
        <v/>
      </c>
      <c r="W218" s="75"/>
      <c r="X218" s="937" t="str">
        <f t="shared" si="1332"/>
        <v/>
      </c>
      <c r="AK218" s="82" t="str">
        <f t="shared" si="1333"/>
        <v>Y</v>
      </c>
      <c r="AL218" s="419" t="s">
        <v>400</v>
      </c>
    </row>
    <row r="219" spans="2:38" x14ac:dyDescent="0.25">
      <c r="B219" s="650"/>
      <c r="C219" s="651"/>
      <c r="D219" s="652"/>
      <c r="E219" s="653"/>
      <c r="F219" s="651"/>
      <c r="G219" s="654"/>
      <c r="H219" s="653"/>
      <c r="I219" s="942"/>
      <c r="J219" s="946"/>
      <c r="K219" s="931" t="str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/>
      </c>
      <c r="L219" s="683"/>
      <c r="M219" s="934"/>
      <c r="N219" s="31" t="str">
        <f t="shared" si="1330"/>
        <v>Y</v>
      </c>
      <c r="O219" s="162" t="str">
        <f t="shared" si="1334"/>
        <v/>
      </c>
      <c r="P219" s="162" t="str">
        <f t="shared" si="1335"/>
        <v/>
      </c>
      <c r="Q219" s="162" t="str">
        <f t="shared" si="1336"/>
        <v/>
      </c>
      <c r="R219" s="162" t="str">
        <f t="shared" si="1331"/>
        <v/>
      </c>
      <c r="S219" s="162" t="str">
        <f t="shared" si="1327"/>
        <v/>
      </c>
      <c r="T219" s="162" t="str">
        <f t="shared" si="1328"/>
        <v/>
      </c>
      <c r="U219" s="162" t="str">
        <f>IFERROR(IF(ISNUMBER(MATCH($X219,Settings!$AK$52:$AK$60,0)),INDEX(Settings!$AO$14:$AO$60,MATCH($X219,Settings!$AK$14:$AK$60,0))/2,INDEX(Settings!$AM$14:$AM$60,MATCH($X219,Settings!$AK$14:$AK$60,0))/2),"")</f>
        <v/>
      </c>
      <c r="V219" s="162" t="str">
        <f t="shared" si="1337"/>
        <v/>
      </c>
      <c r="W219" s="75"/>
      <c r="X219" s="937" t="str">
        <f t="shared" si="1332"/>
        <v/>
      </c>
      <c r="AK219" s="82" t="str">
        <f t="shared" si="1333"/>
        <v>Y</v>
      </c>
      <c r="AL219" s="419" t="s">
        <v>400</v>
      </c>
    </row>
    <row r="220" spans="2:38" x14ac:dyDescent="0.25">
      <c r="B220" s="650"/>
      <c r="C220" s="651"/>
      <c r="D220" s="652"/>
      <c r="E220" s="653"/>
      <c r="F220" s="651"/>
      <c r="G220" s="654"/>
      <c r="H220" s="653"/>
      <c r="I220" s="942"/>
      <c r="J220" s="946"/>
      <c r="K220" s="931" t="str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/>
      </c>
      <c r="L220" s="683"/>
      <c r="M220" s="934"/>
      <c r="N220" s="31" t="str">
        <f t="shared" si="1330"/>
        <v>Y</v>
      </c>
      <c r="O220" s="162" t="str">
        <f t="shared" si="1334"/>
        <v/>
      </c>
      <c r="P220" s="162" t="str">
        <f t="shared" si="1335"/>
        <v/>
      </c>
      <c r="Q220" s="162" t="str">
        <f t="shared" si="1336"/>
        <v/>
      </c>
      <c r="R220" s="162" t="str">
        <f t="shared" si="1331"/>
        <v/>
      </c>
      <c r="S220" s="162" t="str">
        <f t="shared" si="1327"/>
        <v/>
      </c>
      <c r="T220" s="162" t="str">
        <f t="shared" si="1328"/>
        <v/>
      </c>
      <c r="U220" s="162" t="str">
        <f>IFERROR(IF(ISNUMBER(MATCH($X220,Settings!$AK$52:$AK$60,0)),INDEX(Settings!$AO$14:$AO$60,MATCH($X220,Settings!$AK$14:$AK$60,0))/2,INDEX(Settings!$AM$14:$AM$60,MATCH($X220,Settings!$AK$14:$AK$60,0))/2),"")</f>
        <v/>
      </c>
      <c r="V220" s="162" t="str">
        <f t="shared" si="1337"/>
        <v/>
      </c>
      <c r="W220" s="75"/>
      <c r="X220" s="937" t="str">
        <f t="shared" si="1332"/>
        <v/>
      </c>
      <c r="AK220" s="82" t="str">
        <f t="shared" si="1333"/>
        <v>Y</v>
      </c>
      <c r="AL220" s="419" t="s">
        <v>400</v>
      </c>
    </row>
    <row r="221" spans="2:38" x14ac:dyDescent="0.25">
      <c r="B221" s="650"/>
      <c r="C221" s="651"/>
      <c r="D221" s="652"/>
      <c r="E221" s="653"/>
      <c r="F221" s="651"/>
      <c r="G221" s="654"/>
      <c r="H221" s="653"/>
      <c r="I221" s="942"/>
      <c r="J221" s="946"/>
      <c r="K221" s="931" t="str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/>
      </c>
      <c r="L221" s="683"/>
      <c r="M221" s="934"/>
      <c r="N221" s="31" t="str">
        <f t="shared" si="1330"/>
        <v>Y</v>
      </c>
      <c r="O221" s="162" t="str">
        <f t="shared" si="1334"/>
        <v/>
      </c>
      <c r="P221" s="162" t="str">
        <f t="shared" si="1335"/>
        <v/>
      </c>
      <c r="Q221" s="162" t="str">
        <f t="shared" si="1336"/>
        <v/>
      </c>
      <c r="R221" s="162" t="str">
        <f t="shared" si="1331"/>
        <v/>
      </c>
      <c r="S221" s="162" t="str">
        <f t="shared" si="1327"/>
        <v/>
      </c>
      <c r="T221" s="162" t="str">
        <f t="shared" si="1328"/>
        <v/>
      </c>
      <c r="U221" s="162" t="str">
        <f>IFERROR(IF(ISNUMBER(MATCH($X221,Settings!$AK$52:$AK$60,0)),INDEX(Settings!$AO$14:$AO$60,MATCH($X221,Settings!$AK$14:$AK$60,0))/2,INDEX(Settings!$AM$14:$AM$60,MATCH($X221,Settings!$AK$14:$AK$60,0))/2),"")</f>
        <v/>
      </c>
      <c r="V221" s="162" t="str">
        <f t="shared" si="1337"/>
        <v/>
      </c>
      <c r="W221" s="75"/>
      <c r="X221" s="937" t="str">
        <f t="shared" si="1332"/>
        <v/>
      </c>
      <c r="AK221" s="82" t="str">
        <f t="shared" si="1333"/>
        <v>Y</v>
      </c>
      <c r="AL221" s="419" t="s">
        <v>9</v>
      </c>
    </row>
    <row r="222" spans="2:38" x14ac:dyDescent="0.25">
      <c r="B222" s="650"/>
      <c r="C222" s="651"/>
      <c r="D222" s="652"/>
      <c r="E222" s="653"/>
      <c r="F222" s="651"/>
      <c r="G222" s="654"/>
      <c r="H222" s="653"/>
      <c r="I222" s="942"/>
      <c r="J222" s="946"/>
      <c r="K222" s="931" t="str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/>
      </c>
      <c r="L222" s="683"/>
      <c r="M222" s="934"/>
      <c r="N222" s="31" t="str">
        <f t="shared" si="1330"/>
        <v>Y</v>
      </c>
      <c r="O222" s="162" t="str">
        <f t="shared" si="1334"/>
        <v/>
      </c>
      <c r="P222" s="162" t="str">
        <f t="shared" si="1335"/>
        <v/>
      </c>
      <c r="Q222" s="162" t="str">
        <f t="shared" si="1336"/>
        <v/>
      </c>
      <c r="R222" s="162" t="str">
        <f t="shared" si="1331"/>
        <v/>
      </c>
      <c r="S222" s="162" t="str">
        <f t="shared" si="1327"/>
        <v/>
      </c>
      <c r="T222" s="162" t="str">
        <f t="shared" si="1328"/>
        <v/>
      </c>
      <c r="U222" s="162" t="str">
        <f>IFERROR(IF(ISNUMBER(MATCH($X222,Settings!$AK$52:$AK$60,0)),INDEX(Settings!$AO$14:$AO$60,MATCH($X222,Settings!$AK$14:$AK$60,0))/2,INDEX(Settings!$AM$14:$AM$60,MATCH($X222,Settings!$AK$14:$AK$60,0))/2),"")</f>
        <v/>
      </c>
      <c r="V222" s="162" t="str">
        <f t="shared" si="1337"/>
        <v/>
      </c>
      <c r="W222" s="75"/>
      <c r="X222" s="937" t="str">
        <f t="shared" si="1332"/>
        <v/>
      </c>
      <c r="AK222" s="82" t="str">
        <f t="shared" si="1333"/>
        <v>Y</v>
      </c>
      <c r="AL222" s="419" t="s">
        <v>9</v>
      </c>
    </row>
    <row r="223" spans="2:38" x14ac:dyDescent="0.25">
      <c r="B223" s="650"/>
      <c r="C223" s="651"/>
      <c r="D223" s="652"/>
      <c r="E223" s="653"/>
      <c r="F223" s="651"/>
      <c r="G223" s="654"/>
      <c r="H223" s="653"/>
      <c r="I223" s="942"/>
      <c r="J223" s="946"/>
      <c r="K223" s="931" t="str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/>
      </c>
      <c r="L223" s="683"/>
      <c r="M223" s="934"/>
      <c r="N223" s="31" t="str">
        <f t="shared" si="1330"/>
        <v>Y</v>
      </c>
      <c r="O223" s="162" t="str">
        <f t="shared" si="1334"/>
        <v/>
      </c>
      <c r="P223" s="162" t="str">
        <f t="shared" si="1335"/>
        <v/>
      </c>
      <c r="Q223" s="162" t="str">
        <f t="shared" si="1336"/>
        <v/>
      </c>
      <c r="R223" s="162" t="str">
        <f t="shared" si="1331"/>
        <v/>
      </c>
      <c r="S223" s="162" t="str">
        <f t="shared" si="1327"/>
        <v/>
      </c>
      <c r="T223" s="162" t="str">
        <f t="shared" si="1328"/>
        <v/>
      </c>
      <c r="U223" s="162" t="str">
        <f>IFERROR(IF(ISNUMBER(MATCH($X223,Settings!$AK$52:$AK$60,0)),INDEX(Settings!$AO$14:$AO$60,MATCH($X223,Settings!$AK$14:$AK$60,0))/2,INDEX(Settings!$AM$14:$AM$60,MATCH($X223,Settings!$AK$14:$AK$60,0))/2),"")</f>
        <v/>
      </c>
      <c r="V223" s="162" t="str">
        <f t="shared" si="1337"/>
        <v/>
      </c>
      <c r="W223" s="75"/>
      <c r="X223" s="937" t="str">
        <f t="shared" si="1332"/>
        <v/>
      </c>
      <c r="AK223" s="82" t="str">
        <f t="shared" si="1333"/>
        <v>Y</v>
      </c>
      <c r="AL223" s="419" t="s">
        <v>9</v>
      </c>
    </row>
    <row r="224" spans="2:38" x14ac:dyDescent="0.25">
      <c r="B224" s="650"/>
      <c r="C224" s="651"/>
      <c r="D224" s="652"/>
      <c r="E224" s="653"/>
      <c r="F224" s="651"/>
      <c r="G224" s="654"/>
      <c r="H224" s="653"/>
      <c r="I224" s="942"/>
      <c r="J224" s="946"/>
      <c r="K224" s="931" t="str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/>
      </c>
      <c r="L224" s="683"/>
      <c r="M224" s="934"/>
      <c r="N224" s="31" t="str">
        <f t="shared" si="1330"/>
        <v>Y</v>
      </c>
      <c r="O224" s="162" t="str">
        <f t="shared" si="1334"/>
        <v/>
      </c>
      <c r="P224" s="162" t="str">
        <f t="shared" si="1335"/>
        <v/>
      </c>
      <c r="Q224" s="162" t="str">
        <f t="shared" si="1336"/>
        <v/>
      </c>
      <c r="R224" s="162" t="str">
        <f t="shared" si="1331"/>
        <v/>
      </c>
      <c r="S224" s="162" t="str">
        <f t="shared" si="1327"/>
        <v/>
      </c>
      <c r="T224" s="162" t="str">
        <f t="shared" si="1328"/>
        <v/>
      </c>
      <c r="U224" s="162" t="str">
        <f>IFERROR(IF(ISNUMBER(MATCH($X224,Settings!$AK$52:$AK$60,0)),INDEX(Settings!$AO$14:$AO$60,MATCH($X224,Settings!$AK$14:$AK$60,0))/2,INDEX(Settings!$AM$14:$AM$60,MATCH($X224,Settings!$AK$14:$AK$60,0))/2),"")</f>
        <v/>
      </c>
      <c r="V224" s="162" t="str">
        <f t="shared" si="1337"/>
        <v/>
      </c>
      <c r="W224" s="75"/>
      <c r="X224" s="937" t="str">
        <f t="shared" si="1332"/>
        <v/>
      </c>
      <c r="AK224" s="82" t="str">
        <f t="shared" si="1333"/>
        <v>Y</v>
      </c>
      <c r="AL224" s="419" t="s">
        <v>9</v>
      </c>
    </row>
    <row r="225" spans="2:38" x14ac:dyDescent="0.25">
      <c r="B225" s="650"/>
      <c r="C225" s="651"/>
      <c r="D225" s="652"/>
      <c r="E225" s="653"/>
      <c r="F225" s="651"/>
      <c r="G225" s="654"/>
      <c r="H225" s="653"/>
      <c r="I225" s="942"/>
      <c r="J225" s="946"/>
      <c r="K225" s="931" t="str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/>
      </c>
      <c r="L225" s="683"/>
      <c r="M225" s="934"/>
      <c r="N225" s="31" t="str">
        <f t="shared" si="1330"/>
        <v>Y</v>
      </c>
      <c r="O225" s="162" t="str">
        <f t="shared" si="1334"/>
        <v/>
      </c>
      <c r="P225" s="162" t="str">
        <f t="shared" si="1335"/>
        <v/>
      </c>
      <c r="Q225" s="162" t="str">
        <f t="shared" si="1336"/>
        <v/>
      </c>
      <c r="R225" s="162" t="str">
        <f t="shared" si="1331"/>
        <v/>
      </c>
      <c r="S225" s="162" t="str">
        <f t="shared" si="1327"/>
        <v/>
      </c>
      <c r="T225" s="162" t="str">
        <f t="shared" si="1328"/>
        <v/>
      </c>
      <c r="U225" s="162" t="str">
        <f>IFERROR(IF(ISNUMBER(MATCH($X225,Settings!$AK$52:$AK$60,0)),INDEX(Settings!$AO$14:$AO$60,MATCH($X225,Settings!$AK$14:$AK$60,0))/2,INDEX(Settings!$AM$14:$AM$60,MATCH($X225,Settings!$AK$14:$AK$60,0))/2),"")</f>
        <v/>
      </c>
      <c r="V225" s="162" t="str">
        <f t="shared" si="1337"/>
        <v/>
      </c>
      <c r="W225" s="75"/>
      <c r="X225" s="937" t="str">
        <f t="shared" si="1332"/>
        <v/>
      </c>
      <c r="AK225" s="82" t="str">
        <f t="shared" si="1333"/>
        <v>Y</v>
      </c>
      <c r="AL225" s="419" t="s">
        <v>9</v>
      </c>
    </row>
    <row r="226" spans="2:38" x14ac:dyDescent="0.25">
      <c r="B226" s="650"/>
      <c r="C226" s="651"/>
      <c r="D226" s="652"/>
      <c r="E226" s="653"/>
      <c r="F226" s="651"/>
      <c r="G226" s="654"/>
      <c r="H226" s="653"/>
      <c r="I226" s="942"/>
      <c r="J226" s="946"/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/>
      </c>
      <c r="L226" s="683"/>
      <c r="M226" s="934"/>
      <c r="N226" s="31" t="str">
        <f t="shared" si="1330"/>
        <v>Y</v>
      </c>
      <c r="O226" s="162" t="str">
        <f t="shared" si="1334"/>
        <v/>
      </c>
      <c r="P226" s="162" t="str">
        <f t="shared" si="1335"/>
        <v/>
      </c>
      <c r="Q226" s="162" t="str">
        <f t="shared" si="1336"/>
        <v/>
      </c>
      <c r="R226" s="162" t="str">
        <f t="shared" si="1331"/>
        <v/>
      </c>
      <c r="S226" s="162" t="str">
        <f t="shared" si="1327"/>
        <v/>
      </c>
      <c r="T226" s="162" t="str">
        <f t="shared" si="1328"/>
        <v/>
      </c>
      <c r="U226" s="162" t="str">
        <f>IFERROR(IF(ISNUMBER(MATCH($X226,Settings!$AK$52:$AK$60,0)),INDEX(Settings!$AO$14:$AO$60,MATCH($X226,Settings!$AK$14:$AK$60,0))/2,INDEX(Settings!$AM$14:$AM$60,MATCH($X226,Settings!$AK$14:$AK$60,0))/2),"")</f>
        <v/>
      </c>
      <c r="V226" s="162" t="str">
        <f t="shared" si="1337"/>
        <v/>
      </c>
      <c r="W226" s="75"/>
      <c r="X226" s="937" t="str">
        <f t="shared" si="1332"/>
        <v/>
      </c>
      <c r="AK226" s="82" t="str">
        <f t="shared" si="1333"/>
        <v>Y</v>
      </c>
      <c r="AL226" s="419" t="s">
        <v>400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/>
      </c>
      <c r="L227" s="683"/>
      <c r="M227" s="934"/>
      <c r="N227" s="31" t="str">
        <f t="shared" si="1330"/>
        <v>Y</v>
      </c>
      <c r="O227" s="162" t="str">
        <f t="shared" si="1334"/>
        <v/>
      </c>
      <c r="P227" s="162" t="str">
        <f t="shared" si="1335"/>
        <v/>
      </c>
      <c r="Q227" s="162" t="str">
        <f t="shared" si="1336"/>
        <v/>
      </c>
      <c r="R227" s="162" t="str">
        <f t="shared" si="1331"/>
        <v/>
      </c>
      <c r="S227" s="162" t="str">
        <f t="shared" si="1327"/>
        <v/>
      </c>
      <c r="T227" s="162" t="str">
        <f t="shared" si="1328"/>
        <v/>
      </c>
      <c r="U227" s="162" t="str">
        <f>IFERROR(IF(ISNUMBER(MATCH($X227,Settings!$AK$52:$AK$60,0)),INDEX(Settings!$AO$14:$AO$60,MATCH($X227,Settings!$AK$14:$AK$60,0))/2,INDEX(Settings!$AM$14:$AM$60,MATCH($X227,Settings!$AK$14:$AK$60,0))/2),"")</f>
        <v/>
      </c>
      <c r="V227" s="162" t="str">
        <f t="shared" si="1337"/>
        <v/>
      </c>
      <c r="W227" s="75"/>
      <c r="X227" s="937" t="str">
        <f t="shared" si="1332"/>
        <v/>
      </c>
      <c r="AK227" s="82" t="str">
        <f t="shared" si="1333"/>
        <v>Y</v>
      </c>
      <c r="AL227" s="419" t="s">
        <v>400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/>
      </c>
      <c r="L228" s="683"/>
      <c r="M228" s="934"/>
      <c r="N228" s="31" t="str">
        <f t="shared" si="1330"/>
        <v>Y</v>
      </c>
      <c r="O228" s="162" t="str">
        <f t="shared" ref="O228:O259" si="1338">IFERROR(INDEX(B$164:B$305,MATCH($W228,$J$164:$J$305,0)),"")</f>
        <v/>
      </c>
      <c r="P228" s="162" t="str">
        <f t="shared" ref="P228:P259" si="1339">IFERROR(INDEX(C$164:C$305,MATCH($W228,$J$164:$J$305,0)),"")</f>
        <v/>
      </c>
      <c r="Q228" s="162" t="str">
        <f t="shared" ref="Q228:Q259" si="1340">IFERROR(INDEX(D$164:D$305,MATCH($W228,$J$164:$J$305,0)),"")</f>
        <v/>
      </c>
      <c r="R228" s="162" t="str">
        <f t="shared" si="1331"/>
        <v/>
      </c>
      <c r="S228" s="162" t="str">
        <f t="shared" ref="S228:S291" si="1341">IFERROR(IF($L228="Y",-1*INDEX(F$164:F$305,MATCH($W228,$J$164:$J$305,0)),INDEX(F$164:F$305,MATCH($W228,$J$164:$J$305,0))),"")</f>
        <v/>
      </c>
      <c r="T228" s="162" t="str">
        <f t="shared" ref="T228:T291" si="1342">IFERROR(IF($L228="Y",-1*INDEX(G$164:G$305,MATCH($W228,$J$164:$J$305,0)),INDEX(G$164:G$305,MATCH($W228,$J$164:$J$305,0))),"")</f>
        <v/>
      </c>
      <c r="U228" s="162" t="str">
        <f>IFERROR(IF(ISNUMBER(MATCH($X228,Settings!$AK$52:$AK$60,0)),INDEX(Settings!$AO$14:$AO$60,MATCH($X228,Settings!$AK$14:$AK$60,0))/2,INDEX(Settings!$AM$14:$AM$60,MATCH($X228,Settings!$AK$14:$AK$60,0))/2),"")</f>
        <v/>
      </c>
      <c r="V228" s="162" t="str">
        <f t="shared" ref="V228:V259" si="1343">IFERROR(INDEX(I$164:I$305,MATCH($W228,$J$164:$J$305,0)),"")</f>
        <v/>
      </c>
      <c r="W228" s="75"/>
      <c r="X228" s="937" t="str">
        <f t="shared" si="1332"/>
        <v/>
      </c>
      <c r="AK228" s="82" t="str">
        <f t="shared" si="1333"/>
        <v>Y</v>
      </c>
      <c r="AL228" s="419" t="s">
        <v>400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/>
      </c>
      <c r="L229" s="683"/>
      <c r="M229" s="934"/>
      <c r="N229" s="31" t="str">
        <f t="shared" ref="N229:N290" si="1344">IF(M229="Y","N","Y")</f>
        <v>Y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/>
      </c>
      <c r="L230" s="683"/>
      <c r="M230" s="934"/>
      <c r="N230" s="31" t="str">
        <f t="shared" si="1344"/>
        <v>Y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AK230" s="82" t="str">
        <f t="shared" si="134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/>
      </c>
      <c r="L231" s="683"/>
      <c r="M231" s="934"/>
      <c r="N231" s="31" t="str">
        <f t="shared" si="1344"/>
        <v>Y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AK231" s="82" t="str">
        <f t="shared" si="134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/>
      </c>
      <c r="L232" s="683"/>
      <c r="M232" s="934"/>
      <c r="N232" s="31" t="str">
        <f t="shared" si="1344"/>
        <v>Y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AK232" s="82" t="str">
        <f t="shared" si="134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/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AK233" s="82" t="str">
        <f t="shared" si="134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/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AK234" s="82" t="str">
        <f t="shared" si="134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/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AK235" s="82" t="str">
        <f t="shared" si="134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/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AK236" s="82" t="str">
        <f t="shared" si="134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/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AK237" s="82" t="str">
        <f t="shared" si="134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/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AK238" s="82" t="str">
        <f t="shared" si="134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/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AK239" s="82" t="str">
        <f t="shared" si="134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/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AK240" s="82" t="str">
        <f t="shared" si="134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/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AK241" s="82" t="str">
        <f t="shared" si="134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/>
      </c>
      <c r="L242" s="683"/>
      <c r="M242" s="934"/>
      <c r="N242" s="31" t="str">
        <f t="shared" si="1344"/>
        <v>Y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AK242" s="82" t="str">
        <f t="shared" si="134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AK256" s="82" t="str">
        <f t="shared" si="134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7.875 2176D F-Type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2176D F-Type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1.1120000000000001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1.1180000000000001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1.1240000000000001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1.1299999999999999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2.1110000000000002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2.117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2.1230000000000002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2.129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3.1019999999999999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3.105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3.1080000000000001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3.1139999999999999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3.12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3.1259999999999999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3.1320000000000001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4.1130000000000004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4.1189999999999998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4.125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4.1310000000000002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5.1029999999999998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5.1059999999999999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5.1100000000000003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5.1159999999999997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5.1219999999999999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5.1280000000000001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6.109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6.1150000000000002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6.1210000000000004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6.1269999999999998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 t="str">
        <f>Assy.Model!$M41</f>
        <v/>
      </c>
      <c r="N196" s="810" t="str">
        <f>Assy.Model!K41</f>
        <v/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 t="str">
        <f>Assy.Model!$M42</f>
        <v/>
      </c>
      <c r="N197" s="810" t="str">
        <f>Assy.Model!K42</f>
        <v/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 t="str">
        <f>Assy.Model!$M43</f>
        <v/>
      </c>
      <c r="N198" s="810" t="str">
        <f>Assy.Model!K43</f>
        <v/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 t="str">
        <f>Assy.Model!$M44</f>
        <v/>
      </c>
      <c r="N199" s="810" t="str">
        <f>Assy.Model!K44</f>
        <v/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 t="str">
        <f>Assy.Model!$M45</f>
        <v/>
      </c>
      <c r="N200" s="810" t="str">
        <f>Assy.Model!K45</f>
        <v/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 t="str">
        <f>Assy.Model!$M46</f>
        <v/>
      </c>
      <c r="N201" s="810" t="str">
        <f>Assy.Model!K46</f>
        <v/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 t="str">
        <f>Assy.Model!$M47</f>
        <v/>
      </c>
      <c r="N202" s="810" t="str">
        <f>Assy.Model!K47</f>
        <v/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 t="str">
        <f>Assy.Model!$M48</f>
        <v/>
      </c>
      <c r="N203" s="810" t="str">
        <f>Assy.Model!K48</f>
        <v/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2024-04-29T20:05:15Z</dcterms:modified>
</cp:coreProperties>
</file>