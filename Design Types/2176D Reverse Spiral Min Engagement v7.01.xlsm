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Design Types\"/>
    </mc:Choice>
  </mc:AlternateContent>
  <xr:revisionPtr revIDLastSave="0" documentId="13_ncr:1_{C4657627-5FFF-4675-8E75-35411314012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3" i="4" l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62" i="1" l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R6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JD23" i="1" l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N128" i="1" l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128" i="1" l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25" i="1" s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0" i="1" l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BU54" i="1" l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CC54" i="1" l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<sst xmlns="http://schemas.openxmlformats.org/spreadsheetml/2006/main" count="911" uniqueCount="407">
  <si>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</si>
  <si>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</si>
  <si>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</si>
  <si>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</si>
  <si>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</si>
  <si>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</si>
  <si>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</si>
  <si>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</si>
  <si>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</si>
  <si>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</si>
  <si>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</si>
  <si>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</si>
  <si>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</si>
  <si>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</si>
  <si>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</si>
  <si>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</si>
  <si>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</si>
  <si>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</si>
  <si>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</si>
  <si>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</si>
  <si>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</si>
  <si>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</si>
  <si>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</si>
  <si>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</si>
  <si>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</si>
  <si>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</si>
  <si>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</si>
  <si>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</si>
  <si>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</si>
  <si>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</si>
  <si>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</si>
  <si>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</si>
  <si>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</si>
  <si>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</si>
  <si>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</si>
  <si>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</si>
  <si>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</si>
  <si>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</si>
  <si>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</si>
  <si>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</si>
  <si>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</si>
  <si>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</si>
  <si>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</si>
  <si>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</si>
  <si>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</si>
  <si>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</si>
  <si>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</si>
  <si>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</si>
  <si>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</si>
  <si>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</si>
  <si>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</si>
  <si>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</si>
  <si>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</si>
  <si>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</si>
  <si>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</si>
  <si>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</si>
  <si>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</si>
  <si>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</si>
  <si>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</si>
  <si>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</si>
  <si>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</si>
  <si>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</si>
  <si>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</si>
  <si>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</si>
  <si>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</si>
  <si>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</si>
  <si>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</si>
  <si>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</si>
  <si>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</si>
  <si>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</si>
  <si>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</si>
  <si>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</si>
  <si>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</si>
  <si>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</si>
  <si>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</si>
  <si>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</si>
  <si>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</si>
  <si>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</si>
  <si>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</si>
  <si>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</si>
  <si>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</si>
  <si>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</si>
  <si>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</si>
  <si>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</si>
  <si>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</si>
  <si>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</si>
  <si>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</si>
  <si>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</si>
  <si>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</si>
  <si>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</si>
  <si>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</si>
  <si>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</si>
  <si>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</si>
  <si>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</si>
  <si>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</si>
  <si>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</si>
  <si>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</si>
  <si>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</si>
  <si>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</si>
  <si>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</si>
  <si>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</si>
  <si>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</si>
  <si>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</si>
  <si>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</si>
  <si>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</si>
  <si>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</si>
  <si>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</si>
  <si>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</si>
  <si>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</si>
  <si>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</si>
  <si>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</si>
  <si>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</si>
  <si>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</si>
  <si>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</si>
  <si>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</si>
  <si>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</si>
  <si>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</si>
  <si>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</si>
  <si>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</si>
  <si>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</si>
  <si>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</si>
  <si>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</si>
  <si>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</si>
  <si>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</si>
  <si>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</si>
  <si>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</si>
  <si>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</si>
  <si>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</si>
  <si>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</si>
  <si>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</si>
  <si>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</si>
  <si>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</si>
  <si>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</si>
  <si>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</si>
  <si>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</si>
  <si>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</si>
  <si>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</si>
  <si>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</si>
  <si>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</si>
  <si>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</si>
  <si>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</si>
  <si>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</si>
  <si>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</si>
  <si>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</si>
  <si>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</si>
  <si>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</si>
  <si>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</si>
  <si>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</si>
  <si>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</si>
  <si>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</si>
  <si>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</si>
  <si>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</si>
  <si>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</si>
  <si>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</si>
  <si>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</si>
  <si>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</si>
  <si>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</si>
  <si>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</si>
  <si>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</si>
  <si>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</si>
  <si>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</si>
  <si>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</si>
  <si>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</si>
  <si>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</si>
  <si>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</si>
  <si>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</si>
  <si>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</si>
  <si>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</si>
  <si>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</si>
  <si>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</si>
  <si>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</si>
  <si>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</si>
  <si>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</si>
  <si>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</si>
  <si>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</si>
  <si>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</si>
  <si>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</si>
  <si>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</si>
  <si>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</si>
  <si>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</si>
  <si>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</si>
  <si>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</si>
  <si>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</si>
  <si>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</si>
  <si>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</si>
  <si>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</si>
  <si>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</si>
  <si>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</si>
  <si>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</si>
  <si>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</si>
  <si>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</si>
  <si>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</si>
  <si>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</si>
  <si>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</si>
  <si>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</si>
  <si>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</si>
  <si>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</si>
  <si>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</si>
  <si>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</si>
  <si>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</si>
  <si>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</si>
  <si>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</si>
  <si>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</si>
  <si>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</si>
  <si>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</si>
  <si>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</si>
  <si>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</si>
  <si>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</si>
  <si>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</si>
  <si>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</si>
  <si>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</si>
  <si>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</si>
  <si>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</si>
  <si>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</si>
  <si>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</si>
  <si>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</si>
  <si>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</si>
  <si>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</si>
  <si>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</si>
  <si>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</si>
  <si>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</si>
  <si>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</si>
  <si>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</si>
  <si>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</si>
  <si>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</si>
  <si>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</si>
  <si>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</si>
  <si>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</si>
  <si>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</si>
  <si>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</si>
  <si>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</si>
  <si>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</si>
  <si>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</si>
  <si>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</si>
  <si>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</si>
  <si>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</si>
  <si>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</si>
  <si>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</si>
  <si>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</si>
  <si>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</si>
  <si>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</si>
  <si>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</si>
  <si>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</si>
  <si>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</si>
  <si>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</si>
  <si>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</si>
  <si>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</si>
  <si>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</si>
  <si>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</si>
  <si>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</si>
  <si>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</si>
  <si>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</si>
  <si>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</si>
  <si>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</si>
  <si>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</si>
  <si>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</si>
  <si>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</si>
  <si>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</si>
  <si>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</si>
  <si>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</si>
  <si>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</si>
  <si>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</si>
  <si>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</si>
  <si>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</si>
  <si>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</si>
  <si>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</si>
  <si>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</si>
  <si>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</si>
  <si>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</si>
  <si>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</si>
  <si>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</si>
  <si>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</si>
  <si>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</si>
  <si>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</si>
  <si>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</si>
  <si>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</si>
  <si>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</si>
  <si>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</si>
  <si>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</si>
  <si>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</si>
  <si>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</si>
  <si>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</si>
  <si>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</si>
  <si>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</si>
  <si>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</si>
  <si>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</si>
  <si>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</si>
  <si>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</si>
  <si>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</si>
  <si>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</si>
  <si>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</si>
  <si>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</si>
  <si>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</si>
  <si>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</si>
  <si>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</si>
  <si>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</si>
  <si>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</si>
  <si>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</si>
  <si>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</si>
  <si>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</si>
  <si>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</si>
  <si>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</si>
  <si>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</si>
  <si>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</si>
  <si>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</si>
  <si>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</si>
  <si>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</si>
  <si>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</si>
  <si>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</si>
  <si>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</si>
  <si>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</si>
  <si>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</si>
  <si>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</si>
  <si>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</si>
  <si>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</si>
  <si>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</si>
  <si>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</si>
  <si>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</si>
  <si>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</si>
  <si>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</si>
  <si>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</si>
  <si>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</si>
  <si>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</si>
  <si>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</si>
  <si>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</si>
  <si>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</si>
  <si>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</si>
  <si>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</si>
  <si>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</si>
  <si>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</si>
  <si>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</si>
  <si>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</si>
  <si>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</si>
  <si>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</si>
  <si>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</si>
  <si>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</si>
  <si>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</si>
  <si>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</si>
  <si>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</si>
  <si>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</si>
  <si>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</si>
  <si>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</si>
  <si>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</si>
  <si>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</si>
  <si>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</si>
  <si>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</si>
  <si>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</si>
  <si>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</si>
  <si>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</si>
  <si>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</si>
  <si>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</si>
  <si>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</si>
  <si>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</si>
  <si>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</si>
  <si>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</si>
  <si>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</si>
  <si>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</si>
  <si>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</si>
  <si>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</si>
  <si>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</si>
  <si>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</si>
  <si>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</si>
  <si>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</si>
  <si>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</si>
  <si>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</si>
  <si>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</si>
  <si>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</si>
  <si>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</si>
  <si>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</si>
  <si>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</si>
  <si>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</si>
  <si>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</si>
  <si>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</si>
  <si>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</si>
  <si>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</si>
  <si>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</si>
  <si>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</si>
  <si>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</si>
  <si>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</si>
  <si>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</si>
  <si>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</si>
  <si>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</si>
  <si>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</si>
  <si>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</si>
  <si>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</si>
  <si>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</si>
  <si>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</si>
  <si>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</si>
  <si>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</si>
  <si>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</si>
  <si>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</si>
  <si>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</si>
  <si>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</si>
  <si>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</si>
  <si>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</si>
  <si>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</si>
  <si>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</si>
  <si>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</si>
  <si>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</si>
  <si>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</si>
  <si>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</si>
  <si>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</si>
  <si>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</si>
  <si>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</si>
  <si>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</si>
  <si>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</si>
  <si>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2176D Reverse Spiral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</si>
</sst>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12.479446900677193</c:v>
                </c:pt>
                <c:pt idx="14">
                  <c:v>14.75235808436439</c:v>
                </c:pt>
                <c:pt idx="15">
                  <c:v>15.215442008080133</c:v>
                </c:pt>
                <c:pt idx="16">
                  <c:v>15.30865980526171</c:v>
                </c:pt>
                <c:pt idx="17">
                  <c:v>15.416136182530028</c:v>
                </c:pt>
                <c:pt idx="18">
                  <c:v>15.536164645041154</c:v>
                </c:pt>
                <c:pt idx="19">
                  <c:v>15.665550596661955</c:v>
                </c:pt>
                <c:pt idx="20">
                  <c:v>15.801644469082305</c:v>
                </c:pt>
                <c:pt idx="21">
                  <c:v>15.940915564994576</c:v>
                </c:pt>
                <c:pt idx="22">
                  <c:v>16.088990982361306</c:v>
                </c:pt>
                <c:pt idx="23">
                  <c:v>16.234908051297911</c:v>
                </c:pt>
                <c:pt idx="24">
                  <c:v>16.983314434333092</c:v>
                </c:pt>
                <c:pt idx="25">
                  <c:v>17.894430858825107</c:v>
                </c:pt>
                <c:pt idx="26">
                  <c:v>18.782431029946824</c:v>
                </c:pt>
                <c:pt idx="27">
                  <c:v>19.721559806821212</c:v>
                </c:pt>
                <c:pt idx="28">
                  <c:v>21.305813129853529</c:v>
                </c:pt>
                <c:pt idx="29">
                  <c:v>22.15575929769971</c:v>
                </c:pt>
                <c:pt idx="30">
                  <c:v>23.114052023001321</c:v>
                </c:pt>
                <c:pt idx="31">
                  <c:v>24.437662359705442</c:v>
                </c:pt>
                <c:pt idx="32">
                  <c:v>25.157828487115804</c:v>
                </c:pt>
                <c:pt idx="33">
                  <c:v>25.82012312847435</c:v>
                </c:pt>
                <c:pt idx="34">
                  <c:v>27.63473885023588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A3" zoomScaleNormal="100" workbookViewId="0">
      <selection activeCell="A20" sqref="A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9" t="s">
        <v>77</v>
      </c>
      <c r="D1" s="1019"/>
      <c r="E1" s="1019"/>
      <c r="F1" s="1019"/>
      <c r="G1" s="1019"/>
      <c r="H1" s="1019"/>
      <c r="I1" s="1019"/>
      <c r="J1" s="1019"/>
      <c r="K1" s="101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6" t="s">
        <v>80</v>
      </c>
      <c r="B6" s="100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1">
        <v>9</v>
      </c>
      <c r="D9" s="981"/>
      <c r="E9" s="981"/>
      <c r="F9" s="981"/>
      <c r="G9" s="981"/>
      <c r="H9" s="981"/>
      <c r="I9" s="981"/>
      <c r="J9" s="981"/>
      <c r="K9" s="101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0"/>
      <c r="C10" s="1001"/>
      <c r="D10" s="1001"/>
      <c r="E10" s="1001"/>
      <c r="F10" s="1001"/>
      <c r="G10" s="100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7"/>
      <c r="B11" s="1007" t="s">
        <v>33</v>
      </c>
      <c r="C11" s="1016" t="s">
        <v>34</v>
      </c>
      <c r="D11" s="1016"/>
      <c r="E11" s="1013" t="s">
        <v>39</v>
      </c>
      <c r="F11" s="1007" t="s">
        <v>35</v>
      </c>
      <c r="G11" s="1007" t="s">
        <v>36</v>
      </c>
      <c r="H11" s="1007" t="s">
        <v>43</v>
      </c>
      <c r="I11" s="1014" t="s">
        <v>67</v>
      </c>
      <c r="J11" s="1016" t="s">
        <v>56</v>
      </c>
      <c r="K11" s="101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81"/>
      <c r="AO11" s="981"/>
      <c r="AP11" s="981"/>
      <c r="AQ11" s="981"/>
      <c r="AR11" s="982"/>
      <c r="AS11" s="991" t="s">
        <v>345</v>
      </c>
      <c r="AT11" s="992"/>
      <c r="AU11" s="992"/>
      <c r="AV11" s="993"/>
      <c r="BC11" s="419"/>
    </row>
    <row r="12" spans="1:55" ht="15.75" thickBot="1" x14ac:dyDescent="0.3">
      <c r="A12" s="1018"/>
      <c r="B12" s="1008"/>
      <c r="C12" s="48" t="s">
        <v>8</v>
      </c>
      <c r="D12" s="49" t="s">
        <v>10</v>
      </c>
      <c r="E12" s="1008"/>
      <c r="F12" s="1008"/>
      <c r="G12" s="1008"/>
      <c r="H12" s="1008"/>
      <c r="I12" s="1015"/>
      <c r="J12" s="52" t="s">
        <v>8</v>
      </c>
      <c r="K12" s="53" t="s">
        <v>10</v>
      </c>
      <c r="M12" s="31"/>
      <c r="N12" s="31"/>
      <c r="O12" s="1028" t="s">
        <v>46</v>
      </c>
      <c r="P12" s="1029"/>
      <c r="Q12" s="1009" t="s">
        <v>45</v>
      </c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1"/>
      <c r="AF12" s="1022" t="s">
        <v>56</v>
      </c>
      <c r="AG12" s="1023"/>
      <c r="AH12" s="31"/>
      <c r="AK12" s="986" t="s">
        <v>346</v>
      </c>
      <c r="AL12" s="1002"/>
      <c r="AM12" s="983" t="s">
        <v>343</v>
      </c>
      <c r="AN12" s="984"/>
      <c r="AO12" s="985"/>
      <c r="AP12" s="986" t="s">
        <v>371</v>
      </c>
      <c r="AQ12" s="985"/>
      <c r="AR12" s="743" t="s">
        <v>369</v>
      </c>
      <c r="AS12" s="988" t="s">
        <v>343</v>
      </c>
      <c r="AT12" s="985"/>
      <c r="AU12" s="989" t="s">
        <v>344</v>
      </c>
      <c r="AV12" s="990"/>
      <c r="AW12" s="994" t="s">
        <v>342</v>
      </c>
      <c r="AX12" s="995"/>
      <c r="AZ12" s="986" t="s">
        <v>60</v>
      </c>
      <c r="BA12" s="985"/>
      <c r="BC12" s="987" t="s">
        <v>374</v>
      </c>
    </row>
    <row r="13" spans="1:55" ht="15.75" thickBot="1" x14ac:dyDescent="0.3">
      <c r="A13" s="63" t="s">
        <v>57</v>
      </c>
      <c r="B13" s="996" t="s">
        <v>97</v>
      </c>
      <c r="C13" s="99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0"/>
      <c r="P13" s="103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7"/>
    </row>
    <row r="14" spans="1:55" x14ac:dyDescent="0.25">
      <c r="A14" s="61" t="s">
        <v>58</v>
      </c>
      <c r="B14" s="997"/>
      <c r="C14" s="99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102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1011" t="s">
        <v>64</v>
      </c>
      <c r="C21" s="981"/>
      <c r="D21" s="981"/>
      <c r="E21" s="981"/>
      <c r="F21" s="1012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1017"/>
      <c r="C22" s="1011" t="s">
        <v>63</v>
      </c>
      <c r="D22" s="1012"/>
      <c r="E22" s="1014" t="s">
        <v>60</v>
      </c>
      <c r="F22" s="1014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1032"/>
      <c r="C23" s="56" t="s">
        <v>8</v>
      </c>
      <c r="D23" s="56" t="s">
        <v>9</v>
      </c>
      <c r="E23" s="1015"/>
      <c r="F23" s="1015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1024">
        <v>0</v>
      </c>
      <c r="E24" s="1024">
        <v>2</v>
      </c>
      <c r="F24" s="1024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3.9375</v>
      </c>
      <c r="D25" s="1025"/>
      <c r="E25" s="1025"/>
      <c r="F25" s="1025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1020" t="s">
        <v>302</v>
      </c>
      <c r="C27" s="1020"/>
      <c r="D27" s="1020"/>
      <c r="E27" s="1020"/>
      <c r="F27" s="1020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1021" t="s">
        <v>406</v>
      </c>
      <c r="C28" s="1021"/>
      <c r="D28" s="1021"/>
      <c r="E28" s="1021"/>
      <c r="F28" s="1021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1" t="s">
        <v>95</v>
      </c>
      <c r="D3" s="981"/>
      <c r="E3" s="981"/>
      <c r="F3" s="981"/>
      <c r="G3" s="981"/>
      <c r="H3" s="981"/>
      <c r="I3" s="981"/>
      <c r="J3" s="981"/>
      <c r="K3" s="982"/>
      <c r="L3" s="1038"/>
      <c r="M3" s="981"/>
      <c r="N3" s="981"/>
      <c r="O3" s="981"/>
      <c r="P3" s="981"/>
      <c r="Q3" s="981"/>
      <c r="R3" s="101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0" t="s">
        <v>86</v>
      </c>
      <c r="C4" s="1077" t="s">
        <v>82</v>
      </c>
      <c r="D4" s="981" t="s">
        <v>83</v>
      </c>
      <c r="E4" s="981"/>
      <c r="F4" s="981"/>
      <c r="G4" s="981"/>
      <c r="H4" s="981"/>
      <c r="I4" s="981"/>
      <c r="J4" s="981"/>
      <c r="K4" s="981"/>
      <c r="L4" s="146" t="s">
        <v>91</v>
      </c>
      <c r="M4" s="1011" t="s">
        <v>94</v>
      </c>
      <c r="N4" s="981"/>
      <c r="O4" s="981"/>
      <c r="P4" s="982"/>
      <c r="Q4" s="981" t="s">
        <v>52</v>
      </c>
      <c r="R4" s="1012"/>
      <c r="S4" s="103"/>
      <c r="T4" s="1011">
        <v>350</v>
      </c>
      <c r="U4" s="981"/>
      <c r="V4" s="981" t="s">
        <v>76</v>
      </c>
      <c r="W4" s="98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1"/>
      <c r="C5" s="1078"/>
      <c r="D5" s="1066" t="s">
        <v>85</v>
      </c>
      <c r="E5" s="1080" t="s">
        <v>89</v>
      </c>
      <c r="F5" s="1016" t="s">
        <v>34</v>
      </c>
      <c r="G5" s="1016"/>
      <c r="H5" s="1013" t="s">
        <v>39</v>
      </c>
      <c r="I5" s="1007" t="s">
        <v>35</v>
      </c>
      <c r="J5" s="1007" t="s">
        <v>36</v>
      </c>
      <c r="K5" s="1050" t="s">
        <v>67</v>
      </c>
      <c r="L5" s="147" t="s">
        <v>92</v>
      </c>
      <c r="M5" s="1014" t="s">
        <v>90</v>
      </c>
      <c r="N5" s="1014" t="s">
        <v>47</v>
      </c>
      <c r="O5" s="1033" t="s">
        <v>84</v>
      </c>
      <c r="P5" s="1034"/>
      <c r="Q5" s="1035" t="s">
        <v>84</v>
      </c>
      <c r="R5" s="1036"/>
      <c r="S5" s="103"/>
      <c r="T5" s="1028" t="s">
        <v>46</v>
      </c>
      <c r="U5" s="1039"/>
      <c r="V5" s="995" t="s">
        <v>45</v>
      </c>
      <c r="W5" s="1023"/>
      <c r="X5" s="1023"/>
      <c r="Y5" s="1023"/>
      <c r="Z5" s="1023"/>
      <c r="AA5" s="1023"/>
      <c r="AB5" s="1023"/>
      <c r="AC5" s="1023"/>
      <c r="AD5" s="1023"/>
      <c r="AE5" s="1023"/>
      <c r="AF5" s="1023"/>
      <c r="AG5" s="1023"/>
      <c r="AH5" s="1023"/>
      <c r="AI5" s="1023"/>
      <c r="AJ5" s="1023"/>
      <c r="AK5" s="31"/>
      <c r="AL5" s="31"/>
    </row>
    <row r="6" spans="2:38" ht="15" customHeight="1" thickBot="1" x14ac:dyDescent="0.3">
      <c r="B6" s="1062"/>
      <c r="C6" s="1079"/>
      <c r="D6" s="1067"/>
      <c r="E6" s="1081"/>
      <c r="F6" s="104" t="s">
        <v>8</v>
      </c>
      <c r="G6" s="105" t="s">
        <v>10</v>
      </c>
      <c r="H6" s="1051"/>
      <c r="I6" s="1051"/>
      <c r="J6" s="1051"/>
      <c r="K6" s="1040"/>
      <c r="L6" s="148" t="s">
        <v>93</v>
      </c>
      <c r="M6" s="1037"/>
      <c r="N6" s="103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0"/>
      <c r="U6" s="104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8">
        <f>ROW(Assy.Model!B9)</f>
        <v>9</v>
      </c>
      <c r="D7" s="1057" t="str">
        <f>SUBSTITUTE(ADDRESS(1,COLUMN(Assy.Model!B9),4),"1","")</f>
        <v>B</v>
      </c>
      <c r="E7" s="1071" t="str">
        <f>SUBSTITUTE(ADDRESS(1,COLUMN(Assy.Model!M9),4),"1","")</f>
        <v>M</v>
      </c>
      <c r="F7" s="1074" t="str">
        <f>SUBSTITUTE(ADDRESS(1,COLUMN(Assy.Model!X9),4),"1","")</f>
        <v>X</v>
      </c>
      <c r="G7" s="1063" t="str">
        <f>SUBSTITUTE(ADDRESS(1,COLUMN(Assy.Model!AT9),4),"1","")</f>
        <v>AT</v>
      </c>
      <c r="H7" s="1042" t="str">
        <f>SUBSTITUTE(ADDRESS(1,COLUMN(Assy.Model!H9),4),"1","")</f>
        <v>H</v>
      </c>
      <c r="I7" s="1042" t="str">
        <f>SUBSTITUTE(ADDRESS(1,COLUMN(Assy.Model!AN9),4),"1","")</f>
        <v>AN</v>
      </c>
      <c r="J7" s="1042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2" t="s">
        <v>81</v>
      </c>
      <c r="C8" s="1069"/>
      <c r="D8" s="1058"/>
      <c r="E8" s="1072"/>
      <c r="F8" s="1075"/>
      <c r="G8" s="1064"/>
      <c r="H8" s="1043"/>
      <c r="I8" s="1043"/>
      <c r="J8" s="1043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2"/>
      <c r="C9" s="1069"/>
      <c r="D9" s="1058"/>
      <c r="E9" s="1072"/>
      <c r="F9" s="1075"/>
      <c r="G9" s="1064"/>
      <c r="H9" s="1043"/>
      <c r="I9" s="1043"/>
      <c r="J9" s="1043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2"/>
      <c r="C10" s="1069"/>
      <c r="D10" s="1058"/>
      <c r="E10" s="1072"/>
      <c r="F10" s="1075"/>
      <c r="G10" s="1064"/>
      <c r="H10" s="1043"/>
      <c r="I10" s="1043"/>
      <c r="J10" s="1043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2"/>
      <c r="C11" s="1069"/>
      <c r="D11" s="1058"/>
      <c r="E11" s="1072"/>
      <c r="F11" s="1075"/>
      <c r="G11" s="1064"/>
      <c r="H11" s="1043"/>
      <c r="I11" s="1043"/>
      <c r="J11" s="1043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2"/>
      <c r="C12" s="1069"/>
      <c r="D12" s="1058"/>
      <c r="E12" s="1072"/>
      <c r="F12" s="1075"/>
      <c r="G12" s="1064"/>
      <c r="H12" s="1043"/>
      <c r="I12" s="1043"/>
      <c r="J12" s="1043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2"/>
      <c r="C13" s="1069"/>
      <c r="D13" s="1058"/>
      <c r="E13" s="1072"/>
      <c r="F13" s="1075"/>
      <c r="G13" s="1064"/>
      <c r="H13" s="1043"/>
      <c r="I13" s="1043"/>
      <c r="J13" s="1043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3"/>
      <c r="C14" s="1070"/>
      <c r="D14" s="1059"/>
      <c r="E14" s="1073"/>
      <c r="F14" s="1076"/>
      <c r="G14" s="1065"/>
      <c r="H14" s="1044"/>
      <c r="I14" s="1044"/>
      <c r="J14" s="1044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9" t="str">
        <f>CONCATENATE(Settings!$C$19," ",Settings!$B$28)</f>
        <v>7.875 2176D Reverse Spiral</v>
      </c>
      <c r="D1" s="1309"/>
      <c r="E1" s="1309"/>
      <c r="F1" s="1309"/>
      <c r="G1" s="1309"/>
      <c r="H1" s="1309"/>
      <c r="I1" s="1309"/>
      <c r="J1" s="1309"/>
      <c r="K1" s="1309"/>
      <c r="L1" s="709"/>
      <c r="M1" s="958">
        <f>IFERROR(LARGE(M9:M150,1),"Null")</f>
        <v>6.1310000000000002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7" t="s">
        <v>306</v>
      </c>
      <c r="C2" s="1314"/>
      <c r="D2" s="1314"/>
      <c r="E2" s="1314"/>
      <c r="F2" s="1314"/>
      <c r="G2" s="1314"/>
      <c r="H2" s="1314"/>
      <c r="I2" s="1314"/>
      <c r="J2" s="1314"/>
      <c r="K2" s="1315"/>
      <c r="L2" s="1158" t="str" cm="1">
        <f t="array" ref="L2">IF(OR($K$9:$K$150="Undefined"),"Undefined Element","")</f>
        <v/>
      </c>
      <c r="M2" s="1324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366" t="s">
        <v>0</v>
      </c>
      <c r="AW2" s="1273" t="s">
        <v>109</v>
      </c>
      <c r="AX2" s="1274"/>
      <c r="AY2" s="1274"/>
      <c r="AZ2" s="1274"/>
      <c r="BA2" s="1274"/>
      <c r="BB2" s="1274"/>
      <c r="BC2" s="1274"/>
      <c r="BD2" s="1274"/>
      <c r="BE2" s="1275"/>
      <c r="BF2" s="1285" t="s">
        <v>115</v>
      </c>
      <c r="BG2" s="1274"/>
      <c r="BH2" s="1274"/>
      <c r="BI2" s="1274"/>
      <c r="BJ2" s="1274"/>
      <c r="BK2" s="1274"/>
      <c r="BL2" s="1274"/>
      <c r="BM2" s="1274"/>
      <c r="BN2" s="1274"/>
      <c r="BO2" s="1274"/>
      <c r="BP2" s="1274"/>
      <c r="BQ2" s="1274"/>
      <c r="BR2" s="1274"/>
      <c r="BS2" s="1274"/>
      <c r="BT2" s="1274"/>
      <c r="BU2" s="1274"/>
      <c r="BV2" s="1274"/>
      <c r="BW2" s="1274"/>
      <c r="BX2" s="1274"/>
      <c r="BY2" s="1274"/>
      <c r="BZ2" s="1274"/>
      <c r="CA2" s="1274"/>
      <c r="CB2" s="1274"/>
      <c r="CC2" s="1274"/>
      <c r="CD2" s="1274"/>
      <c r="CE2" s="1274"/>
      <c r="CF2" s="1274"/>
      <c r="CG2" s="1274"/>
      <c r="CH2" s="1274"/>
      <c r="CI2" s="1274"/>
      <c r="CJ2" s="1274"/>
      <c r="CK2" s="1274"/>
      <c r="CL2" s="1274"/>
      <c r="CM2" s="1274"/>
      <c r="CN2" s="1274"/>
      <c r="CO2" s="1274"/>
      <c r="CP2" s="1274"/>
      <c r="CQ2" s="1274"/>
      <c r="CR2" s="1274"/>
      <c r="CS2" s="1274"/>
      <c r="CT2" s="1274"/>
      <c r="CU2" s="1274"/>
      <c r="CV2" s="1274"/>
      <c r="CW2" s="1274"/>
      <c r="CX2" s="1274"/>
      <c r="CY2" s="1274"/>
      <c r="CZ2" s="1274"/>
      <c r="DA2" s="1274"/>
      <c r="DB2" s="1274"/>
      <c r="DC2" s="1274"/>
      <c r="DD2" s="1274"/>
      <c r="DE2" s="1274"/>
      <c r="DF2" s="1274"/>
      <c r="DG2" s="1274"/>
      <c r="DH2" s="1274"/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86"/>
      <c r="ES2" s="1138" t="s">
        <v>196</v>
      </c>
      <c r="ET2" s="1139"/>
      <c r="EU2" s="1139"/>
      <c r="EV2" s="1139"/>
      <c r="EW2" s="1139"/>
      <c r="EX2" s="1139"/>
      <c r="EY2" s="1139"/>
      <c r="EZ2" s="1139"/>
      <c r="FA2" s="1139"/>
      <c r="FB2" s="1139"/>
      <c r="FC2" s="1139"/>
      <c r="FD2" s="1139"/>
      <c r="FE2" s="1139"/>
      <c r="FF2" s="114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4" t="str">
        <f>IFERROR(CONCATENATE("Sum of Lateral Forces = ",ROUND(HE3,0)," lbs @ ",ROUND(HF3,1),"° Relative to Blade 1"),"")</f>
        <v/>
      </c>
      <c r="HX2" s="1104"/>
      <c r="HY2" s="1104"/>
      <c r="HZ2" s="1104"/>
      <c r="IA2" s="1104"/>
      <c r="IB2" s="1104"/>
      <c r="IC2" s="1104"/>
      <c r="ID2" s="1104"/>
      <c r="IE2" s="1104"/>
      <c r="IF2" s="860"/>
      <c r="IN2" s="31"/>
      <c r="IO2" s="323"/>
      <c r="JC2" s="82"/>
      <c r="JD2" s="82"/>
      <c r="JE2" s="82"/>
    </row>
    <row r="3" spans="1:296" ht="15" customHeight="1" x14ac:dyDescent="0.25">
      <c r="B3" s="1316"/>
      <c r="C3" s="1317"/>
      <c r="D3" s="1317"/>
      <c r="E3" s="1317"/>
      <c r="F3" s="1317"/>
      <c r="G3" s="1317"/>
      <c r="H3" s="1317"/>
      <c r="I3" s="1317"/>
      <c r="J3" s="1317"/>
      <c r="K3" s="1318"/>
      <c r="L3" s="1158"/>
      <c r="M3" s="1316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276"/>
      <c r="AA3" s="1277"/>
      <c r="AB3" s="1277"/>
      <c r="AC3" s="1277"/>
      <c r="AD3" s="1277"/>
      <c r="AE3" s="1277"/>
      <c r="AF3" s="1277"/>
      <c r="AG3" s="1277"/>
      <c r="AH3" s="1277"/>
      <c r="AI3" s="1277"/>
      <c r="AJ3" s="1277"/>
      <c r="AK3" s="1277"/>
      <c r="AL3" s="1277"/>
      <c r="AM3" s="1277"/>
      <c r="AN3" s="1277"/>
      <c r="AO3" s="1277"/>
      <c r="AP3" s="1277"/>
      <c r="AQ3" s="1278"/>
      <c r="AS3" s="415">
        <v>100</v>
      </c>
      <c r="AT3" s="412" t="s">
        <v>45</v>
      </c>
      <c r="AV3" s="1367"/>
      <c r="AW3" s="1141"/>
      <c r="AX3" s="1142"/>
      <c r="AY3" s="1142"/>
      <c r="AZ3" s="1142"/>
      <c r="BA3" s="1142"/>
      <c r="BB3" s="1142"/>
      <c r="BC3" s="1142"/>
      <c r="BD3" s="1142"/>
      <c r="BE3" s="1294"/>
      <c r="BF3" s="1287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1142"/>
      <c r="BX3" s="1142"/>
      <c r="BY3" s="1142"/>
      <c r="BZ3" s="1142"/>
      <c r="CA3" s="1142"/>
      <c r="CB3" s="1142"/>
      <c r="CC3" s="1142"/>
      <c r="CD3" s="1142"/>
      <c r="CE3" s="1142"/>
      <c r="CF3" s="1142"/>
      <c r="CG3" s="1142"/>
      <c r="CH3" s="1142"/>
      <c r="CI3" s="1142"/>
      <c r="CJ3" s="1142"/>
      <c r="CK3" s="1142"/>
      <c r="CL3" s="1142"/>
      <c r="CM3" s="1142"/>
      <c r="CN3" s="1142"/>
      <c r="CO3" s="1142"/>
      <c r="CP3" s="1142"/>
      <c r="CQ3" s="1142"/>
      <c r="CR3" s="1142"/>
      <c r="CS3" s="1142"/>
      <c r="CT3" s="1142"/>
      <c r="CU3" s="1142"/>
      <c r="CV3" s="1142"/>
      <c r="CW3" s="1142"/>
      <c r="CX3" s="1142"/>
      <c r="CY3" s="1142"/>
      <c r="CZ3" s="1142"/>
      <c r="DA3" s="1142"/>
      <c r="DB3" s="1142"/>
      <c r="DC3" s="1142"/>
      <c r="DD3" s="1142"/>
      <c r="DE3" s="1142"/>
      <c r="DF3" s="1142"/>
      <c r="DG3" s="1142"/>
      <c r="DH3" s="1142"/>
      <c r="DI3" s="1142"/>
      <c r="DJ3" s="1142"/>
      <c r="DK3" s="1142"/>
      <c r="DL3" s="1142"/>
      <c r="DM3" s="1142"/>
      <c r="DN3" s="1142"/>
      <c r="DO3" s="1142"/>
      <c r="DP3" s="1142"/>
      <c r="DQ3" s="1142"/>
      <c r="DR3" s="1142"/>
      <c r="DS3" s="1142"/>
      <c r="DT3" s="1142"/>
      <c r="DU3" s="1142"/>
      <c r="DV3" s="1142"/>
      <c r="DW3" s="1142"/>
      <c r="DX3" s="1142"/>
      <c r="DY3" s="1142"/>
      <c r="DZ3" s="1142"/>
      <c r="EA3" s="1142"/>
      <c r="EB3" s="1142"/>
      <c r="EC3" s="1142"/>
      <c r="ED3" s="1142"/>
      <c r="EE3" s="1142"/>
      <c r="EF3" s="1142"/>
      <c r="EG3" s="1142"/>
      <c r="EH3" s="1142"/>
      <c r="EI3" s="1142"/>
      <c r="EJ3" s="1142"/>
      <c r="EK3" s="1142"/>
      <c r="EL3" s="1142"/>
      <c r="EM3" s="1142"/>
      <c r="EN3" s="1142"/>
      <c r="EO3" s="1142"/>
      <c r="EP3" s="1142"/>
      <c r="EQ3" s="1142"/>
      <c r="ER3" s="1143"/>
      <c r="ES3" s="1141"/>
      <c r="ET3" s="1142"/>
      <c r="EU3" s="1142"/>
      <c r="EV3" s="1142"/>
      <c r="EW3" s="1142"/>
      <c r="EX3" s="1142"/>
      <c r="EY3" s="1142"/>
      <c r="EZ3" s="1142"/>
      <c r="FA3" s="1142"/>
      <c r="FB3" s="1142"/>
      <c r="FC3" s="1142"/>
      <c r="FD3" s="1142"/>
      <c r="FE3" s="1142"/>
      <c r="FF3" s="114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9"/>
      <c r="C4" s="1320"/>
      <c r="D4" s="1320"/>
      <c r="E4" s="1320"/>
      <c r="F4" s="1320"/>
      <c r="G4" s="1320"/>
      <c r="H4" s="1320"/>
      <c r="I4" s="1320"/>
      <c r="J4" s="1320"/>
      <c r="K4" s="1321"/>
      <c r="L4" s="1158"/>
      <c r="M4" s="1316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$Q$4</f>
        <v>Polar XY; Cartesian Z</v>
      </c>
      <c r="X4" s="1298"/>
      <c r="Y4" s="1310"/>
      <c r="Z4" s="1326" t="s">
        <v>3</v>
      </c>
      <c r="AA4" s="1323"/>
      <c r="AB4" s="1323"/>
      <c r="AC4" s="1323"/>
      <c r="AD4" s="1323"/>
      <c r="AE4" s="1323"/>
      <c r="AF4" s="1323"/>
      <c r="AG4" s="1363" t="s">
        <v>31</v>
      </c>
      <c r="AH4" s="1323"/>
      <c r="AI4" s="1323"/>
      <c r="AJ4" s="1341"/>
      <c r="AK4" s="1279" t="s">
        <v>32</v>
      </c>
      <c r="AL4" s="1280"/>
      <c r="AM4" s="1280"/>
      <c r="AN4" s="1280"/>
      <c r="AO4" s="1280"/>
      <c r="AP4" s="1280"/>
      <c r="AQ4" s="1281"/>
      <c r="AS4" s="416">
        <v>125</v>
      </c>
      <c r="AT4" s="413" t="s">
        <v>46</v>
      </c>
      <c r="AV4" s="1367"/>
      <c r="AW4" s="1218" t="s">
        <v>112</v>
      </c>
      <c r="AX4" s="1174"/>
      <c r="AY4" s="1029"/>
      <c r="AZ4" s="1292"/>
      <c r="BA4" s="1293"/>
      <c r="BB4" s="1295" t="s">
        <v>113</v>
      </c>
      <c r="BC4" s="1298" t="str">
        <f>$Q$4</f>
        <v>Polar XY; Cartesian Z</v>
      </c>
      <c r="BD4" s="1298"/>
      <c r="BE4" s="1299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88" t="s">
        <v>192</v>
      </c>
      <c r="CP4" s="1289"/>
      <c r="CQ4" s="1289"/>
      <c r="CR4" s="1289"/>
      <c r="CS4" s="1289"/>
      <c r="CT4" s="1289"/>
      <c r="CU4" s="1289"/>
      <c r="CV4" s="1289"/>
      <c r="CW4" s="1289"/>
      <c r="CX4" s="1289"/>
      <c r="CY4" s="1289"/>
      <c r="CZ4" s="1289"/>
      <c r="DA4" s="1290"/>
      <c r="DB4" s="1135" t="s">
        <v>389</v>
      </c>
      <c r="DC4" s="1136"/>
      <c r="DD4" s="1136"/>
      <c r="DE4" s="1136"/>
      <c r="DF4" s="1136"/>
      <c r="DG4" s="1136"/>
      <c r="DH4" s="1136"/>
      <c r="DI4" s="1136"/>
      <c r="DJ4" s="1136"/>
      <c r="DK4" s="1136"/>
      <c r="DL4" s="1136"/>
      <c r="DM4" s="1136"/>
      <c r="DN4" s="1136"/>
      <c r="DO4" s="1136"/>
      <c r="DP4" s="1136"/>
      <c r="DQ4" s="1136"/>
      <c r="DR4" s="1136"/>
      <c r="DS4" s="1136"/>
      <c r="DT4" s="1136"/>
      <c r="DU4" s="1136"/>
      <c r="DV4" s="1136"/>
      <c r="DW4" s="1136"/>
      <c r="DX4" s="1136"/>
      <c r="DY4" s="1136"/>
      <c r="DZ4" s="1136"/>
      <c r="EA4" s="1136"/>
      <c r="EB4" s="1136"/>
      <c r="EC4" s="1136"/>
      <c r="ED4" s="1136"/>
      <c r="EE4" s="1136"/>
      <c r="EF4" s="1136"/>
      <c r="EG4" s="1136"/>
      <c r="EH4" s="1136"/>
      <c r="EI4" s="1136"/>
      <c r="EJ4" s="1136"/>
      <c r="EK4" s="1136"/>
      <c r="EL4" s="1136"/>
      <c r="EM4" s="1136"/>
      <c r="EN4" s="1136"/>
      <c r="EO4" s="1136"/>
      <c r="EP4" s="1136"/>
      <c r="EQ4" s="1136"/>
      <c r="ER4" s="1137"/>
      <c r="ES4" s="1194" t="s">
        <v>195</v>
      </c>
      <c r="ET4" s="1195"/>
      <c r="EU4" s="1195"/>
      <c r="EV4" s="1195"/>
      <c r="EW4" s="1195"/>
      <c r="EX4" s="1195"/>
      <c r="EY4" s="1196"/>
      <c r="EZ4" s="1222" t="s">
        <v>200</v>
      </c>
      <c r="FA4" s="1223"/>
      <c r="FB4" s="1223"/>
      <c r="FC4" s="1223"/>
      <c r="FD4" s="1223"/>
      <c r="FE4" s="1223"/>
      <c r="FF4" s="1224"/>
      <c r="FG4" s="325"/>
      <c r="FP4" s="1151" t="s">
        <v>228</v>
      </c>
      <c r="FZ4" s="1151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9" t="s">
        <v>235</v>
      </c>
      <c r="GK4" s="1010"/>
      <c r="GL4" s="1010"/>
      <c r="GM4" s="1010"/>
      <c r="GN4" s="1164"/>
      <c r="GO4" s="1166" t="s">
        <v>228</v>
      </c>
      <c r="GP4" s="1170" t="s">
        <v>227</v>
      </c>
      <c r="GR4" s="1176" t="s">
        <v>257</v>
      </c>
      <c r="GS4" s="1038" t="s">
        <v>255</v>
      </c>
      <c r="GT4" s="981"/>
      <c r="GU4" s="981"/>
      <c r="GV4" s="981"/>
      <c r="GW4" s="981"/>
      <c r="GX4" s="981"/>
      <c r="GY4" s="981"/>
      <c r="GZ4" s="981"/>
      <c r="HA4" s="1208" t="str">
        <f>IFERROR(CONCATENATE("Lateral Forces = ",ROUND(HE3,0)," lbs @ ",ROUND(HF3,1),"° Relative to Blade 1"),"")</f>
        <v/>
      </c>
      <c r="HB4" s="1209"/>
      <c r="HC4" s="1209"/>
      <c r="HD4" s="1209"/>
      <c r="HE4" s="1209"/>
      <c r="HF4" s="1209"/>
      <c r="HG4" s="1209"/>
      <c r="HH4" s="1210"/>
      <c r="HI4" s="1213" t="s">
        <v>0</v>
      </c>
      <c r="HV4" s="861"/>
      <c r="HW4" s="1105" t="e">
        <f>CONCATENATE("Yeield Strength of Rock = ",IF(HW6&gt;1000,(ROUNDDOWN(HW6,-3)/1000),""), IF(HW6&gt;1000,",",""),RIGHT(HW6,3)," psi (Tangential Force)")</f>
        <v>#DIV/0!</v>
      </c>
      <c r="HX4" s="1105"/>
      <c r="HY4" s="1105"/>
      <c r="HZ4" s="1105"/>
      <c r="IA4" s="1105"/>
      <c r="IB4" s="1105"/>
      <c r="IC4" s="1105"/>
      <c r="ID4" s="1105"/>
      <c r="IE4" s="1105"/>
      <c r="IF4" s="858"/>
      <c r="IG4" s="1006" t="s">
        <v>372</v>
      </c>
      <c r="IH4" s="1006"/>
      <c r="II4" s="710" cm="1">
        <f t="array" ref="II4">MAX(MOD(IF($II$9:$II$150="",0,($II$9:$II$150*1000)),100))</f>
        <v>32</v>
      </c>
      <c r="IN4" s="31"/>
      <c r="IO4" s="710"/>
    </row>
    <row r="5" spans="1:296" ht="15" customHeight="1" thickBot="1" x14ac:dyDescent="0.3">
      <c r="A5" s="139">
        <v>0.02</v>
      </c>
      <c r="B5" s="1311" t="str">
        <f>CONCATENATE(B7," ; ",E7," ; ",H7)</f>
        <v>Absolute-Point ; Incremental-Vector Point ; Pocket Info.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16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about Z Axis")</f>
        <v>Relative to 1.118's θ about Z Axis</v>
      </c>
      <c r="U5" s="1268"/>
      <c r="V5" s="1269"/>
      <c r="W5" s="1268" t="str">
        <f>CONCATENATE("Relative to ",M8,"'s θ about Z Axis")</f>
        <v>Relative to 1.118's θ about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0.25</v>
      </c>
      <c r="AT5" s="413" t="s">
        <v>47</v>
      </c>
      <c r="AV5" s="1367"/>
      <c r="AW5" s="1109"/>
      <c r="AX5" s="1110"/>
      <c r="AY5" s="1308"/>
      <c r="AZ5" s="1182"/>
      <c r="BA5" s="1019"/>
      <c r="BB5" s="1296"/>
      <c r="BC5" s="1304" t="str">
        <f>$W$5</f>
        <v>Relative to 1.118's θ about Z Axis</v>
      </c>
      <c r="BD5" s="1268"/>
      <c r="BE5" s="1305"/>
      <c r="BF5" s="1038" t="s">
        <v>128</v>
      </c>
      <c r="BG5" s="981"/>
      <c r="BH5" s="981"/>
      <c r="BI5" s="981"/>
      <c r="BJ5" s="981"/>
      <c r="BK5" s="981"/>
      <c r="BL5" s="981"/>
      <c r="BM5" s="981"/>
      <c r="BN5" s="981"/>
      <c r="BO5" s="981"/>
      <c r="BP5" s="981"/>
      <c r="BQ5" s="981"/>
      <c r="BR5" s="982"/>
      <c r="BS5" s="1038" t="s">
        <v>130</v>
      </c>
      <c r="BT5" s="981"/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2"/>
      <c r="CF5" s="1038" t="s">
        <v>138</v>
      </c>
      <c r="CG5" s="981"/>
      <c r="CH5" s="982"/>
      <c r="CI5" s="1038" t="s">
        <v>139</v>
      </c>
      <c r="CJ5" s="981"/>
      <c r="CK5" s="981"/>
      <c r="CL5" s="981"/>
      <c r="CM5" s="981"/>
      <c r="CN5" s="982"/>
      <c r="CO5" s="1188" t="s">
        <v>266</v>
      </c>
      <c r="CP5" s="1188" t="s">
        <v>149</v>
      </c>
      <c r="CQ5" s="1174"/>
      <c r="CR5" s="1174"/>
      <c r="CS5" s="1039"/>
      <c r="CT5" s="1174" t="s">
        <v>150</v>
      </c>
      <c r="CU5" s="1029"/>
      <c r="CV5" s="1038" t="s">
        <v>161</v>
      </c>
      <c r="CW5" s="981"/>
      <c r="CX5" s="981"/>
      <c r="CY5" s="981"/>
      <c r="CZ5" s="981"/>
      <c r="DA5" s="982"/>
      <c r="DB5" s="1038" t="s">
        <v>162</v>
      </c>
      <c r="DC5" s="981"/>
      <c r="DD5" s="981"/>
      <c r="DE5" s="981"/>
      <c r="DF5" s="981"/>
      <c r="DG5" s="981"/>
      <c r="DH5" s="982"/>
      <c r="DI5" s="1118" t="s">
        <v>172</v>
      </c>
      <c r="DJ5" s="1118"/>
      <c r="DK5" s="1261"/>
      <c r="DL5" s="1117" t="s">
        <v>173</v>
      </c>
      <c r="DM5" s="1118"/>
      <c r="DN5" s="1119"/>
      <c r="DO5" s="1263" t="s">
        <v>174</v>
      </c>
      <c r="DP5" s="1264"/>
      <c r="DQ5" s="1264"/>
      <c r="DR5" s="1187" t="s">
        <v>186</v>
      </c>
      <c r="DS5" s="1187"/>
      <c r="DT5" s="1187"/>
      <c r="DU5" s="1187"/>
      <c r="DV5" s="1187"/>
      <c r="DW5" s="1187"/>
      <c r="DX5" s="1188" t="s">
        <v>189</v>
      </c>
      <c r="DY5" s="1060" t="s">
        <v>149</v>
      </c>
      <c r="DZ5" s="1187"/>
      <c r="EA5" s="1187"/>
      <c r="EB5" s="1187"/>
      <c r="EC5" s="1187" t="s">
        <v>150</v>
      </c>
      <c r="ED5" s="1187"/>
      <c r="EE5" s="1176" t="s">
        <v>193</v>
      </c>
      <c r="EF5" s="1176"/>
      <c r="EG5" s="1184"/>
      <c r="EH5" s="1123" t="s">
        <v>194</v>
      </c>
      <c r="EI5" s="1124"/>
      <c r="EJ5" s="1125"/>
      <c r="EK5" s="1187" t="s">
        <v>187</v>
      </c>
      <c r="EL5" s="1188"/>
      <c r="EM5" s="1038" t="s">
        <v>188</v>
      </c>
      <c r="EN5" s="981"/>
      <c r="EO5" s="981"/>
      <c r="EP5" s="981"/>
      <c r="EQ5" s="981"/>
      <c r="ER5" s="1254"/>
      <c r="ES5" s="1218" t="s">
        <v>201</v>
      </c>
      <c r="ET5" s="1174"/>
      <c r="EU5" s="1039"/>
      <c r="EV5" s="1197" t="s">
        <v>221</v>
      </c>
      <c r="EW5" s="1198"/>
      <c r="EX5" s="1198"/>
      <c r="EY5" s="1199"/>
      <c r="EZ5" s="1243" t="s">
        <v>199</v>
      </c>
      <c r="FA5" s="1033" t="s">
        <v>201</v>
      </c>
      <c r="FB5" s="1146"/>
      <c r="FC5" s="1034"/>
      <c r="FD5" s="1235" t="s">
        <v>221</v>
      </c>
      <c r="FE5" s="1236"/>
      <c r="FF5" s="1237"/>
      <c r="FJ5" s="31" t="s">
        <v>390</v>
      </c>
      <c r="FP5" s="1152"/>
      <c r="FQ5" s="31"/>
      <c r="FR5" s="31"/>
      <c r="FS5" s="31"/>
      <c r="FT5" s="31"/>
      <c r="FZ5" s="1152"/>
      <c r="GJ5" s="1162" t="s">
        <v>262</v>
      </c>
      <c r="GK5" s="1129" t="s">
        <v>260</v>
      </c>
      <c r="GL5" s="1131" t="s">
        <v>110</v>
      </c>
      <c r="GM5" s="1131" t="s">
        <v>111</v>
      </c>
      <c r="GN5" s="1132"/>
      <c r="GO5" s="1167"/>
      <c r="GP5" s="1171"/>
      <c r="GQ5" s="31"/>
      <c r="GR5" s="1158"/>
      <c r="GS5" s="1182" t="s">
        <v>244</v>
      </c>
      <c r="GT5" s="1183"/>
      <c r="GU5" s="1178" t="s">
        <v>245</v>
      </c>
      <c r="GV5" s="1179"/>
      <c r="GW5" s="1180"/>
      <c r="GX5" s="1181"/>
      <c r="GY5" s="1165" t="s">
        <v>107</v>
      </c>
      <c r="GZ5" s="1021"/>
      <c r="HA5" s="1205" t="s">
        <v>244</v>
      </c>
      <c r="HB5" s="1206"/>
      <c r="HC5" s="1206"/>
      <c r="HD5" s="1207"/>
      <c r="HE5" s="1216" t="s">
        <v>245</v>
      </c>
      <c r="HF5" s="1206"/>
      <c r="HG5" s="1206"/>
      <c r="HH5" s="1217"/>
      <c r="HI5" s="1214"/>
      <c r="HM5" s="909"/>
      <c r="HS5" s="909"/>
      <c r="HT5" s="909"/>
      <c r="HU5" s="909"/>
      <c r="HV5" s="910"/>
      <c r="HW5" s="1107" t="s">
        <v>245</v>
      </c>
      <c r="HX5" s="1108"/>
      <c r="HY5" s="1106" t="s">
        <v>388</v>
      </c>
      <c r="HZ5" s="1107"/>
      <c r="IA5" s="1107"/>
      <c r="IB5" s="1108"/>
      <c r="IC5" s="1106" t="s">
        <v>254</v>
      </c>
      <c r="ID5" s="1107"/>
      <c r="IE5" s="1108"/>
      <c r="IF5" s="858"/>
    </row>
    <row r="6" spans="1:296" ht="15" customHeight="1" thickBot="1" x14ac:dyDescent="0.4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16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$Q$6</f>
        <v>Projected XY</v>
      </c>
      <c r="X6" s="1301"/>
      <c r="Y6" s="1377" t="str">
        <f>$S$6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270" t="str">
        <f>AD6</f>
        <v>Unit Vector</v>
      </c>
      <c r="AL6" s="1271"/>
      <c r="AM6" s="1272"/>
      <c r="AN6" s="34" t="s">
        <v>15</v>
      </c>
      <c r="AO6" s="35" t="s">
        <v>16</v>
      </c>
      <c r="AP6" s="680" t="s">
        <v>17</v>
      </c>
      <c r="AQ6" s="1369" t="s">
        <v>108</v>
      </c>
      <c r="AS6" s="168">
        <f>(AS5/360)</f>
        <v>6.9444444444444447E-4</v>
      </c>
      <c r="AT6" s="414" t="s">
        <v>48</v>
      </c>
      <c r="AV6" s="1367"/>
      <c r="AW6" s="1361" t="s">
        <v>105</v>
      </c>
      <c r="AX6" s="1362"/>
      <c r="AY6" s="188" t="s">
        <v>110</v>
      </c>
      <c r="AZ6" s="1306" t="s">
        <v>111</v>
      </c>
      <c r="BA6" s="1307"/>
      <c r="BB6" s="1297"/>
      <c r="BC6" s="1300" t="str">
        <f>$Q$6</f>
        <v>Projected XY</v>
      </c>
      <c r="BD6" s="1301"/>
      <c r="BE6" s="1302" t="str">
        <f>$S$6</f>
        <v>Z</v>
      </c>
      <c r="BF6" s="988" t="s">
        <v>125</v>
      </c>
      <c r="BG6" s="984"/>
      <c r="BH6" s="1161"/>
      <c r="BI6" s="986" t="s">
        <v>126</v>
      </c>
      <c r="BJ6" s="984"/>
      <c r="BK6" s="985"/>
      <c r="BL6" s="989" t="s">
        <v>127</v>
      </c>
      <c r="BM6" s="984"/>
      <c r="BN6" s="990"/>
      <c r="BO6" s="988" t="s">
        <v>135</v>
      </c>
      <c r="BP6" s="984"/>
      <c r="BQ6" s="984"/>
      <c r="BR6" s="990"/>
      <c r="BS6" s="988" t="s">
        <v>125</v>
      </c>
      <c r="BT6" s="984"/>
      <c r="BU6" s="1161"/>
      <c r="BV6" s="986" t="s">
        <v>126</v>
      </c>
      <c r="BW6" s="984"/>
      <c r="BX6" s="985"/>
      <c r="BY6" s="989" t="s">
        <v>127</v>
      </c>
      <c r="BZ6" s="984"/>
      <c r="CA6" s="990"/>
      <c r="CB6" s="988" t="s">
        <v>135</v>
      </c>
      <c r="CC6" s="984"/>
      <c r="CD6" s="984"/>
      <c r="CE6" s="990"/>
      <c r="CF6" s="994" t="s">
        <v>136</v>
      </c>
      <c r="CG6" s="1256"/>
      <c r="CH6" s="1256"/>
      <c r="CI6" s="1258" t="s">
        <v>137</v>
      </c>
      <c r="CJ6" s="1256"/>
      <c r="CK6" s="995"/>
      <c r="CL6" s="1255" t="s">
        <v>140</v>
      </c>
      <c r="CM6" s="1256"/>
      <c r="CN6" s="1257"/>
      <c r="CO6" s="1190"/>
      <c r="CP6" s="1190"/>
      <c r="CQ6" s="1220"/>
      <c r="CR6" s="1220"/>
      <c r="CS6" s="1221"/>
      <c r="CT6" s="1220"/>
      <c r="CU6" s="1291"/>
      <c r="CV6" s="1340" t="s">
        <v>147</v>
      </c>
      <c r="CW6" s="984"/>
      <c r="CX6" s="985"/>
      <c r="CY6" s="1246" t="s">
        <v>148</v>
      </c>
      <c r="CZ6" s="1204"/>
      <c r="DA6" s="1247"/>
      <c r="DB6" s="1259" t="s">
        <v>175</v>
      </c>
      <c r="DC6" s="1249"/>
      <c r="DD6" s="1250"/>
      <c r="DE6" s="1260" t="s">
        <v>176</v>
      </c>
      <c r="DF6" s="1249"/>
      <c r="DG6" s="1250"/>
      <c r="DH6" s="242" t="s">
        <v>29</v>
      </c>
      <c r="DI6" s="1121"/>
      <c r="DJ6" s="1121"/>
      <c r="DK6" s="1262"/>
      <c r="DL6" s="1120"/>
      <c r="DM6" s="1121"/>
      <c r="DN6" s="1122"/>
      <c r="DO6" s="1265"/>
      <c r="DP6" s="1266"/>
      <c r="DQ6" s="1266"/>
      <c r="DR6" s="1189"/>
      <c r="DS6" s="1189"/>
      <c r="DT6" s="1189"/>
      <c r="DU6" s="1189"/>
      <c r="DV6" s="1189"/>
      <c r="DW6" s="1189"/>
      <c r="DX6" s="1190"/>
      <c r="DY6" s="1193"/>
      <c r="DZ6" s="1189"/>
      <c r="EA6" s="1189"/>
      <c r="EB6" s="1189"/>
      <c r="EC6" s="1189"/>
      <c r="ED6" s="1189"/>
      <c r="EE6" s="1185"/>
      <c r="EF6" s="1185"/>
      <c r="EG6" s="1186"/>
      <c r="EH6" s="1126"/>
      <c r="EI6" s="1127"/>
      <c r="EJ6" s="1128"/>
      <c r="EK6" s="1189"/>
      <c r="EL6" s="1190"/>
      <c r="EM6" s="1114" t="s">
        <v>198</v>
      </c>
      <c r="EN6" s="1115"/>
      <c r="EO6" s="1116"/>
      <c r="EP6" s="1225" t="s">
        <v>197</v>
      </c>
      <c r="EQ6" s="1115"/>
      <c r="ER6" s="1227"/>
      <c r="ES6" s="1219"/>
      <c r="ET6" s="1220"/>
      <c r="EU6" s="1221"/>
      <c r="EV6" s="263" t="s">
        <v>220</v>
      </c>
      <c r="EW6" s="1225" t="s">
        <v>201</v>
      </c>
      <c r="EX6" s="1115"/>
      <c r="EY6" s="1226"/>
      <c r="EZ6" s="1244"/>
      <c r="FA6" s="1232"/>
      <c r="FB6" s="1233"/>
      <c r="FC6" s="1234"/>
      <c r="FD6" s="1114" t="s">
        <v>201</v>
      </c>
      <c r="FE6" s="1115"/>
      <c r="FF6" s="1227"/>
      <c r="FG6" s="1229" t="s">
        <v>223</v>
      </c>
      <c r="FH6" s="1230"/>
      <c r="FI6" s="1231"/>
      <c r="FJ6" s="1187" t="s">
        <v>202</v>
      </c>
      <c r="FK6" s="1188" t="s">
        <v>213</v>
      </c>
      <c r="FL6" s="1174"/>
      <c r="FM6" s="1039"/>
      <c r="FN6" s="1147" t="s">
        <v>203</v>
      </c>
      <c r="FO6" s="1191" t="s">
        <v>226</v>
      </c>
      <c r="FP6" s="1144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5" t="s">
        <v>217</v>
      </c>
      <c r="FV6" s="1146"/>
      <c r="FW6" s="1036"/>
      <c r="FX6" s="1147" t="s">
        <v>218</v>
      </c>
      <c r="FY6" s="1191" t="s">
        <v>226</v>
      </c>
      <c r="FZ6" s="1144" t="s">
        <v>224</v>
      </c>
      <c r="GA6" s="1149" t="s">
        <v>237</v>
      </c>
      <c r="GB6" s="318" t="s">
        <v>206</v>
      </c>
      <c r="GC6" s="319" t="s">
        <v>238</v>
      </c>
      <c r="GD6" s="320" t="s">
        <v>225</v>
      </c>
      <c r="GE6" s="1159"/>
      <c r="GF6" s="1184" t="s">
        <v>256</v>
      </c>
      <c r="GG6" s="318" t="s">
        <v>206</v>
      </c>
      <c r="GH6" s="319" t="s">
        <v>238</v>
      </c>
      <c r="GI6" s="320" t="s">
        <v>225</v>
      </c>
      <c r="GJ6" s="1163"/>
      <c r="GK6" s="1130"/>
      <c r="GL6" s="1133"/>
      <c r="GM6" s="1133"/>
      <c r="GN6" s="1134"/>
      <c r="GO6" s="1168" t="s">
        <v>236</v>
      </c>
      <c r="GP6" s="1172" t="s">
        <v>224</v>
      </c>
      <c r="GQ6" s="1174" t="s">
        <v>202</v>
      </c>
      <c r="GR6" s="1158"/>
      <c r="GS6" s="1211" t="s">
        <v>248</v>
      </c>
      <c r="GT6" s="1212"/>
      <c r="GU6" s="1203" t="s">
        <v>247</v>
      </c>
      <c r="GV6" s="1204"/>
      <c r="GW6" s="1204"/>
      <c r="GX6" s="340" t="s">
        <v>106</v>
      </c>
      <c r="GY6" s="986" t="s">
        <v>246</v>
      </c>
      <c r="GZ6" s="1161"/>
      <c r="HA6" s="1248" t="s">
        <v>248</v>
      </c>
      <c r="HB6" s="1249"/>
      <c r="HC6" s="1249"/>
      <c r="HD6" s="1250"/>
      <c r="HE6" s="986" t="s">
        <v>247</v>
      </c>
      <c r="HF6" s="984"/>
      <c r="HG6" s="984"/>
      <c r="HH6" s="990"/>
      <c r="HI6" s="1214"/>
      <c r="HM6" s="915" t="s">
        <v>392</v>
      </c>
      <c r="HN6" s="1241" t="s">
        <v>393</v>
      </c>
      <c r="HO6" s="1241"/>
      <c r="HP6" s="1241"/>
      <c r="HQ6" s="1241"/>
      <c r="HR6" s="1242"/>
      <c r="HS6" s="1109" t="s">
        <v>105</v>
      </c>
      <c r="HT6" s="1110"/>
      <c r="HU6" s="1110"/>
      <c r="HV6" s="1111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8" t="s">
        <v>40</v>
      </c>
      <c r="C7" s="1329"/>
      <c r="D7" s="1330"/>
      <c r="E7" s="1331" t="s">
        <v>41</v>
      </c>
      <c r="F7" s="1329"/>
      <c r="G7" s="1332"/>
      <c r="H7" s="1085" t="s">
        <v>98</v>
      </c>
      <c r="I7" s="1083"/>
      <c r="J7" s="1086"/>
      <c r="K7" s="169"/>
      <c r="L7" s="1158"/>
      <c r="M7" s="1325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$Q$7</f>
        <v>&lt; θ°</v>
      </c>
      <c r="X7" s="27" t="str">
        <f>$R$7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0"/>
      <c r="AS7" s="1375" t="s">
        <v>54</v>
      </c>
      <c r="AT7" s="1373" t="s">
        <v>53</v>
      </c>
      <c r="AV7" s="136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7"/>
      <c r="BC7" s="37" t="str">
        <f>$Q$7</f>
        <v>&lt; θ°</v>
      </c>
      <c r="BD7" s="27" t="str">
        <f>$R$7</f>
        <v>r</v>
      </c>
      <c r="BE7" s="130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8"/>
      <c r="FK7" s="358" t="s">
        <v>210</v>
      </c>
      <c r="FL7" s="361" t="s">
        <v>211</v>
      </c>
      <c r="FM7" s="907" t="s">
        <v>212</v>
      </c>
      <c r="FN7" s="1148"/>
      <c r="FO7" s="1192"/>
      <c r="FP7" s="1145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8"/>
      <c r="FY7" s="1192"/>
      <c r="FZ7" s="1145"/>
      <c r="GA7" s="1150"/>
      <c r="GB7" s="212" t="s">
        <v>231</v>
      </c>
      <c r="GC7" s="127" t="s">
        <v>232</v>
      </c>
      <c r="GD7" s="213" t="s">
        <v>233</v>
      </c>
      <c r="GE7" s="1160"/>
      <c r="GF7" s="1238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9"/>
      <c r="GP7" s="1173"/>
      <c r="GQ7" s="1175"/>
      <c r="GR7" s="117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9" t="s">
        <v>394</v>
      </c>
      <c r="HP7" s="1240"/>
      <c r="HQ7" s="1236" t="s">
        <v>390</v>
      </c>
      <c r="HR7" s="1237"/>
      <c r="HS7" s="897" t="s">
        <v>29</v>
      </c>
      <c r="HT7" s="898" t="s">
        <v>110</v>
      </c>
      <c r="HU7" s="1112" t="s">
        <v>391</v>
      </c>
      <c r="HV7" s="111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2" t="s">
        <v>33</v>
      </c>
      <c r="IJ7" s="1200" t="s">
        <v>376</v>
      </c>
      <c r="IK7" s="988" t="s">
        <v>324</v>
      </c>
      <c r="IL7" s="989"/>
      <c r="IM7" s="989"/>
      <c r="IN7" s="984"/>
      <c r="IO7" s="984"/>
      <c r="IP7" s="984"/>
      <c r="IQ7" s="985"/>
      <c r="IR7" s="986" t="s">
        <v>320</v>
      </c>
      <c r="IS7" s="984"/>
      <c r="IT7" s="984"/>
      <c r="IU7" s="984"/>
      <c r="IV7" s="984"/>
      <c r="IW7" s="986" t="s">
        <v>319</v>
      </c>
      <c r="IX7" s="984"/>
      <c r="IY7" s="984"/>
      <c r="IZ7" s="984"/>
      <c r="JA7" s="985"/>
      <c r="JC7" s="725"/>
      <c r="JD7" s="1350" t="s">
        <v>355</v>
      </c>
      <c r="JE7" s="1350"/>
      <c r="JF7" s="1350"/>
      <c r="JG7" s="1351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8"/>
      <c r="M8" s="411" cm="1">
        <f t="array" ref="M8">IF(AND(ISNUMBER('SN#.Run#'!$P$1),COUNT($M$9:$M$150)&gt;='SN#.Run#'!$P$1),INDEX($M$9:$M$150,'SN#.Run#'!$P$1),"")</f>
        <v>1.1180000000000001</v>
      </c>
      <c r="N8" s="551"/>
      <c r="O8" s="552"/>
      <c r="P8" s="562"/>
      <c r="Q8" s="554">
        <f>IFERROR(INDEX(Q$9:Q$150,MATCH($M$8,$M$9:$M$150,0)),"")</f>
        <v>88.095600274961299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-0.5247015824999729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6"/>
      <c r="AT8" s="137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2"/>
      <c r="IJ8" s="120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0.34330103539592277</v>
      </c>
      <c r="D9" s="642">
        <f t="shared" si="2"/>
        <v>-0.49520149352770448</v>
      </c>
      <c r="E9" s="643">
        <f t="shared" ref="E9:K9" si="3">R164</f>
        <v>-0.93969263802333458</v>
      </c>
      <c r="F9" s="641">
        <f t="shared" si="3"/>
        <v>-8.8521302156295584E-2</v>
      </c>
      <c r="G9" s="644">
        <f t="shared" si="3"/>
        <v>0.33036604714967344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0.34330103539592277</v>
      </c>
      <c r="P9" s="568">
        <f t="shared" ref="P9:P40" si="7">IF(M9="","",D9)</f>
        <v>-0.49520149352770448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0.34330103539592277</v>
      </c>
      <c r="S9" s="569">
        <f>IF(M9="","",P9)</f>
        <v>-0.49520149352770448</v>
      </c>
      <c r="T9" s="570">
        <f>IF(M9="","",X9*COS(RADIANS(W9)))</f>
        <v>0.34311141891174624</v>
      </c>
      <c r="U9" s="567">
        <f>IF(M9="","",X9*SIN(RADIANS(W9)))</f>
        <v>1.1408554521972307E-2</v>
      </c>
      <c r="V9" s="571">
        <f>IF(M9="","",Y9)</f>
        <v>-0.49520149352770448</v>
      </c>
      <c r="W9" s="526">
        <f t="shared" ref="W9:W14" si="8">IF(M9="","",IF(Q9-$Q$8&lt;0,360+Q9-$Q$8,Q9-$Q$8))</f>
        <v>1.9043997250387008</v>
      </c>
      <c r="X9" s="572">
        <f>IF(M9="","",R9)</f>
        <v>0.34330103539592277</v>
      </c>
      <c r="Y9" s="573">
        <f t="shared" ref="Y9:Y15" si="9">IF(M9="","",S9)</f>
        <v>-0.49520149352770448</v>
      </c>
      <c r="Z9" s="566">
        <f t="shared" ref="Z9:Z40" si="10">IF(M9="","",-E9)</f>
        <v>0.93969263802333458</v>
      </c>
      <c r="AA9" s="567">
        <f t="shared" ref="AA9:AA40" si="11">IF(M9="","",-F9)</f>
        <v>8.8521302156295584E-2</v>
      </c>
      <c r="AB9" s="567">
        <f t="shared" ref="AB9:AB40" si="12">IF(M9="","",-G9)</f>
        <v>-0.33036604714967344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8.8521302156295584E-2</v>
      </c>
      <c r="AF9" s="568">
        <f>IF(M9="","",AB9*(1/SQRT(Z9^2+AA9^2+AB9^2)))</f>
        <v>-0.33036604714967344</v>
      </c>
      <c r="AG9" s="542">
        <f>IF(M9="","",DEGREES(ATAN2(-AF9,AE9)))</f>
        <v>14.999997834268264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8.8521302156295584E-2</v>
      </c>
      <c r="AM9" s="569">
        <f>IF(M9="","",AF9)</f>
        <v>-0.33036604714967344</v>
      </c>
      <c r="AN9" s="524">
        <f>IF(M9="","",DEGREES(ATAN2(-AM9,AL9)))</f>
        <v>14.999997834268264</v>
      </c>
      <c r="AO9" s="525">
        <f>IF(ROUND(IF(M9="",0,DEGREES(ACOS(AK9))),4)=90,0,IF(M9="","",DEGREES(ACOS(AK9))))</f>
        <v>19.999997112357679</v>
      </c>
      <c r="AP9" s="722">
        <f>IF(M9="","",DEGREES(ATAN2(AK9,AL9)))</f>
        <v>5.3815187622394793</v>
      </c>
      <c r="AQ9" s="527">
        <f t="shared" ref="AQ9:AQ40" si="13">IF(M9="","",DEGREES(ATAN(($AS$5*SIN(RADIANS(90)))/(($X9*2*PI())-($AS$5*COS(RADIANS(90)))))))</f>
        <v>6.6111083349681117</v>
      </c>
      <c r="AR9" s="979"/>
      <c r="AS9" s="953">
        <f>IF(M9="","",W9)</f>
        <v>1.9043997250387008</v>
      </c>
      <c r="AT9" s="949">
        <f t="shared" ref="AT9:AT40" si="14">IF(M9="","",Y9+(((AS9-$AS$9)*$AS$6)*-1))</f>
        <v>-0.49520149352770448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32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0.34330103539592277</v>
      </c>
      <c r="JP9" s="961">
        <f>AN9</f>
        <v>14.999997834268264</v>
      </c>
      <c r="JQ9" s="961">
        <f>AO9</f>
        <v>19.999997112357679</v>
      </c>
      <c r="JS9" s="82" cm="1">
        <f t="array" ref="JS9:JS41">_xlfn.UNIQUE(_xlfn.SORTBY(JM$9:JM$88,$JM$9:$JM$88))</f>
        <v>1</v>
      </c>
      <c r="JT9" s="322">
        <f>INDEX($JM$9:$JQ$88,MATCH($JS9,$JM$9:$JM$88,0),3)</f>
        <v>0.34330103539592277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19.999997112357679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3.9056889284418761E-16</v>
      </c>
      <c r="C10" s="572">
        <f>IFERROR(P165+($A10*-F10),"")</f>
        <v>1.0693032250185266</v>
      </c>
      <c r="D10" s="576">
        <f>IFERROR(Q165+($A10*-G10),"")</f>
        <v>-0.30070090691393542</v>
      </c>
      <c r="E10" s="580">
        <f t="shared" ref="E10:K10" si="93">R165</f>
        <v>-0.96592583607220739</v>
      </c>
      <c r="F10" s="572">
        <f t="shared" si="93"/>
        <v>-6.6987279208207184E-2</v>
      </c>
      <c r="G10" s="579">
        <f t="shared" si="93"/>
        <v>0.24999996726497564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3.9056889284418761E-16</v>
      </c>
      <c r="O10" s="572">
        <f t="shared" si="6"/>
        <v>1.0693032250185266</v>
      </c>
      <c r="P10" s="576">
        <f t="shared" si="7"/>
        <v>-0.30070090691393542</v>
      </c>
      <c r="Q10" s="528">
        <f>IF(M10="","",IF(DEGREES(ATAN2(N10,O10))&lt;0,DEGREES(ATAN2(N10,O10))+360,IF(DEGREES(ATAN2(N10,O10))&gt;360,DEGREES(ATAN2(N10,O10))-360,DEGREES(ATAN2(N10,O10)))))</f>
        <v>89.999999999999986</v>
      </c>
      <c r="R10" s="572">
        <f t="shared" ref="R10:R105" si="95">IF(M10="","",SQRT(N10^2+O10^2))</f>
        <v>1.0693032250185266</v>
      </c>
      <c r="S10" s="577">
        <f t="shared" ref="S10:S105" si="96">IF(M10="","",P10)</f>
        <v>-0.30070090691393542</v>
      </c>
      <c r="T10" s="578">
        <f t="shared" ref="T10:T105" si="97">IF(M10="","",X10*COS(RADIANS(W10)))</f>
        <v>1.0687126135809211</v>
      </c>
      <c r="U10" s="572">
        <f t="shared" ref="U10:U105" si="98">IF(M10="","",X10*SIN(RADIANS(W10)))</f>
        <v>3.5535005389877347E-2</v>
      </c>
      <c r="V10" s="579">
        <f>IF(M10="","",Y10)</f>
        <v>-0.30070090691393542</v>
      </c>
      <c r="W10" s="528">
        <f t="shared" si="8"/>
        <v>1.9043997250386866</v>
      </c>
      <c r="X10" s="572">
        <f t="shared" ref="X10:X105" si="99">IF(M10="","",R10)</f>
        <v>1.0693032250185266</v>
      </c>
      <c r="Y10" s="573">
        <f t="shared" si="9"/>
        <v>-0.30070090691393542</v>
      </c>
      <c r="Z10" s="575">
        <f>IF(M10="","",-E10)</f>
        <v>0.96592583607220739</v>
      </c>
      <c r="AA10" s="572">
        <f t="shared" si="11"/>
        <v>6.6987279208207184E-2</v>
      </c>
      <c r="AB10" s="572">
        <f t="shared" si="12"/>
        <v>-0.24999996726497564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6.6987279208207184E-2</v>
      </c>
      <c r="AF10" s="576">
        <f t="shared" ref="AF10:AF105" si="102">IF(M10="","",AB10*(1/SQRT(Z10^2+AA10^2+AB10^2)))</f>
        <v>-0.24999996726497564</v>
      </c>
      <c r="AG10" s="545">
        <f t="shared" ref="AG10:AG105" si="103">IF(M10="","",DEGREES(ATAN2(-AF10,AE10)))</f>
        <v>14.999997834268264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0.96592583607220739</v>
      </c>
      <c r="AL10" s="572">
        <f t="shared" ref="AL10:AL105" si="107">IF(M10="","",(SIN(RADIANS((90-$Q$8)-W10))*AD10)+(COS(RADIANS((90-$Q$8)-W10))*AE10))</f>
        <v>6.698727920820742E-2</v>
      </c>
      <c r="AM10" s="577">
        <f t="shared" ref="AM10:AM105" si="108">IF(M10="","",AF10)</f>
        <v>-0.24999996726497564</v>
      </c>
      <c r="AN10" s="524">
        <f t="shared" ref="AN10:AN105" si="109">IF(M10="","",DEGREES(ATAN2(-AM10,AL10)))</f>
        <v>14.999997834268315</v>
      </c>
      <c r="AO10" s="525">
        <f t="shared" ref="AO10:AO54" si="110">IF(ROUND(IF(M10="",0,DEGREES(ACOS(AK10))),4)=90,0,IF(M10="","",DEGREES(ACOS(AK10))))</f>
        <v>14.999997834268255</v>
      </c>
      <c r="AP10" s="528">
        <f t="shared" ref="AP10:AP105" si="111">IF(M10="","",DEGREES(ATAN2(AK10,AL10)))</f>
        <v>3.9671296450865845</v>
      </c>
      <c r="AQ10" s="529">
        <f t="shared" si="13"/>
        <v>2.1309908135242606</v>
      </c>
      <c r="AR10" s="979"/>
      <c r="AS10" s="954">
        <f>IF($M10="","",IF(AND($W10&lt;($AS$9+180),$W10&gt;($AS$9-180)),$W10,IF($W10&gt;($AS$9+180),$W10-360,IF($W10&lt;($AS$9-180),$W10+360,"Error"))))</f>
        <v>1.9043997250386866</v>
      </c>
      <c r="AT10" s="950">
        <f t="shared" si="14"/>
        <v>-0.30070090691393542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0.21739202740131228</v>
      </c>
      <c r="JO10" s="162">
        <f t="shared" ref="JO10:JO70" si="134">X10</f>
        <v>1.0693032250185266</v>
      </c>
      <c r="JP10" s="961">
        <f t="shared" ref="JP10:JP70" si="135">AN10</f>
        <v>14.999997834268315</v>
      </c>
      <c r="JQ10" s="961">
        <f t="shared" ref="JQ10:JQ70" si="136">AO10</f>
        <v>14.999997834268255</v>
      </c>
      <c r="JS10" s="82">
        <v>2</v>
      </c>
      <c r="JT10" s="322">
        <f t="shared" ref="JT10:JT53" si="137">INDEX($JM$9:$JQ$88,MATCH($JS10,$JM$9:$JM$88,0),3)</f>
        <v>0.58600176738133025</v>
      </c>
      <c r="JU10" s="963">
        <f t="shared" ref="JU10:JU53" si="138">INDEX($JM$9:$JQ$88,MATCH($JS10,$JM$9:$JM$88,0),2)</f>
        <v>7.2673615771760958E-2</v>
      </c>
      <c r="JV10" s="961">
        <v>9</v>
      </c>
      <c r="JW10" s="961">
        <f t="shared" si="92"/>
        <v>17.499997473312952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10.489969045825585</v>
      </c>
      <c r="KD10" s="969">
        <v>6</v>
      </c>
      <c r="KE10" s="968">
        <f t="shared" ref="KE10:KE48" si="140">KD10-KC10</f>
        <v>-4.4899690458255854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-8.5370249802008226E-18</v>
      </c>
      <c r="C11" s="572">
        <f t="shared" si="142"/>
        <v>1.7943054116251218</v>
      </c>
      <c r="D11" s="576">
        <f t="shared" si="142"/>
        <v>-0.1065003212049688</v>
      </c>
      <c r="E11" s="580">
        <f>R166</f>
        <v>-0.98480775301220813</v>
      </c>
      <c r="F11" s="572">
        <f t="shared" ref="F11:K11" si="143">S166</f>
        <v>-4.4943449187448817E-2</v>
      </c>
      <c r="G11" s="579">
        <f t="shared" si="143"/>
        <v>0.16773126119534493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-8.5370249802008226E-18</v>
      </c>
      <c r="O11" s="572">
        <f t="shared" si="6"/>
        <v>1.7943054116251218</v>
      </c>
      <c r="P11" s="576">
        <f t="shared" si="7"/>
        <v>-0.1065003212049688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1.7943054116251218</v>
      </c>
      <c r="S11" s="577">
        <f t="shared" si="96"/>
        <v>-0.1065003212049688</v>
      </c>
      <c r="T11" s="578">
        <f t="shared" si="97"/>
        <v>1.793314357568734</v>
      </c>
      <c r="U11" s="572">
        <f t="shared" si="98"/>
        <v>5.9628224231794091E-2</v>
      </c>
      <c r="V11" s="579">
        <f t="shared" ref="V11:V105" si="145">IF(M11="","",Y11)</f>
        <v>-0.1065003212049688</v>
      </c>
      <c r="W11" s="528">
        <f t="shared" si="8"/>
        <v>1.9043997250387008</v>
      </c>
      <c r="X11" s="572">
        <f>IF(M11="","",R11)</f>
        <v>1.7943054116251218</v>
      </c>
      <c r="Y11" s="573">
        <f t="shared" si="9"/>
        <v>-0.1065003212049688</v>
      </c>
      <c r="Z11" s="575">
        <f t="shared" si="10"/>
        <v>0.98480775301220813</v>
      </c>
      <c r="AA11" s="572">
        <f t="shared" si="11"/>
        <v>4.4943449187448817E-2</v>
      </c>
      <c r="AB11" s="572">
        <f t="shared" si="12"/>
        <v>-0.16773126119534493</v>
      </c>
      <c r="AC11" s="579">
        <f t="shared" si="100"/>
        <v>1</v>
      </c>
      <c r="AD11" s="580">
        <f t="shared" ref="AD11:AD105" si="146">IF(M11="","",Z11*(1/SQRT(Z11^2+AA11^2+AB11^2)))</f>
        <v>0.98480775301220813</v>
      </c>
      <c r="AE11" s="572">
        <f t="shared" si="101"/>
        <v>4.4943449187448817E-2</v>
      </c>
      <c r="AF11" s="576">
        <f t="shared" si="102"/>
        <v>-0.16773126119534493</v>
      </c>
      <c r="AG11" s="545">
        <f>IF(M11="","",DEGREES(ATAN2(-AF11,AE11)))</f>
        <v>14.999997834268267</v>
      </c>
      <c r="AH11" s="546">
        <f t="shared" si="104"/>
        <v>9.9999999999999751</v>
      </c>
      <c r="AI11" s="528">
        <f t="shared" si="105"/>
        <v>-80.344064096054083</v>
      </c>
      <c r="AJ11" s="529">
        <f t="shared" si="106"/>
        <v>92.612981534283023</v>
      </c>
      <c r="AK11" s="578">
        <f>IF(M11="","",(COS(RADIANS((90-$Q$8)-W11))*AD11)+(-SIN(RADIANS((90-$Q$8)-W11))*AE11))</f>
        <v>0.98480775301220813</v>
      </c>
      <c r="AL11" s="572">
        <f t="shared" si="107"/>
        <v>4.4943449187448817E-2</v>
      </c>
      <c r="AM11" s="577">
        <f t="shared" si="108"/>
        <v>-0.16773126119534493</v>
      </c>
      <c r="AN11" s="524">
        <f>IF(M11="","",DEGREES(ATAN2(-AM11,AL11)))</f>
        <v>14.999997834268267</v>
      </c>
      <c r="AO11" s="525">
        <f>IF(ROUND(IF(M11="",0,DEGREES(ACOS(AK11))),4)=90,0,IF(M11="","",DEGREES(ACOS(AK11))))</f>
        <v>9.9999999999999751</v>
      </c>
      <c r="AP11" s="528">
        <f t="shared" si="111"/>
        <v>2.6129815342830236</v>
      </c>
      <c r="AQ11" s="529">
        <f>IF(M11="","",DEGREES(ATAN(($AS$5*SIN(RADIANS(90)))/(($X11*2*PI())-($AS$5*COS(RADIANS(90)))))))</f>
        <v>1.2703261421812773</v>
      </c>
      <c r="AR11" s="979"/>
      <c r="AS11" s="954">
        <f t="shared" ref="AS11:AS42" si="147">IF(G11="","",IF(AND(W11&lt;(AS10+180),W11&gt;(AS10-180)),W11,IF(W11&gt;(AS10+180),W11-360,IF(W11&lt;(AS10-180),W11+360,"Error"))))</f>
        <v>1.9043997250387008</v>
      </c>
      <c r="AT11" s="950">
        <f t="shared" si="14"/>
        <v>-0.1065003212049688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0.43448461674835293</v>
      </c>
      <c r="JO11" s="162">
        <f t="shared" si="134"/>
        <v>1.7943054116251218</v>
      </c>
      <c r="JP11" s="961">
        <f t="shared" si="135"/>
        <v>14.999997834268267</v>
      </c>
      <c r="JQ11" s="961">
        <f t="shared" si="136"/>
        <v>9.9999999999999751</v>
      </c>
      <c r="JS11" s="82">
        <v>3</v>
      </c>
      <c r="JT11" s="322">
        <f t="shared" si="137"/>
        <v>0.8277024963507289</v>
      </c>
      <c r="JU11" s="963">
        <f t="shared" si="138"/>
        <v>0.1450477934892502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8.9804650152964385</v>
      </c>
      <c r="KD11" s="969">
        <v>4</v>
      </c>
      <c r="KE11" s="968">
        <f t="shared" si="140"/>
        <v>-4.9804650152964385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4.1525127014845876E-2</v>
      </c>
      <c r="C12" s="572">
        <f t="shared" si="245"/>
        <v>2.6171784885812936</v>
      </c>
      <c r="D12" s="576">
        <f t="shared" si="245"/>
        <v>-0.10080030401371684</v>
      </c>
      <c r="E12" s="580">
        <f t="shared" ref="E12:K12" si="246">R167</f>
        <v>-0.96101099711342941</v>
      </c>
      <c r="F12" s="572">
        <f t="shared" si="246"/>
        <v>0.13603385418383587</v>
      </c>
      <c r="G12" s="579">
        <f t="shared" si="246"/>
        <v>0.24073357460674868</v>
      </c>
      <c r="H12" s="580">
        <f t="shared" si="246"/>
        <v>0.3125</v>
      </c>
      <c r="I12" s="572">
        <f t="shared" si="246"/>
        <v>0.52</v>
      </c>
      <c r="J12" s="483">
        <f t="shared" si="94"/>
        <v>1.1120000000000001</v>
      </c>
      <c r="K12" s="806">
        <f t="shared" si="246"/>
        <v>1613</v>
      </c>
      <c r="L12" s="716" t="s">
        <v>357</v>
      </c>
      <c r="M12" s="164">
        <f t="shared" si="4"/>
        <v>1.1120000000000001</v>
      </c>
      <c r="N12" s="575">
        <f t="shared" si="5"/>
        <v>4.1525127014845876E-2</v>
      </c>
      <c r="O12" s="572">
        <f t="shared" si="6"/>
        <v>2.6171784885812936</v>
      </c>
      <c r="P12" s="576">
        <f t="shared" si="7"/>
        <v>-0.10080030401371684</v>
      </c>
      <c r="Q12" s="528">
        <f>IF(M12="","",IF(DEGREES(ATAN2(N12,O12))&lt;0,DEGREES(ATAN2(N12,O12))+360,IF(DEGREES(ATAN2(N12,O12))&gt;360,DEGREES(ATAN2(N12,O12))-360,DEGREES(ATAN2(N12,O12)))))</f>
        <v>89.091000131243348</v>
      </c>
      <c r="R12" s="572">
        <f t="shared" si="95"/>
        <v>2.6175078944038095</v>
      </c>
      <c r="S12" s="577">
        <f t="shared" si="96"/>
        <v>-0.10080030401371684</v>
      </c>
      <c r="T12" s="578">
        <f>IF(M12="","",X12*COS(RADIANS(W12)))</f>
        <v>2.6171128945237032</v>
      </c>
      <c r="U12" s="572">
        <f t="shared" si="98"/>
        <v>4.5471689918311138E-2</v>
      </c>
      <c r="V12" s="579">
        <f t="shared" si="145"/>
        <v>-0.10080030401371684</v>
      </c>
      <c r="W12" s="528">
        <f>IF(M12="","",IF(Q12-$Q$8&lt;0,360+Q12-$Q$8,Q12-$Q$8))</f>
        <v>0.99539985628204875</v>
      </c>
      <c r="X12" s="572">
        <f t="shared" si="99"/>
        <v>2.6175078944038095</v>
      </c>
      <c r="Y12" s="573">
        <f t="shared" si="9"/>
        <v>-0.10080030401371684</v>
      </c>
      <c r="Z12" s="575">
        <f t="shared" si="10"/>
        <v>0.96101099711342941</v>
      </c>
      <c r="AA12" s="572">
        <f t="shared" si="11"/>
        <v>-0.13603385418383587</v>
      </c>
      <c r="AB12" s="572">
        <f t="shared" si="12"/>
        <v>-0.24073357460674868</v>
      </c>
      <c r="AC12" s="579">
        <f t="shared" si="100"/>
        <v>1</v>
      </c>
      <c r="AD12" s="580">
        <f t="shared" si="146"/>
        <v>0.96101099711342941</v>
      </c>
      <c r="AE12" s="572">
        <f t="shared" si="101"/>
        <v>-0.13603385418383587</v>
      </c>
      <c r="AF12" s="576">
        <f t="shared" si="102"/>
        <v>-0.24073357460674868</v>
      </c>
      <c r="AG12" s="545">
        <f t="shared" si="103"/>
        <v>-29.469945370003909</v>
      </c>
      <c r="AH12" s="546">
        <f t="shared" si="104"/>
        <v>16.05202951544311</v>
      </c>
      <c r="AI12" s="528">
        <f t="shared" si="105"/>
        <v>-76.070159437866479</v>
      </c>
      <c r="AJ12" s="529">
        <f t="shared" si="106"/>
        <v>81.943146341533208</v>
      </c>
      <c r="AK12" s="578">
        <f t="shared" ref="AK12:AK105" si="247">IF(M12="","",(COS(RADIANS((90-$Q$8)-W12))*AD12)+(-SIN(RADIANS((90-$Q$8)-W12))*AE12))</f>
        <v>0.96304814873644928</v>
      </c>
      <c r="AL12" s="572">
        <f>IF(M12="","",(SIN(RADIANS((90-$Q$8)-W12))*AD12)+(COS(RADIANS((90-$Q$8)-W12))*AE12))</f>
        <v>-0.12077089580008447</v>
      </c>
      <c r="AM12" s="577">
        <f t="shared" si="108"/>
        <v>-0.24073357460674868</v>
      </c>
      <c r="AN12" s="524">
        <f>IF(M12="","",DEGREES(ATAN2(-AM12,AL12)))</f>
        <v>-26.641943354908527</v>
      </c>
      <c r="AO12" s="525">
        <f t="shared" si="110"/>
        <v>15.624359248728833</v>
      </c>
      <c r="AP12" s="528">
        <f t="shared" si="111"/>
        <v>-7.147853789710144</v>
      </c>
      <c r="AQ12" s="529">
        <f t="shared" si="13"/>
        <v>0.87088603198982373</v>
      </c>
      <c r="AR12" s="979"/>
      <c r="AS12" s="954">
        <f t="shared" si="147"/>
        <v>0.99539985628204875</v>
      </c>
      <c r="AT12" s="950">
        <f>IF(M12="","",Y12+(((AS12-$AS$9)*$AS$6)*-1))</f>
        <v>-0.10016905410485806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12</v>
      </c>
      <c r="JN12" s="960">
        <f>($JO12-SMALL($JO$9:$JO$88,1))/((Settings!$C$19/2)-((Settings!$C$19/2)-LARGE($JO$9:$JO$88,1))-SMALL($JO$9:$JO$88,1))</f>
        <v>0.68098202302488209</v>
      </c>
      <c r="JO12" s="162">
        <f t="shared" si="134"/>
        <v>2.6175078944038095</v>
      </c>
      <c r="JP12" s="961">
        <f t="shared" si="135"/>
        <v>-26.641943354908527</v>
      </c>
      <c r="JQ12" s="961">
        <f t="shared" si="136"/>
        <v>15.624359248728833</v>
      </c>
      <c r="JS12" s="82">
        <v>4</v>
      </c>
      <c r="JT12" s="322">
        <f t="shared" si="137"/>
        <v>1.0693032250185266</v>
      </c>
      <c r="JU12" s="963">
        <f t="shared" si="138"/>
        <v>0.21739202740131228</v>
      </c>
      <c r="JV12" s="964">
        <v>3</v>
      </c>
      <c r="JW12" s="961">
        <f t="shared" si="92"/>
        <v>14.999997834268255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7.4684560078315734</v>
      </c>
      <c r="KD12" s="968">
        <v>3</v>
      </c>
      <c r="KE12" s="968">
        <f t="shared" si="140"/>
        <v>-4.4684560078315734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0.1091638821707743</v>
      </c>
      <c r="C13" s="572">
        <f t="shared" si="259"/>
        <v>3.283095543207676</v>
      </c>
      <c r="D13" s="576">
        <f t="shared" si="259"/>
        <v>-0.5247015824999729</v>
      </c>
      <c r="E13" s="580">
        <f t="shared" ref="E13:K13" si="260">R168</f>
        <v>-0.93948851336091654</v>
      </c>
      <c r="F13" s="572">
        <f t="shared" si="260"/>
        <v>0.29625628196016229</v>
      </c>
      <c r="G13" s="579">
        <f t="shared" si="260"/>
        <v>0.17202775549903498</v>
      </c>
      <c r="H13" s="580">
        <f t="shared" si="260"/>
        <v>0.3125</v>
      </c>
      <c r="I13" s="572">
        <f t="shared" si="260"/>
        <v>0.52</v>
      </c>
      <c r="J13" s="483">
        <f t="shared" si="94"/>
        <v>1.1180000000000001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1.1180000000000001</v>
      </c>
      <c r="N13" s="575">
        <f t="shared" si="5"/>
        <v>0.1091638821707743</v>
      </c>
      <c r="O13" s="572">
        <f t="shared" si="6"/>
        <v>3.283095543207676</v>
      </c>
      <c r="P13" s="576">
        <f t="shared" si="7"/>
        <v>-0.5247015824999729</v>
      </c>
      <c r="Q13" s="528">
        <f t="shared" si="144"/>
        <v>88.095600274961299</v>
      </c>
      <c r="R13" s="572">
        <f t="shared" si="95"/>
        <v>3.2849099072882808</v>
      </c>
      <c r="S13" s="577">
        <f t="shared" si="96"/>
        <v>-0.5247015824999729</v>
      </c>
      <c r="T13" s="578">
        <f>IF(M13="","",X13*COS(RADIANS(W13)))</f>
        <v>3.2849099072882808</v>
      </c>
      <c r="U13" s="572">
        <f t="shared" si="98"/>
        <v>0</v>
      </c>
      <c r="V13" s="579">
        <f t="shared" si="145"/>
        <v>-0.5247015824999729</v>
      </c>
      <c r="W13" s="528">
        <f t="shared" si="8"/>
        <v>0</v>
      </c>
      <c r="X13" s="572">
        <f t="shared" si="99"/>
        <v>3.2849099072882808</v>
      </c>
      <c r="Y13" s="573">
        <f t="shared" si="9"/>
        <v>-0.5247015824999729</v>
      </c>
      <c r="Z13" s="575">
        <f t="shared" si="10"/>
        <v>0.93948851336091654</v>
      </c>
      <c r="AA13" s="572">
        <f t="shared" si="11"/>
        <v>-0.29625628196016229</v>
      </c>
      <c r="AB13" s="572">
        <f t="shared" si="12"/>
        <v>-0.17202775549903498</v>
      </c>
      <c r="AC13" s="579">
        <f t="shared" si="100"/>
        <v>1</v>
      </c>
      <c r="AD13" s="580">
        <f>IF(M13="","",Z13*(1/SQRT(Z13^2+AA13^2+AB13^2)))</f>
        <v>0.93948851336091654</v>
      </c>
      <c r="AE13" s="572">
        <f t="shared" si="101"/>
        <v>-0.29625628196016229</v>
      </c>
      <c r="AF13" s="576">
        <f t="shared" si="102"/>
        <v>-0.17202775549903498</v>
      </c>
      <c r="AG13" s="545">
        <f>IF(M13="","",DEGREES(ATAN2(-AF13,AE13)))</f>
        <v>-59.857460431431988</v>
      </c>
      <c r="AH13" s="546">
        <f t="shared" si="104"/>
        <v>20.034164429803777</v>
      </c>
      <c r="AI13" s="528">
        <f t="shared" si="105"/>
        <v>-80.094261979893844</v>
      </c>
      <c r="AJ13" s="529">
        <f t="shared" si="106"/>
        <v>72.497964687316539</v>
      </c>
      <c r="AK13" s="578">
        <f t="shared" si="247"/>
        <v>0.94881476963829459</v>
      </c>
      <c r="AL13" s="572">
        <f t="shared" si="107"/>
        <v>-0.26487163731550128</v>
      </c>
      <c r="AM13" s="577">
        <f t="shared" si="108"/>
        <v>-0.17202775549903498</v>
      </c>
      <c r="AN13" s="524">
        <f t="shared" si="109"/>
        <v>-56.99724572650674</v>
      </c>
      <c r="AO13" s="525">
        <f t="shared" si="110"/>
        <v>18.411113247366355</v>
      </c>
      <c r="AP13" s="528">
        <f t="shared" si="111"/>
        <v>-15.597635587644762</v>
      </c>
      <c r="AQ13" s="529">
        <f t="shared" si="13"/>
        <v>0.69396580617805226</v>
      </c>
      <c r="AR13" s="979"/>
      <c r="AS13" s="954">
        <f t="shared" si="147"/>
        <v>0</v>
      </c>
      <c r="AT13" s="950">
        <f t="shared" si="14"/>
        <v>-0.52337908269091826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1.1180000000000001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18</v>
      </c>
      <c r="JN13" s="960">
        <f>($JO13-SMALL($JO$9:$JO$88,1))/((Settings!$C$19/2)-((Settings!$C$19/2)-LARGE($JO$9:$JO$88,1))-SMALL($JO$9:$JO$88,1))</f>
        <v>0.88082698044586816</v>
      </c>
      <c r="JO13" s="162">
        <f t="shared" si="134"/>
        <v>3.2849099072882808</v>
      </c>
      <c r="JP13" s="961">
        <f t="shared" si="135"/>
        <v>-56.99724572650674</v>
      </c>
      <c r="JQ13" s="961">
        <f t="shared" si="136"/>
        <v>18.411113247366355</v>
      </c>
      <c r="JS13" s="82">
        <v>5</v>
      </c>
      <c r="JT13" s="322">
        <f t="shared" si="137"/>
        <v>1.3110039539879252</v>
      </c>
      <c r="JU13" s="963">
        <f t="shared" si="138"/>
        <v>0.28976620511880152</v>
      </c>
      <c r="JV13" s="964">
        <v>3</v>
      </c>
      <c r="JW13" s="961">
        <f t="shared" si="92"/>
        <v>14.99999783426823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5.9582595117916588</v>
      </c>
      <c r="KD13" s="968">
        <v>3</v>
      </c>
      <c r="KE13" s="968">
        <f t="shared" si="140"/>
        <v>-2.9582595117916588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0.15588234920333341</v>
      </c>
      <c r="C14" s="572">
        <f t="shared" si="262"/>
        <v>3.6207569275582911</v>
      </c>
      <c r="D14" s="576">
        <f t="shared" si="262"/>
        <v>-1.2188036759118865</v>
      </c>
      <c r="E14" s="580">
        <f t="shared" ref="E14:K14" si="263">R169</f>
        <v>-0.87691222519662104</v>
      </c>
      <c r="F14" s="572">
        <f t="shared" si="263"/>
        <v>0.4666214331930808</v>
      </c>
      <c r="G14" s="579">
        <f t="shared" si="263"/>
        <v>0.11527960524544605</v>
      </c>
      <c r="H14" s="580">
        <f t="shared" si="263"/>
        <v>0.3125</v>
      </c>
      <c r="I14" s="572">
        <f t="shared" si="263"/>
        <v>0.52</v>
      </c>
      <c r="J14" s="483">
        <f t="shared" si="94"/>
        <v>1.1240000000000001</v>
      </c>
      <c r="K14" s="806">
        <f t="shared" si="263"/>
        <v>1613</v>
      </c>
      <c r="L14" s="719" t="s">
        <v>358</v>
      </c>
      <c r="M14" s="164">
        <f t="shared" si="4"/>
        <v>1.1240000000000001</v>
      </c>
      <c r="N14" s="575">
        <f t="shared" si="5"/>
        <v>0.15588234920333341</v>
      </c>
      <c r="O14" s="572">
        <f t="shared" si="6"/>
        <v>3.6207569275582911</v>
      </c>
      <c r="P14" s="576">
        <f t="shared" si="7"/>
        <v>-1.2188036759118865</v>
      </c>
      <c r="Q14" s="528">
        <f t="shared" si="144"/>
        <v>87.534800355930798</v>
      </c>
      <c r="R14" s="572">
        <f t="shared" si="95"/>
        <v>3.6241109303185666</v>
      </c>
      <c r="S14" s="577">
        <f>IF(M14="","",P14)</f>
        <v>-1.2188036759118865</v>
      </c>
      <c r="T14" s="578">
        <f t="shared" si="97"/>
        <v>3.6239373347480881</v>
      </c>
      <c r="U14" s="572">
        <f t="shared" si="98"/>
        <v>-3.5471524825289265E-2</v>
      </c>
      <c r="V14" s="579">
        <f t="shared" si="145"/>
        <v>-1.2188036759118865</v>
      </c>
      <c r="W14" s="528">
        <f t="shared" si="8"/>
        <v>359.4392000809695</v>
      </c>
      <c r="X14" s="572">
        <f t="shared" si="99"/>
        <v>3.6241109303185666</v>
      </c>
      <c r="Y14" s="573">
        <f t="shared" si="9"/>
        <v>-1.2188036759118865</v>
      </c>
      <c r="Z14" s="575">
        <f t="shared" si="10"/>
        <v>0.87691222519662104</v>
      </c>
      <c r="AA14" s="572">
        <f t="shared" si="11"/>
        <v>-0.4666214331930808</v>
      </c>
      <c r="AB14" s="572">
        <f t="shared" si="12"/>
        <v>-0.11527960524544605</v>
      </c>
      <c r="AC14" s="579">
        <f t="shared" si="100"/>
        <v>1</v>
      </c>
      <c r="AD14" s="580">
        <f>IF(M14="","",Z14*(1/SQRT(Z14^2+AA14^2+AB14^2)))</f>
        <v>0.87691222519662104</v>
      </c>
      <c r="AE14" s="572">
        <f t="shared" si="101"/>
        <v>-0.4666214331930808</v>
      </c>
      <c r="AF14" s="576">
        <f t="shared" si="102"/>
        <v>-0.11527960524544605</v>
      </c>
      <c r="AG14" s="545">
        <f t="shared" si="103"/>
        <v>-76.122856380008798</v>
      </c>
      <c r="AH14" s="546">
        <f t="shared" si="104"/>
        <v>28.727898951018702</v>
      </c>
      <c r="AI14" s="528">
        <f t="shared" si="105"/>
        <v>-83.380247491774085</v>
      </c>
      <c r="AJ14" s="529">
        <f t="shared" si="106"/>
        <v>61.98172004050015</v>
      </c>
      <c r="AK14" s="578">
        <f>IF(M14="","",(COS(RADIANS((90-$Q$8)-W14))*AD14)+(-SIN(RADIANS((90-$Q$8)-W14))*AE14))</f>
        <v>0.89617126017455984</v>
      </c>
      <c r="AL14" s="572">
        <f t="shared" si="107"/>
        <v>-0.42847133515743574</v>
      </c>
      <c r="AM14" s="577">
        <f t="shared" si="108"/>
        <v>-0.11527960524544605</v>
      </c>
      <c r="AN14" s="524">
        <f t="shared" si="109"/>
        <v>-74.941245330664387</v>
      </c>
      <c r="AO14" s="525">
        <f t="shared" si="110"/>
        <v>26.340726971777592</v>
      </c>
      <c r="AP14" s="528">
        <f>IF(M14="","",DEGREES(ATAN2(AK14,AL14)))</f>
        <v>-25.553080315430627</v>
      </c>
      <c r="AQ14" s="529">
        <f t="shared" si="13"/>
        <v>0.62901911280228429</v>
      </c>
      <c r="AR14" s="979"/>
      <c r="AS14" s="954">
        <f t="shared" si="147"/>
        <v>-0.56079991903050086</v>
      </c>
      <c r="AT14" s="950">
        <f>IF(M14="","",Y14+(((AS14-$AS$9)*$AS$6)*-1))</f>
        <v>-1.2170917317146162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24</v>
      </c>
      <c r="JN14" s="960">
        <f>($JO14-SMALL($JO$9:$JO$88,1))/((Settings!$C$19/2)-((Settings!$C$19/2)-LARGE($JO$9:$JO$88,1))-SMALL($JO$9:$JO$88,1))</f>
        <v>0.98239636845485612</v>
      </c>
      <c r="JO14" s="162">
        <f t="shared" si="134"/>
        <v>3.6241109303185666</v>
      </c>
      <c r="JP14" s="961">
        <f t="shared" si="135"/>
        <v>-74.941245330664387</v>
      </c>
      <c r="JQ14" s="961">
        <f t="shared" si="136"/>
        <v>26.340726971777592</v>
      </c>
      <c r="JS14" s="82">
        <v>6</v>
      </c>
      <c r="JT14" s="322">
        <f t="shared" si="137"/>
        <v>1.5526046826557232</v>
      </c>
      <c r="JU14" s="963">
        <f t="shared" si="138"/>
        <v>0.36211043903086365</v>
      </c>
      <c r="JV14" s="964">
        <v>3</v>
      </c>
      <c r="JW14" s="961">
        <f t="shared" si="92"/>
        <v>14.99999783426823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4.4492857494415103</v>
      </c>
      <c r="KD14" s="968">
        <v>3</v>
      </c>
      <c r="KE14" s="968">
        <f t="shared" si="140"/>
        <v>-1.4492857494415103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0.16481987833048795</v>
      </c>
      <c r="C15" s="572">
        <f t="shared" si="266"/>
        <v>3.6792100806704591</v>
      </c>
      <c r="D15" s="576">
        <f t="shared" si="266"/>
        <v>-2.0039999999999996</v>
      </c>
      <c r="E15" s="580">
        <f t="shared" ref="E15:K15" si="267">R170</f>
        <v>-0.84278135614737548</v>
      </c>
      <c r="F15" s="572">
        <f t="shared" si="267"/>
        <v>0.5382560596318241</v>
      </c>
      <c r="G15" s="579">
        <f t="shared" si="267"/>
        <v>1.1339744831728188E-7</v>
      </c>
      <c r="H15" s="580">
        <f t="shared" si="267"/>
        <v>0.3125</v>
      </c>
      <c r="I15" s="572">
        <f t="shared" si="267"/>
        <v>0.52</v>
      </c>
      <c r="J15" s="483">
        <f t="shared" si="94"/>
        <v>1.1299999999999999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1.1299999999999999</v>
      </c>
      <c r="N15" s="575">
        <f t="shared" si="5"/>
        <v>0.16481987833048795</v>
      </c>
      <c r="O15" s="572">
        <f t="shared" si="6"/>
        <v>3.6792100806704591</v>
      </c>
      <c r="P15" s="576">
        <f t="shared" si="7"/>
        <v>-2.0039999999999996</v>
      </c>
      <c r="Q15" s="528">
        <f t="shared" si="144"/>
        <v>87.435000000000002</v>
      </c>
      <c r="R15" s="572">
        <f t="shared" si="95"/>
        <v>3.6829000000000005</v>
      </c>
      <c r="S15" s="577">
        <f t="shared" si="96"/>
        <v>-2.0039999999999996</v>
      </c>
      <c r="T15" s="578">
        <f t="shared" si="97"/>
        <v>3.6826552135604036</v>
      </c>
      <c r="U15" s="572">
        <f t="shared" si="98"/>
        <v>-4.2461606615621199E-2</v>
      </c>
      <c r="V15" s="579">
        <f t="shared" si="145"/>
        <v>-2.0039999999999996</v>
      </c>
      <c r="W15" s="528">
        <f t="shared" ref="W15:W78" si="268">IF(M15="","",IF(Q15-$Q$8&lt;0,360+Q15-$Q$8,Q15-$Q$8))</f>
        <v>359.33939972503867</v>
      </c>
      <c r="X15" s="572">
        <f>IF(M15="","",R15)</f>
        <v>3.6829000000000005</v>
      </c>
      <c r="Y15" s="573">
        <f t="shared" si="9"/>
        <v>-2.0039999999999996</v>
      </c>
      <c r="Z15" s="575">
        <f t="shared" si="10"/>
        <v>0.84278135614737548</v>
      </c>
      <c r="AA15" s="572">
        <f t="shared" si="11"/>
        <v>-0.5382560596318241</v>
      </c>
      <c r="AB15" s="572">
        <f t="shared" si="12"/>
        <v>-1.1339744831728188E-7</v>
      </c>
      <c r="AC15" s="579">
        <f t="shared" si="100"/>
        <v>1</v>
      </c>
      <c r="AD15" s="580">
        <f t="shared" si="146"/>
        <v>0.84278135614737548</v>
      </c>
      <c r="AE15" s="572">
        <f t="shared" si="101"/>
        <v>-0.5382560596318241</v>
      </c>
      <c r="AF15" s="576">
        <f t="shared" si="102"/>
        <v>-1.1339744831728188E-7</v>
      </c>
      <c r="AG15" s="545">
        <f t="shared" si="103"/>
        <v>-89.999987929174083</v>
      </c>
      <c r="AH15" s="546">
        <f t="shared" si="104"/>
        <v>32.564999999999934</v>
      </c>
      <c r="AI15" s="528">
        <f t="shared" si="105"/>
        <v>-89.999993502804799</v>
      </c>
      <c r="AJ15" s="529">
        <f t="shared" si="106"/>
        <v>57.435000000000642</v>
      </c>
      <c r="AK15" s="578">
        <f t="shared" si="247"/>
        <v>0.86602540378443937</v>
      </c>
      <c r="AL15" s="572">
        <f t="shared" si="107"/>
        <v>-0.4999999999999859</v>
      </c>
      <c r="AM15" s="577">
        <f t="shared" si="108"/>
        <v>-1.1339744831728188E-7</v>
      </c>
      <c r="AN15" s="524">
        <f>IF(M15="","",DEGREES(ATAN2(-AM15,AL15)))</f>
        <v>-89.999987005609611</v>
      </c>
      <c r="AO15" s="525">
        <f t="shared" si="110"/>
        <v>29.999999999999915</v>
      </c>
      <c r="AP15" s="528">
        <f t="shared" si="111"/>
        <v>-29.999999999999279</v>
      </c>
      <c r="AQ15" s="529">
        <f t="shared" si="13"/>
        <v>0.61897904982222918</v>
      </c>
      <c r="AR15" s="979"/>
      <c r="AS15" s="954">
        <f t="shared" si="147"/>
        <v>-0.66060027496132534</v>
      </c>
      <c r="AT15" s="950">
        <f t="shared" si="14"/>
        <v>-2.0022187499999995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1.1299999999999999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32</v>
      </c>
      <c r="JE15" s="31"/>
      <c r="JF15" s="219"/>
      <c r="JG15" s="219"/>
      <c r="JH15" s="219"/>
      <c r="JI15" s="219"/>
      <c r="JM15" s="489">
        <f t="shared" si="133"/>
        <v>30</v>
      </c>
      <c r="JN15" s="960">
        <f>($JO15-SMALL($JO$9:$JO$88,1))/((Settings!$C$19/2)-((Settings!$C$19/2)-LARGE($JO$9:$JO$88,1))-SMALL($JO$9:$JO$88,1))</f>
        <v>0.99999999999999989</v>
      </c>
      <c r="JO15" s="162">
        <f t="shared" si="134"/>
        <v>3.6829000000000005</v>
      </c>
      <c r="JP15" s="961">
        <f t="shared" si="135"/>
        <v>-89.999987005609611</v>
      </c>
      <c r="JQ15" s="961">
        <f t="shared" si="136"/>
        <v>29.999999999999915</v>
      </c>
      <c r="JS15" s="82">
        <v>7</v>
      </c>
      <c r="JT15" s="322">
        <f t="shared" si="137"/>
        <v>1.7943054116251218</v>
      </c>
      <c r="JU15" s="963">
        <f t="shared" si="138"/>
        <v>0.43448461674835293</v>
      </c>
      <c r="JV15" s="964">
        <v>3</v>
      </c>
      <c r="JW15" s="961">
        <f t="shared" si="92"/>
        <v>9.9999999999999751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2.0514241924574272</v>
      </c>
      <c r="C16" s="572">
        <f t="shared" si="269"/>
        <v>1.3976799493540377</v>
      </c>
      <c r="D16" s="576">
        <f t="shared" si="269"/>
        <v>-6.8100205390219479E-2</v>
      </c>
      <c r="E16" s="580">
        <f t="shared" ref="E16:K16" si="270">R171</f>
        <v>-0.45738106556576502</v>
      </c>
      <c r="F16" s="572">
        <f t="shared" si="270"/>
        <v>0.85452478355268535</v>
      </c>
      <c r="G16" s="579">
        <f t="shared" si="270"/>
        <v>0.24615026946189161</v>
      </c>
      <c r="H16" s="580">
        <f t="shared" si="270"/>
        <v>0.3125</v>
      </c>
      <c r="I16" s="572">
        <f t="shared" si="270"/>
        <v>0.52</v>
      </c>
      <c r="J16" s="483">
        <f t="shared" si="94"/>
        <v>2.1110000000000002</v>
      </c>
      <c r="K16" s="806">
        <f t="shared" si="270"/>
        <v>1613</v>
      </c>
      <c r="L16" s="309"/>
      <c r="M16" s="164">
        <f t="shared" si="4"/>
        <v>2.1110000000000002</v>
      </c>
      <c r="N16" s="575">
        <f t="shared" si="5"/>
        <v>2.0514241924574272</v>
      </c>
      <c r="O16" s="572">
        <f t="shared" si="6"/>
        <v>1.3976799493540377</v>
      </c>
      <c r="P16" s="576">
        <f t="shared" si="7"/>
        <v>-6.8100205390219479E-2</v>
      </c>
      <c r="Q16" s="528">
        <f>IF(M16="","",IF(DEGREES(ATAN2(N16,O16))&lt;0,DEGREES(ATAN2(N16,O16))+360,IF(DEGREES(ATAN2(N16,O16))&gt;360,DEGREES(ATAN2(N16,O16))-360,DEGREES(ATAN2(N16,O16)))))</f>
        <v>34.267456069214695</v>
      </c>
      <c r="R16" s="572">
        <f t="shared" si="95"/>
        <v>2.4823074866393795</v>
      </c>
      <c r="S16" s="577">
        <f t="shared" si="96"/>
        <v>-6.8100205390219479E-2</v>
      </c>
      <c r="T16" s="578">
        <f t="shared" si="97"/>
        <v>1.4650807410896558</v>
      </c>
      <c r="U16" s="572">
        <f t="shared" si="98"/>
        <v>-2.0038435269037596</v>
      </c>
      <c r="V16" s="579">
        <f t="shared" si="145"/>
        <v>-6.8100205390219479E-2</v>
      </c>
      <c r="W16" s="528">
        <f>IF(M16="","",IF(Q16-$Q$8&lt;0,360+Q16-$Q$8,Q16-$Q$8))</f>
        <v>306.17185579425336</v>
      </c>
      <c r="X16" s="572">
        <f t="shared" si="99"/>
        <v>2.4823074866393795</v>
      </c>
      <c r="Y16" s="573">
        <f t="shared" ref="Y16:Y75" si="271">IF(M16="","",S16)</f>
        <v>-6.8100205390219479E-2</v>
      </c>
      <c r="Z16" s="575">
        <f t="shared" si="10"/>
        <v>0.45738106556576502</v>
      </c>
      <c r="AA16" s="572">
        <f t="shared" si="11"/>
        <v>-0.85452478355268535</v>
      </c>
      <c r="AB16" s="572">
        <f t="shared" si="12"/>
        <v>-0.24615026946189161</v>
      </c>
      <c r="AC16" s="579">
        <f t="shared" si="100"/>
        <v>1</v>
      </c>
      <c r="AD16" s="580">
        <f t="shared" si="146"/>
        <v>0.45738106556576502</v>
      </c>
      <c r="AE16" s="572">
        <f t="shared" si="101"/>
        <v>-0.85452478355268535</v>
      </c>
      <c r="AF16" s="576">
        <f t="shared" si="102"/>
        <v>-0.24615026946189161</v>
      </c>
      <c r="AG16" s="545">
        <f t="shared" si="103"/>
        <v>-73.930681368545422</v>
      </c>
      <c r="AH16" s="546">
        <f t="shared" si="104"/>
        <v>62.781758859508216</v>
      </c>
      <c r="AI16" s="528">
        <f t="shared" si="105"/>
        <v>-75.750178737144708</v>
      </c>
      <c r="AJ16" s="529">
        <f t="shared" si="106"/>
        <v>28.157743193458007</v>
      </c>
      <c r="AK16" s="578">
        <f t="shared" si="247"/>
        <v>0.96372636003632195</v>
      </c>
      <c r="AL16" s="572">
        <f t="shared" si="107"/>
        <v>-0.1031578781042925</v>
      </c>
      <c r="AM16" s="577">
        <f t="shared" si="108"/>
        <v>-0.24615026946189161</v>
      </c>
      <c r="AN16" s="524">
        <f t="shared" si="109"/>
        <v>-22.737825210823324</v>
      </c>
      <c r="AO16" s="525">
        <f t="shared" si="110"/>
        <v>15.479424299784471</v>
      </c>
      <c r="AP16" s="528">
        <f t="shared" si="111"/>
        <v>-6.1097128757566264</v>
      </c>
      <c r="AQ16" s="529">
        <f t="shared" si="13"/>
        <v>0.91831146362173421</v>
      </c>
      <c r="AR16" s="979"/>
      <c r="AS16" s="954">
        <f t="shared" si="147"/>
        <v>-53.828144205746639</v>
      </c>
      <c r="AT16" s="950">
        <f t="shared" si="14"/>
        <v>-2.9397049882729655E-2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2.1110000000000002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11</v>
      </c>
      <c r="JN16" s="960">
        <f>($JO16-SMALL($JO$9:$JO$88,1))/((Settings!$C$19/2)-((Settings!$C$19/2)-LARGE($JO$9:$JO$88,1))-SMALL($JO$9:$JO$88,1))</f>
        <v>0.64049799808733732</v>
      </c>
      <c r="JO16" s="162">
        <f t="shared" si="134"/>
        <v>2.4823074866393795</v>
      </c>
      <c r="JP16" s="961">
        <f t="shared" si="135"/>
        <v>-22.737825210823324</v>
      </c>
      <c r="JQ16" s="961">
        <f t="shared" si="136"/>
        <v>15.479424299784471</v>
      </c>
      <c r="JS16" s="82">
        <v>8</v>
      </c>
      <c r="JT16" s="322">
        <f t="shared" si="137"/>
        <v>2.0676062359004082</v>
      </c>
      <c r="JU16" s="963">
        <f t="shared" si="138"/>
        <v>0.51632103698083054</v>
      </c>
      <c r="JV16" s="964">
        <v>3</v>
      </c>
      <c r="JW16" s="961">
        <f t="shared" si="92"/>
        <v>15.151269737293214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2.6694446819093658</v>
      </c>
      <c r="C17" s="572">
        <f t="shared" si="272"/>
        <v>1.7497753518752186</v>
      </c>
      <c r="D17" s="576">
        <f t="shared" si="272"/>
        <v>-0.42990129658231024</v>
      </c>
      <c r="E17" s="580">
        <f t="shared" ref="E17:K17" si="273">R172</f>
        <v>-0.3231676598910162</v>
      </c>
      <c r="F17" s="572">
        <f t="shared" si="273"/>
        <v>0.92946862836612276</v>
      </c>
      <c r="G17" s="579">
        <f t="shared" si="273"/>
        <v>0.17790652737817927</v>
      </c>
      <c r="H17" s="580">
        <f t="shared" si="273"/>
        <v>0.3125</v>
      </c>
      <c r="I17" s="572">
        <f t="shared" si="273"/>
        <v>0.52</v>
      </c>
      <c r="J17" s="483">
        <f t="shared" si="94"/>
        <v>2.117</v>
      </c>
      <c r="K17" s="806">
        <f t="shared" si="273"/>
        <v>1613</v>
      </c>
      <c r="M17" s="164">
        <f t="shared" si="4"/>
        <v>2.117</v>
      </c>
      <c r="N17" s="575">
        <f t="shared" si="5"/>
        <v>2.6694446819093658</v>
      </c>
      <c r="O17" s="572">
        <f t="shared" si="6"/>
        <v>1.7497753518752186</v>
      </c>
      <c r="P17" s="576">
        <f t="shared" si="7"/>
        <v>-0.42990129658231024</v>
      </c>
      <c r="Q17" s="528">
        <f>IF(M17="","",IF(DEGREES(ATAN2(N17,O17))&lt;0,DEGREES(ATAN2(N17,O17))+360,IF(DEGREES(ATAN2(N17,O17))&gt;360,DEGREES(ATAN2(N17,O17))-360,DEGREES(ATAN2(N17,O17)))))</f>
        <v>33.24415621696091</v>
      </c>
      <c r="R17" s="572">
        <f>IF(M17="","",SQRT(N17^2+O17^2))</f>
        <v>3.1918096264978337</v>
      </c>
      <c r="S17" s="577">
        <f>IF(M17="","",P17)</f>
        <v>-0.42990129658231024</v>
      </c>
      <c r="T17" s="578">
        <f>IF(M17="","",X17*COS(RADIANS(W17)))</f>
        <v>1.8375196807319327</v>
      </c>
      <c r="U17" s="572">
        <f>IF(M17="","",X17*SIN(RADIANS(W17)))</f>
        <v>-2.6098218549791969</v>
      </c>
      <c r="V17" s="579">
        <f>IF(M17="","",Y17)</f>
        <v>-0.42990129658231024</v>
      </c>
      <c r="W17" s="528">
        <f t="shared" si="268"/>
        <v>305.14855594199958</v>
      </c>
      <c r="X17" s="572">
        <f>IF(M17="","",R17)</f>
        <v>3.1918096264978337</v>
      </c>
      <c r="Y17" s="573">
        <f t="shared" si="271"/>
        <v>-0.42990129658231024</v>
      </c>
      <c r="Z17" s="575">
        <f t="shared" si="10"/>
        <v>0.3231676598910162</v>
      </c>
      <c r="AA17" s="572">
        <f t="shared" si="11"/>
        <v>-0.92946862836612276</v>
      </c>
      <c r="AB17" s="572">
        <f t="shared" si="12"/>
        <v>-0.17790652737817927</v>
      </c>
      <c r="AC17" s="579">
        <f>IF(M17="","",SQRT(Z17^2+AA17^2+AB17^2))</f>
        <v>1</v>
      </c>
      <c r="AD17" s="580">
        <f>IF(M17="","",Z17*(1/SQRT(Z17^2+AA17^2+AB17^2)))</f>
        <v>0.3231676598910162</v>
      </c>
      <c r="AE17" s="572">
        <f>IF(M17="","",AA17*(1/SQRT(Z17^2+AA17^2+AB17^2)))</f>
        <v>-0.92946862836612276</v>
      </c>
      <c r="AF17" s="576">
        <f>IF(M17="","",AB17*(1/SQRT(Z17^2+AA17^2+AB17^2)))</f>
        <v>-0.17790652737817927</v>
      </c>
      <c r="AG17" s="545">
        <f>IF(M17="","",DEGREES(ATAN2(-AF17,AE17)))</f>
        <v>-79.164262992525011</v>
      </c>
      <c r="AH17" s="546">
        <f>IF(M17="","",DEGREES(ACOS(AD17)))</f>
        <v>71.145399883288093</v>
      </c>
      <c r="AI17" s="528">
        <f>IF(M17="","",DEGREES(-ACOS(-AF17)))</f>
        <v>-79.752155371661644</v>
      </c>
      <c r="AJ17" s="529">
        <f>IF(M17="","",DEGREES(ATAN2(-AE17,AD17)))</f>
        <v>19.172091227644252</v>
      </c>
      <c r="AK17" s="578">
        <f>IF(M17="","",(COS(RADIANS((90-$Q$8)-W17))*AD17)+(-SIN(RADIANS((90-$Q$8)-W17))*AE17))</f>
        <v>0.95451679432927528</v>
      </c>
      <c r="AL17" s="572">
        <f>IF(M17="","",(SIN(RADIANS((90-$Q$8)-W17))*AD17)+(COS(RADIANS((90-$Q$8)-W17))*AE17))</f>
        <v>-0.23926336296976419</v>
      </c>
      <c r="AM17" s="577">
        <f>IF(M17="","",AF17)</f>
        <v>-0.17790652737817927</v>
      </c>
      <c r="AN17" s="524">
        <f>IF(M17="","",DEGREES(ATAN2(-AM17,AL17)))</f>
        <v>-53.367004943464863</v>
      </c>
      <c r="AO17" s="525">
        <f t="shared" si="110"/>
        <v>17.346951180278374</v>
      </c>
      <c r="AP17" s="528">
        <f>IF(M17="","",DEGREES(ATAN2(AK17,AL17)))</f>
        <v>-14.072064989316607</v>
      </c>
      <c r="AQ17" s="529">
        <f t="shared" si="13"/>
        <v>0.71420567676525104</v>
      </c>
      <c r="AR17" s="979"/>
      <c r="AS17" s="954">
        <f t="shared" si="147"/>
        <v>-54.851444058000425</v>
      </c>
      <c r="AT17" s="950">
        <f t="shared" si="14"/>
        <v>-0.39048751617742194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2.117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17</v>
      </c>
      <c r="JN17" s="960">
        <f>($JO17-SMALL($JO$9:$JO$88,1))/((Settings!$C$19/2)-((Settings!$C$19/2)-LARGE($JO$9:$JO$88,1))-SMALL($JO$9:$JO$88,1))</f>
        <v>0.8529492975931654</v>
      </c>
      <c r="JO17" s="162">
        <f t="shared" si="134"/>
        <v>3.1918096264978337</v>
      </c>
      <c r="JP17" s="961">
        <f t="shared" si="135"/>
        <v>-53.367004943464863</v>
      </c>
      <c r="JQ17" s="961">
        <f t="shared" si="136"/>
        <v>17.346951180278374</v>
      </c>
      <c r="JS17" s="82">
        <v>9</v>
      </c>
      <c r="JT17" s="322">
        <f t="shared" si="137"/>
        <v>2.206006653316066</v>
      </c>
      <c r="JU17" s="963">
        <f t="shared" si="138"/>
        <v>0.55776326369204454</v>
      </c>
      <c r="JV17" s="964">
        <v>3</v>
      </c>
      <c r="JW17" s="961">
        <f t="shared" si="92"/>
        <v>15.240774905545788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3.0324074310156819</v>
      </c>
      <c r="C18" s="572">
        <f t="shared" si="274"/>
        <v>1.9376545736027169</v>
      </c>
      <c r="D18" s="576">
        <f t="shared" si="274"/>
        <v>-1.0918032928787311</v>
      </c>
      <c r="E18" s="580">
        <f>R173</f>
        <v>-0.14354467408112528</v>
      </c>
      <c r="F18" s="572">
        <f t="shared" ref="F18:K18" si="275">S173</f>
        <v>0.9805682132211786</v>
      </c>
      <c r="G18" s="579">
        <f t="shared" si="275"/>
        <v>0.13371950404921776</v>
      </c>
      <c r="H18" s="580">
        <f t="shared" si="275"/>
        <v>0.3125</v>
      </c>
      <c r="I18" s="572">
        <f t="shared" si="275"/>
        <v>0.52</v>
      </c>
      <c r="J18" s="483">
        <f t="shared" si="94"/>
        <v>2.1230000000000002</v>
      </c>
      <c r="K18" s="806">
        <f t="shared" si="275"/>
        <v>1613</v>
      </c>
      <c r="L18" s="720" t="s">
        <v>322</v>
      </c>
      <c r="M18" s="164">
        <f t="shared" si="4"/>
        <v>2.1230000000000002</v>
      </c>
      <c r="N18" s="575">
        <f t="shared" si="5"/>
        <v>3.0324074310156819</v>
      </c>
      <c r="O18" s="572">
        <f t="shared" si="6"/>
        <v>1.9376545736027169</v>
      </c>
      <c r="P18" s="576">
        <f t="shared" si="7"/>
        <v>-1.0918032928787311</v>
      </c>
      <c r="Q18" s="528">
        <f t="shared" si="144"/>
        <v>32.577856313162712</v>
      </c>
      <c r="R18" s="572">
        <f>IF(M18="","",SQRT(N18^2+O18^2))</f>
        <v>3.5986108534103343</v>
      </c>
      <c r="S18" s="577">
        <f>IF(M18="","",P18)</f>
        <v>-1.0918032928787311</v>
      </c>
      <c r="T18" s="578">
        <f>IF(M18="","",X18*COS(RADIANS(W18)))</f>
        <v>2.0373570817012046</v>
      </c>
      <c r="U18" s="572">
        <f>IF(M18="","",X18*SIN(RADIANS(W18)))</f>
        <v>-2.9663405394399014</v>
      </c>
      <c r="V18" s="579">
        <f>IF(M18="","",Y18)</f>
        <v>-1.0918032928787311</v>
      </c>
      <c r="W18" s="528">
        <f t="shared" si="268"/>
        <v>304.4822560382014</v>
      </c>
      <c r="X18" s="572">
        <f>IF(M18="","",R18)</f>
        <v>3.5986108534103343</v>
      </c>
      <c r="Y18" s="573">
        <f t="shared" si="271"/>
        <v>-1.0918032928787311</v>
      </c>
      <c r="Z18" s="575">
        <f t="shared" si="10"/>
        <v>0.14354467408112528</v>
      </c>
      <c r="AA18" s="572">
        <f t="shared" si="11"/>
        <v>-0.9805682132211786</v>
      </c>
      <c r="AB18" s="572">
        <f t="shared" si="12"/>
        <v>-0.13371950404921776</v>
      </c>
      <c r="AC18" s="579">
        <f>IF(M18="","",SQRT(Z18^2+AA18^2+AB18^2))</f>
        <v>1</v>
      </c>
      <c r="AD18" s="580">
        <f>IF(M18="","",Z18*(1/SQRT(Z18^2+AA18^2+AB18^2)))</f>
        <v>0.14354467408112528</v>
      </c>
      <c r="AE18" s="572">
        <f>IF(M18="","",AA18*(1/SQRT(Z18^2+AA18^2+AB18^2)))</f>
        <v>-0.9805682132211786</v>
      </c>
      <c r="AF18" s="576">
        <f>IF(M18="","",AB18*(1/SQRT(Z18^2+AA18^2+AB18^2)))</f>
        <v>-0.13371950404921776</v>
      </c>
      <c r="AG18" s="545">
        <f>IF(M18="","",DEGREES(ATAN2(-AF18,AE18)))</f>
        <v>-82.234509482754504</v>
      </c>
      <c r="AH18" s="546">
        <f>IF(M18="","",DEGREES(ACOS(AD18)))</f>
        <v>81.746986437363859</v>
      </c>
      <c r="AI18" s="528">
        <f>IF(M18="","",DEGREES(-ACOS(-AF18)))</f>
        <v>-82.315418464356256</v>
      </c>
      <c r="AJ18" s="529">
        <f>IF(M18="","",DEGREES(ATAN2(-AE18,AD18)))</f>
        <v>8.3283325212780408</v>
      </c>
      <c r="AK18" s="578">
        <f>IF(M18="","",(COS(RADIANS((90-$Q$8)-W18))*AD18)+(-SIN(RADIANS((90-$Q$8)-W18))*AE18))</f>
        <v>0.90357709213203097</v>
      </c>
      <c r="AL18" s="572">
        <f>IF(M18="","",(SIN(RADIANS((90-$Q$8)-W18))*AD18)+(COS(RADIANS((90-$Q$8)-W18))*AE18))</f>
        <v>-0.40702276694437417</v>
      </c>
      <c r="AM18" s="577">
        <f>IF(M18="","",AF18)</f>
        <v>-0.13371950404921776</v>
      </c>
      <c r="AN18" s="524">
        <f>IF(M18="","",DEGREES(ATAN2(-AM18,AL18)))</f>
        <v>-71.813056768957793</v>
      </c>
      <c r="AO18" s="525">
        <f t="shared" si="110"/>
        <v>25.36768203221904</v>
      </c>
      <c r="AP18" s="528">
        <f>IF(M18="","",DEGREES(ATAN2(AK18,AL18)))</f>
        <v>-24.249523791884631</v>
      </c>
      <c r="AQ18" s="529">
        <f t="shared" si="13"/>
        <v>0.63347603628615479</v>
      </c>
      <c r="AR18" s="979"/>
      <c r="AS18" s="954">
        <f t="shared" si="147"/>
        <v>-55.517743961798601</v>
      </c>
      <c r="AT18" s="950">
        <f t="shared" si="14"/>
        <v>-1.0519268042073164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2.1230000000000002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23</v>
      </c>
      <c r="JN18" s="960">
        <f>($JO18-SMALL($JO$9:$JO$88,1))/((Settings!$C$19/2)-((Settings!$C$19/2)-LARGE($JO$9:$JO$88,1))-SMALL($JO$9:$JO$88,1))</f>
        <v>0.97476069807092558</v>
      </c>
      <c r="JO18" s="162">
        <f t="shared" si="134"/>
        <v>3.5986108534103343</v>
      </c>
      <c r="JP18" s="961">
        <f t="shared" si="135"/>
        <v>-71.813056768957793</v>
      </c>
      <c r="JQ18" s="961">
        <f t="shared" si="136"/>
        <v>25.36768203221904</v>
      </c>
      <c r="JS18" s="82">
        <v>10</v>
      </c>
      <c r="JT18" s="322">
        <f t="shared" si="137"/>
        <v>2.3447070716365284</v>
      </c>
      <c r="JU18" s="963">
        <f t="shared" si="138"/>
        <v>0.59929532181954059</v>
      </c>
      <c r="JV18" s="964">
        <v>3</v>
      </c>
      <c r="JW18" s="961">
        <f t="shared" si="92"/>
        <v>15.350715017630936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3.108370775579655</v>
      </c>
      <c r="C19" s="572">
        <f t="shared" si="276"/>
        <v>1.9752932773444885</v>
      </c>
      <c r="D19" s="576">
        <f t="shared" si="276"/>
        <v>-1.8859999999999997</v>
      </c>
      <c r="E19" s="580">
        <f t="shared" ref="E19:K19" si="277">R174</f>
        <v>-4.2485207395031144E-2</v>
      </c>
      <c r="F19" s="572">
        <f t="shared" si="277"/>
        <v>0.99909709595844021</v>
      </c>
      <c r="G19" s="579">
        <f t="shared" si="277"/>
        <v>1.1339744825155341E-7</v>
      </c>
      <c r="H19" s="580">
        <f t="shared" si="277"/>
        <v>0.3125</v>
      </c>
      <c r="I19" s="572">
        <f t="shared" si="277"/>
        <v>0.52</v>
      </c>
      <c r="J19" s="483">
        <f t="shared" si="94"/>
        <v>2.129</v>
      </c>
      <c r="K19" s="806">
        <f t="shared" si="277"/>
        <v>1613</v>
      </c>
      <c r="L19" s="718" t="s">
        <v>357</v>
      </c>
      <c r="M19" s="164">
        <f t="shared" si="4"/>
        <v>2.129</v>
      </c>
      <c r="N19" s="575">
        <f t="shared" si="5"/>
        <v>3.108370775579655</v>
      </c>
      <c r="O19" s="572">
        <f t="shared" si="6"/>
        <v>1.9752932773444885</v>
      </c>
      <c r="P19" s="576">
        <f t="shared" si="7"/>
        <v>-1.8859999999999997</v>
      </c>
      <c r="Q19" s="528">
        <f t="shared" si="144"/>
        <v>32.43495596345479</v>
      </c>
      <c r="R19" s="572">
        <f>IF(M19="","",SQRT(N19^2+O19^2))</f>
        <v>3.6828999999999996</v>
      </c>
      <c r="S19" s="577">
        <f>IF(M19="","",P19)</f>
        <v>-1.8859999999999997</v>
      </c>
      <c r="T19" s="578">
        <f>IF(M19="","",X19*COS(RADIANS(W19)))</f>
        <v>2.0774994045726567</v>
      </c>
      <c r="U19" s="572">
        <f>IF(M19="","",X19*SIN(RADIANS(W19)))</f>
        <v>-3.0410111203348555</v>
      </c>
      <c r="V19" s="579">
        <f>IF(M19="","",Y19)</f>
        <v>-1.8859999999999997</v>
      </c>
      <c r="W19" s="528">
        <f t="shared" si="268"/>
        <v>304.33935568849347</v>
      </c>
      <c r="X19" s="572">
        <f>IF(M19="","",R19)</f>
        <v>3.6828999999999996</v>
      </c>
      <c r="Y19" s="573">
        <f t="shared" si="271"/>
        <v>-1.8859999999999997</v>
      </c>
      <c r="Z19" s="575">
        <f t="shared" si="10"/>
        <v>4.2485207395031144E-2</v>
      </c>
      <c r="AA19" s="572">
        <f t="shared" si="11"/>
        <v>-0.99909709595844021</v>
      </c>
      <c r="AB19" s="572">
        <f t="shared" si="12"/>
        <v>-1.1339744825155341E-7</v>
      </c>
      <c r="AC19" s="579">
        <f>IF(M19="","",SQRT(Z19^2+AA19^2+AB19^2))</f>
        <v>1</v>
      </c>
      <c r="AD19" s="580">
        <f>IF(M19="","",Z19*(1/SQRT(Z19^2+AA19^2+AB19^2)))</f>
        <v>4.2485207395031144E-2</v>
      </c>
      <c r="AE19" s="572">
        <f>IF(M19="","",AA19*(1/SQRT(Z19^2+AA19^2+AB19^2)))</f>
        <v>-0.99909709595844021</v>
      </c>
      <c r="AF19" s="576">
        <f>IF(M19="","",AB19*(1/SQRT(Z19^2+AA19^2+AB19^2)))</f>
        <v>-1.1339744825155341E-7</v>
      </c>
      <c r="AG19" s="545">
        <f>IF(M19="","",DEGREES(ATAN2(-AF19,AE19)))</f>
        <v>-89.999993496933172</v>
      </c>
      <c r="AH19" s="546">
        <f>IF(M19="","",DEGREES(ACOS(AD19)))</f>
        <v>87.565044036544577</v>
      </c>
      <c r="AI19" s="528">
        <f>IF(M19="","",DEGREES(-ACOS(-AF19)))</f>
        <v>-89.999993502804799</v>
      </c>
      <c r="AJ19" s="529">
        <f>IF(M19="","",DEGREES(ATAN2(-AE19,AD19)))</f>
        <v>2.4349559634554283</v>
      </c>
      <c r="AK19" s="578">
        <f>IF(M19="","",(COS(RADIANS((90-$Q$8)-W19))*AD19)+(-SIN(RADIANS((90-$Q$8)-W19))*AE19))</f>
        <v>0.86602540378443937</v>
      </c>
      <c r="AL19" s="572">
        <f>IF(M19="","",(SIN(RADIANS((90-$Q$8)-W19))*AD19)+(COS(RADIANS((90-$Q$8)-W19))*AE19))</f>
        <v>-0.49999999999998629</v>
      </c>
      <c r="AM19" s="577">
        <f>IF(M19="","",AF19)</f>
        <v>-1.1339744825155341E-7</v>
      </c>
      <c r="AN19" s="524">
        <f>IF(M19="","",DEGREES(ATAN2(-AM19,AL19)))</f>
        <v>-89.999987005609626</v>
      </c>
      <c r="AO19" s="525">
        <f t="shared" si="110"/>
        <v>29.999999999999915</v>
      </c>
      <c r="AP19" s="528">
        <f>IF(M19="","",DEGREES(ATAN2(AK19,AL19)))</f>
        <v>-29.999999999999297</v>
      </c>
      <c r="AQ19" s="529">
        <f t="shared" si="13"/>
        <v>0.61897904982222929</v>
      </c>
      <c r="AR19" s="979"/>
      <c r="AS19" s="954">
        <f t="shared" si="147"/>
        <v>-55.66064431150653</v>
      </c>
      <c r="AT19" s="950">
        <f t="shared" si="14"/>
        <v>-1.846024274974621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2.129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52" t="s">
        <v>356</v>
      </c>
      <c r="JE19" s="1353"/>
      <c r="JF19" s="1353"/>
      <c r="JG19" s="1353"/>
      <c r="JH19" s="1353"/>
      <c r="JI19" s="1353"/>
      <c r="JJ19" s="1353"/>
      <c r="JK19" s="1354"/>
      <c r="JM19" s="489">
        <f t="shared" si="133"/>
        <v>29</v>
      </c>
      <c r="JN19" s="960">
        <f>($JO19-SMALL($JO$9:$JO$88,1))/((Settings!$C$19/2)-((Settings!$C$19/2)-LARGE($JO$9:$JO$88,1))-SMALL($JO$9:$JO$88,1))</f>
        <v>0.99999999999999956</v>
      </c>
      <c r="JO19" s="162">
        <f t="shared" si="134"/>
        <v>3.6828999999999996</v>
      </c>
      <c r="JP19" s="961">
        <f t="shared" si="135"/>
        <v>-89.999987005609626</v>
      </c>
      <c r="JQ19" s="961">
        <f t="shared" si="136"/>
        <v>29.999999999999915</v>
      </c>
      <c r="JS19" s="82">
        <v>11</v>
      </c>
      <c r="JT19" s="322">
        <f t="shared" si="137"/>
        <v>2.4823074866393795</v>
      </c>
      <c r="JU19" s="963">
        <f t="shared" si="138"/>
        <v>0.64049799808733732</v>
      </c>
      <c r="JV19" s="964">
        <v>3</v>
      </c>
      <c r="JW19" s="961">
        <f t="shared" si="92"/>
        <v>15.479424299784471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0.71681113832379384</v>
      </c>
      <c r="C20" s="572">
        <f t="shared" si="278"/>
        <v>-0.41385168169306186</v>
      </c>
      <c r="D20" s="576">
        <f t="shared" si="278"/>
        <v>-0.36550110235132471</v>
      </c>
      <c r="E20" s="580">
        <f t="shared" ref="E20:K20" si="279">R175</f>
        <v>0.42495075868149668</v>
      </c>
      <c r="F20" s="572">
        <f t="shared" si="279"/>
        <v>0.87000969481008172</v>
      </c>
      <c r="G20" s="579">
        <f t="shared" si="279"/>
        <v>0.2499999672649757</v>
      </c>
      <c r="H20" s="580">
        <f t="shared" si="279"/>
        <v>0.3125</v>
      </c>
      <c r="I20" s="572">
        <f t="shared" si="279"/>
        <v>0.52</v>
      </c>
      <c r="J20" s="483">
        <f t="shared" si="94"/>
        <v>3.1030000000000002</v>
      </c>
      <c r="K20" s="806">
        <f t="shared" si="279"/>
        <v>1613</v>
      </c>
      <c r="L20" s="717" t="str">
        <f>IF($L19=$JJ$22,$JJ$30,IF($L19=$JK$22,$JK$30,""))</f>
        <v/>
      </c>
      <c r="M20" s="164">
        <f t="shared" si="4"/>
        <v>3.1030000000000002</v>
      </c>
      <c r="N20" s="575">
        <f t="shared" si="5"/>
        <v>0.71681113832379384</v>
      </c>
      <c r="O20" s="572">
        <f t="shared" si="6"/>
        <v>-0.41385168169306186</v>
      </c>
      <c r="P20" s="576">
        <f t="shared" si="7"/>
        <v>-0.36550110235132471</v>
      </c>
      <c r="Q20" s="528">
        <f t="shared" si="144"/>
        <v>329.99996534829228</v>
      </c>
      <c r="R20" s="572">
        <f>IF(M20="","",SQRT(N20^2+O20^2))</f>
        <v>0.8277024963507289</v>
      </c>
      <c r="S20" s="577">
        <f>IF(M20="","",P20)</f>
        <v>-0.36550110235132471</v>
      </c>
      <c r="T20" s="578">
        <f>IF(M20="","",X20*COS(RADIANS(W20)))</f>
        <v>-0.38980208322664467</v>
      </c>
      <c r="U20" s="572">
        <f>IF(M20="","",X20*SIN(RADIANS(W20)))</f>
        <v>-0.73016830825323853</v>
      </c>
      <c r="V20" s="579">
        <f>IF(M20="","",Y20)</f>
        <v>-0.36550110235132471</v>
      </c>
      <c r="W20" s="528">
        <f t="shared" si="268"/>
        <v>241.90436507333098</v>
      </c>
      <c r="X20" s="572">
        <f>IF(M20="","",R20)</f>
        <v>0.8277024963507289</v>
      </c>
      <c r="Y20" s="573">
        <f t="shared" si="271"/>
        <v>-0.36550110235132471</v>
      </c>
      <c r="Z20" s="575">
        <f t="shared" si="10"/>
        <v>-0.42495075868149668</v>
      </c>
      <c r="AA20" s="572">
        <f t="shared" si="11"/>
        <v>-0.87000969481008172</v>
      </c>
      <c r="AB20" s="572">
        <f t="shared" si="12"/>
        <v>-0.2499999672649757</v>
      </c>
      <c r="AC20" s="579">
        <f>IF(M20="","",SQRT(Z20^2+AA20^2+AB20^2))</f>
        <v>1</v>
      </c>
      <c r="AD20" s="580">
        <f>IF(M20="","",Z20*(1/SQRT(Z20^2+AA20^2+AB20^2)))</f>
        <v>-0.42495075868149668</v>
      </c>
      <c r="AE20" s="572">
        <f>IF(M20="","",AA20*(1/SQRT(Z20^2+AA20^2+AB20^2)))</f>
        <v>-0.87000969481008172</v>
      </c>
      <c r="AF20" s="576">
        <f>IF(M20="","",AB20*(1/SQRT(Z20^2+AA20^2+AB20^2)))</f>
        <v>-0.2499999672649757</v>
      </c>
      <c r="AG20" s="545">
        <f>IF(M20="","",DEGREES(ATAN2(-AF20,AE20)))</f>
        <v>-73.967832110835701</v>
      </c>
      <c r="AH20" s="546">
        <f>IF(M20="","",DEGREES(ACOS(AD20)))</f>
        <v>115.14754663787647</v>
      </c>
      <c r="AI20" s="528">
        <f>IF(M20="","",DEGREES(-ACOS(-AF20)))</f>
        <v>-75.522489751159455</v>
      </c>
      <c r="AJ20" s="529">
        <f>IF(M20="","",DEGREES(ATAN2(-AE20,AD20)))</f>
        <v>-26.032905006621167</v>
      </c>
      <c r="AK20" s="578">
        <f>IF(M20="","",(COS(RADIANS((90-$Q$8)-W20))*AD20)+(-SIN(RADIANS((90-$Q$8)-W20))*AE20))</f>
        <v>0.9659258360722075</v>
      </c>
      <c r="AL20" s="572">
        <f>IF(M20="","",(SIN(RADIANS((90-$Q$8)-W20))*AD20)+(COS(RADIANS((90-$Q$8)-W20))*AE20))</f>
        <v>6.6987279208207018E-2</v>
      </c>
      <c r="AM20" s="577">
        <f>IF(M20="","",AF20)</f>
        <v>-0.2499999672649757</v>
      </c>
      <c r="AN20" s="524">
        <f>IF(M20="","",DEGREES(ATAN2(-AM20,AL20)))</f>
        <v>14.999997834268227</v>
      </c>
      <c r="AO20" s="525">
        <f t="shared" si="110"/>
        <v>14.99999783426823</v>
      </c>
      <c r="AP20" s="528">
        <f>IF(M20="","",DEGREES(ATAN2(AK20,AL20)))</f>
        <v>3.9671296450865601</v>
      </c>
      <c r="AQ20" s="529">
        <f t="shared" si="13"/>
        <v>2.7521640170678858</v>
      </c>
      <c r="AR20" s="979"/>
      <c r="AS20" s="954">
        <f t="shared" si="147"/>
        <v>-118.09563492666902</v>
      </c>
      <c r="AT20" s="950">
        <f t="shared" si="14"/>
        <v>-0.28216774495430547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3.1030000000000002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55" t="s">
        <v>360</v>
      </c>
      <c r="JE20" s="1356"/>
      <c r="JF20" s="1356"/>
      <c r="JG20" s="1356"/>
      <c r="JH20" s="1153" t="s">
        <v>361</v>
      </c>
      <c r="JI20" s="1154"/>
      <c r="JJ20" s="1154"/>
      <c r="JK20" s="1155"/>
      <c r="JM20" s="489">
        <f t="shared" si="133"/>
        <v>3</v>
      </c>
      <c r="JN20" s="960">
        <f>($JO20-SMALL($JO$9:$JO$88,1))/((Settings!$C$19/2)-((Settings!$C$19/2)-LARGE($JO$9:$JO$88,1))-SMALL($JO$9:$JO$88,1))</f>
        <v>0.1450477934892502</v>
      </c>
      <c r="JO20" s="162">
        <f t="shared" si="134"/>
        <v>0.8277024963507289</v>
      </c>
      <c r="JP20" s="961">
        <f t="shared" si="135"/>
        <v>14.999997834268227</v>
      </c>
      <c r="JQ20" s="961">
        <f t="shared" si="136"/>
        <v>14.99999783426823</v>
      </c>
      <c r="JS20" s="82">
        <v>12</v>
      </c>
      <c r="JT20" s="322">
        <f t="shared" si="137"/>
        <v>2.6175078944038095</v>
      </c>
      <c r="JU20" s="963">
        <f t="shared" si="138"/>
        <v>0.68098202302488209</v>
      </c>
      <c r="JV20" s="964">
        <v>3</v>
      </c>
      <c r="JW20" s="961">
        <f t="shared" si="92"/>
        <v>15.624359248728833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1.3445946277171952</v>
      </c>
      <c r="C21" s="572">
        <f t="shared" si="281"/>
        <v>-0.77630315452053666</v>
      </c>
      <c r="D21" s="576">
        <f t="shared" si="281"/>
        <v>-0.17120051634075742</v>
      </c>
      <c r="E21" s="580">
        <f t="shared" ref="E21:K21" si="282">R176</f>
        <v>0.42495075868149673</v>
      </c>
      <c r="F21" s="572">
        <f t="shared" si="282"/>
        <v>0.87000969481008172</v>
      </c>
      <c r="G21" s="579">
        <f t="shared" si="282"/>
        <v>0.24999996726497573</v>
      </c>
      <c r="H21" s="580">
        <f t="shared" si="282"/>
        <v>0.3125</v>
      </c>
      <c r="I21" s="572">
        <f t="shared" si="282"/>
        <v>0.52</v>
      </c>
      <c r="J21" s="483">
        <f t="shared" si="94"/>
        <v>3.1059999999999999</v>
      </c>
      <c r="K21" s="806">
        <f t="shared" si="282"/>
        <v>1613</v>
      </c>
      <c r="L21" s="719" t="s">
        <v>358</v>
      </c>
      <c r="M21" s="164">
        <f t="shared" si="4"/>
        <v>3.1059999999999999</v>
      </c>
      <c r="N21" s="575">
        <f t="shared" si="5"/>
        <v>1.3445946277171952</v>
      </c>
      <c r="O21" s="572">
        <f t="shared" si="6"/>
        <v>-0.77630315452053666</v>
      </c>
      <c r="P21" s="576">
        <f t="shared" si="7"/>
        <v>-0.17120051634075742</v>
      </c>
      <c r="Q21" s="528">
        <f t="shared" si="144"/>
        <v>329.99996534829228</v>
      </c>
      <c r="R21" s="572">
        <f>IF(M21="","",SQRT(N21^2+O21^2))</f>
        <v>1.5526046826557232</v>
      </c>
      <c r="S21" s="577">
        <f>IF(M21="","",P21)</f>
        <v>-0.17120051634075742</v>
      </c>
      <c r="T21" s="578">
        <f>IF(M21="","",X21*COS(RADIANS(W21)))</f>
        <v>-0.73119090783821272</v>
      </c>
      <c r="U21" s="572">
        <f>IF(M21="","",X21*SIN(RADIANS(W21)))</f>
        <v>-1.3696500125576641</v>
      </c>
      <c r="V21" s="579">
        <f>IF(M21="","",Y21)</f>
        <v>-0.17120051634075742</v>
      </c>
      <c r="W21" s="528">
        <f t="shared" si="268"/>
        <v>241.90436507333098</v>
      </c>
      <c r="X21" s="572">
        <f>IF(M21="","",R21)</f>
        <v>1.5526046826557232</v>
      </c>
      <c r="Y21" s="573">
        <f t="shared" si="271"/>
        <v>-0.17120051634075742</v>
      </c>
      <c r="Z21" s="575">
        <f t="shared" si="10"/>
        <v>-0.42495075868149673</v>
      </c>
      <c r="AA21" s="572">
        <f t="shared" si="11"/>
        <v>-0.87000969481008172</v>
      </c>
      <c r="AB21" s="572">
        <f t="shared" si="12"/>
        <v>-0.24999996726497573</v>
      </c>
      <c r="AC21" s="579">
        <f>IF(M21="","",SQRT(Z21^2+AA21^2+AB21^2))</f>
        <v>1</v>
      </c>
      <c r="AD21" s="580">
        <f>IF(M21="","",Z21*(1/SQRT(Z21^2+AA21^2+AB21^2)))</f>
        <v>-0.42495075868149673</v>
      </c>
      <c r="AE21" s="572">
        <f>IF(M21="","",AA21*(1/SQRT(Z21^2+AA21^2+AB21^2)))</f>
        <v>-0.87000969481008172</v>
      </c>
      <c r="AF21" s="576">
        <f>IF(M21="","",AB21*(1/SQRT(Z21^2+AA21^2+AB21^2)))</f>
        <v>-0.24999996726497573</v>
      </c>
      <c r="AG21" s="545">
        <f>IF(M21="","",DEGREES(ATAN2(-AF21,AE21)))</f>
        <v>-73.967832110835701</v>
      </c>
      <c r="AH21" s="546">
        <f>IF(M21="","",DEGREES(ACOS(AD21)))</f>
        <v>115.14754663787647</v>
      </c>
      <c r="AI21" s="528">
        <f>IF(M21="","",DEGREES(-ACOS(-AF21)))</f>
        <v>-75.522489751159455</v>
      </c>
      <c r="AJ21" s="529">
        <f>IF(M21="","",DEGREES(ATAN2(-AE21,AD21)))</f>
        <v>-26.032905006621167</v>
      </c>
      <c r="AK21" s="578">
        <f>IF(M21="","",(COS(RADIANS((90-$Q$8)-W21))*AD21)+(-SIN(RADIANS((90-$Q$8)-W21))*AE21))</f>
        <v>0.9659258360722075</v>
      </c>
      <c r="AL21" s="572">
        <f>IF(M21="","",(SIN(RADIANS((90-$Q$8)-W21))*AD21)+(COS(RADIANS((90-$Q$8)-W21))*AE21))</f>
        <v>6.6987279208206962E-2</v>
      </c>
      <c r="AM21" s="577">
        <f>IF(M21="","",AF21)</f>
        <v>-0.24999996726497573</v>
      </c>
      <c r="AN21" s="524">
        <f>IF(M21="","",DEGREES(ATAN2(-AM21,AL21)))</f>
        <v>14.999997834268214</v>
      </c>
      <c r="AO21" s="525">
        <f>IF(ROUND(IF(M21="",0,DEGREES(ACOS(AK21))),4)=90,0,IF(M21="","",DEGREES(ACOS(AK21))))</f>
        <v>14.99999783426823</v>
      </c>
      <c r="AP21" s="528">
        <f>IF(M21="","",DEGREES(ATAN2(AK21,AL21)))</f>
        <v>3.967129645086557</v>
      </c>
      <c r="AQ21" s="529">
        <f t="shared" si="13"/>
        <v>1.4680026317350765</v>
      </c>
      <c r="AR21" s="979"/>
      <c r="AS21" s="954">
        <f t="shared" si="147"/>
        <v>-118.09563492666902</v>
      </c>
      <c r="AT21" s="950">
        <f t="shared" si="14"/>
        <v>-8.7867158943738172E-2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3.1059999999999999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9"/>
      <c r="JE21" s="1220"/>
      <c r="JF21" s="1220"/>
      <c r="JG21" s="1220"/>
      <c r="JH21" s="1156" t="s">
        <v>349</v>
      </c>
      <c r="JI21" s="1157"/>
      <c r="JJ21" s="1357" t="s">
        <v>362</v>
      </c>
      <c r="JK21" s="1358"/>
      <c r="JM21" s="489">
        <f t="shared" si="133"/>
        <v>6</v>
      </c>
      <c r="JN21" s="960">
        <f>($JO21-SMALL($JO$9:$JO$88,1))/((Settings!$C$19/2)-((Settings!$C$19/2)-LARGE($JO$9:$JO$88,1))-SMALL($JO$9:$JO$88,1))</f>
        <v>0.36211043903086365</v>
      </c>
      <c r="JO21" s="162">
        <f t="shared" si="134"/>
        <v>1.5526046826557232</v>
      </c>
      <c r="JP21" s="961">
        <f t="shared" si="135"/>
        <v>14.999997834268214</v>
      </c>
      <c r="JQ21" s="961">
        <f t="shared" si="136"/>
        <v>14.99999783426823</v>
      </c>
      <c r="JS21" s="82">
        <v>13</v>
      </c>
      <c r="JT21" s="322">
        <f t="shared" si="137"/>
        <v>2.744008275928961</v>
      </c>
      <c r="JU21" s="963">
        <f t="shared" si="138"/>
        <v>0.71886093689026254</v>
      </c>
      <c r="JV21" s="964">
        <v>3</v>
      </c>
      <c r="JW21" s="961">
        <f t="shared" si="92"/>
        <v>15.776324505550736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2.0189159216161943</v>
      </c>
      <c r="C22" s="572">
        <f t="shared" si="283"/>
        <v>-1.1923211619471397</v>
      </c>
      <c r="D22" s="576">
        <f t="shared" si="283"/>
        <v>-4.8800147181244043E-2</v>
      </c>
      <c r="E22" s="580">
        <f t="shared" ref="E22:K22" si="284">R177</f>
        <v>0.55649234719154617</v>
      </c>
      <c r="F22" s="572">
        <f t="shared" si="284"/>
        <v>0.79128528929704511</v>
      </c>
      <c r="G22" s="579">
        <f t="shared" si="284"/>
        <v>0.25334533439425205</v>
      </c>
      <c r="H22" s="580">
        <f t="shared" si="284"/>
        <v>0.3125</v>
      </c>
      <c r="I22" s="572">
        <f t="shared" si="284"/>
        <v>0.52</v>
      </c>
      <c r="J22" s="483">
        <f t="shared" si="94"/>
        <v>3.11</v>
      </c>
      <c r="K22" s="806">
        <f t="shared" si="284"/>
        <v>1613</v>
      </c>
      <c r="L22" s="814" t="str">
        <f>IF($L21=$JJ$22,$JJ$30,IF($L21=$JK$22,$JK$30,""))</f>
        <v/>
      </c>
      <c r="M22" s="164">
        <f t="shared" si="4"/>
        <v>3.11</v>
      </c>
      <c r="N22" s="575">
        <f t="shared" si="5"/>
        <v>2.0189159216161943</v>
      </c>
      <c r="O22" s="572">
        <f t="shared" si="6"/>
        <v>-1.1923211619471397</v>
      </c>
      <c r="P22" s="576">
        <f t="shared" si="7"/>
        <v>-4.8800147181244043E-2</v>
      </c>
      <c r="Q22" s="528">
        <f t="shared" si="144"/>
        <v>329.43496542986816</v>
      </c>
      <c r="R22" s="572">
        <f t="shared" si="95"/>
        <v>2.3447070716365284</v>
      </c>
      <c r="S22" s="577">
        <f t="shared" si="96"/>
        <v>-4.8800147181244043E-2</v>
      </c>
      <c r="T22" s="578">
        <f t="shared" si="97"/>
        <v>-1.1245701396207728</v>
      </c>
      <c r="U22" s="572">
        <f t="shared" si="98"/>
        <v>-2.0574239361044819</v>
      </c>
      <c r="V22" s="579">
        <f t="shared" si="145"/>
        <v>-4.8800147181244043E-2</v>
      </c>
      <c r="W22" s="528">
        <f t="shared" si="268"/>
        <v>241.33936515490686</v>
      </c>
      <c r="X22" s="572">
        <f t="shared" si="99"/>
        <v>2.3447070716365284</v>
      </c>
      <c r="Y22" s="573">
        <f t="shared" si="271"/>
        <v>-4.8800147181244043E-2</v>
      </c>
      <c r="Z22" s="575">
        <f t="shared" si="10"/>
        <v>-0.55649234719154617</v>
      </c>
      <c r="AA22" s="572">
        <f t="shared" si="11"/>
        <v>-0.79128528929704511</v>
      </c>
      <c r="AB22" s="572">
        <f t="shared" si="12"/>
        <v>-0.25334533439425205</v>
      </c>
      <c r="AC22" s="579">
        <f t="shared" si="100"/>
        <v>1</v>
      </c>
      <c r="AD22" s="580">
        <f t="shared" si="146"/>
        <v>-0.55649234719154617</v>
      </c>
      <c r="AE22" s="572">
        <f t="shared" si="101"/>
        <v>-0.79128528929704511</v>
      </c>
      <c r="AF22" s="576">
        <f t="shared" si="102"/>
        <v>-0.25334533439425205</v>
      </c>
      <c r="AG22" s="545">
        <f t="shared" si="103"/>
        <v>-72.246524592712944</v>
      </c>
      <c r="AH22" s="546">
        <f t="shared" si="104"/>
        <v>123.81356558334582</v>
      </c>
      <c r="AI22" s="528">
        <f t="shared" si="105"/>
        <v>-75.32443945896658</v>
      </c>
      <c r="AJ22" s="529">
        <f t="shared" si="106"/>
        <v>-35.117819312706956</v>
      </c>
      <c r="AK22" s="578">
        <f t="shared" si="247"/>
        <v>0.9643234749756836</v>
      </c>
      <c r="AL22" s="572">
        <f t="shared" si="107"/>
        <v>-7.6787871122247775E-2</v>
      </c>
      <c r="AM22" s="577">
        <f t="shared" si="108"/>
        <v>-0.25334533439425205</v>
      </c>
      <c r="AN22" s="524">
        <f t="shared" si="109"/>
        <v>-16.861828396216573</v>
      </c>
      <c r="AO22" s="525">
        <f t="shared" si="110"/>
        <v>15.350715017630936</v>
      </c>
      <c r="AP22" s="528">
        <f t="shared" si="111"/>
        <v>-4.5527847425751293</v>
      </c>
      <c r="AQ22" s="529">
        <f t="shared" si="13"/>
        <v>0.97219301654426749</v>
      </c>
      <c r="AR22" s="979"/>
      <c r="AS22" s="954">
        <f t="shared" si="147"/>
        <v>-118.66063484509314</v>
      </c>
      <c r="AT22" s="950">
        <f t="shared" si="14"/>
        <v>3.4925571270236412E-2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3.11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  <c r="JM22" s="489">
        <f t="shared" si="133"/>
        <v>10</v>
      </c>
      <c r="JN22" s="960">
        <f>($JO22-SMALL($JO$9:$JO$88,1))/((Settings!$C$19/2)-((Settings!$C$19/2)-LARGE($JO$9:$JO$88,1))-SMALL($JO$9:$JO$88,1))</f>
        <v>0.59929532181954059</v>
      </c>
      <c r="JO22" s="162">
        <f t="shared" si="134"/>
        <v>2.3447070716365284</v>
      </c>
      <c r="JP22" s="961">
        <f t="shared" si="135"/>
        <v>-16.861828396216573</v>
      </c>
      <c r="JQ22" s="961">
        <f t="shared" si="136"/>
        <v>15.350715017630936</v>
      </c>
      <c r="JS22" s="82">
        <v>14</v>
      </c>
      <c r="JT22" s="322">
        <f t="shared" si="137"/>
        <v>2.8656086426756664</v>
      </c>
      <c r="JU22" s="963">
        <f t="shared" si="138"/>
        <v>0.75527260428971077</v>
      </c>
      <c r="JV22" s="964">
        <v>1.5</v>
      </c>
      <c r="JW22" s="961">
        <f t="shared" si="92"/>
        <v>15.936778823704183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12.479446900677193</v>
      </c>
      <c r="KG22" s="966">
        <f t="shared" si="244"/>
        <v>-3.837426666666671</v>
      </c>
      <c r="KH22" s="966">
        <f t="shared" si="141"/>
        <v>-2.5205530993228074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2.6322658415244402</v>
      </c>
      <c r="C23" s="572">
        <f t="shared" si="285"/>
        <v>-1.6191992801553237</v>
      </c>
      <c r="D23" s="576">
        <f t="shared" si="285"/>
        <v>-0.34390103720552789</v>
      </c>
      <c r="E23" s="580">
        <f t="shared" ref="E23:K23" si="286">R178</f>
        <v>0.68506453352287056</v>
      </c>
      <c r="F23" s="572">
        <f t="shared" si="286"/>
        <v>0.70562861747327255</v>
      </c>
      <c r="G23" s="579">
        <f t="shared" si="286"/>
        <v>0.18103822555430096</v>
      </c>
      <c r="H23" s="580">
        <f t="shared" si="286"/>
        <v>0.3125</v>
      </c>
      <c r="I23" s="572">
        <f t="shared" si="286"/>
        <v>0.52</v>
      </c>
      <c r="J23" s="483">
        <f t="shared" si="94"/>
        <v>3.1160000000000001</v>
      </c>
      <c r="K23" s="806">
        <f t="shared" si="286"/>
        <v>1613</v>
      </c>
      <c r="M23" s="164">
        <f t="shared" si="4"/>
        <v>3.1160000000000001</v>
      </c>
      <c r="N23" s="575">
        <f t="shared" si="5"/>
        <v>2.6322658415244402</v>
      </c>
      <c r="O23" s="572">
        <f t="shared" si="6"/>
        <v>-1.6191992801553237</v>
      </c>
      <c r="P23" s="576">
        <f t="shared" si="7"/>
        <v>-0.34390103720552789</v>
      </c>
      <c r="Q23" s="528">
        <f t="shared" si="144"/>
        <v>328.40286557888493</v>
      </c>
      <c r="R23" s="572">
        <f t="shared" si="95"/>
        <v>3.0904093206745102</v>
      </c>
      <c r="S23" s="577">
        <f t="shared" si="96"/>
        <v>-0.34390103720552789</v>
      </c>
      <c r="T23" s="578">
        <f t="shared" si="97"/>
        <v>-1.5308296799615657</v>
      </c>
      <c r="U23" s="572">
        <f t="shared" si="98"/>
        <v>-2.6846210645565343</v>
      </c>
      <c r="V23" s="579">
        <f t="shared" si="145"/>
        <v>-0.34390103720552789</v>
      </c>
      <c r="W23" s="528">
        <f t="shared" si="268"/>
        <v>240.30726530392363</v>
      </c>
      <c r="X23" s="572">
        <f t="shared" si="99"/>
        <v>3.0904093206745102</v>
      </c>
      <c r="Y23" s="573">
        <f t="shared" si="271"/>
        <v>-0.34390103720552789</v>
      </c>
      <c r="Z23" s="575">
        <f t="shared" si="10"/>
        <v>-0.68506453352287056</v>
      </c>
      <c r="AA23" s="572">
        <f t="shared" si="11"/>
        <v>-0.70562861747327255</v>
      </c>
      <c r="AB23" s="572">
        <f t="shared" si="12"/>
        <v>-0.18103822555430096</v>
      </c>
      <c r="AC23" s="579">
        <f t="shared" si="100"/>
        <v>1</v>
      </c>
      <c r="AD23" s="580">
        <f t="shared" si="146"/>
        <v>-0.68506453352287056</v>
      </c>
      <c r="AE23" s="572">
        <f t="shared" si="101"/>
        <v>-0.70562861747327255</v>
      </c>
      <c r="AF23" s="576">
        <f t="shared" si="102"/>
        <v>-0.18103822555430096</v>
      </c>
      <c r="AG23" s="545">
        <f t="shared" si="103"/>
        <v>-75.610391705471315</v>
      </c>
      <c r="AH23" s="546">
        <f t="shared" si="104"/>
        <v>133.24068255585516</v>
      </c>
      <c r="AI23" s="528">
        <f t="shared" si="105"/>
        <v>-79.569760659593413</v>
      </c>
      <c r="AJ23" s="529">
        <f t="shared" si="106"/>
        <v>-44.152832991726939</v>
      </c>
      <c r="AK23" s="578">
        <f t="shared" si="247"/>
        <v>0.95995636767937431</v>
      </c>
      <c r="AL23" s="572">
        <f t="shared" si="107"/>
        <v>-0.21379647574263722</v>
      </c>
      <c r="AM23" s="577">
        <f t="shared" si="108"/>
        <v>-0.18103822555430096</v>
      </c>
      <c r="AN23" s="524">
        <f t="shared" si="109"/>
        <v>-49.742796391608287</v>
      </c>
      <c r="AO23" s="525">
        <f t="shared" si="110"/>
        <v>16.269130709601889</v>
      </c>
      <c r="AP23" s="528">
        <f t="shared" si="111"/>
        <v>-12.555698570611895</v>
      </c>
      <c r="AQ23" s="529">
        <f t="shared" si="13"/>
        <v>0.73763713572138301</v>
      </c>
      <c r="AR23" s="979"/>
      <c r="AS23" s="954">
        <f t="shared" si="147"/>
        <v>-119.69273469607637</v>
      </c>
      <c r="AT23" s="950">
        <f t="shared" si="14"/>
        <v>-0.2594585827464202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3.1160000000000001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42"/>
        <v/>
      </c>
      <c r="IN23" s="670" t="str">
        <f t="shared" si="81"/>
        <v/>
      </c>
      <c r="IO23" s="702">
        <v>3.83227788409349E-2</v>
      </c>
      <c r="IP23" s="5" t="str">
        <f t="shared" si="82"/>
        <v/>
      </c>
      <c r="IQ23" s="714">
        <v>420</v>
      </c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  <c r="JM23" s="489">
        <f t="shared" si="133"/>
        <v>16</v>
      </c>
      <c r="JN23" s="960">
        <f>($JO23-SMALL($JO$9:$JO$88,1))/((Settings!$C$19/2)-((Settings!$C$19/2)-LARGE($JO$9:$JO$88,1))-SMALL($JO$9:$JO$88,1))</f>
        <v>0.82258627889000657</v>
      </c>
      <c r="JO23" s="162">
        <f t="shared" si="134"/>
        <v>3.0904093206745102</v>
      </c>
      <c r="JP23" s="961">
        <f t="shared" si="135"/>
        <v>-49.742796391608287</v>
      </c>
      <c r="JQ23" s="961">
        <f t="shared" si="136"/>
        <v>16.269130709601889</v>
      </c>
      <c r="JS23" s="82">
        <v>15</v>
      </c>
      <c r="JT23" s="322">
        <f t="shared" si="137"/>
        <v>2.9816089925327214</v>
      </c>
      <c r="JU23" s="963">
        <f t="shared" si="138"/>
        <v>0.79000741858523715</v>
      </c>
      <c r="JV23" s="961">
        <f t="shared" ref="JV23:JV53" si="287">INDEX($JM$9:$JQ$88,MATCH($JS23,$JM$9:$JM$88,0),4)</f>
        <v>-44.547382226456122</v>
      </c>
      <c r="JW23" s="961">
        <f t="shared" si="92"/>
        <v>16.102520271270254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14.75235808436439</v>
      </c>
      <c r="KG23" s="966">
        <f t="shared" si="244"/>
        <v>-3.8120333333333321</v>
      </c>
      <c r="KH23" s="966">
        <f t="shared" si="141"/>
        <v>2.2729111836871976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3.0055073150410809</v>
      </c>
      <c r="C24" s="572">
        <f t="shared" si="288"/>
        <v>-1.9039283001938705</v>
      </c>
      <c r="D24" s="576">
        <f t="shared" si="288"/>
        <v>-0.9679029191952041</v>
      </c>
      <c r="E24" s="580">
        <f t="shared" ref="E24:K24" si="289">R179</f>
        <v>0.81200971565871882</v>
      </c>
      <c r="F24" s="572">
        <f t="shared" si="289"/>
        <v>0.56384671298431788</v>
      </c>
      <c r="G24" s="579">
        <f t="shared" si="289"/>
        <v>0.15072194907387221</v>
      </c>
      <c r="H24" s="580">
        <f t="shared" si="289"/>
        <v>0.3125</v>
      </c>
      <c r="I24" s="572">
        <f t="shared" si="289"/>
        <v>0.52</v>
      </c>
      <c r="J24" s="483">
        <f t="shared" si="94"/>
        <v>3.1219999999999999</v>
      </c>
      <c r="K24" s="806">
        <f t="shared" si="289"/>
        <v>1613</v>
      </c>
      <c r="L24" s="82"/>
      <c r="M24" s="164">
        <f t="shared" si="4"/>
        <v>3.1219999999999999</v>
      </c>
      <c r="N24" s="575">
        <f t="shared" si="5"/>
        <v>3.0055073150410809</v>
      </c>
      <c r="O24" s="572">
        <f t="shared" si="6"/>
        <v>-1.9039283001938705</v>
      </c>
      <c r="P24" s="576">
        <f t="shared" si="7"/>
        <v>-0.9679029191952041</v>
      </c>
      <c r="Q24" s="528">
        <f t="shared" si="144"/>
        <v>327.64656568808113</v>
      </c>
      <c r="R24" s="572">
        <f t="shared" si="95"/>
        <v>3.5578107303571627</v>
      </c>
      <c r="S24" s="577">
        <f t="shared" si="96"/>
        <v>-0.9679029191952041</v>
      </c>
      <c r="T24" s="578">
        <f t="shared" si="97"/>
        <v>-1.8029979018329136</v>
      </c>
      <c r="U24" s="572">
        <f t="shared" si="98"/>
        <v>-3.0671184781535059</v>
      </c>
      <c r="V24" s="579">
        <f t="shared" si="145"/>
        <v>-0.9679029191952041</v>
      </c>
      <c r="W24" s="528">
        <f t="shared" si="268"/>
        <v>239.55096541311983</v>
      </c>
      <c r="X24" s="572">
        <f t="shared" si="99"/>
        <v>3.5578107303571627</v>
      </c>
      <c r="Y24" s="573">
        <f t="shared" si="271"/>
        <v>-0.9679029191952041</v>
      </c>
      <c r="Z24" s="575">
        <f t="shared" si="10"/>
        <v>-0.81200971565871882</v>
      </c>
      <c r="AA24" s="572">
        <f t="shared" si="11"/>
        <v>-0.56384671298431788</v>
      </c>
      <c r="AB24" s="572">
        <f t="shared" si="12"/>
        <v>-0.15072194907387221</v>
      </c>
      <c r="AC24" s="579">
        <f t="shared" si="100"/>
        <v>1</v>
      </c>
      <c r="AD24" s="580">
        <f t="shared" si="146"/>
        <v>-0.81200971565871882</v>
      </c>
      <c r="AE24" s="572">
        <f t="shared" si="101"/>
        <v>-0.56384671298431788</v>
      </c>
      <c r="AF24" s="576">
        <f t="shared" si="102"/>
        <v>-0.15072194907387221</v>
      </c>
      <c r="AG24" s="545">
        <f t="shared" si="103"/>
        <v>-75.034167220019157</v>
      </c>
      <c r="AH24" s="546">
        <f t="shared" si="104"/>
        <v>144.29275338242627</v>
      </c>
      <c r="AI24" s="528">
        <f t="shared" si="105"/>
        <v>-81.331233129718228</v>
      </c>
      <c r="AJ24" s="529">
        <f t="shared" si="106"/>
        <v>-55.224497601009169</v>
      </c>
      <c r="AK24" s="578">
        <f>IF(M24="","",(COS(RADIANS((90-$Q$8)-W24))*AD24)+(-SIN(RADIANS((90-$Q$8)-W24))*AE24))</f>
        <v>0.91085612577989106</v>
      </c>
      <c r="AL24" s="572">
        <f t="shared" si="107"/>
        <v>-0.38421870360072313</v>
      </c>
      <c r="AM24" s="577">
        <f t="shared" si="108"/>
        <v>-0.15072194907387221</v>
      </c>
      <c r="AN24" s="524">
        <f t="shared" si="109"/>
        <v>-68.58083372486071</v>
      </c>
      <c r="AO24" s="525">
        <f t="shared" si="110"/>
        <v>24.376068843486443</v>
      </c>
      <c r="AP24" s="528">
        <f t="shared" si="111"/>
        <v>-22.871063289090255</v>
      </c>
      <c r="AQ24" s="529">
        <f t="shared" si="13"/>
        <v>0.64073998583246161</v>
      </c>
      <c r="AR24" s="979"/>
      <c r="AS24" s="954">
        <f t="shared" si="147"/>
        <v>-120.44903458688017</v>
      </c>
      <c r="AT24" s="950">
        <f t="shared" si="14"/>
        <v>-0.88293525647859372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3.1219999999999999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42"/>
        <v/>
      </c>
      <c r="IN24" s="670" t="str">
        <f t="shared" si="81"/>
        <v/>
      </c>
      <c r="IO24" s="702">
        <v>3.5763617828833902E-2</v>
      </c>
      <c r="IP24" s="5" t="str">
        <f t="shared" si="82"/>
        <v/>
      </c>
      <c r="IQ24" s="714">
        <v>500</v>
      </c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22</v>
      </c>
      <c r="JN24" s="960">
        <f>($JO24-SMALL($JO$9:$JO$88,1))/((Settings!$C$19/2)-((Settings!$C$19/2)-LARGE($JO$9:$JO$88,1))-SMALL($JO$9:$JO$88,1))</f>
        <v>0.96254362545663685</v>
      </c>
      <c r="JO24" s="162">
        <f t="shared" si="134"/>
        <v>3.5578107303571627</v>
      </c>
      <c r="JP24" s="961">
        <f t="shared" si="135"/>
        <v>-68.58083372486071</v>
      </c>
      <c r="JQ24" s="961">
        <f t="shared" si="136"/>
        <v>24.376068843486443</v>
      </c>
      <c r="JS24" s="82">
        <v>16</v>
      </c>
      <c r="JT24" s="322">
        <f t="shared" si="137"/>
        <v>3.0904093206745102</v>
      </c>
      <c r="JU24" s="963">
        <f t="shared" si="138"/>
        <v>0.82258627889000657</v>
      </c>
      <c r="JV24" s="961">
        <f t="shared" si="287"/>
        <v>-49.742796391608287</v>
      </c>
      <c r="JW24" s="961">
        <f>INDEX($JM$9:$JQ$88,MATCH($JS24,$JM$9:$JM$88,0),5)</f>
        <v>16.269130709601889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15.215442008080133</v>
      </c>
      <c r="KG24" s="966">
        <f t="shared" si="244"/>
        <v>-3.8247733333333382</v>
      </c>
      <c r="KH24" s="966">
        <f t="shared" si="141"/>
        <v>0.46308392371574314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3.1038782576603841</v>
      </c>
      <c r="C25" s="572">
        <f t="shared" si="290"/>
        <v>-1.9823451192017849</v>
      </c>
      <c r="D25" s="576">
        <f t="shared" si="290"/>
        <v>-1.7691000000000003</v>
      </c>
      <c r="E25" s="580">
        <f t="shared" ref="E25:K25" si="291">R180</f>
        <v>0.88753437810610902</v>
      </c>
      <c r="F25" s="572">
        <f t="shared" si="291"/>
        <v>0.46074149767498629</v>
      </c>
      <c r="G25" s="579">
        <f t="shared" si="291"/>
        <v>1.1339744830241558E-7</v>
      </c>
      <c r="H25" s="580">
        <f t="shared" si="291"/>
        <v>0.3125</v>
      </c>
      <c r="I25" s="572">
        <f t="shared" si="291"/>
        <v>0.52</v>
      </c>
      <c r="J25" s="483">
        <f t="shared" si="94"/>
        <v>3.1280000000000001</v>
      </c>
      <c r="K25" s="806">
        <f t="shared" si="291"/>
        <v>1613</v>
      </c>
      <c r="L25" s="82"/>
      <c r="M25" s="164">
        <f t="shared" si="4"/>
        <v>3.1280000000000001</v>
      </c>
      <c r="N25" s="575">
        <f t="shared" si="5"/>
        <v>3.1038782576603841</v>
      </c>
      <c r="O25" s="572">
        <f t="shared" si="6"/>
        <v>-1.9823451192017849</v>
      </c>
      <c r="P25" s="576">
        <f t="shared" si="7"/>
        <v>-1.7691000000000003</v>
      </c>
      <c r="Q25" s="528">
        <f t="shared" si="144"/>
        <v>327.43496534829228</v>
      </c>
      <c r="R25" s="572">
        <f>IF(M25="","",SQRT(N25^2+O25^2))</f>
        <v>3.6829000000000001</v>
      </c>
      <c r="S25" s="577">
        <f>IF(M25="","",P25)</f>
        <v>-1.7691000000000003</v>
      </c>
      <c r="T25" s="578">
        <f>IF(M25="","",X25*COS(RADIANS(W25)))</f>
        <v>-1.8781023527832721</v>
      </c>
      <c r="U25" s="572">
        <f>IF(M25="","",X25*SIN(RADIANS(W25)))</f>
        <v>-3.1680410291645433</v>
      </c>
      <c r="V25" s="579">
        <f>IF(M25="","",Y25)</f>
        <v>-1.7691000000000003</v>
      </c>
      <c r="W25" s="528">
        <f t="shared" si="268"/>
        <v>239.33936507333098</v>
      </c>
      <c r="X25" s="572">
        <f>IF(M25="","",R25)</f>
        <v>3.6829000000000001</v>
      </c>
      <c r="Y25" s="573">
        <f t="shared" si="271"/>
        <v>-1.7691000000000003</v>
      </c>
      <c r="Z25" s="575">
        <f t="shared" si="10"/>
        <v>-0.88753437810610902</v>
      </c>
      <c r="AA25" s="572">
        <f t="shared" si="11"/>
        <v>-0.46074149767498629</v>
      </c>
      <c r="AB25" s="572">
        <f t="shared" si="12"/>
        <v>-1.1339744830241558E-7</v>
      </c>
      <c r="AC25" s="579">
        <f>IF(M25="","",SQRT(Z25^2+AA25^2+AB25^2))</f>
        <v>1</v>
      </c>
      <c r="AD25" s="580">
        <f>IF(M25="","",Z25*(1/SQRT(Z25^2+AA25^2+AB25^2)))</f>
        <v>-0.88753437810610902</v>
      </c>
      <c r="AE25" s="572">
        <f>IF(M25="","",AA25*(1/SQRT(Z25^2+AA25^2+AB25^2)))</f>
        <v>-0.46074149767498629</v>
      </c>
      <c r="AF25" s="576">
        <f>IF(M25="","",AB25*(1/SQRT(Z25^2+AA25^2+AB25^2)))</f>
        <v>-1.1339744830241558E-7</v>
      </c>
      <c r="AG25" s="545">
        <f>IF(M25="","",DEGREES(ATAN2(-AF25,AE25)))</f>
        <v>-89.999985898393732</v>
      </c>
      <c r="AH25" s="546">
        <f>IF(M25="","",DEGREES(ACOS(AD25)))</f>
        <v>152.56503465170638</v>
      </c>
      <c r="AI25" s="528">
        <f>IF(M25="","",DEGREES(-ACOS(-AF25)))</f>
        <v>-89.999993502804799</v>
      </c>
      <c r="AJ25" s="529">
        <f>IF(M25="","",DEGREES(ATAN2(-AE25,AD25)))</f>
        <v>-62.565034651707087</v>
      </c>
      <c r="AK25" s="578">
        <f>IF(M25="","",(COS(RADIANS((90-$Q$8)-W25))*AD25)+(-SIN(RADIANS((90-$Q$8)-W25))*AE25))</f>
        <v>0.86602540378443882</v>
      </c>
      <c r="AL25" s="572">
        <f>IF(M25="","",(SIN(RADIANS((90-$Q$8)-W25))*AD25)+(COS(RADIANS((90-$Q$8)-W25))*AE25))</f>
        <v>-0.4999999999999869</v>
      </c>
      <c r="AM25" s="577">
        <f>IF(M25="","",AF25)</f>
        <v>-1.1339744830241558E-7</v>
      </c>
      <c r="AN25" s="524">
        <f>IF(M25="","",DEGREES(ATAN2(-AM25,AL25)))</f>
        <v>-89.999987005609611</v>
      </c>
      <c r="AO25" s="525">
        <f>IF(ROUND(IF(M25="",0,DEGREES(ACOS(AK25))),4)=90,0,IF(M25="","",DEGREES(ACOS(AK25))))</f>
        <v>29.999999999999979</v>
      </c>
      <c r="AP25" s="528">
        <f>IF(M25="","",DEGREES(ATAN2(AK25,AL25)))</f>
        <v>-29.99999999999935</v>
      </c>
      <c r="AQ25" s="529">
        <f t="shared" si="13"/>
        <v>0.61897904982222918</v>
      </c>
      <c r="AR25" s="979"/>
      <c r="AS25" s="954">
        <f t="shared" si="147"/>
        <v>-120.66063492666902</v>
      </c>
      <c r="AT25" s="950">
        <f t="shared" si="14"/>
        <v>-1.6839853926029811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3.1280000000000001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1613</v>
      </c>
      <c r="IM25" s="482" t="str">
        <f t="shared" si="242"/>
        <v/>
      </c>
      <c r="IN25" s="670" t="str">
        <f>IF(ISNUMBER($IK25),IFERROR(IF(INDEX($W$9:$W$150,MATCH($IK25,$M$9:$M$150,0))&lt;$W25,((INDEX($W$9:$W$150,MATCH($IK25,$M$9:$M$150,0))+360)-$W25),INDEX($W$9:$W$150,MATCH($IK25,$M$9:$M$150,0))-$W25),""),"")</f>
        <v/>
      </c>
      <c r="IO25" s="702">
        <v>3.3766096541427801E-2</v>
      </c>
      <c r="IP25" s="5" t="str">
        <f t="shared" si="82"/>
        <v/>
      </c>
      <c r="IQ25" s="714">
        <v>600</v>
      </c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28</v>
      </c>
      <c r="JN25" s="960">
        <f>($JO25-SMALL($JO$9:$JO$88,1))/((Settings!$C$19/2)-((Settings!$C$19/2)-LARGE($JO$9:$JO$88,1))-SMALL($JO$9:$JO$88,1))</f>
        <v>0.99999999999999978</v>
      </c>
      <c r="JO25" s="162">
        <f t="shared" si="134"/>
        <v>3.6829000000000001</v>
      </c>
      <c r="JP25" s="961">
        <f t="shared" si="135"/>
        <v>-89.999987005609611</v>
      </c>
      <c r="JQ25" s="961">
        <f t="shared" si="136"/>
        <v>29.999999999999979</v>
      </c>
      <c r="JS25" s="82">
        <v>17</v>
      </c>
      <c r="JT25" s="322">
        <f t="shared" si="137"/>
        <v>3.1918096264978337</v>
      </c>
      <c r="JU25" s="963">
        <f t="shared" si="138"/>
        <v>0.8529492975931654</v>
      </c>
      <c r="JV25" s="961">
        <f t="shared" si="287"/>
        <v>-53.367004943464863</v>
      </c>
      <c r="JW25" s="961">
        <f t="shared" si="92"/>
        <v>17.346951180278374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3</v>
      </c>
      <c r="KD25" s="970">
        <v>-19.035433333333334</v>
      </c>
      <c r="KE25" s="968">
        <f t="shared" si="140"/>
        <v>-22.035433333333334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15.30865980526171</v>
      </c>
      <c r="KG25" s="966">
        <f t="shared" si="244"/>
        <v>-3.998626666666663</v>
      </c>
      <c r="KH25" s="966">
        <f t="shared" si="141"/>
        <v>9.3217797181576856E-2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-1.5817517027022526E-2</v>
      </c>
      <c r="C26" s="572">
        <f t="shared" si="292"/>
        <v>-2.20594994517778</v>
      </c>
      <c r="D26" s="576">
        <f t="shared" si="292"/>
        <v>-4.3100129989992172E-2</v>
      </c>
      <c r="E26" s="580">
        <f t="shared" ref="E26:K26" si="293">R181</f>
        <v>0.96444719579857985</v>
      </c>
      <c r="F26" s="572">
        <f t="shared" si="293"/>
        <v>-5.6798670712307736E-2</v>
      </c>
      <c r="G26" s="579">
        <f t="shared" si="293"/>
        <v>0.2580998208476149</v>
      </c>
      <c r="H26" s="580">
        <f t="shared" si="293"/>
        <v>0.3125</v>
      </c>
      <c r="I26" s="572">
        <f t="shared" si="293"/>
        <v>0.52</v>
      </c>
      <c r="J26" s="483">
        <f t="shared" si="94"/>
        <v>4.109</v>
      </c>
      <c r="K26" s="806">
        <f t="shared" si="293"/>
        <v>1613</v>
      </c>
      <c r="L26" s="309"/>
      <c r="M26" s="164">
        <f t="shared" si="4"/>
        <v>4.109</v>
      </c>
      <c r="N26" s="575">
        <f t="shared" si="5"/>
        <v>-1.5817517027022526E-2</v>
      </c>
      <c r="O26" s="572">
        <f t="shared" si="6"/>
        <v>-2.20594994517778</v>
      </c>
      <c r="P26" s="576">
        <f t="shared" si="7"/>
        <v>-4.3100129989992172E-2</v>
      </c>
      <c r="Q26" s="528">
        <f t="shared" si="144"/>
        <v>269.58917407053139</v>
      </c>
      <c r="R26" s="572">
        <f>IF(M26="","",SQRT(N26^2+O26^2))</f>
        <v>2.206006653316066</v>
      </c>
      <c r="S26" s="577">
        <f>IF(M26="","",P26)</f>
        <v>-4.3100129989992172E-2</v>
      </c>
      <c r="T26" s="578">
        <f>IF(M26="","",X26*COS(RADIANS(W26)))</f>
        <v>-2.2052571728207293</v>
      </c>
      <c r="U26" s="572">
        <f>IF(M26="","",X26*SIN(RADIANS(W26)))</f>
        <v>-5.749918432006805E-2</v>
      </c>
      <c r="V26" s="579">
        <f>IF(M26="","",Y26)</f>
        <v>-4.3100129989992172E-2</v>
      </c>
      <c r="W26" s="528">
        <f t="shared" si="268"/>
        <v>181.49357379557009</v>
      </c>
      <c r="X26" s="572">
        <f>IF(M26="","",R26)</f>
        <v>2.206006653316066</v>
      </c>
      <c r="Y26" s="573">
        <f t="shared" si="271"/>
        <v>-4.3100129989992172E-2</v>
      </c>
      <c r="Z26" s="575">
        <f t="shared" si="10"/>
        <v>-0.96444719579857985</v>
      </c>
      <c r="AA26" s="572">
        <f t="shared" si="11"/>
        <v>5.6798670712307736E-2</v>
      </c>
      <c r="AB26" s="572">
        <f t="shared" si="12"/>
        <v>-0.2580998208476149</v>
      </c>
      <c r="AC26" s="579">
        <f>IF(M26="","",SQRT(Z26^2+AA26^2+AB26^2))</f>
        <v>1</v>
      </c>
      <c r="AD26" s="580">
        <f>IF(M26="","",Z26*(1/SQRT(Z26^2+AA26^2+AB26^2)))</f>
        <v>-0.96444719579857985</v>
      </c>
      <c r="AE26" s="572">
        <f>IF(M26="","",AA26*(1/SQRT(Z26^2+AA26^2+AB26^2)))</f>
        <v>5.6798670712307736E-2</v>
      </c>
      <c r="AF26" s="576">
        <f>IF(M26="","",AB26*(1/SQRT(Z26^2+AA26^2+AB26^2)))</f>
        <v>-0.2580998208476149</v>
      </c>
      <c r="AG26" s="545">
        <f>IF(M26="","",DEGREES(ATAN2(-AF26,AE26)))</f>
        <v>12.410956722173442</v>
      </c>
      <c r="AH26" s="546">
        <f>IF(M26="","",DEGREES(ACOS(AD26)))</f>
        <v>164.67608516928962</v>
      </c>
      <c r="AI26" s="528">
        <f>IF(M26="","",DEGREES(-ACOS(-AF26)))</f>
        <v>-75.042657942256</v>
      </c>
      <c r="AJ26" s="529">
        <f>IF(M26="","",DEGREES(ATAN2(-AE26,AD26)))</f>
        <v>-93.370396627030516</v>
      </c>
      <c r="AK26" s="578">
        <f>IF(M26="","",(COS(RADIANS((90-$Q$8)-W26))*AD26)+(-SIN(RADIANS((90-$Q$8)-W26))*AE26))</f>
        <v>0.96482966152454974</v>
      </c>
      <c r="AL26" s="572">
        <f>IF(M26="","",(SIN(RADIANS((90-$Q$8)-W26))*AD26)+(COS(RADIANS((90-$Q$8)-W26))*AE26))</f>
        <v>-4.98819277980719E-2</v>
      </c>
      <c r="AM26" s="577">
        <f>IF(M26="","",AF26)</f>
        <v>-0.2580998208476149</v>
      </c>
      <c r="AN26" s="524">
        <f>IF(M26="","",DEGREES(ATAN2(-AM26,AL26)))</f>
        <v>-10.938468125080089</v>
      </c>
      <c r="AO26" s="525">
        <f t="shared" si="110"/>
        <v>15.240774905545788</v>
      </c>
      <c r="AP26" s="528">
        <f>IF(M26="","",DEGREES(ATAN2(AK26,AL26)))</f>
        <v>-2.9595706975618934</v>
      </c>
      <c r="AQ26" s="529">
        <f t="shared" si="13"/>
        <v>1.0333057996704962</v>
      </c>
      <c r="AR26" s="979"/>
      <c r="AS26" s="954">
        <f t="shared" si="147"/>
        <v>-178.50642620442991</v>
      </c>
      <c r="AT26" s="950">
        <f t="shared" si="14"/>
        <v>8.218516579436104E-2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4.109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1613</v>
      </c>
      <c r="IM26" s="482" t="str">
        <f t="shared" si="242"/>
        <v/>
      </c>
      <c r="IN26" s="670" t="str">
        <f t="shared" si="81"/>
        <v/>
      </c>
      <c r="IO26" s="702">
        <v>3.1891376345910799E-2</v>
      </c>
      <c r="IP26" s="5" t="str">
        <f t="shared" si="82"/>
        <v/>
      </c>
      <c r="IQ26" s="714">
        <v>720</v>
      </c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9</v>
      </c>
      <c r="JN26" s="960">
        <f>($JO26-SMALL($JO$9:$JO$88,1))/((Settings!$C$19/2)-((Settings!$C$19/2)-LARGE($JO$9:$JO$88,1))-SMALL($JO$9:$JO$88,1))</f>
        <v>0.55776326369204454</v>
      </c>
      <c r="JO26" s="162">
        <f t="shared" si="134"/>
        <v>2.206006653316066</v>
      </c>
      <c r="JP26" s="961">
        <f t="shared" si="135"/>
        <v>-10.938468125080089</v>
      </c>
      <c r="JQ26" s="961">
        <f t="shared" si="136"/>
        <v>15.240774905545788</v>
      </c>
      <c r="JS26" s="82">
        <v>18</v>
      </c>
      <c r="JT26" s="322">
        <f t="shared" si="137"/>
        <v>3.2849099072882808</v>
      </c>
      <c r="JU26" s="963">
        <f t="shared" si="138"/>
        <v>0.88082698044586816</v>
      </c>
      <c r="JV26" s="961">
        <f>INDEX($JM$9:$JQ$88,MATCH($JS26,$JM$9:$JM$88,0),4)</f>
        <v>-56.99724572650674</v>
      </c>
      <c r="JW26" s="961">
        <f t="shared" si="92"/>
        <v>18.411113247366355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3</v>
      </c>
      <c r="KD26" s="970">
        <v>-23.03406</v>
      </c>
      <c r="KE26" s="968">
        <f t="shared" si="140"/>
        <v>-26.03406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15.416136182530028</v>
      </c>
      <c r="KG26" s="966">
        <f t="shared" si="244"/>
        <v>-3.9986266666666666</v>
      </c>
      <c r="KH26" s="966">
        <f t="shared" si="141"/>
        <v>0.10747637726831805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-7.4440447692104075E-2</v>
      </c>
      <c r="C27" s="572">
        <f t="shared" si="294"/>
        <v>-2.9806795876275243</v>
      </c>
      <c r="D27" s="576">
        <f t="shared" si="294"/>
        <v>-0.2668008046712268</v>
      </c>
      <c r="E27" s="580">
        <f t="shared" ref="E27:K27" si="295">R182</f>
        <v>0.95560984382490854</v>
      </c>
      <c r="F27" s="572">
        <f t="shared" si="295"/>
        <v>-0.21849193516523752</v>
      </c>
      <c r="G27" s="579">
        <f t="shared" si="295"/>
        <v>0.19766411068447345</v>
      </c>
      <c r="H27" s="580">
        <f t="shared" si="295"/>
        <v>0.3125</v>
      </c>
      <c r="I27" s="572">
        <f t="shared" si="295"/>
        <v>0.52</v>
      </c>
      <c r="J27" s="483">
        <f t="shared" si="94"/>
        <v>4.1150000000000002</v>
      </c>
      <c r="K27" s="806">
        <f t="shared" si="295"/>
        <v>1613</v>
      </c>
      <c r="L27" s="309"/>
      <c r="M27" s="164">
        <f t="shared" si="4"/>
        <v>4.1150000000000002</v>
      </c>
      <c r="N27" s="575">
        <f t="shared" si="5"/>
        <v>-7.4440447692104075E-2</v>
      </c>
      <c r="O27" s="572">
        <f t="shared" si="6"/>
        <v>-2.9806795876275243</v>
      </c>
      <c r="P27" s="576">
        <f t="shared" si="7"/>
        <v>-0.2668008046712268</v>
      </c>
      <c r="Q27" s="528">
        <f t="shared" si="144"/>
        <v>268.56937421777229</v>
      </c>
      <c r="R27" s="572">
        <f t="shared" si="95"/>
        <v>2.9816089925327214</v>
      </c>
      <c r="S27" s="577">
        <f t="shared" si="96"/>
        <v>-0.2668008046712268</v>
      </c>
      <c r="T27" s="578">
        <f t="shared" si="97"/>
        <v>-2.9815070594175381</v>
      </c>
      <c r="U27" s="572">
        <f t="shared" si="98"/>
        <v>-2.465439099580425E-2</v>
      </c>
      <c r="V27" s="579">
        <f t="shared" si="145"/>
        <v>-0.2668008046712268</v>
      </c>
      <c r="W27" s="528">
        <f t="shared" si="268"/>
        <v>180.47377394281099</v>
      </c>
      <c r="X27" s="572">
        <f t="shared" si="99"/>
        <v>2.9816089925327214</v>
      </c>
      <c r="Y27" s="573">
        <f t="shared" si="271"/>
        <v>-0.2668008046712268</v>
      </c>
      <c r="Z27" s="575">
        <f t="shared" si="10"/>
        <v>-0.95560984382490854</v>
      </c>
      <c r="AA27" s="572">
        <f t="shared" si="11"/>
        <v>0.21849193516523752</v>
      </c>
      <c r="AB27" s="572">
        <f t="shared" si="12"/>
        <v>-0.19766411068447345</v>
      </c>
      <c r="AC27" s="579">
        <f t="shared" si="100"/>
        <v>1</v>
      </c>
      <c r="AD27" s="580">
        <f t="shared" si="146"/>
        <v>-0.95560984382490854</v>
      </c>
      <c r="AE27" s="572">
        <f t="shared" si="101"/>
        <v>0.21849193516523752</v>
      </c>
      <c r="AF27" s="576">
        <f t="shared" si="102"/>
        <v>-0.19766411068447345</v>
      </c>
      <c r="AG27" s="545">
        <f t="shared" si="103"/>
        <v>47.865154971872748</v>
      </c>
      <c r="AH27" s="546">
        <f t="shared" si="104"/>
        <v>162.8643439376103</v>
      </c>
      <c r="AI27" s="528">
        <f t="shared" si="105"/>
        <v>-78.599604282771367</v>
      </c>
      <c r="AJ27" s="529">
        <f t="shared" si="106"/>
        <v>-102.87880938556189</v>
      </c>
      <c r="AK27" s="578">
        <f t="shared" si="247"/>
        <v>0.96076695497966369</v>
      </c>
      <c r="AL27" s="572">
        <f t="shared" si="107"/>
        <v>-0.1945655611006773</v>
      </c>
      <c r="AM27" s="577">
        <f t="shared" si="108"/>
        <v>-0.19766411068447345</v>
      </c>
      <c r="AN27" s="524">
        <f t="shared" si="109"/>
        <v>-44.547382226456122</v>
      </c>
      <c r="AO27" s="525">
        <f t="shared" si="110"/>
        <v>16.102520271270254</v>
      </c>
      <c r="AP27" s="528">
        <f t="shared" si="111"/>
        <v>-11.448183603334197</v>
      </c>
      <c r="AQ27" s="529">
        <f t="shared" si="13"/>
        <v>0.76455072626106413</v>
      </c>
      <c r="AR27" s="979"/>
      <c r="AS27" s="954">
        <f t="shared" si="147"/>
        <v>-179.52622605718901</v>
      </c>
      <c r="AT27" s="950">
        <f t="shared" si="14"/>
        <v>-0.14080731454467976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4.1150000000000002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1613</v>
      </c>
      <c r="IM27" s="482" t="str">
        <f t="shared" si="242"/>
        <v/>
      </c>
      <c r="IN27" s="670" t="str">
        <f t="shared" si="81"/>
        <v/>
      </c>
      <c r="IO27" s="702">
        <v>2.98766350839452E-2</v>
      </c>
      <c r="IP27" s="5" t="str">
        <f t="shared" si="82"/>
        <v/>
      </c>
      <c r="IQ27" s="714">
        <v>880</v>
      </c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15</v>
      </c>
      <c r="JN27" s="960">
        <f>($JO27-SMALL($JO$9:$JO$88,1))/((Settings!$C$19/2)-((Settings!$C$19/2)-LARGE($JO$9:$JO$88,1))-SMALL($JO$9:$JO$88,1))</f>
        <v>0.79000741858523715</v>
      </c>
      <c r="JO27" s="162">
        <f t="shared" si="134"/>
        <v>2.9816089925327214</v>
      </c>
      <c r="JP27" s="961">
        <f t="shared" si="135"/>
        <v>-44.547382226456122</v>
      </c>
      <c r="JQ27" s="961">
        <f t="shared" si="136"/>
        <v>16.102520271270254</v>
      </c>
      <c r="JS27" s="82">
        <v>19</v>
      </c>
      <c r="JT27" s="322">
        <f t="shared" si="137"/>
        <v>3.3680101579186368</v>
      </c>
      <c r="JU27" s="963">
        <f t="shared" si="138"/>
        <v>0.90571028275585308</v>
      </c>
      <c r="JV27" s="961">
        <f t="shared" si="287"/>
        <v>-60.428688938049135</v>
      </c>
      <c r="JW27" s="961">
        <f t="shared" si="92"/>
        <v>19.459210204251015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3</v>
      </c>
      <c r="KD27" s="970">
        <v>-27.032773333333331</v>
      </c>
      <c r="KE27" s="968">
        <f t="shared" si="140"/>
        <v>-30.032773333333331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15.536164645041154</v>
      </c>
      <c r="KG27" s="966">
        <f t="shared" si="244"/>
        <v>-3.9987133333333311</v>
      </c>
      <c r="KH27" s="966">
        <f t="shared" si="141"/>
        <v>0.12002846251112587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-0.13857307074016961</v>
      </c>
      <c r="C28" s="572">
        <f t="shared" si="296"/>
        <v>-3.5025704433112521</v>
      </c>
      <c r="D28" s="576">
        <f t="shared" si="296"/>
        <v>-0.84910256089332348</v>
      </c>
      <c r="E28" s="580">
        <f t="shared" ref="E28:K28" si="297">R183</f>
        <v>0.9097782544935521</v>
      </c>
      <c r="F28" s="572">
        <f t="shared" si="297"/>
        <v>-0.38528176030723371</v>
      </c>
      <c r="G28" s="579">
        <f t="shared" si="297"/>
        <v>0.15447165702880583</v>
      </c>
      <c r="H28" s="580">
        <f t="shared" si="297"/>
        <v>0.3125</v>
      </c>
      <c r="I28" s="572">
        <f t="shared" si="297"/>
        <v>0.52</v>
      </c>
      <c r="J28" s="483">
        <f t="shared" si="94"/>
        <v>4.1210000000000004</v>
      </c>
      <c r="K28" s="806">
        <f t="shared" si="297"/>
        <v>1613</v>
      </c>
      <c r="L28" s="309"/>
      <c r="M28" s="164">
        <f t="shared" si="4"/>
        <v>4.1210000000000004</v>
      </c>
      <c r="N28" s="575">
        <f t="shared" si="5"/>
        <v>-0.13857307074016961</v>
      </c>
      <c r="O28" s="572">
        <f t="shared" si="6"/>
        <v>-3.5025704433112521</v>
      </c>
      <c r="P28" s="576">
        <f t="shared" si="7"/>
        <v>-0.84910256089332348</v>
      </c>
      <c r="Q28" s="528">
        <f t="shared" si="144"/>
        <v>267.73437433833135</v>
      </c>
      <c r="R28" s="572">
        <f t="shared" si="95"/>
        <v>3.5053105720166853</v>
      </c>
      <c r="S28" s="577">
        <f t="shared" si="96"/>
        <v>-0.84910256089332348</v>
      </c>
      <c r="T28" s="578">
        <f t="shared" si="97"/>
        <v>-3.5052409081373126</v>
      </c>
      <c r="U28" s="572">
        <f t="shared" si="98"/>
        <v>2.2099371317953035E-2</v>
      </c>
      <c r="V28" s="579">
        <f t="shared" si="145"/>
        <v>-0.84910256089332348</v>
      </c>
      <c r="W28" s="528">
        <f t="shared" si="268"/>
        <v>179.63877406337005</v>
      </c>
      <c r="X28" s="572">
        <f t="shared" si="99"/>
        <v>3.5053105720166853</v>
      </c>
      <c r="Y28" s="573">
        <f t="shared" si="271"/>
        <v>-0.84910256089332348</v>
      </c>
      <c r="Z28" s="575">
        <f t="shared" si="10"/>
        <v>-0.9097782544935521</v>
      </c>
      <c r="AA28" s="572">
        <f t="shared" si="11"/>
        <v>0.38528176030723371</v>
      </c>
      <c r="AB28" s="572">
        <f t="shared" si="12"/>
        <v>-0.15447165702880583</v>
      </c>
      <c r="AC28" s="579">
        <f t="shared" si="100"/>
        <v>1</v>
      </c>
      <c r="AD28" s="580">
        <f t="shared" si="146"/>
        <v>-0.9097782544935521</v>
      </c>
      <c r="AE28" s="572">
        <f t="shared" si="101"/>
        <v>0.38528176030723371</v>
      </c>
      <c r="AF28" s="576">
        <f t="shared" si="102"/>
        <v>-0.15447165702880583</v>
      </c>
      <c r="AG28" s="545">
        <f t="shared" si="103"/>
        <v>68.152587734063985</v>
      </c>
      <c r="AH28" s="546">
        <f t="shared" si="104"/>
        <v>155.47472591038968</v>
      </c>
      <c r="AI28" s="528">
        <f t="shared" si="105"/>
        <v>-81.113844611996456</v>
      </c>
      <c r="AJ28" s="529">
        <f t="shared" si="106"/>
        <v>-112.95215940658991</v>
      </c>
      <c r="AK28" s="578">
        <f t="shared" si="247"/>
        <v>0.92429815681591676</v>
      </c>
      <c r="AL28" s="572">
        <f t="shared" si="107"/>
        <v>-0.34901493446767312</v>
      </c>
      <c r="AM28" s="577">
        <f t="shared" si="108"/>
        <v>-0.15447165702880583</v>
      </c>
      <c r="AN28" s="524">
        <f t="shared" si="109"/>
        <v>-66.126141719345867</v>
      </c>
      <c r="AO28" s="525">
        <f t="shared" si="110"/>
        <v>22.437240118831088</v>
      </c>
      <c r="AP28" s="528">
        <f t="shared" si="111"/>
        <v>-20.68653374492127</v>
      </c>
      <c r="AQ28" s="529">
        <f t="shared" si="13"/>
        <v>0.6503357355341699</v>
      </c>
      <c r="AR28" s="979"/>
      <c r="AS28" s="954">
        <f t="shared" si="147"/>
        <v>-180.36122593662995</v>
      </c>
      <c r="AT28" s="950">
        <f t="shared" si="14"/>
        <v>-0.72252920973938695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4.1210000000000004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1613</v>
      </c>
      <c r="IM28" s="482" t="str">
        <f t="shared" si="242"/>
        <v/>
      </c>
      <c r="IN28" s="670" t="str">
        <f t="shared" si="81"/>
        <v/>
      </c>
      <c r="IO28" s="702">
        <v>2.76470783748732E-2</v>
      </c>
      <c r="IP28" s="5" t="str">
        <f t="shared" si="82"/>
        <v/>
      </c>
      <c r="IQ28" s="714">
        <v>1070</v>
      </c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21</v>
      </c>
      <c r="JN28" s="960">
        <f>($JO28-SMALL($JO$9:$JO$88,1))/((Settings!$C$19/2)-((Settings!$C$19/2)-LARGE($JO$9:$JO$88,1))-SMALL($JO$9:$JO$88,1))</f>
        <v>0.94682312760736842</v>
      </c>
      <c r="JO28" s="162">
        <f t="shared" si="134"/>
        <v>3.5053105720166853</v>
      </c>
      <c r="JP28" s="961">
        <f t="shared" si="135"/>
        <v>-66.126141719345867</v>
      </c>
      <c r="JQ28" s="961">
        <f t="shared" si="136"/>
        <v>22.437240118831088</v>
      </c>
      <c r="JS28" s="82">
        <v>20</v>
      </c>
      <c r="JT28" s="322">
        <f t="shared" si="137"/>
        <v>3.4425103826113141</v>
      </c>
      <c r="JU28" s="963">
        <f t="shared" si="138"/>
        <v>0.92801841779910066</v>
      </c>
      <c r="JV28" s="961">
        <f t="shared" si="287"/>
        <v>-62.794909243580292</v>
      </c>
      <c r="JW28" s="961">
        <f t="shared" si="92"/>
        <v>21.418312808829032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3</v>
      </c>
      <c r="KD28" s="970">
        <v>-30.969086666666662</v>
      </c>
      <c r="KE28" s="968">
        <f t="shared" si="140"/>
        <v>-33.969086666666662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15.665550596661955</v>
      </c>
      <c r="KG28" s="966">
        <f t="shared" si="244"/>
        <v>-3.9363133333333309</v>
      </c>
      <c r="KH28" s="966">
        <f t="shared" si="141"/>
        <v>0.12938595162080091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-0.16482154718261144</v>
      </c>
      <c r="C29" s="572">
        <f t="shared" si="298"/>
        <v>-3.6792100059094666</v>
      </c>
      <c r="D29" s="576">
        <f t="shared" si="298"/>
        <v>-1.6501999999999999</v>
      </c>
      <c r="E29" s="580">
        <f t="shared" ref="E29:K29" si="299">R184</f>
        <v>0.84278111199983397</v>
      </c>
      <c r="F29" s="572">
        <f t="shared" si="299"/>
        <v>-0.53825644190878996</v>
      </c>
      <c r="G29" s="579">
        <f t="shared" si="299"/>
        <v>1.1339744837816133E-7</v>
      </c>
      <c r="H29" s="580">
        <f t="shared" si="299"/>
        <v>0.3125</v>
      </c>
      <c r="I29" s="572">
        <f t="shared" si="299"/>
        <v>0.52</v>
      </c>
      <c r="J29" s="483">
        <f t="shared" si="94"/>
        <v>4.1269999999999998</v>
      </c>
      <c r="K29" s="806">
        <f t="shared" si="299"/>
        <v>1613</v>
      </c>
      <c r="L29" s="82"/>
      <c r="M29" s="164">
        <f t="shared" si="4"/>
        <v>4.1269999999999998</v>
      </c>
      <c r="N29" s="575">
        <f t="shared" si="5"/>
        <v>-0.16482154718261144</v>
      </c>
      <c r="O29" s="572">
        <f t="shared" si="6"/>
        <v>-3.6792100059094666</v>
      </c>
      <c r="P29" s="576">
        <f t="shared" si="7"/>
        <v>-1.6501999999999999</v>
      </c>
      <c r="Q29" s="528">
        <f t="shared" si="144"/>
        <v>267.4349740112192</v>
      </c>
      <c r="R29" s="572">
        <f>IF(M29="","",SQRT(N29^2+O29^2))</f>
        <v>3.682900000000001</v>
      </c>
      <c r="S29" s="577">
        <f>IF(M29="","",P29)</f>
        <v>-1.6501999999999999</v>
      </c>
      <c r="T29" s="578">
        <f>IF(M29="","",X29*COS(RADIANS(W29)))</f>
        <v>-3.682655194299874</v>
      </c>
      <c r="U29" s="572">
        <f>IF(M29="","",X29*SIN(RADIANS(W29)))</f>
        <v>4.2463277030431797E-2</v>
      </c>
      <c r="V29" s="579">
        <f>IF(M29="","",Y29)</f>
        <v>-1.6501999999999999</v>
      </c>
      <c r="W29" s="528">
        <f t="shared" si="268"/>
        <v>179.3393737362579</v>
      </c>
      <c r="X29" s="572">
        <f>IF(M29="","",R29)</f>
        <v>3.682900000000001</v>
      </c>
      <c r="Y29" s="573">
        <f t="shared" si="271"/>
        <v>-1.6501999999999999</v>
      </c>
      <c r="Z29" s="575">
        <f t="shared" si="10"/>
        <v>-0.84278111199983397</v>
      </c>
      <c r="AA29" s="572">
        <f t="shared" si="11"/>
        <v>0.53825644190878996</v>
      </c>
      <c r="AB29" s="572">
        <f t="shared" si="12"/>
        <v>-1.1339744837816133E-7</v>
      </c>
      <c r="AC29" s="579">
        <f>IF(M29="","",SQRT(Z29^2+AA29^2+AB29^2))</f>
        <v>1</v>
      </c>
      <c r="AD29" s="580">
        <f>IF(M29="","",Z29*(1/SQRT(Z29^2+AA29^2+AB29^2)))</f>
        <v>-0.84278111199983397</v>
      </c>
      <c r="AE29" s="572">
        <f>IF(M29="","",AA29*(1/SQRT(Z29^2+AA29^2+AB29^2)))</f>
        <v>0.53825644190878996</v>
      </c>
      <c r="AF29" s="576">
        <f>IF(M29="","",AB29*(1/SQRT(Z29^2+AA29^2+AB29^2)))</f>
        <v>-1.1339744837816133E-7</v>
      </c>
      <c r="AG29" s="545">
        <f>IF(M29="","",DEGREES(ATAN2(-AF29,AE29)))</f>
        <v>89.999987929182652</v>
      </c>
      <c r="AH29" s="546">
        <f>IF(M29="","",DEGREES(ACOS(AD29)))</f>
        <v>147.43497401121928</v>
      </c>
      <c r="AI29" s="528">
        <f>IF(M29="","",DEGREES(-ACOS(-AF29)))</f>
        <v>-89.999993502804799</v>
      </c>
      <c r="AJ29" s="529">
        <f>IF(M29="","",DEGREES(ATAN2(-AE29,AD29)))</f>
        <v>-122.56502598878016</v>
      </c>
      <c r="AK29" s="578">
        <f>IF(M29="","",(COS(RADIANS((90-$Q$8)-W29))*AD29)+(-SIN(RADIANS((90-$Q$8)-W29))*AE29))</f>
        <v>0.86602540378443893</v>
      </c>
      <c r="AL29" s="572">
        <f>IF(M29="","",(SIN(RADIANS((90-$Q$8)-W29))*AD29)+(COS(RADIANS((90-$Q$8)-W29))*AE29))</f>
        <v>-0.49999999999998695</v>
      </c>
      <c r="AM29" s="577">
        <f>IF(M29="","",AF29)</f>
        <v>-1.1339744837816133E-7</v>
      </c>
      <c r="AN29" s="524">
        <f>IF(M29="","",DEGREES(ATAN2(-AM29,AL29)))</f>
        <v>-89.999987005609611</v>
      </c>
      <c r="AO29" s="525">
        <f t="shared" si="110"/>
        <v>29.999999999999964</v>
      </c>
      <c r="AP29" s="528">
        <f>IF(M29="","",DEGREES(ATAN2(AK29,AL29)))</f>
        <v>-29.99999999999935</v>
      </c>
      <c r="AQ29" s="529">
        <f t="shared" si="13"/>
        <v>0.61897904982222907</v>
      </c>
      <c r="AR29" s="979"/>
      <c r="AS29" s="954">
        <f t="shared" si="147"/>
        <v>-180.6606262637421</v>
      </c>
      <c r="AT29" s="950">
        <f t="shared" si="14"/>
        <v>-1.5234187319522354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4.1269999999999998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1613</v>
      </c>
      <c r="IM29" s="482" t="str">
        <f t="shared" si="242"/>
        <v/>
      </c>
      <c r="IN29" s="670" t="str">
        <f t="shared" si="81"/>
        <v/>
      </c>
      <c r="IO29" s="702">
        <v>2.6469523761171201E-2</v>
      </c>
      <c r="IP29" s="5" t="str">
        <f t="shared" si="82"/>
        <v/>
      </c>
      <c r="IQ29" s="714">
        <v>1210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27</v>
      </c>
      <c r="JN29" s="960">
        <f>($JO29-SMALL($JO$9:$JO$88,1))/((Settings!$C$19/2)-((Settings!$C$19/2)-LARGE($JO$9:$JO$88,1))-SMALL($JO$9:$JO$88,1))</f>
        <v>1</v>
      </c>
      <c r="JO29" s="162">
        <f t="shared" si="134"/>
        <v>3.682900000000001</v>
      </c>
      <c r="JP29" s="961">
        <f t="shared" si="135"/>
        <v>-89.999987005609611</v>
      </c>
      <c r="JQ29" s="961">
        <f t="shared" si="136"/>
        <v>29.999999999999964</v>
      </c>
      <c r="JS29" s="82">
        <v>21</v>
      </c>
      <c r="JT29" s="322">
        <f t="shared" si="137"/>
        <v>3.5053105720166853</v>
      </c>
      <c r="JU29" s="963">
        <f t="shared" si="138"/>
        <v>0.94682312760736842</v>
      </c>
      <c r="JV29" s="961">
        <f t="shared" si="287"/>
        <v>-66.126141719345867</v>
      </c>
      <c r="JW29" s="961">
        <f t="shared" si="92"/>
        <v>22.437240118831088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2.7632974560333556</v>
      </c>
      <c r="KD29" s="970">
        <v>-34.905486666666668</v>
      </c>
      <c r="KE29" s="968">
        <f t="shared" si="140"/>
        <v>-37.668784122700025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15.801644469082305</v>
      </c>
      <c r="KG29" s="966">
        <f t="shared" si="244"/>
        <v>-3.9364000000000061</v>
      </c>
      <c r="KH29" s="966">
        <f t="shared" si="141"/>
        <v>0.13609387242034998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-0.5310980367637349</v>
      </c>
      <c r="C30" s="572">
        <f t="shared" si="300"/>
        <v>-0.24765489439893809</v>
      </c>
      <c r="D30" s="576">
        <f t="shared" si="300"/>
        <v>-0.43020129748711328</v>
      </c>
      <c r="E30" s="580">
        <f t="shared" ref="E30:K30" si="301">R185</f>
        <v>0.47359441874391661</v>
      </c>
      <c r="F30" s="572">
        <f t="shared" si="301"/>
        <v>-0.83146955959349156</v>
      </c>
      <c r="G30" s="579">
        <f t="shared" si="301"/>
        <v>0.29045946017304536</v>
      </c>
      <c r="H30" s="580">
        <f t="shared" si="301"/>
        <v>0.3125</v>
      </c>
      <c r="I30" s="572">
        <f t="shared" si="301"/>
        <v>0.52</v>
      </c>
      <c r="J30" s="483">
        <f t="shared" si="94"/>
        <v>5.1020000000000003</v>
      </c>
      <c r="K30" s="806">
        <f t="shared" si="301"/>
        <v>1613</v>
      </c>
      <c r="L30" s="82"/>
      <c r="M30" s="164">
        <f t="shared" si="4"/>
        <v>5.1020000000000003</v>
      </c>
      <c r="N30" s="575">
        <f t="shared" si="5"/>
        <v>-0.5310980367637349</v>
      </c>
      <c r="O30" s="572">
        <f t="shared" si="6"/>
        <v>-0.24765489439893809</v>
      </c>
      <c r="P30" s="576">
        <f t="shared" si="7"/>
        <v>-0.43020129748711328</v>
      </c>
      <c r="Q30" s="528">
        <f t="shared" si="144"/>
        <v>204.99998339605673</v>
      </c>
      <c r="R30" s="572">
        <f>IF(M30="","",SQRT(N30^2+O30^2))</f>
        <v>0.58600176738133025</v>
      </c>
      <c r="S30" s="577">
        <f>IF(M30="","",P30)</f>
        <v>-0.43020129748711328</v>
      </c>
      <c r="T30" s="578">
        <f>IF(M30="","",X30*COS(RADIANS(W30)))</f>
        <v>-0.2651675169624933</v>
      </c>
      <c r="U30" s="572">
        <f>IF(M30="","",X30*SIN(RADIANS(W30)))</f>
        <v>0.52257464473698734</v>
      </c>
      <c r="V30" s="579">
        <f>IF(M30="","",Y30)</f>
        <v>-0.43020129748711328</v>
      </c>
      <c r="W30" s="528">
        <f t="shared" si="268"/>
        <v>116.90438312109544</v>
      </c>
      <c r="X30" s="572">
        <f>IF(M30="","",R30)</f>
        <v>0.58600176738133025</v>
      </c>
      <c r="Y30" s="573">
        <f t="shared" si="271"/>
        <v>-0.43020129748711328</v>
      </c>
      <c r="Z30" s="575">
        <f t="shared" si="10"/>
        <v>-0.47359441874391661</v>
      </c>
      <c r="AA30" s="572">
        <f t="shared" si="11"/>
        <v>0.83146955959349156</v>
      </c>
      <c r="AB30" s="572">
        <f t="shared" si="12"/>
        <v>-0.29045946017304536</v>
      </c>
      <c r="AC30" s="579">
        <f>IF(M30="","",SQRT(Z30^2+AA30^2+AB30^2))</f>
        <v>1</v>
      </c>
      <c r="AD30" s="580">
        <f>IF(M30="","",Z30*(1/SQRT(Z30^2+AA30^2+AB30^2)))</f>
        <v>-0.47359441874391661</v>
      </c>
      <c r="AE30" s="572">
        <f>IF(M30="","",AA30*(1/SQRT(Z30^2+AA30^2+AB30^2)))</f>
        <v>0.83146955959349156</v>
      </c>
      <c r="AF30" s="576">
        <f>IF(M30="","",AB30*(1/SQRT(Z30^2+AA30^2+AB30^2)))</f>
        <v>-0.29045946017304536</v>
      </c>
      <c r="AG30" s="545">
        <f>IF(M30="","",DEGREES(ATAN2(-AF30,AE30)))</f>
        <v>70.744024694262023</v>
      </c>
      <c r="AH30" s="546">
        <f>IF(M30="","",DEGREES(ACOS(AD30)))</f>
        <v>118.26787216468571</v>
      </c>
      <c r="AI30" s="528">
        <f>IF(M30="","",DEGREES(-ACOS(-AF30)))</f>
        <v>-73.114534769632428</v>
      </c>
      <c r="AJ30" s="529">
        <f>IF(M30="","",DEGREES(ATAN2(-AE30,AD30)))</f>
        <v>-150.33471465516058</v>
      </c>
      <c r="AK30" s="578">
        <f>IF(M30="","",(COS(RADIANS((90-$Q$8)-W30))*AD30)+(-SIN(RADIANS((90-$Q$8)-W30))*AE30))</f>
        <v>0.95371696400905348</v>
      </c>
      <c r="AL30" s="572">
        <f>IF(M30="","",(SIN(RADIANS((90-$Q$8)-W30))*AD30)+(COS(RADIANS((90-$Q$8)-W30))*AE30))</f>
        <v>7.7828366019961237E-2</v>
      </c>
      <c r="AM30" s="577">
        <f>IF(M30="","",AF30)</f>
        <v>-0.29045946017304536</v>
      </c>
      <c r="AN30" s="524">
        <f>IF(M30="","",DEGREES(ATAN2(-AM30,AL30)))</f>
        <v>14.999997834268214</v>
      </c>
      <c r="AO30" s="525">
        <f>IF(ROUND(IF(M30="",0,DEGREES(ACOS(AK30))),4)=90,0,IF(M30="","",DEGREES(ACOS(AK30))))</f>
        <v>17.499997473312952</v>
      </c>
      <c r="AP30" s="528">
        <f>IF(M30="","",DEGREES(ATAN2(AK30,AL30)))</f>
        <v>4.6653019487826857</v>
      </c>
      <c r="AQ30" s="529">
        <f t="shared" si="13"/>
        <v>3.8843448334595476</v>
      </c>
      <c r="AR30" s="979"/>
      <c r="AS30" s="954">
        <f t="shared" si="147"/>
        <v>-243.09561687890456</v>
      </c>
      <c r="AT30" s="950">
        <f t="shared" si="14"/>
        <v>-0.26006239706770823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5.1020000000000003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1613</v>
      </c>
      <c r="IM30" s="482" t="str">
        <f t="shared" si="242"/>
        <v/>
      </c>
      <c r="IN30" s="670" t="str">
        <f t="shared" si="81"/>
        <v/>
      </c>
      <c r="IO30" s="702">
        <v>2.5338072394912401E-2</v>
      </c>
      <c r="IP30" s="5" t="str">
        <f t="shared" si="82"/>
        <v/>
      </c>
      <c r="IQ30" s="714">
        <v>1380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2</v>
      </c>
      <c r="JN30" s="960">
        <f>($JO30-SMALL($JO$9:$JO$88,1))/((Settings!$C$19/2)-((Settings!$C$19/2)-LARGE($JO$9:$JO$88,1))-SMALL($JO$9:$JO$88,1))</f>
        <v>7.2673615771760958E-2</v>
      </c>
      <c r="JO30" s="162">
        <f t="shared" si="134"/>
        <v>0.58600176738133025</v>
      </c>
      <c r="JP30" s="961">
        <f t="shared" si="135"/>
        <v>14.999997834268214</v>
      </c>
      <c r="JQ30" s="961">
        <f t="shared" si="136"/>
        <v>17.499997473312952</v>
      </c>
      <c r="JS30" s="82">
        <v>22</v>
      </c>
      <c r="JT30" s="322">
        <f t="shared" si="137"/>
        <v>3.5578107303571627</v>
      </c>
      <c r="JU30" s="963">
        <f t="shared" si="138"/>
        <v>0.96254362545663685</v>
      </c>
      <c r="JV30" s="961">
        <f t="shared" si="287"/>
        <v>-68.58083372486071</v>
      </c>
      <c r="JW30" s="961">
        <f t="shared" si="92"/>
        <v>24.376068843486443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0.35070324793226981</v>
      </c>
      <c r="KD30" s="970">
        <v>-38.841799999999999</v>
      </c>
      <c r="KE30" s="968">
        <f t="shared" si="140"/>
        <v>-39.192503247932272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15.940915564994576</v>
      </c>
      <c r="KG30" s="966">
        <f t="shared" si="244"/>
        <v>-3.9363133333333309</v>
      </c>
      <c r="KH30" s="966">
        <f t="shared" si="141"/>
        <v>0.13927109591227094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-1.1881732528963422</v>
      </c>
      <c r="C31" s="572">
        <f t="shared" si="302"/>
        <v>-0.55405386784472366</v>
      </c>
      <c r="D31" s="576">
        <f t="shared" si="302"/>
        <v>-0.23600071177814669</v>
      </c>
      <c r="E31" s="580">
        <f t="shared" ref="E31:K31" si="303">R186</f>
        <v>0.46892874510133487</v>
      </c>
      <c r="F31" s="572">
        <f t="shared" si="303"/>
        <v>-0.84711619532694482</v>
      </c>
      <c r="G31" s="579">
        <f t="shared" si="303"/>
        <v>0.24999996726497561</v>
      </c>
      <c r="H31" s="580">
        <f t="shared" si="303"/>
        <v>0.3125</v>
      </c>
      <c r="I31" s="572">
        <f t="shared" si="303"/>
        <v>0.52</v>
      </c>
      <c r="J31" s="483">
        <f t="shared" si="94"/>
        <v>5.1050000000000004</v>
      </c>
      <c r="K31" s="806">
        <f t="shared" si="303"/>
        <v>1613</v>
      </c>
      <c r="L31" s="309"/>
      <c r="M31" s="164">
        <f t="shared" si="4"/>
        <v>5.1050000000000004</v>
      </c>
      <c r="N31" s="575">
        <f t="shared" si="5"/>
        <v>-1.1881732528963422</v>
      </c>
      <c r="O31" s="572">
        <f t="shared" si="6"/>
        <v>-0.55405386784472366</v>
      </c>
      <c r="P31" s="576">
        <f t="shared" si="7"/>
        <v>-0.23600071177814669</v>
      </c>
      <c r="Q31" s="528">
        <f t="shared" si="144"/>
        <v>204.99998339605673</v>
      </c>
      <c r="R31" s="572">
        <f>IF(M31="","",SQRT(N31^2+O31^2))</f>
        <v>1.3110039539879252</v>
      </c>
      <c r="S31" s="577">
        <f>IF(M31="","",P31)</f>
        <v>-0.23600071177814669</v>
      </c>
      <c r="T31" s="578">
        <f>IF(M31="","",X31*COS(RADIANS(W31)))</f>
        <v>-0.59323313095192631</v>
      </c>
      <c r="U31" s="572">
        <f>IF(M31="","",X31*SIN(RADIANS(W31)))</f>
        <v>1.1691047086180728</v>
      </c>
      <c r="V31" s="579">
        <f>IF(M31="","",Y31)</f>
        <v>-0.23600071177814669</v>
      </c>
      <c r="W31" s="528">
        <f t="shared" si="268"/>
        <v>116.90438312109544</v>
      </c>
      <c r="X31" s="572">
        <f>IF(M31="","",R31)</f>
        <v>1.3110039539879252</v>
      </c>
      <c r="Y31" s="573">
        <f t="shared" si="271"/>
        <v>-0.23600071177814669</v>
      </c>
      <c r="Z31" s="575">
        <f t="shared" si="10"/>
        <v>-0.46892874510133487</v>
      </c>
      <c r="AA31" s="572">
        <f t="shared" si="11"/>
        <v>0.84711619532694482</v>
      </c>
      <c r="AB31" s="572">
        <f t="shared" si="12"/>
        <v>-0.24999996726497561</v>
      </c>
      <c r="AC31" s="579">
        <f>IF(M31="","",SQRT(Z31^2+AA31^2+AB31^2))</f>
        <v>1</v>
      </c>
      <c r="AD31" s="580">
        <f>IF(M31="","",Z31*(1/SQRT(Z31^2+AA31^2+AB31^2)))</f>
        <v>-0.46892874510133487</v>
      </c>
      <c r="AE31" s="572">
        <f>IF(M31="","",AA31*(1/SQRT(Z31^2+AA31^2+AB31^2)))</f>
        <v>0.84711619532694482</v>
      </c>
      <c r="AF31" s="576">
        <f>IF(M31="","",AB31*(1/SQRT(Z31^2+AA31^2+AB31^2)))</f>
        <v>-0.24999996726497561</v>
      </c>
      <c r="AG31" s="545">
        <f>IF(M31="","",DEGREES(ATAN2(-AF31,AE31)))</f>
        <v>73.557675922032189</v>
      </c>
      <c r="AH31" s="546">
        <f>IF(M31="","",DEGREES(ACOS(AD31)))</f>
        <v>117.96478150797752</v>
      </c>
      <c r="AI31" s="528">
        <f>IF(M31="","",DEGREES(-ACOS(-AF31)))</f>
        <v>-75.522489751159469</v>
      </c>
      <c r="AJ31" s="529">
        <f>IF(M31="","",DEGREES(ATAN2(-AE31,AD31)))</f>
        <v>-151.03288695885672</v>
      </c>
      <c r="AK31" s="578">
        <f>IF(M31="","",(COS(RADIANS((90-$Q$8)-W31))*AD31)+(-SIN(RADIANS((90-$Q$8)-W31))*AE31))</f>
        <v>0.9659258360722075</v>
      </c>
      <c r="AL31" s="572">
        <f>IF(M31="","",(SIN(RADIANS((90-$Q$8)-W31))*AD31)+(COS(RADIANS((90-$Q$8)-W31))*AE31))</f>
        <v>6.6987279208206907E-2</v>
      </c>
      <c r="AM31" s="577">
        <f>IF(M31="","",AF31)</f>
        <v>-0.24999996726497561</v>
      </c>
      <c r="AN31" s="524">
        <f>IF(M31="","",DEGREES(ATAN2(-AM31,AL31)))</f>
        <v>14.999997834268207</v>
      </c>
      <c r="AO31" s="525">
        <f t="shared" si="110"/>
        <v>14.99999783426823</v>
      </c>
      <c r="AP31" s="528">
        <f>IF(M31="","",DEGREES(ATAN2(AK31,AL31)))</f>
        <v>3.9671296450865539</v>
      </c>
      <c r="AQ31" s="529">
        <f t="shared" si="13"/>
        <v>1.7383830542137844</v>
      </c>
      <c r="AR31" s="979"/>
      <c r="AS31" s="954">
        <f t="shared" si="147"/>
        <v>-243.09561687890456</v>
      </c>
      <c r="AT31" s="950">
        <f t="shared" si="14"/>
        <v>-6.586181135874164E-2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5.1050000000000004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5</v>
      </c>
      <c r="JN31" s="960">
        <f>($JO31-SMALL($JO$9:$JO$88,1))/((Settings!$C$19/2)-((Settings!$C$19/2)-LARGE($JO$9:$JO$88,1))-SMALL($JO$9:$JO$88,1))</f>
        <v>0.28976620511880152</v>
      </c>
      <c r="JO31" s="162">
        <f t="shared" si="134"/>
        <v>1.3110039539879252</v>
      </c>
      <c r="JP31" s="961">
        <f t="shared" si="135"/>
        <v>14.999997834268207</v>
      </c>
      <c r="JQ31" s="961">
        <f t="shared" si="136"/>
        <v>14.99999783426823</v>
      </c>
      <c r="JS31" s="82">
        <v>23</v>
      </c>
      <c r="JT31" s="322">
        <f t="shared" si="137"/>
        <v>3.5986108534103343</v>
      </c>
      <c r="JU31" s="963">
        <f t="shared" si="138"/>
        <v>0.97476069807092558</v>
      </c>
      <c r="JV31" s="961">
        <f t="shared" si="287"/>
        <v>-71.813056768957793</v>
      </c>
      <c r="JW31" s="961">
        <f t="shared" si="92"/>
        <v>25.36768203221904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-40.78858593988322</v>
      </c>
      <c r="KD31" s="970">
        <v>-42.77811333333333</v>
      </c>
      <c r="KE31" s="968">
        <f t="shared" si="140"/>
        <v>-1.9895273934501105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16.088990982361306</v>
      </c>
      <c r="KG31" s="966">
        <f t="shared" si="244"/>
        <v>-3.9363133333333309</v>
      </c>
      <c r="KH31" s="966">
        <f t="shared" si="141"/>
        <v>0.14807541736673002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-1.8780542225364871</v>
      </c>
      <c r="C32" s="572">
        <f t="shared" si="304"/>
        <v>-0.86481667649688909</v>
      </c>
      <c r="D32" s="576">
        <f t="shared" si="304"/>
        <v>-5.0900153514863079E-2</v>
      </c>
      <c r="E32" s="580">
        <f t="shared" ref="E32:K32" si="305">R187</f>
        <v>0.38306571612538137</v>
      </c>
      <c r="F32" s="572">
        <f t="shared" si="305"/>
        <v>-0.88626452947494361</v>
      </c>
      <c r="G32" s="579">
        <f t="shared" si="305"/>
        <v>0.26037634478559207</v>
      </c>
      <c r="H32" s="580">
        <f t="shared" si="305"/>
        <v>0.3125</v>
      </c>
      <c r="I32" s="572">
        <f t="shared" si="305"/>
        <v>0.52</v>
      </c>
      <c r="J32" s="483">
        <f t="shared" si="94"/>
        <v>5.1079999999999997</v>
      </c>
      <c r="K32" s="806">
        <f t="shared" si="305"/>
        <v>1613</v>
      </c>
      <c r="L32" s="309"/>
      <c r="M32" s="164">
        <f t="shared" si="4"/>
        <v>5.1079999999999997</v>
      </c>
      <c r="N32" s="575">
        <f t="shared" si="5"/>
        <v>-1.8780542225364871</v>
      </c>
      <c r="O32" s="572">
        <f t="shared" si="6"/>
        <v>-0.86481667649688909</v>
      </c>
      <c r="P32" s="576">
        <f t="shared" si="7"/>
        <v>-5.0900153514863079E-2</v>
      </c>
      <c r="Q32" s="528">
        <f t="shared" si="144"/>
        <v>204.72538343570403</v>
      </c>
      <c r="R32" s="572">
        <f t="shared" si="95"/>
        <v>2.0676062359004082</v>
      </c>
      <c r="S32" s="577">
        <f t="shared" si="96"/>
        <v>-5.0900153514863079E-2</v>
      </c>
      <c r="T32" s="578">
        <f t="shared" si="97"/>
        <v>-0.92675036822273049</v>
      </c>
      <c r="U32" s="572">
        <f t="shared" si="98"/>
        <v>1.8482773876594627</v>
      </c>
      <c r="V32" s="579">
        <f t="shared" si="145"/>
        <v>-5.0900153514863079E-2</v>
      </c>
      <c r="W32" s="528">
        <f t="shared" si="268"/>
        <v>116.62978316074273</v>
      </c>
      <c r="X32" s="572">
        <f t="shared" si="99"/>
        <v>2.0676062359004082</v>
      </c>
      <c r="Y32" s="573">
        <f t="shared" si="271"/>
        <v>-5.0900153514863079E-2</v>
      </c>
      <c r="Z32" s="575">
        <f t="shared" si="10"/>
        <v>-0.38306571612538137</v>
      </c>
      <c r="AA32" s="572">
        <f t="shared" si="11"/>
        <v>0.88626452947494361</v>
      </c>
      <c r="AB32" s="572">
        <f t="shared" si="12"/>
        <v>-0.26037634478559207</v>
      </c>
      <c r="AC32" s="579">
        <f t="shared" si="100"/>
        <v>1</v>
      </c>
      <c r="AD32" s="580">
        <f t="shared" si="146"/>
        <v>-0.38306571612538137</v>
      </c>
      <c r="AE32" s="572">
        <f t="shared" si="101"/>
        <v>0.88626452947494361</v>
      </c>
      <c r="AF32" s="576">
        <f t="shared" si="102"/>
        <v>-0.26037634478559207</v>
      </c>
      <c r="AG32" s="545">
        <f t="shared" si="103"/>
        <v>73.627698358334044</v>
      </c>
      <c r="AH32" s="546">
        <f t="shared" si="104"/>
        <v>112.52370993539346</v>
      </c>
      <c r="AI32" s="528">
        <f t="shared" si="105"/>
        <v>-74.907605722189075</v>
      </c>
      <c r="AJ32" s="529">
        <f t="shared" si="106"/>
        <v>-156.62479072997638</v>
      </c>
      <c r="AK32" s="578">
        <f t="shared" si="247"/>
        <v>0.96523913824194618</v>
      </c>
      <c r="AL32" s="572">
        <f t="shared" si="107"/>
        <v>-2.2750056748053693E-2</v>
      </c>
      <c r="AM32" s="577">
        <f t="shared" si="108"/>
        <v>-0.26037634478559207</v>
      </c>
      <c r="AN32" s="524">
        <f t="shared" si="109"/>
        <v>-4.9934656900172891</v>
      </c>
      <c r="AO32" s="525">
        <f t="shared" si="110"/>
        <v>15.151269737293214</v>
      </c>
      <c r="AP32" s="528">
        <f t="shared" si="111"/>
        <v>-1.3501741656804014</v>
      </c>
      <c r="AQ32" s="529">
        <f t="shared" si="13"/>
        <v>1.1024561836804889</v>
      </c>
      <c r="AR32" s="979"/>
      <c r="AS32" s="954">
        <f t="shared" si="147"/>
        <v>-243.37021683925727</v>
      </c>
      <c r="AT32" s="950">
        <f t="shared" si="14"/>
        <v>0.11942944132145358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5.1079999999999997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8</v>
      </c>
      <c r="JN32" s="960">
        <f>($JO32-SMALL($JO$9:$JO$88,1))/((Settings!$C$19/2)-((Settings!$C$19/2)-LARGE($JO$9:$JO$88,1))-SMALL($JO$9:$JO$88,1))</f>
        <v>0.51632103698083054</v>
      </c>
      <c r="JO32" s="162">
        <f t="shared" si="134"/>
        <v>2.0676062359004082</v>
      </c>
      <c r="JP32" s="961">
        <f t="shared" si="135"/>
        <v>-4.9934656900172891</v>
      </c>
      <c r="JQ32" s="961">
        <f t="shared" si="136"/>
        <v>15.151269737293214</v>
      </c>
      <c r="JS32" s="82">
        <v>24</v>
      </c>
      <c r="JT32" s="322">
        <f t="shared" si="137"/>
        <v>3.6241109303185666</v>
      </c>
      <c r="JU32" s="963">
        <f t="shared" si="138"/>
        <v>0.98239636845485612</v>
      </c>
      <c r="JV32" s="961">
        <f t="shared" si="287"/>
        <v>-74.941245330664387</v>
      </c>
      <c r="JW32" s="961">
        <f t="shared" si="92"/>
        <v>26.340726971777592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-48.675631059699427</v>
      </c>
      <c r="KD32" s="970">
        <v>-46.714513333333329</v>
      </c>
      <c r="KE32" s="968">
        <f t="shared" si="140"/>
        <v>1.9611177263660977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16.234908051297911</v>
      </c>
      <c r="KG32" s="966">
        <f t="shared" si="244"/>
        <v>-3.936399999999999</v>
      </c>
      <c r="KH32" s="966">
        <f t="shared" si="141"/>
        <v>0.14591706893660472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-2.6230879488618228</v>
      </c>
      <c r="C33" s="572">
        <f t="shared" si="306"/>
        <v>-1.1537428246855326</v>
      </c>
      <c r="D33" s="576">
        <f t="shared" si="306"/>
        <v>-0.20000060320181923</v>
      </c>
      <c r="E33" s="580">
        <f t="shared" ref="E33:K33" si="307">R188</f>
        <v>0.22787245086551491</v>
      </c>
      <c r="F33" s="572">
        <f t="shared" si="307"/>
        <v>-0.95024015409540319</v>
      </c>
      <c r="G33" s="579">
        <f t="shared" si="307"/>
        <v>0.21240949997890371</v>
      </c>
      <c r="H33" s="580">
        <f t="shared" si="307"/>
        <v>0.3125</v>
      </c>
      <c r="I33" s="572">
        <f t="shared" si="307"/>
        <v>0.52</v>
      </c>
      <c r="J33" s="483">
        <f t="shared" si="94"/>
        <v>5.1139999999999999</v>
      </c>
      <c r="K33" s="806">
        <f t="shared" si="307"/>
        <v>1613</v>
      </c>
      <c r="L33" s="309"/>
      <c r="M33" s="164">
        <f t="shared" si="4"/>
        <v>5.1139999999999999</v>
      </c>
      <c r="N33" s="575">
        <f t="shared" si="5"/>
        <v>-2.6230879488618228</v>
      </c>
      <c r="O33" s="572">
        <f t="shared" si="6"/>
        <v>-1.1537428246855326</v>
      </c>
      <c r="P33" s="576">
        <f t="shared" si="7"/>
        <v>-0.20000060320181923</v>
      </c>
      <c r="Q33" s="528">
        <f t="shared" si="144"/>
        <v>203.74188357770385</v>
      </c>
      <c r="R33" s="572">
        <f t="shared" si="95"/>
        <v>2.8656086426756664</v>
      </c>
      <c r="S33" s="577">
        <f t="shared" si="96"/>
        <v>-0.20000060320181923</v>
      </c>
      <c r="T33" s="578">
        <f t="shared" si="97"/>
        <v>-1.2402758384534549</v>
      </c>
      <c r="U33" s="572">
        <f t="shared" si="98"/>
        <v>2.5832980349789403</v>
      </c>
      <c r="V33" s="579">
        <f t="shared" si="145"/>
        <v>-0.20000060320181923</v>
      </c>
      <c r="W33" s="528">
        <f t="shared" si="268"/>
        <v>115.64628330274255</v>
      </c>
      <c r="X33" s="572">
        <f t="shared" si="99"/>
        <v>2.8656086426756664</v>
      </c>
      <c r="Y33" s="573">
        <f t="shared" si="271"/>
        <v>-0.20000060320181923</v>
      </c>
      <c r="Z33" s="575">
        <f t="shared" si="10"/>
        <v>-0.22787245086551491</v>
      </c>
      <c r="AA33" s="572">
        <f t="shared" si="11"/>
        <v>0.95024015409540319</v>
      </c>
      <c r="AB33" s="572">
        <f t="shared" si="12"/>
        <v>-0.21240949997890371</v>
      </c>
      <c r="AC33" s="579">
        <f t="shared" si="100"/>
        <v>1</v>
      </c>
      <c r="AD33" s="580">
        <f t="shared" si="146"/>
        <v>-0.22787245086551491</v>
      </c>
      <c r="AE33" s="572">
        <f t="shared" si="101"/>
        <v>0.95024015409540319</v>
      </c>
      <c r="AF33" s="576">
        <f t="shared" si="102"/>
        <v>-0.21240949997890371</v>
      </c>
      <c r="AG33" s="545">
        <f t="shared" si="103"/>
        <v>77.39967494009872</v>
      </c>
      <c r="AH33" s="546">
        <f t="shared" si="104"/>
        <v>103.17184632380155</v>
      </c>
      <c r="AI33" s="528">
        <f t="shared" si="105"/>
        <v>-77.7364074138289</v>
      </c>
      <c r="AJ33" s="529">
        <f t="shared" si="106"/>
        <v>-166.51482505427509</v>
      </c>
      <c r="AK33" s="578">
        <f t="shared" si="247"/>
        <v>0.96156525382650315</v>
      </c>
      <c r="AL33" s="572">
        <f t="shared" si="107"/>
        <v>-0.17399559463470587</v>
      </c>
      <c r="AM33" s="577">
        <f t="shared" si="108"/>
        <v>-0.21240949997890371</v>
      </c>
      <c r="AN33" s="524">
        <f t="shared" si="109"/>
        <v>-39.322676753629729</v>
      </c>
      <c r="AO33" s="525">
        <f t="shared" si="110"/>
        <v>15.936778823704183</v>
      </c>
      <c r="AP33" s="528">
        <f t="shared" si="111"/>
        <v>-10.256708631978933</v>
      </c>
      <c r="AQ33" s="529">
        <f t="shared" si="13"/>
        <v>0.79549597646886872</v>
      </c>
      <c r="AR33" s="979"/>
      <c r="AS33" s="954">
        <f t="shared" si="147"/>
        <v>-244.35371669725745</v>
      </c>
      <c r="AT33" s="950">
        <f t="shared" si="14"/>
        <v>-2.8988022353002435E-2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5.1139999999999999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14</v>
      </c>
      <c r="JN33" s="960">
        <f>($JO33-SMALL($JO$9:$JO$88,1))/((Settings!$C$19/2)-((Settings!$C$19/2)-LARGE($JO$9:$JO$88,1))-SMALL($JO$9:$JO$88,1))</f>
        <v>0.75527260428971077</v>
      </c>
      <c r="JO33" s="162">
        <f t="shared" si="134"/>
        <v>2.8656086426756664</v>
      </c>
      <c r="JP33" s="961">
        <f t="shared" si="135"/>
        <v>-39.322676753629729</v>
      </c>
      <c r="JQ33" s="961">
        <f t="shared" si="136"/>
        <v>15.936778823704183</v>
      </c>
      <c r="JS33" s="82">
        <v>25</v>
      </c>
      <c r="JT33" s="322">
        <f t="shared" si="137"/>
        <v>3.6465109978771695</v>
      </c>
      <c r="JU33" s="963">
        <f t="shared" si="138"/>
        <v>0.98910378087054374</v>
      </c>
      <c r="JV33" s="961">
        <f t="shared" si="287"/>
        <v>-77.379658115530944</v>
      </c>
      <c r="JW33" s="961">
        <f t="shared" si="92"/>
        <v>28.259860162360681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-52.144263828149967</v>
      </c>
      <c r="KD33" s="970">
        <v>-50.650826666666667</v>
      </c>
      <c r="KE33" s="968">
        <f t="shared" si="140"/>
        <v>1.4934371614832997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16.983314434333092</v>
      </c>
      <c r="KG33" s="966">
        <f t="shared" si="244"/>
        <v>-3.936313333333338</v>
      </c>
      <c r="KH33" s="966">
        <f t="shared" si="141"/>
        <v>0.74840638303518148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-3.1726244007867392</v>
      </c>
      <c r="C34" s="572">
        <f t="shared" si="308"/>
        <v>-1.3361632182930649</v>
      </c>
      <c r="D34" s="576">
        <f t="shared" si="308"/>
        <v>-0.73440221495708025</v>
      </c>
      <c r="E34" s="580">
        <f t="shared" ref="E34:K34" si="309">R189</f>
        <v>6.2015945738616039E-2</v>
      </c>
      <c r="F34" s="572">
        <f t="shared" si="309"/>
        <v>-0.98401318860978537</v>
      </c>
      <c r="G34" s="579">
        <f t="shared" si="309"/>
        <v>0.1669492950453767</v>
      </c>
      <c r="H34" s="580">
        <f t="shared" si="309"/>
        <v>0.3125</v>
      </c>
      <c r="I34" s="572">
        <f t="shared" si="309"/>
        <v>0.52</v>
      </c>
      <c r="J34" s="483">
        <f t="shared" si="94"/>
        <v>5.12</v>
      </c>
      <c r="K34" s="806">
        <f t="shared" si="309"/>
        <v>1613</v>
      </c>
      <c r="L34" s="309"/>
      <c r="M34" s="164">
        <f t="shared" si="4"/>
        <v>5.12</v>
      </c>
      <c r="N34" s="575">
        <f t="shared" si="5"/>
        <v>-3.1726244007867392</v>
      </c>
      <c r="O34" s="572">
        <f t="shared" si="6"/>
        <v>-1.3361632182930649</v>
      </c>
      <c r="P34" s="576">
        <f t="shared" si="7"/>
        <v>-0.73440221495708025</v>
      </c>
      <c r="Q34" s="528">
        <f t="shared" si="144"/>
        <v>202.83858370812425</v>
      </c>
      <c r="R34" s="572">
        <f>IF(M34="","",SQRT(N34^2+O34^2))</f>
        <v>3.4425103826113141</v>
      </c>
      <c r="S34" s="577">
        <f>IF(M34="","",P34)</f>
        <v>-0.73440221495708025</v>
      </c>
      <c r="T34" s="578">
        <f>IF(M34="","",X34*COS(RADIANS(W34)))</f>
        <v>-1.4408576298346027</v>
      </c>
      <c r="U34" s="572">
        <f>IF(M34="","",X34*SIN(RADIANS(W34)))</f>
        <v>3.1264687788196621</v>
      </c>
      <c r="V34" s="579">
        <f>IF(M34="","",Y34)</f>
        <v>-0.73440221495708025</v>
      </c>
      <c r="W34" s="528">
        <f t="shared" si="268"/>
        <v>114.74298343316295</v>
      </c>
      <c r="X34" s="572">
        <f>IF(M34="","",R34)</f>
        <v>3.4425103826113141</v>
      </c>
      <c r="Y34" s="573">
        <f t="shared" si="271"/>
        <v>-0.73440221495708025</v>
      </c>
      <c r="Z34" s="575">
        <f t="shared" si="10"/>
        <v>-6.2015945738616039E-2</v>
      </c>
      <c r="AA34" s="572">
        <f t="shared" si="11"/>
        <v>0.98401318860978537</v>
      </c>
      <c r="AB34" s="572">
        <f t="shared" si="12"/>
        <v>-0.1669492950453767</v>
      </c>
      <c r="AC34" s="579">
        <f>IF(M34="","",SQRT(Z34^2+AA34^2+AB34^2))</f>
        <v>1</v>
      </c>
      <c r="AD34" s="580">
        <f>IF(M34="","",Z34*(1/SQRT(Z34^2+AA34^2+AB34^2)))</f>
        <v>-6.2015945738616039E-2</v>
      </c>
      <c r="AE34" s="572">
        <f>IF(M34="","",AA34*(1/SQRT(Z34^2+AA34^2+AB34^2)))</f>
        <v>0.98401318860978537</v>
      </c>
      <c r="AF34" s="576">
        <f>IF(M34="","",AB34*(1/SQRT(Z34^2+AA34^2+AB34^2)))</f>
        <v>-0.1669492950453767</v>
      </c>
      <c r="AG34" s="545">
        <f>IF(M34="","",DEGREES(ATAN2(-AF34,AE34)))</f>
        <v>80.370797592437768</v>
      </c>
      <c r="AH34" s="546">
        <f>IF(M34="","",DEGREES(ACOS(AD34)))</f>
        <v>93.555533525431358</v>
      </c>
      <c r="AI34" s="528">
        <f>IF(M34="","",DEGREES(-ACOS(-AF34)))</f>
        <v>-80.389508256491368</v>
      </c>
      <c r="AJ34" s="529">
        <f>IF(M34="","",DEGREES(ATAN2(-AE34,AD34)))</f>
        <v>-176.39378951863642</v>
      </c>
      <c r="AK34" s="578">
        <f>IF(M34="","",(COS(RADIANS((90-$Q$8)-W34))*AD34)+(-SIN(RADIANS((90-$Q$8)-W34))*AE34))</f>
        <v>0.93093914682458878</v>
      </c>
      <c r="AL34" s="572">
        <f>IF(M34="","",(SIN(RADIANS((90-$Q$8)-W34))*AD34)+(COS(RADIANS((90-$Q$8)-W34))*AE34))</f>
        <v>-0.32477721255247965</v>
      </c>
      <c r="AM34" s="577">
        <f>IF(M34="","",AF34)</f>
        <v>-0.1669492950453767</v>
      </c>
      <c r="AN34" s="524">
        <f>IF(M34="","",DEGREES(ATAN2(-AM34,AL34)))</f>
        <v>-62.794909243580292</v>
      </c>
      <c r="AO34" s="525">
        <f t="shared" si="110"/>
        <v>21.418312808829032</v>
      </c>
      <c r="AP34" s="528">
        <f>IF(M34="","",DEGREES(ATAN2(AK34,AL34)))</f>
        <v>-19.232373226760679</v>
      </c>
      <c r="AQ34" s="529">
        <f t="shared" si="13"/>
        <v>0.66219847479766092</v>
      </c>
      <c r="AR34" s="979"/>
      <c r="AS34" s="954">
        <f t="shared" si="147"/>
        <v>-245.25701656683705</v>
      </c>
      <c r="AT34" s="950">
        <f t="shared" si="14"/>
        <v>-0.5627623425321665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5.12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20</v>
      </c>
      <c r="JN34" s="960">
        <f>($JO34-SMALL($JO$9:$JO$88,1))/((Settings!$C$19/2)-((Settings!$C$19/2)-LARGE($JO$9:$JO$88,1))-SMALL($JO$9:$JO$88,1))</f>
        <v>0.92801841779910066</v>
      </c>
      <c r="JO34" s="162">
        <f t="shared" si="134"/>
        <v>3.4425103826113141</v>
      </c>
      <c r="JP34" s="961">
        <f t="shared" si="135"/>
        <v>-62.794909243580292</v>
      </c>
      <c r="JQ34" s="961">
        <f t="shared" si="136"/>
        <v>21.418312808829032</v>
      </c>
      <c r="JS34" s="82">
        <v>26</v>
      </c>
      <c r="JT34" s="322">
        <f t="shared" si="137"/>
        <v>3.6554110247196503</v>
      </c>
      <c r="JU34" s="963">
        <f t="shared" si="138"/>
        <v>0.99176877955356246</v>
      </c>
      <c r="JV34" s="961">
        <f t="shared" si="287"/>
        <v>-79.987410921533524</v>
      </c>
      <c r="JW34" s="961">
        <f t="shared" si="92"/>
        <v>30.163820760922629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-55.234655669247303</v>
      </c>
      <c r="KD34" s="970">
        <v>-54.587139999999998</v>
      </c>
      <c r="KE34" s="968">
        <f t="shared" si="140"/>
        <v>0.64751566924730497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17.894430858825107</v>
      </c>
      <c r="KG34" s="966">
        <f t="shared" si="244"/>
        <v>-3.9363133333333309</v>
      </c>
      <c r="KH34" s="966">
        <f t="shared" si="141"/>
        <v>0.91111642449201469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-3.3773819571618362</v>
      </c>
      <c r="C35" s="572">
        <f t="shared" si="310"/>
        <v>-1.3983278853972874</v>
      </c>
      <c r="D35" s="576">
        <f t="shared" si="310"/>
        <v>-1.4729044422797983</v>
      </c>
      <c r="E35" s="580">
        <f t="shared" ref="E35:K35" si="311">R190</f>
        <v>-0.12644727297354347</v>
      </c>
      <c r="F35" s="572">
        <f t="shared" si="311"/>
        <v>-0.98811886520376135</v>
      </c>
      <c r="G35" s="579">
        <f t="shared" si="311"/>
        <v>8.7362436927921824E-2</v>
      </c>
      <c r="H35" s="580">
        <f t="shared" si="311"/>
        <v>0.3125</v>
      </c>
      <c r="I35" s="572">
        <f t="shared" si="311"/>
        <v>0.52</v>
      </c>
      <c r="J35" s="483">
        <f t="shared" si="94"/>
        <v>5.1260000000000003</v>
      </c>
      <c r="K35" s="806">
        <f t="shared" si="311"/>
        <v>1613</v>
      </c>
      <c r="L35" s="309"/>
      <c r="M35" s="164">
        <f t="shared" si="4"/>
        <v>5.1260000000000003</v>
      </c>
      <c r="N35" s="575">
        <f t="shared" si="5"/>
        <v>-3.3773819571618362</v>
      </c>
      <c r="O35" s="572">
        <f t="shared" si="6"/>
        <v>-1.3983278853972874</v>
      </c>
      <c r="P35" s="576">
        <f t="shared" si="7"/>
        <v>-1.4729044422797983</v>
      </c>
      <c r="Q35" s="528">
        <f t="shared" si="144"/>
        <v>202.49088375832591</v>
      </c>
      <c r="R35" s="572">
        <f>IF(M35="","",SQRT(N35^2+O35^2))</f>
        <v>3.6554110247196503</v>
      </c>
      <c r="S35" s="577">
        <f>IF(M35="","",P35)</f>
        <v>-1.4729044422797983</v>
      </c>
      <c r="T35" s="578">
        <f>IF(M35="","",X35*COS(RADIANS(W35)))</f>
        <v>-1.5097924492554198</v>
      </c>
      <c r="U35" s="572">
        <f>IF(M35="","",X35*SIN(RADIANS(W35)))</f>
        <v>3.3290473892411452</v>
      </c>
      <c r="V35" s="579">
        <f>IF(M35="","",Y35)</f>
        <v>-1.4729044422797983</v>
      </c>
      <c r="W35" s="528">
        <f t="shared" si="268"/>
        <v>114.39528348336461</v>
      </c>
      <c r="X35" s="572">
        <f>IF(M35="","",R35)</f>
        <v>3.6554110247196503</v>
      </c>
      <c r="Y35" s="573">
        <f t="shared" si="271"/>
        <v>-1.4729044422797983</v>
      </c>
      <c r="Z35" s="575">
        <f t="shared" si="10"/>
        <v>0.12644727297354347</v>
      </c>
      <c r="AA35" s="572">
        <f t="shared" si="11"/>
        <v>0.98811886520376135</v>
      </c>
      <c r="AB35" s="572">
        <f t="shared" si="12"/>
        <v>-8.7362436927921824E-2</v>
      </c>
      <c r="AC35" s="579">
        <f>IF(M35="","",SQRT(Z35^2+AA35^2+AB35^2))</f>
        <v>1</v>
      </c>
      <c r="AD35" s="580">
        <f>IF(M35="","",Z35*(1/SQRT(Z35^2+AA35^2+AB35^2)))</f>
        <v>0.12644727297354347</v>
      </c>
      <c r="AE35" s="572">
        <f>IF(M35="","",AA35*(1/SQRT(Z35^2+AA35^2+AB35^2)))</f>
        <v>0.98811886520376135</v>
      </c>
      <c r="AF35" s="576">
        <f>IF(M35="","",AB35*(1/SQRT(Z35^2+AA35^2+AB35^2)))</f>
        <v>-8.7362436927921824E-2</v>
      </c>
      <c r="AG35" s="545">
        <f>IF(M35="","",DEGREES(ATAN2(-AF35,AE35)))</f>
        <v>84.947452640123259</v>
      </c>
      <c r="AH35" s="546">
        <f>IF(M35="","",DEGREES(ACOS(AD35)))</f>
        <v>82.735658349176177</v>
      </c>
      <c r="AI35" s="528">
        <f>IF(M35="","",DEGREES(-ACOS(-AF35)))</f>
        <v>-84.988111950629914</v>
      </c>
      <c r="AJ35" s="529">
        <f>IF(M35="","",DEGREES(ATAN2(-AE35,AD35)))</f>
        <v>172.70762597688699</v>
      </c>
      <c r="AK35" s="578">
        <f>IF(M35="","",(COS(RADIANS((90-$Q$8)-W35))*AD35)+(-SIN(RADIANS((90-$Q$8)-W35))*AE35))</f>
        <v>0.86459225998571565</v>
      </c>
      <c r="AL35" s="572">
        <f>IF(M35="","",(SIN(RADIANS((90-$Q$8)-W35))*AD35)+(COS(RADIANS((90-$Q$8)-W35))*AE35))</f>
        <v>-0.49482120870755697</v>
      </c>
      <c r="AM35" s="577">
        <f>IF(M35="","",AF35)</f>
        <v>-8.7362436927921824E-2</v>
      </c>
      <c r="AN35" s="524">
        <f>IF(M35="","",DEGREES(ATAN2(-AM35,AL35)))</f>
        <v>-79.987410921533524</v>
      </c>
      <c r="AO35" s="525">
        <f t="shared" si="110"/>
        <v>30.163820760922629</v>
      </c>
      <c r="AP35" s="528">
        <f>IF(M35="","",DEGREES(ATAN2(AK35,AL35)))</f>
        <v>-29.783257781438905</v>
      </c>
      <c r="AQ35" s="529">
        <f t="shared" si="13"/>
        <v>0.6236334541730405</v>
      </c>
      <c r="AR35" s="979"/>
      <c r="AS35" s="954">
        <f t="shared" si="147"/>
        <v>-245.60471651663539</v>
      </c>
      <c r="AT35" s="950">
        <f t="shared" si="14"/>
        <v>-1.3010231115564135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5.1260000000000003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26</v>
      </c>
      <c r="JN35" s="960">
        <f>($JO35-SMALL($JO$9:$JO$88,1))/((Settings!$C$19/2)-((Settings!$C$19/2)-LARGE($JO$9:$JO$88,1))-SMALL($JO$9:$JO$88,1))</f>
        <v>0.99176877955356246</v>
      </c>
      <c r="JO35" s="162">
        <f t="shared" si="134"/>
        <v>3.6554110247196503</v>
      </c>
      <c r="JP35" s="961">
        <f t="shared" si="135"/>
        <v>-79.987410921533524</v>
      </c>
      <c r="JQ35" s="961">
        <f t="shared" si="136"/>
        <v>30.163820760922629</v>
      </c>
      <c r="JS35" s="82">
        <v>27</v>
      </c>
      <c r="JT35" s="322">
        <f t="shared" si="137"/>
        <v>3.682900000000001</v>
      </c>
      <c r="JU35" s="963">
        <f t="shared" si="138"/>
        <v>1</v>
      </c>
      <c r="JV35" s="961">
        <f t="shared" si="287"/>
        <v>-89.999987005609611</v>
      </c>
      <c r="JW35" s="961">
        <f t="shared" si="92"/>
        <v>29.999999999999964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-58.212930855626858</v>
      </c>
      <c r="KD35" s="970">
        <v>-58.523539999999997</v>
      </c>
      <c r="KE35" s="968">
        <f t="shared" si="140"/>
        <v>-0.31060914437313869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18.782431029946824</v>
      </c>
      <c r="KG35" s="966">
        <f t="shared" si="244"/>
        <v>-3.936399999999999</v>
      </c>
      <c r="KH35" s="966">
        <f t="shared" si="141"/>
        <v>0.88800017112171759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-3.4041530440472201</v>
      </c>
      <c r="C36" s="572">
        <f t="shared" si="312"/>
        <v>-1.4055228431811582</v>
      </c>
      <c r="D36" s="576">
        <f t="shared" si="312"/>
        <v>-2.2440000000000002</v>
      </c>
      <c r="E36" s="580">
        <f t="shared" ref="E36:K36" si="313">R191</f>
        <v>-0.1316511537726659</v>
      </c>
      <c r="F36" s="572">
        <f t="shared" si="313"/>
        <v>-0.99129610798707013</v>
      </c>
      <c r="G36" s="579">
        <f t="shared" si="313"/>
        <v>1.1339744835756774E-7</v>
      </c>
      <c r="H36" s="580">
        <f t="shared" si="313"/>
        <v>0.3125</v>
      </c>
      <c r="I36" s="572">
        <f t="shared" si="313"/>
        <v>0.52</v>
      </c>
      <c r="J36" s="483">
        <f t="shared" si="94"/>
        <v>5.1319999999999997</v>
      </c>
      <c r="K36" s="806">
        <f t="shared" si="313"/>
        <v>1613</v>
      </c>
      <c r="L36" s="309"/>
      <c r="M36" s="164">
        <f t="shared" si="4"/>
        <v>5.1319999999999997</v>
      </c>
      <c r="N36" s="575">
        <f t="shared" si="5"/>
        <v>-3.4041530440472201</v>
      </c>
      <c r="O36" s="572">
        <f t="shared" si="6"/>
        <v>-1.4055228431811582</v>
      </c>
      <c r="P36" s="576">
        <f t="shared" si="7"/>
        <v>-2.2440000000000002</v>
      </c>
      <c r="Q36" s="528">
        <f t="shared" si="144"/>
        <v>202.43498339605671</v>
      </c>
      <c r="R36" s="572">
        <f>IF(M36="","",SQRT(N36^2+O36^2))</f>
        <v>3.6829000000000001</v>
      </c>
      <c r="S36" s="577">
        <f>IF(M36="","",P36)</f>
        <v>-2.2440000000000002</v>
      </c>
      <c r="T36" s="578">
        <f>IF(M36="","",X36*COS(RADIANS(W36)))</f>
        <v>-1.5178730877987274</v>
      </c>
      <c r="U36" s="572">
        <f>IF(M36="","",X36*SIN(RADIANS(W36)))</f>
        <v>3.3555645872693849</v>
      </c>
      <c r="V36" s="579">
        <f>IF(M36="","",Y36)</f>
        <v>-2.2440000000000002</v>
      </c>
      <c r="W36" s="528">
        <f t="shared" si="268"/>
        <v>114.33938312109541</v>
      </c>
      <c r="X36" s="572">
        <f>IF(M36="","",R36)</f>
        <v>3.6829000000000001</v>
      </c>
      <c r="Y36" s="573">
        <f t="shared" si="271"/>
        <v>-2.2440000000000002</v>
      </c>
      <c r="Z36" s="575">
        <f t="shared" si="10"/>
        <v>0.1316511537726659</v>
      </c>
      <c r="AA36" s="572">
        <f t="shared" si="11"/>
        <v>0.99129610798707013</v>
      </c>
      <c r="AB36" s="572">
        <f t="shared" si="12"/>
        <v>-1.1339744835756774E-7</v>
      </c>
      <c r="AC36" s="579">
        <f>IF(M36="","",SQRT(Z36^2+AA36^2+AB36^2))</f>
        <v>1</v>
      </c>
      <c r="AD36" s="580">
        <f>IF(M36="","",Z36*(1/SQRT(Z36^2+AA36^2+AB36^2)))</f>
        <v>0.1316511537726659</v>
      </c>
      <c r="AE36" s="572">
        <f>IF(M36="","",AA36*(1/SQRT(Z36^2+AA36^2+AB36^2)))</f>
        <v>0.99129610798707013</v>
      </c>
      <c r="AF36" s="576">
        <f>IF(M36="","",AB36*(1/SQRT(Z36^2+AA36^2+AB36^2)))</f>
        <v>-1.1339744835756774E-7</v>
      </c>
      <c r="AG36" s="545">
        <f>IF(M36="","",DEGREES(ATAN2(-AF36,AE36)))</f>
        <v>89.999993445757383</v>
      </c>
      <c r="AH36" s="546">
        <f>IF(M36="","",DEGREES(ACOS(AD36)))</f>
        <v>82.43498339605739</v>
      </c>
      <c r="AI36" s="528">
        <f>IF(M36="","",DEGREES(-ACOS(-AF36)))</f>
        <v>-89.999993502804799</v>
      </c>
      <c r="AJ36" s="529">
        <f>IF(M36="","",DEGREES(ATAN2(-AE36,AD36)))</f>
        <v>172.43498339605733</v>
      </c>
      <c r="AK36" s="578">
        <f>IF(M36="","",(COS(RADIANS((90-$Q$8)-W36))*AD36)+(-SIN(RADIANS((90-$Q$8)-W36))*AE36))</f>
        <v>0.86602540378443871</v>
      </c>
      <c r="AL36" s="572">
        <f>IF(M36="","",(SIN(RADIANS((90-$Q$8)-W36))*AD36)+(COS(RADIANS((90-$Q$8)-W36))*AE36))</f>
        <v>-0.49999999999998707</v>
      </c>
      <c r="AM36" s="577">
        <f>IF(M36="","",AF36)</f>
        <v>-1.1339744835756774E-7</v>
      </c>
      <c r="AN36" s="524">
        <f>IF(M36="","",DEGREES(ATAN2(-AM36,AL36)))</f>
        <v>-89.999987005609611</v>
      </c>
      <c r="AO36" s="525">
        <f t="shared" si="110"/>
        <v>29.999999999999993</v>
      </c>
      <c r="AP36" s="528">
        <f>IF(M36="","",DEGREES(ATAN2(AK36,AL36)))</f>
        <v>-29.999999999999357</v>
      </c>
      <c r="AQ36" s="529">
        <f t="shared" si="13"/>
        <v>0.61897904982222918</v>
      </c>
      <c r="AR36" s="979"/>
      <c r="AS36" s="954">
        <f t="shared" si="147"/>
        <v>-245.66061687890459</v>
      </c>
      <c r="AT36" s="950">
        <f t="shared" si="14"/>
        <v>-2.0720798495805952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5.1319999999999997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32</v>
      </c>
      <c r="JN36" s="960">
        <f>($JO36-SMALL($JO$9:$JO$88,1))/((Settings!$C$19/2)-((Settings!$C$19/2)-LARGE($JO$9:$JO$88,1))-SMALL($JO$9:$JO$88,1))</f>
        <v>0.99999999999999978</v>
      </c>
      <c r="JO36" s="162">
        <f t="shared" si="134"/>
        <v>3.6829000000000001</v>
      </c>
      <c r="JP36" s="961">
        <f t="shared" si="135"/>
        <v>-89.999987005609611</v>
      </c>
      <c r="JQ36" s="961">
        <f t="shared" si="136"/>
        <v>29.999999999999993</v>
      </c>
      <c r="JS36" s="82">
        <v>28</v>
      </c>
      <c r="JT36" s="322">
        <f t="shared" si="137"/>
        <v>3.6829000000000001</v>
      </c>
      <c r="JU36" s="963">
        <f t="shared" si="138"/>
        <v>0.99999999999999978</v>
      </c>
      <c r="JV36" s="961">
        <f t="shared" si="287"/>
        <v>-89.999987005609611</v>
      </c>
      <c r="JW36" s="961">
        <f t="shared" si="92"/>
        <v>29.999999999999979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-60.745556954710949</v>
      </c>
      <c r="KD36" s="970">
        <v>-62.459853333333328</v>
      </c>
      <c r="KE36" s="968">
        <f t="shared" si="140"/>
        <v>-1.7142963786223788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19.721559806821212</v>
      </c>
      <c r="KG36" s="966">
        <f t="shared" si="244"/>
        <v>-3.9363133333333309</v>
      </c>
      <c r="KH36" s="966">
        <f t="shared" si="141"/>
        <v>0.93912877687438723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-2.3500167777238667</v>
      </c>
      <c r="C37" s="572">
        <f t="shared" si="314"/>
        <v>1.416687178872938</v>
      </c>
      <c r="D37" s="576">
        <f t="shared" si="314"/>
        <v>-0.14460043611491535</v>
      </c>
      <c r="E37" s="580">
        <f t="shared" ref="E37:K37" si="315">R192</f>
        <v>-0.62698968411023592</v>
      </c>
      <c r="F37" s="572">
        <f t="shared" si="315"/>
        <v>-0.74569441857092555</v>
      </c>
      <c r="G37" s="579">
        <f t="shared" si="315"/>
        <v>0.22544127867698924</v>
      </c>
      <c r="H37" s="580">
        <f t="shared" si="315"/>
        <v>0.3125</v>
      </c>
      <c r="I37" s="572">
        <f t="shared" si="315"/>
        <v>0.52</v>
      </c>
      <c r="J37" s="483">
        <f t="shared" si="94"/>
        <v>6.1130000000000004</v>
      </c>
      <c r="K37" s="806">
        <f t="shared" si="315"/>
        <v>1613</v>
      </c>
      <c r="L37" s="309"/>
      <c r="M37" s="164">
        <f t="shared" si="4"/>
        <v>6.1130000000000004</v>
      </c>
      <c r="N37" s="575">
        <f t="shared" si="5"/>
        <v>-2.3500167777238667</v>
      </c>
      <c r="O37" s="572">
        <f t="shared" si="6"/>
        <v>1.416687178872938</v>
      </c>
      <c r="P37" s="576">
        <f t="shared" si="7"/>
        <v>-0.14460043611491535</v>
      </c>
      <c r="Q37" s="528">
        <f t="shared" si="144"/>
        <v>148.9166914934822</v>
      </c>
      <c r="R37" s="572">
        <f t="shared" si="95"/>
        <v>2.744008275928961</v>
      </c>
      <c r="S37" s="577">
        <f t="shared" si="96"/>
        <v>-0.14460043611491535</v>
      </c>
      <c r="T37" s="578">
        <f t="shared" si="97"/>
        <v>1.3378091127260694</v>
      </c>
      <c r="U37" s="572">
        <f t="shared" si="98"/>
        <v>2.3957980291071523</v>
      </c>
      <c r="V37" s="579">
        <f t="shared" si="145"/>
        <v>-0.14460043611491535</v>
      </c>
      <c r="W37" s="528">
        <f t="shared" si="268"/>
        <v>60.821091218520905</v>
      </c>
      <c r="X37" s="572">
        <f t="shared" si="99"/>
        <v>2.744008275928961</v>
      </c>
      <c r="Y37" s="573">
        <f t="shared" si="271"/>
        <v>-0.14460043611491535</v>
      </c>
      <c r="Z37" s="575">
        <f t="shared" si="10"/>
        <v>0.62698968411023592</v>
      </c>
      <c r="AA37" s="572">
        <f t="shared" si="11"/>
        <v>0.74569441857092555</v>
      </c>
      <c r="AB37" s="572">
        <f t="shared" si="12"/>
        <v>-0.22544127867698924</v>
      </c>
      <c r="AC37" s="579">
        <f t="shared" si="100"/>
        <v>1</v>
      </c>
      <c r="AD37" s="580">
        <f t="shared" si="146"/>
        <v>0.62698968411023592</v>
      </c>
      <c r="AE37" s="572">
        <f t="shared" si="101"/>
        <v>0.74569441857092555</v>
      </c>
      <c r="AF37" s="576">
        <f t="shared" si="102"/>
        <v>-0.22544127867698924</v>
      </c>
      <c r="AG37" s="545">
        <f t="shared" si="103"/>
        <v>73.178675996188858</v>
      </c>
      <c r="AH37" s="546">
        <f t="shared" si="104"/>
        <v>51.171625553843668</v>
      </c>
      <c r="AI37" s="528">
        <f t="shared" si="105"/>
        <v>-76.971171714987818</v>
      </c>
      <c r="AJ37" s="529">
        <f t="shared" si="106"/>
        <v>139.942435228135</v>
      </c>
      <c r="AK37" s="578">
        <f t="shared" si="247"/>
        <v>0.96233042175039218</v>
      </c>
      <c r="AL37" s="572">
        <f t="shared" si="107"/>
        <v>-0.15197496255040316</v>
      </c>
      <c r="AM37" s="577">
        <f t="shared" si="108"/>
        <v>-0.22544127867698924</v>
      </c>
      <c r="AN37" s="524">
        <f t="shared" si="109"/>
        <v>-33.984782847792445</v>
      </c>
      <c r="AO37" s="525">
        <f t="shared" si="110"/>
        <v>15.776324505550736</v>
      </c>
      <c r="AP37" s="528">
        <f t="shared" si="111"/>
        <v>-8.974256265347206</v>
      </c>
      <c r="AQ37" s="529">
        <f t="shared" si="13"/>
        <v>0.83074344065065708</v>
      </c>
      <c r="AR37" s="979"/>
      <c r="AS37" s="954">
        <f t="shared" si="147"/>
        <v>-299.17890878147909</v>
      </c>
      <c r="AT37" s="950">
        <f t="shared" si="14"/>
        <v>6.4485194792388706E-2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6.1130000000000004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13</v>
      </c>
      <c r="JN37" s="960">
        <f>($JO37-SMALL($JO$9:$JO$88,1))/((Settings!$C$19/2)-((Settings!$C$19/2)-LARGE($JO$9:$JO$88,1))-SMALL($JO$9:$JO$88,1))</f>
        <v>0.71886093689026254</v>
      </c>
      <c r="JO37" s="162">
        <f t="shared" si="134"/>
        <v>2.744008275928961</v>
      </c>
      <c r="JP37" s="961">
        <f t="shared" si="135"/>
        <v>-33.984782847792445</v>
      </c>
      <c r="JQ37" s="961">
        <f t="shared" si="136"/>
        <v>15.776324505550736</v>
      </c>
      <c r="JS37" s="82">
        <v>29</v>
      </c>
      <c r="JT37" s="322">
        <f t="shared" si="137"/>
        <v>3.6828999999999996</v>
      </c>
      <c r="JU37" s="963">
        <f t="shared" si="138"/>
        <v>0.99999999999999956</v>
      </c>
      <c r="JV37" s="961">
        <f t="shared" si="287"/>
        <v>-89.999987005609626</v>
      </c>
      <c r="JW37" s="961">
        <f t="shared" si="92"/>
        <v>29.999999999999915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-62.65903120220792</v>
      </c>
      <c r="KD37" s="970">
        <v>-66.344253333333327</v>
      </c>
      <c r="KE37" s="968">
        <f t="shared" si="140"/>
        <v>-3.685222131125407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21.305813129853529</v>
      </c>
      <c r="KG37" s="966">
        <f t="shared" si="244"/>
        <v>-3.8843999999999994</v>
      </c>
      <c r="KH37" s="966">
        <f t="shared" si="141"/>
        <v>1.5842533230323177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-2.8550157045317262</v>
      </c>
      <c r="C38" s="572">
        <f t="shared" si="316"/>
        <v>1.7867226283674618</v>
      </c>
      <c r="D38" s="576">
        <f t="shared" si="316"/>
        <v>-0.62650188952969921</v>
      </c>
      <c r="E38" s="580">
        <f t="shared" ref="E38:K38" si="317">R193</f>
        <v>-0.745805782678857</v>
      </c>
      <c r="F38" s="572">
        <f t="shared" si="317"/>
        <v>-0.64555778936451336</v>
      </c>
      <c r="G38" s="579">
        <f t="shared" si="317"/>
        <v>0.16440460794509487</v>
      </c>
      <c r="H38" s="580">
        <f t="shared" si="317"/>
        <v>0.3125</v>
      </c>
      <c r="I38" s="572">
        <f t="shared" si="317"/>
        <v>0.52</v>
      </c>
      <c r="J38" s="483">
        <f t="shared" si="94"/>
        <v>6.1189999999999998</v>
      </c>
      <c r="K38" s="806">
        <f t="shared" si="317"/>
        <v>1613</v>
      </c>
      <c r="L38" s="309"/>
      <c r="M38" s="164">
        <f t="shared" si="4"/>
        <v>6.1189999999999998</v>
      </c>
      <c r="N38" s="575">
        <f t="shared" si="5"/>
        <v>-2.8550157045317262</v>
      </c>
      <c r="O38" s="572">
        <f t="shared" si="6"/>
        <v>1.7867226283674618</v>
      </c>
      <c r="P38" s="576">
        <f t="shared" si="7"/>
        <v>-0.62650188952969921</v>
      </c>
      <c r="Q38" s="528">
        <f t="shared" si="144"/>
        <v>147.96089163148264</v>
      </c>
      <c r="R38" s="572">
        <f t="shared" si="95"/>
        <v>3.3680101579186368</v>
      </c>
      <c r="S38" s="577">
        <f t="shared" si="96"/>
        <v>-0.62650188952969921</v>
      </c>
      <c r="T38" s="578">
        <f t="shared" si="97"/>
        <v>1.6908580925926948</v>
      </c>
      <c r="U38" s="572">
        <f t="shared" si="98"/>
        <v>2.9128150189390531</v>
      </c>
      <c r="V38" s="579">
        <f t="shared" si="145"/>
        <v>-0.62650188952969921</v>
      </c>
      <c r="W38" s="528">
        <f t="shared" si="268"/>
        <v>59.86529135652134</v>
      </c>
      <c r="X38" s="572">
        <f t="shared" si="99"/>
        <v>3.3680101579186368</v>
      </c>
      <c r="Y38" s="573">
        <f t="shared" si="271"/>
        <v>-0.62650188952969921</v>
      </c>
      <c r="Z38" s="575">
        <f t="shared" si="10"/>
        <v>0.745805782678857</v>
      </c>
      <c r="AA38" s="572">
        <f t="shared" si="11"/>
        <v>0.64555778936451336</v>
      </c>
      <c r="AB38" s="572">
        <f t="shared" si="12"/>
        <v>-0.16440460794509487</v>
      </c>
      <c r="AC38" s="579">
        <f t="shared" si="100"/>
        <v>1</v>
      </c>
      <c r="AD38" s="580">
        <f t="shared" si="146"/>
        <v>0.745805782678857</v>
      </c>
      <c r="AE38" s="572">
        <f t="shared" si="101"/>
        <v>0.64555778936451336</v>
      </c>
      <c r="AF38" s="576">
        <f t="shared" si="102"/>
        <v>-0.16440460794509487</v>
      </c>
      <c r="AG38" s="545">
        <f t="shared" si="103"/>
        <v>75.712168944051655</v>
      </c>
      <c r="AH38" s="546">
        <f t="shared" si="104"/>
        <v>41.771643683703523</v>
      </c>
      <c r="AI38" s="528">
        <f t="shared" si="105"/>
        <v>-80.537351310758041</v>
      </c>
      <c r="AJ38" s="529">
        <f t="shared" si="106"/>
        <v>130.87895013402883</v>
      </c>
      <c r="AK38" s="578">
        <f t="shared" si="247"/>
        <v>0.94287889471822817</v>
      </c>
      <c r="AL38" s="572">
        <f t="shared" si="107"/>
        <v>-0.2897421522342794</v>
      </c>
      <c r="AM38" s="577">
        <f t="shared" si="108"/>
        <v>-0.16440460794509487</v>
      </c>
      <c r="AN38" s="524">
        <f t="shared" si="109"/>
        <v>-60.428688938049135</v>
      </c>
      <c r="AO38" s="525">
        <f t="shared" si="110"/>
        <v>19.459210204251015</v>
      </c>
      <c r="AP38" s="528">
        <f t="shared" si="111"/>
        <v>-17.081941497453812</v>
      </c>
      <c r="AQ38" s="529">
        <f t="shared" si="13"/>
        <v>0.6768449256392951</v>
      </c>
      <c r="AR38" s="979"/>
      <c r="AS38" s="954">
        <f t="shared" si="147"/>
        <v>-300.13470864347869</v>
      </c>
      <c r="AT38" s="950">
        <f t="shared" si="14"/>
        <v>-0.41675250871822878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6.1189999999999998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19</v>
      </c>
      <c r="JN38" s="960">
        <f>($JO38-SMALL($JO$9:$JO$88,1))/((Settings!$C$19/2)-((Settings!$C$19/2)-LARGE($JO$9:$JO$88,1))-SMALL($JO$9:$JO$88,1))</f>
        <v>0.90571028275585308</v>
      </c>
      <c r="JO38" s="162">
        <f t="shared" si="134"/>
        <v>3.3680101579186368</v>
      </c>
      <c r="JP38" s="961">
        <f t="shared" si="135"/>
        <v>-60.428688938049135</v>
      </c>
      <c r="JQ38" s="961">
        <f t="shared" si="136"/>
        <v>19.459210204251015</v>
      </c>
      <c r="JS38" s="82">
        <v>30</v>
      </c>
      <c r="JT38" s="322">
        <f t="shared" si="137"/>
        <v>3.6829000000000005</v>
      </c>
      <c r="JU38" s="963">
        <f t="shared" si="138"/>
        <v>0.99999999999999989</v>
      </c>
      <c r="JV38" s="961">
        <f t="shared" si="287"/>
        <v>-89.999987005609611</v>
      </c>
      <c r="JW38" s="961">
        <f t="shared" si="92"/>
        <v>29.999999999999915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-65.205881713108411</v>
      </c>
      <c r="KD38" s="970">
        <v>-70.228653333333327</v>
      </c>
      <c r="KE38" s="968">
        <f t="shared" si="140"/>
        <v>-5.0227716202249155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22.15575929769971</v>
      </c>
      <c r="KG38" s="966">
        <f t="shared" si="244"/>
        <v>-3.8843999999999994</v>
      </c>
      <c r="KH38" s="966">
        <f t="shared" si="141"/>
        <v>0.8499461678461806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-3.0752307077382093</v>
      </c>
      <c r="C39" s="572">
        <f t="shared" si="318"/>
        <v>1.959591424716669</v>
      </c>
      <c r="D39" s="576">
        <f t="shared" si="318"/>
        <v>-1.342004047484207</v>
      </c>
      <c r="E39" s="580">
        <f t="shared" ref="E39:K39" si="319">R194</f>
        <v>-0.8629840367137348</v>
      </c>
      <c r="F39" s="572">
        <f t="shared" si="319"/>
        <v>-0.49452698623376856</v>
      </c>
      <c r="G39" s="579">
        <f t="shared" si="319"/>
        <v>0.10344859720563426</v>
      </c>
      <c r="H39" s="580">
        <f t="shared" si="319"/>
        <v>0.3125</v>
      </c>
      <c r="I39" s="572">
        <f t="shared" si="319"/>
        <v>0.52</v>
      </c>
      <c r="J39" s="483">
        <f t="shared" si="94"/>
        <v>6.125</v>
      </c>
      <c r="K39" s="806">
        <f t="shared" si="319"/>
        <v>1613</v>
      </c>
      <c r="L39" s="309"/>
      <c r="M39" s="164">
        <f t="shared" si="4"/>
        <v>6.125</v>
      </c>
      <c r="N39" s="575">
        <f t="shared" si="5"/>
        <v>-3.0752307077382093</v>
      </c>
      <c r="O39" s="572">
        <f t="shared" si="6"/>
        <v>1.959591424716669</v>
      </c>
      <c r="P39" s="576">
        <f t="shared" si="7"/>
        <v>-1.342004047484207</v>
      </c>
      <c r="Q39" s="528">
        <f t="shared" si="144"/>
        <v>147.49399169889463</v>
      </c>
      <c r="R39" s="572">
        <f t="shared" si="95"/>
        <v>3.6465109978771695</v>
      </c>
      <c r="S39" s="577">
        <f t="shared" si="96"/>
        <v>-1.342004047484207</v>
      </c>
      <c r="T39" s="578">
        <f t="shared" si="97"/>
        <v>1.8563132391663064</v>
      </c>
      <c r="U39" s="572">
        <f t="shared" si="98"/>
        <v>3.1386531531430877</v>
      </c>
      <c r="V39" s="579">
        <f t="shared" si="145"/>
        <v>-1.342004047484207</v>
      </c>
      <c r="W39" s="528">
        <f t="shared" si="268"/>
        <v>59.398391423933333</v>
      </c>
      <c r="X39" s="572">
        <f t="shared" si="99"/>
        <v>3.6465109978771695</v>
      </c>
      <c r="Y39" s="573">
        <f t="shared" si="271"/>
        <v>-1.342004047484207</v>
      </c>
      <c r="Z39" s="575">
        <f t="shared" si="10"/>
        <v>0.8629840367137348</v>
      </c>
      <c r="AA39" s="572">
        <f t="shared" si="11"/>
        <v>0.49452698623376856</v>
      </c>
      <c r="AB39" s="572">
        <f t="shared" si="12"/>
        <v>-0.10344859720563426</v>
      </c>
      <c r="AC39" s="579">
        <f t="shared" si="100"/>
        <v>1</v>
      </c>
      <c r="AD39" s="580">
        <f t="shared" si="146"/>
        <v>0.8629840367137348</v>
      </c>
      <c r="AE39" s="572">
        <f t="shared" si="101"/>
        <v>0.49452698623376856</v>
      </c>
      <c r="AF39" s="576">
        <f t="shared" si="102"/>
        <v>-0.10344859720563426</v>
      </c>
      <c r="AG39" s="545">
        <f t="shared" si="103"/>
        <v>78.184844318672575</v>
      </c>
      <c r="AH39" s="546">
        <f t="shared" si="104"/>
        <v>30.34670027678445</v>
      </c>
      <c r="AI39" s="528">
        <f t="shared" si="105"/>
        <v>-84.062209037449918</v>
      </c>
      <c r="AJ39" s="529">
        <f t="shared" si="106"/>
        <v>119.81456477260542</v>
      </c>
      <c r="AK39" s="578">
        <f t="shared" si="247"/>
        <v>0.88080927049246105</v>
      </c>
      <c r="AL39" s="572">
        <f t="shared" si="107"/>
        <v>-0.46203183521346797</v>
      </c>
      <c r="AM39" s="577">
        <f t="shared" si="108"/>
        <v>-0.10344859720563426</v>
      </c>
      <c r="AN39" s="524">
        <f t="shared" si="109"/>
        <v>-77.379658115530944</v>
      </c>
      <c r="AO39" s="525">
        <f t="shared" si="110"/>
        <v>28.259860162360681</v>
      </c>
      <c r="AP39" s="528">
        <f t="shared" si="111"/>
        <v>-27.679426926289217</v>
      </c>
      <c r="AQ39" s="529">
        <f t="shared" si="13"/>
        <v>0.62515543354384462</v>
      </c>
      <c r="AR39" s="979"/>
      <c r="AS39" s="954">
        <f t="shared" si="147"/>
        <v>-300.60160857606667</v>
      </c>
      <c r="AT39" s="950">
        <f t="shared" si="14"/>
        <v>-1.1319304306084395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6.125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25</v>
      </c>
      <c r="JN39" s="960">
        <f>($JO39-SMALL($JO$9:$JO$88,1))/((Settings!$C$19/2)-((Settings!$C$19/2)-LARGE($JO$9:$JO$88,1))-SMALL($JO$9:$JO$88,1))</f>
        <v>0.98910378087054374</v>
      </c>
      <c r="JO39" s="162">
        <f t="shared" si="134"/>
        <v>3.6465109978771695</v>
      </c>
      <c r="JP39" s="961">
        <f t="shared" si="135"/>
        <v>-77.379658115530944</v>
      </c>
      <c r="JQ39" s="961">
        <f t="shared" si="136"/>
        <v>28.259860162360681</v>
      </c>
      <c r="JS39" s="82">
        <v>31</v>
      </c>
      <c r="JT39" s="322">
        <f t="shared" si="137"/>
        <v>3.6829000000000001</v>
      </c>
      <c r="JU39" s="963">
        <f t="shared" si="138"/>
        <v>0.99999999999999978</v>
      </c>
      <c r="JV39" s="961">
        <f t="shared" si="287"/>
        <v>-89.999987005609597</v>
      </c>
      <c r="JW39" s="961">
        <f t="shared" si="92"/>
        <v>29.999999999999964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-66.98303266039548</v>
      </c>
      <c r="KD39" s="970">
        <v>-74.113140000000001</v>
      </c>
      <c r="KE39" s="968">
        <f t="shared" si="140"/>
        <v>-7.1301073396045211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23.114052023001321</v>
      </c>
      <c r="KG39" s="966">
        <f t="shared" si="244"/>
        <v>-3.8844866666666746</v>
      </c>
      <c r="KH39" s="966">
        <f t="shared" si="141"/>
        <v>0.95829272530161091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-3.1038791568315776</v>
      </c>
      <c r="C40" s="572">
        <f t="shared" si="320"/>
        <v>1.9823437113140834</v>
      </c>
      <c r="D40" s="576">
        <f t="shared" si="320"/>
        <v>-2.1220000000000003</v>
      </c>
      <c r="E40" s="580">
        <f t="shared" ref="E40:K40" si="321">R195</f>
        <v>-0.88753416911837713</v>
      </c>
      <c r="F40" s="572">
        <f t="shared" si="321"/>
        <v>-0.46074190025147416</v>
      </c>
      <c r="G40" s="579">
        <f t="shared" si="321"/>
        <v>1.1339744843264874E-7</v>
      </c>
      <c r="H40" s="580">
        <f t="shared" si="321"/>
        <v>0.3125</v>
      </c>
      <c r="I40" s="572">
        <f t="shared" si="321"/>
        <v>0.52</v>
      </c>
      <c r="J40" s="483">
        <f t="shared" si="94"/>
        <v>6.1310000000000002</v>
      </c>
      <c r="K40" s="806">
        <f t="shared" si="321"/>
        <v>1613</v>
      </c>
      <c r="L40" s="309"/>
      <c r="M40" s="164">
        <f t="shared" si="4"/>
        <v>6.1310000000000002</v>
      </c>
      <c r="N40" s="575">
        <f t="shared" si="5"/>
        <v>-3.1038791568315776</v>
      </c>
      <c r="O40" s="572">
        <f t="shared" si="6"/>
        <v>1.9823437113140834</v>
      </c>
      <c r="P40" s="576">
        <f t="shared" si="7"/>
        <v>-2.1220000000000003</v>
      </c>
      <c r="Q40" s="528">
        <f t="shared" si="144"/>
        <v>147.43499133707306</v>
      </c>
      <c r="R40" s="572">
        <f t="shared" si="95"/>
        <v>3.6829000000000001</v>
      </c>
      <c r="S40" s="577">
        <f t="shared" si="96"/>
        <v>-2.1220000000000003</v>
      </c>
      <c r="T40" s="578">
        <f t="shared" si="97"/>
        <v>1.8781009157920046</v>
      </c>
      <c r="U40" s="572">
        <f t="shared" si="98"/>
        <v>3.1680418810522748</v>
      </c>
      <c r="V40" s="579">
        <f t="shared" si="145"/>
        <v>-2.1220000000000003</v>
      </c>
      <c r="W40" s="528">
        <f t="shared" si="268"/>
        <v>59.339391062111758</v>
      </c>
      <c r="X40" s="572">
        <f t="shared" si="99"/>
        <v>3.6829000000000001</v>
      </c>
      <c r="Y40" s="573">
        <f t="shared" si="271"/>
        <v>-2.1220000000000003</v>
      </c>
      <c r="Z40" s="575">
        <f t="shared" si="10"/>
        <v>0.88753416911837713</v>
      </c>
      <c r="AA40" s="572">
        <f t="shared" si="11"/>
        <v>0.46074190025147416</v>
      </c>
      <c r="AB40" s="572">
        <f t="shared" si="12"/>
        <v>-1.1339744843264874E-7</v>
      </c>
      <c r="AC40" s="579">
        <f t="shared" si="100"/>
        <v>1</v>
      </c>
      <c r="AD40" s="580">
        <f t="shared" si="146"/>
        <v>0.88753416911837713</v>
      </c>
      <c r="AE40" s="572">
        <f t="shared" si="101"/>
        <v>0.46074190025147416</v>
      </c>
      <c r="AF40" s="576">
        <f t="shared" si="102"/>
        <v>-1.1339744843264874E-7</v>
      </c>
      <c r="AG40" s="545">
        <f t="shared" si="103"/>
        <v>89.999985898406024</v>
      </c>
      <c r="AH40" s="546">
        <f t="shared" si="104"/>
        <v>27.434991337074397</v>
      </c>
      <c r="AI40" s="528">
        <f t="shared" si="105"/>
        <v>-89.999993502804784</v>
      </c>
      <c r="AJ40" s="529">
        <f t="shared" si="106"/>
        <v>117.4349913370737</v>
      </c>
      <c r="AK40" s="578">
        <f t="shared" si="247"/>
        <v>0.86602540378443893</v>
      </c>
      <c r="AL40" s="572">
        <f t="shared" si="107"/>
        <v>-0.49999999999998701</v>
      </c>
      <c r="AM40" s="577">
        <f t="shared" si="108"/>
        <v>-1.1339744843264874E-7</v>
      </c>
      <c r="AN40" s="524">
        <f t="shared" si="109"/>
        <v>-89.999987005609597</v>
      </c>
      <c r="AO40" s="525">
        <f t="shared" si="110"/>
        <v>29.999999999999964</v>
      </c>
      <c r="AP40" s="528">
        <f t="shared" si="111"/>
        <v>-29.99999999999935</v>
      </c>
      <c r="AQ40" s="529">
        <f t="shared" si="13"/>
        <v>0.61897904982222918</v>
      </c>
      <c r="AR40" s="979"/>
      <c r="AS40" s="954">
        <f t="shared" si="147"/>
        <v>-300.66060893788824</v>
      </c>
      <c r="AT40" s="950">
        <f t="shared" si="14"/>
        <v>-1.9118854106507455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6.1310000000000002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>
        <v>3.73599364350947E-2</v>
      </c>
      <c r="IP40" s="5" t="str">
        <f t="shared" si="82"/>
        <v/>
      </c>
      <c r="IQ40" s="714">
        <v>450</v>
      </c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31</v>
      </c>
      <c r="JN40" s="960">
        <f>($JO40-SMALL($JO$9:$JO$88,1))/((Settings!$C$19/2)-((Settings!$C$19/2)-LARGE($JO$9:$JO$88,1))-SMALL($JO$9:$JO$88,1))</f>
        <v>0.99999999999999978</v>
      </c>
      <c r="JO40" s="162">
        <f t="shared" si="134"/>
        <v>3.6829000000000001</v>
      </c>
      <c r="JP40" s="961">
        <f t="shared" si="135"/>
        <v>-89.999987005609597</v>
      </c>
      <c r="JQ40" s="961">
        <f t="shared" si="136"/>
        <v>29.999999999999964</v>
      </c>
      <c r="JS40" s="82">
        <v>32</v>
      </c>
      <c r="JT40" s="322">
        <f t="shared" si="137"/>
        <v>3.6829000000000001</v>
      </c>
      <c r="JU40" s="963">
        <f t="shared" si="138"/>
        <v>0.99999999999999978</v>
      </c>
      <c r="JV40" s="961">
        <f t="shared" si="287"/>
        <v>-89.999987005609611</v>
      </c>
      <c r="JW40" s="961">
        <f t="shared" si="92"/>
        <v>29.999999999999993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-68.78160150886373</v>
      </c>
      <c r="KD40" s="970">
        <v>-76.096977142857128</v>
      </c>
      <c r="KE40" s="968">
        <f t="shared" si="140"/>
        <v>-7.3153756339933977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24.437662359705442</v>
      </c>
      <c r="KG40" s="966">
        <f t="shared" si="244"/>
        <v>-1.9838371428571264</v>
      </c>
      <c r="KH40" s="966">
        <f t="shared" si="141"/>
        <v>1.323610336704121</v>
      </c>
      <c r="KJ40" s="31"/>
    </row>
    <row r="41" spans="1:296" ht="15" customHeight="1" x14ac:dyDescent="0.25">
      <c r="A41" s="75" t="str">
        <f t="shared" ref="A41:A72" si="322">IF($K41="","",IF(AND($A$8="Y",ISNUMBER($K41)),$A$5,0))</f>
        <v/>
      </c>
      <c r="B41" s="578" t="str">
        <f t="shared" ref="B41:D41" si="323">IFERROR(O196+($A41*-E41),"")</f>
        <v/>
      </c>
      <c r="C41" s="572" t="str">
        <f t="shared" si="323"/>
        <v/>
      </c>
      <c r="D41" s="576" t="str">
        <f t="shared" si="323"/>
        <v/>
      </c>
      <c r="E41" s="580" t="str">
        <f t="shared" ref="E41:K41" si="324">R196</f>
        <v/>
      </c>
      <c r="F41" s="572" t="str">
        <f t="shared" si="324"/>
        <v/>
      </c>
      <c r="G41" s="579" t="str">
        <f t="shared" si="324"/>
        <v/>
      </c>
      <c r="H41" s="580" t="str">
        <f t="shared" si="324"/>
        <v/>
      </c>
      <c r="I41" s="572" t="str">
        <f t="shared" si="324"/>
        <v/>
      </c>
      <c r="J41" s="483" t="str">
        <f t="shared" si="94"/>
        <v/>
      </c>
      <c r="K41" s="806" t="str">
        <f t="shared" si="324"/>
        <v/>
      </c>
      <c r="L41" s="309"/>
      <c r="M41" s="164" t="str">
        <f t="shared" ref="M41:M72" si="325">IF(J41="","",VALUE(J41))</f>
        <v/>
      </c>
      <c r="N41" s="575" t="str">
        <f t="shared" ref="N41:N72" si="326">IF(M41="","",B41)</f>
        <v/>
      </c>
      <c r="O41" s="572" t="str">
        <f t="shared" ref="O41:O72" si="327">IF(M41="","",C41)</f>
        <v/>
      </c>
      <c r="P41" s="576" t="str">
        <f t="shared" ref="P41:P72" si="328">IF(M41="","",D41)</f>
        <v/>
      </c>
      <c r="Q41" s="528" t="str">
        <f t="shared" si="144"/>
        <v/>
      </c>
      <c r="R41" s="572" t="str">
        <f t="shared" si="95"/>
        <v/>
      </c>
      <c r="S41" s="577" t="str">
        <f t="shared" si="96"/>
        <v/>
      </c>
      <c r="T41" s="578" t="str">
        <f t="shared" si="97"/>
        <v/>
      </c>
      <c r="U41" s="572" t="str">
        <f t="shared" si="98"/>
        <v/>
      </c>
      <c r="V41" s="579" t="str">
        <f t="shared" si="145"/>
        <v/>
      </c>
      <c r="W41" s="528" t="str">
        <f t="shared" si="268"/>
        <v/>
      </c>
      <c r="X41" s="572" t="str">
        <f t="shared" si="99"/>
        <v/>
      </c>
      <c r="Y41" s="573" t="str">
        <f t="shared" si="271"/>
        <v/>
      </c>
      <c r="Z41" s="575" t="str">
        <f t="shared" ref="Z41:Z72" si="329">IF(M41="","",-E41)</f>
        <v/>
      </c>
      <c r="AA41" s="572" t="str">
        <f t="shared" ref="AA41:AA72" si="330">IF(M41="","",-F41)</f>
        <v/>
      </c>
      <c r="AB41" s="572" t="str">
        <f t="shared" ref="AB41:AB72" si="331">IF(M41="","",-G41)</f>
        <v/>
      </c>
      <c r="AC41" s="579" t="str">
        <f t="shared" si="100"/>
        <v/>
      </c>
      <c r="AD41" s="580" t="str">
        <f t="shared" si="146"/>
        <v/>
      </c>
      <c r="AE41" s="572" t="str">
        <f t="shared" si="101"/>
        <v/>
      </c>
      <c r="AF41" s="576" t="str">
        <f t="shared" si="102"/>
        <v/>
      </c>
      <c r="AG41" s="545" t="str">
        <f t="shared" si="103"/>
        <v/>
      </c>
      <c r="AH41" s="546" t="str">
        <f t="shared" si="104"/>
        <v/>
      </c>
      <c r="AI41" s="528" t="str">
        <f t="shared" si="105"/>
        <v/>
      </c>
      <c r="AJ41" s="529" t="str">
        <f t="shared" si="106"/>
        <v/>
      </c>
      <c r="AK41" s="578" t="str">
        <f t="shared" si="247"/>
        <v/>
      </c>
      <c r="AL41" s="572" t="str">
        <f t="shared" si="107"/>
        <v/>
      </c>
      <c r="AM41" s="577" t="str">
        <f t="shared" si="108"/>
        <v/>
      </c>
      <c r="AN41" s="524" t="str">
        <f t="shared" si="109"/>
        <v/>
      </c>
      <c r="AO41" s="525" t="str">
        <f t="shared" si="110"/>
        <v/>
      </c>
      <c r="AP41" s="528" t="str">
        <f t="shared" si="111"/>
        <v/>
      </c>
      <c r="AQ41" s="529" t="str">
        <f t="shared" ref="AQ41:AQ72" si="332">IF(M41="","",DEGREES(ATAN(($AS$5*SIN(RADIANS(90)))/(($X41*2*PI())-($AS$5*COS(RADIANS(90)))))))</f>
        <v/>
      </c>
      <c r="AR41" s="979"/>
      <c r="AS41" s="954" t="str">
        <f t="shared" si="147"/>
        <v/>
      </c>
      <c r="AT41" s="950" t="str">
        <f t="shared" ref="AT41:AT72" si="333">IF(M41="","",Y41+(((AS41-$AS$9)*$AS$6)*-1))</f>
        <v/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 t="str">
        <f t="shared" si="241"/>
        <v/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 t="str">
        <f t="shared" ref="IL41:IL72" si="485">IF(ISNUMBER($IK41),INDEX($K$9:$K$150,MATCH($IK41,$M$9:$M$150,0)),$K41)</f>
        <v/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>
        <v>3.5045320836344603E-2</v>
      </c>
      <c r="IP41" s="5" t="str">
        <f t="shared" ref="IP41:IP72" si="487">IF(ISNUMBER($IK41),(($IQ41*12)/60)/$AS$3,"")</f>
        <v/>
      </c>
      <c r="IQ41" s="714">
        <v>530</v>
      </c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 t="e">
        <f t="shared" si="133"/>
        <v>#VALUE!</v>
      </c>
      <c r="JN41" s="960" t="e">
        <f>($JO41-SMALL($JO$9:$JO$88,1))/((Settings!$C$19/2)-((Settings!$C$19/2)-LARGE($JO$9:$JO$88,1))-SMALL($JO$9:$JO$88,1))</f>
        <v>#VALUE!</v>
      </c>
      <c r="JO41" s="162" t="str">
        <f t="shared" si="134"/>
        <v/>
      </c>
      <c r="JP41" s="961" t="str">
        <f t="shared" si="135"/>
        <v/>
      </c>
      <c r="JQ41" s="961" t="str">
        <f t="shared" si="136"/>
        <v/>
      </c>
      <c r="JS41" s="82" t="e">
        <v>#VALUE!</v>
      </c>
      <c r="JT41" s="322" t="e">
        <f t="shared" si="137"/>
        <v>#VALUE!</v>
      </c>
      <c r="JU41" s="963" t="e">
        <f t="shared" si="138"/>
        <v>#VALUE!</v>
      </c>
      <c r="JV41" s="961" t="e">
        <f t="shared" si="287"/>
        <v>#VALUE!</v>
      </c>
      <c r="JW41" s="961" t="e">
        <f t="shared" si="92"/>
        <v>#VALUE!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-71.129026471584396</v>
      </c>
      <c r="KD41" s="970">
        <v>-78.080814285714283</v>
      </c>
      <c r="KE41" s="968">
        <f t="shared" si="140"/>
        <v>-6.9517878141298866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25.157828487115804</v>
      </c>
      <c r="KG41" s="966">
        <f t="shared" si="244"/>
        <v>-1.9838371428571548</v>
      </c>
      <c r="KH41" s="966">
        <f t="shared" si="141"/>
        <v>0.72016612741036212</v>
      </c>
      <c r="KJ41" s="31"/>
    </row>
    <row r="42" spans="1:296" ht="15" customHeight="1" x14ac:dyDescent="0.25">
      <c r="A42" s="75" t="str">
        <f t="shared" si="322"/>
        <v/>
      </c>
      <c r="B42" s="578" t="str">
        <f t="shared" ref="B42:D42" si="498">IFERROR(O197+($A42*-E42),"")</f>
        <v/>
      </c>
      <c r="C42" s="572" t="str">
        <f t="shared" si="498"/>
        <v/>
      </c>
      <c r="D42" s="576" t="str">
        <f t="shared" si="498"/>
        <v/>
      </c>
      <c r="E42" s="580" t="str">
        <f t="shared" ref="E42:K42" si="499">R197</f>
        <v/>
      </c>
      <c r="F42" s="572" t="str">
        <f t="shared" si="499"/>
        <v/>
      </c>
      <c r="G42" s="579" t="str">
        <f t="shared" si="499"/>
        <v/>
      </c>
      <c r="H42" s="580" t="str">
        <f t="shared" si="499"/>
        <v/>
      </c>
      <c r="I42" s="572" t="str">
        <f t="shared" si="499"/>
        <v/>
      </c>
      <c r="J42" s="483" t="str">
        <f t="shared" si="94"/>
        <v/>
      </c>
      <c r="K42" s="806" t="str">
        <f t="shared" si="499"/>
        <v/>
      </c>
      <c r="L42" s="309"/>
      <c r="M42" s="164" t="str">
        <f t="shared" si="325"/>
        <v/>
      </c>
      <c r="N42" s="575" t="str">
        <f t="shared" si="326"/>
        <v/>
      </c>
      <c r="O42" s="572" t="str">
        <f t="shared" si="327"/>
        <v/>
      </c>
      <c r="P42" s="576" t="str">
        <f t="shared" si="328"/>
        <v/>
      </c>
      <c r="Q42" s="528" t="str">
        <f t="shared" si="144"/>
        <v/>
      </c>
      <c r="R42" s="572" t="str">
        <f t="shared" ref="R42:R47" si="500">IF(M42="","",SQRT(N42^2+O42^2))</f>
        <v/>
      </c>
      <c r="S42" s="577" t="str">
        <f t="shared" ref="S42:S47" si="501">IF(M42="","",P42)</f>
        <v/>
      </c>
      <c r="T42" s="578" t="str">
        <f t="shared" ref="T42:T47" si="502">IF(M42="","",X42*COS(RADIANS(W42)))</f>
        <v/>
      </c>
      <c r="U42" s="572" t="str">
        <f t="shared" ref="U42:U47" si="503">IF(M42="","",X42*SIN(RADIANS(W42)))</f>
        <v/>
      </c>
      <c r="V42" s="579" t="str">
        <f t="shared" ref="V42:V47" si="504">IF(M42="","",Y42)</f>
        <v/>
      </c>
      <c r="W42" s="528" t="str">
        <f t="shared" si="268"/>
        <v/>
      </c>
      <c r="X42" s="572" t="str">
        <f t="shared" ref="X42:X47" si="505">IF(M42="","",R42)</f>
        <v/>
      </c>
      <c r="Y42" s="573" t="str">
        <f t="shared" si="271"/>
        <v/>
      </c>
      <c r="Z42" s="575" t="str">
        <f t="shared" si="329"/>
        <v/>
      </c>
      <c r="AA42" s="572" t="str">
        <f t="shared" si="330"/>
        <v/>
      </c>
      <c r="AB42" s="572" t="str">
        <f t="shared" si="331"/>
        <v/>
      </c>
      <c r="AC42" s="579" t="str">
        <f t="shared" ref="AC42:AC47" si="506">IF(M42="","",SQRT(Z42^2+AA42^2+AB42^2))</f>
        <v/>
      </c>
      <c r="AD42" s="580" t="str">
        <f t="shared" ref="AD42:AD47" si="507">IF(M42="","",Z42*(1/SQRT(Z42^2+AA42^2+AB42^2)))</f>
        <v/>
      </c>
      <c r="AE42" s="572" t="str">
        <f t="shared" ref="AE42:AE47" si="508">IF(M42="","",AA42*(1/SQRT(Z42^2+AA42^2+AB42^2)))</f>
        <v/>
      </c>
      <c r="AF42" s="576" t="str">
        <f t="shared" ref="AF42:AF47" si="509">IF(M42="","",AB42*(1/SQRT(Z42^2+AA42^2+AB42^2)))</f>
        <v/>
      </c>
      <c r="AG42" s="545" t="str">
        <f t="shared" ref="AG42:AG47" si="510">IF(M42="","",DEGREES(ATAN2(-AF42,AE42)))</f>
        <v/>
      </c>
      <c r="AH42" s="546" t="str">
        <f t="shared" ref="AH42:AH47" si="511">IF(M42="","",DEGREES(ACOS(AD42)))</f>
        <v/>
      </c>
      <c r="AI42" s="528" t="str">
        <f t="shared" ref="AI42:AI47" si="512">IF(M42="","",DEGREES(-ACOS(-AF42)))</f>
        <v/>
      </c>
      <c r="AJ42" s="529" t="str">
        <f t="shared" ref="AJ42:AJ47" si="513">IF(M42="","",DEGREES(ATAN2(-AE42,AD42)))</f>
        <v/>
      </c>
      <c r="AK42" s="578" t="str">
        <f t="shared" ref="AK42:AK47" si="514">IF(M42="","",(COS(RADIANS((90-$Q$8)-W42))*AD42)+(-SIN(RADIANS((90-$Q$8)-W42))*AE42))</f>
        <v/>
      </c>
      <c r="AL42" s="572" t="str">
        <f t="shared" ref="AL42:AL47" si="515">IF(M42="","",(SIN(RADIANS((90-$Q$8)-W42))*AD42)+(COS(RADIANS((90-$Q$8)-W42))*AE42))</f>
        <v/>
      </c>
      <c r="AM42" s="577" t="str">
        <f t="shared" ref="AM42:AM47" si="516">IF(M42="","",AF42)</f>
        <v/>
      </c>
      <c r="AN42" s="524" t="str">
        <f t="shared" ref="AN42:AN47" si="517">IF(M42="","",DEGREES(ATAN2(-AM42,AL42)))</f>
        <v/>
      </c>
      <c r="AO42" s="525" t="str">
        <f t="shared" si="110"/>
        <v/>
      </c>
      <c r="AP42" s="528" t="str">
        <f t="shared" ref="AP42:AP47" si="518">IF(M42="","",DEGREES(ATAN2(AK42,AL42)))</f>
        <v/>
      </c>
      <c r="AQ42" s="529" t="str">
        <f t="shared" si="332"/>
        <v/>
      </c>
      <c r="AR42" s="979"/>
      <c r="AS42" s="954" t="str">
        <f t="shared" si="147"/>
        <v/>
      </c>
      <c r="AT42" s="950" t="str">
        <f t="shared" si="333"/>
        <v/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41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85"/>
        <v/>
      </c>
      <c r="IM42" s="482" t="str">
        <f t="shared" si="242"/>
        <v/>
      </c>
      <c r="IN42" s="670" t="str">
        <f t="shared" si="486"/>
        <v/>
      </c>
      <c r="IO42" s="702">
        <v>3.3116741498209201E-2</v>
      </c>
      <c r="IP42" s="5" t="str">
        <f t="shared" si="487"/>
        <v/>
      </c>
      <c r="IQ42" s="714">
        <v>640</v>
      </c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 t="e">
        <f t="shared" si="133"/>
        <v>#VALUE!</v>
      </c>
      <c r="JN42" s="960" t="e">
        <f>($JO42-SMALL($JO$9:$JO$88,1))/((Settings!$C$19/2)-((Settings!$C$19/2)-LARGE($JO$9:$JO$88,1))-SMALL($JO$9:$JO$88,1))</f>
        <v>#VALUE!</v>
      </c>
      <c r="JO42" s="162" t="str">
        <f t="shared" si="134"/>
        <v/>
      </c>
      <c r="JP42" s="961" t="str">
        <f t="shared" si="135"/>
        <v/>
      </c>
      <c r="JQ42" s="961" t="str">
        <f t="shared" si="136"/>
        <v/>
      </c>
      <c r="JS42" s="82"/>
      <c r="JT42" s="322" t="e">
        <f t="shared" si="137"/>
        <v>#N/A</v>
      </c>
      <c r="JU42" s="963" t="e">
        <f t="shared" si="138"/>
        <v>#N/A</v>
      </c>
      <c r="JV42" s="961" t="e">
        <f t="shared" si="287"/>
        <v>#N/A</v>
      </c>
      <c r="JW42" s="961" t="e">
        <f t="shared" si="92"/>
        <v>#N/A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25.82012312847435</v>
      </c>
      <c r="KG42" s="966">
        <f t="shared" si="244"/>
        <v>-1.9838371428571406</v>
      </c>
      <c r="KH42" s="966">
        <f t="shared" si="141"/>
        <v>0.66229464135854599</v>
      </c>
      <c r="KJ42" s="31"/>
    </row>
    <row r="43" spans="1:296" ht="15" customHeight="1" x14ac:dyDescent="0.25">
      <c r="A43" s="75" t="str">
        <f t="shared" si="322"/>
        <v/>
      </c>
      <c r="B43" s="578" t="str">
        <f t="shared" ref="B43:D43" si="522">IFERROR(O198+($A43*-E43),"")</f>
        <v/>
      </c>
      <c r="C43" s="572" t="str">
        <f t="shared" si="522"/>
        <v/>
      </c>
      <c r="D43" s="576" t="str">
        <f t="shared" si="522"/>
        <v/>
      </c>
      <c r="E43" s="580" t="str">
        <f t="shared" ref="E43:K43" si="523">R198</f>
        <v/>
      </c>
      <c r="F43" s="572" t="str">
        <f t="shared" si="523"/>
        <v/>
      </c>
      <c r="G43" s="579" t="str">
        <f t="shared" si="523"/>
        <v/>
      </c>
      <c r="H43" s="580" t="str">
        <f t="shared" si="523"/>
        <v/>
      </c>
      <c r="I43" s="572" t="str">
        <f t="shared" si="523"/>
        <v/>
      </c>
      <c r="J43" s="483" t="str">
        <f t="shared" si="94"/>
        <v/>
      </c>
      <c r="K43" s="806" t="str">
        <f t="shared" si="523"/>
        <v/>
      </c>
      <c r="L43" s="309"/>
      <c r="M43" s="164" t="str">
        <f t="shared" si="325"/>
        <v/>
      </c>
      <c r="N43" s="575" t="str">
        <f t="shared" si="326"/>
        <v/>
      </c>
      <c r="O43" s="572" t="str">
        <f t="shared" si="327"/>
        <v/>
      </c>
      <c r="P43" s="576" t="str">
        <f t="shared" si="328"/>
        <v/>
      </c>
      <c r="Q43" s="528" t="str">
        <f t="shared" si="144"/>
        <v/>
      </c>
      <c r="R43" s="572" t="str">
        <f t="shared" si="500"/>
        <v/>
      </c>
      <c r="S43" s="577" t="str">
        <f t="shared" si="501"/>
        <v/>
      </c>
      <c r="T43" s="578" t="str">
        <f t="shared" si="502"/>
        <v/>
      </c>
      <c r="U43" s="572" t="str">
        <f t="shared" si="503"/>
        <v/>
      </c>
      <c r="V43" s="579" t="str">
        <f t="shared" si="504"/>
        <v/>
      </c>
      <c r="W43" s="528" t="str">
        <f t="shared" si="268"/>
        <v/>
      </c>
      <c r="X43" s="572" t="str">
        <f t="shared" si="505"/>
        <v/>
      </c>
      <c r="Y43" s="573" t="str">
        <f t="shared" si="271"/>
        <v/>
      </c>
      <c r="Z43" s="575" t="str">
        <f t="shared" si="329"/>
        <v/>
      </c>
      <c r="AA43" s="572" t="str">
        <f t="shared" si="330"/>
        <v/>
      </c>
      <c r="AB43" s="572" t="str">
        <f t="shared" si="331"/>
        <v/>
      </c>
      <c r="AC43" s="579" t="str">
        <f t="shared" si="506"/>
        <v/>
      </c>
      <c r="AD43" s="580" t="str">
        <f t="shared" si="507"/>
        <v/>
      </c>
      <c r="AE43" s="572" t="str">
        <f t="shared" si="508"/>
        <v/>
      </c>
      <c r="AF43" s="576" t="str">
        <f t="shared" si="509"/>
        <v/>
      </c>
      <c r="AG43" s="545" t="str">
        <f t="shared" si="510"/>
        <v/>
      </c>
      <c r="AH43" s="546" t="str">
        <f t="shared" si="511"/>
        <v/>
      </c>
      <c r="AI43" s="528" t="str">
        <f t="shared" si="512"/>
        <v/>
      </c>
      <c r="AJ43" s="529" t="str">
        <f t="shared" si="513"/>
        <v/>
      </c>
      <c r="AK43" s="578" t="str">
        <f t="shared" si="514"/>
        <v/>
      </c>
      <c r="AL43" s="572" t="str">
        <f t="shared" si="515"/>
        <v/>
      </c>
      <c r="AM43" s="577" t="str">
        <f t="shared" si="516"/>
        <v/>
      </c>
      <c r="AN43" s="524" t="str">
        <f t="shared" si="517"/>
        <v/>
      </c>
      <c r="AO43" s="525" t="str">
        <f t="shared" si="110"/>
        <v/>
      </c>
      <c r="AP43" s="528" t="str">
        <f t="shared" si="518"/>
        <v/>
      </c>
      <c r="AQ43" s="529" t="str">
        <f t="shared" si="332"/>
        <v/>
      </c>
      <c r="AR43" s="979"/>
      <c r="AS43" s="954" t="str">
        <f t="shared" ref="AS43:AS74" si="524">IF(G43="","",IF(AND(W43&lt;(AS42+180),W43&gt;(AS42-180)),W43,IF(W43&gt;(AS42+180),W43-360,IF(W43&lt;(AS42-180),W43+360,"Error"))))</f>
        <v/>
      </c>
      <c r="AT43" s="950" t="str">
        <f t="shared" si="333"/>
        <v/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41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85"/>
        <v/>
      </c>
      <c r="IM43" s="482" t="str">
        <f t="shared" si="242"/>
        <v/>
      </c>
      <c r="IN43" s="670" t="str">
        <f t="shared" si="486"/>
        <v/>
      </c>
      <c r="IO43" s="702">
        <v>3.1247104713684901E-2</v>
      </c>
      <c r="IP43" s="5" t="str">
        <f t="shared" si="487"/>
        <v/>
      </c>
      <c r="IQ43" s="714">
        <v>770</v>
      </c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 t="e">
        <f t="shared" si="133"/>
        <v>#VALUE!</v>
      </c>
      <c r="JN43" s="960" t="e">
        <f>($JO43-SMALL($JO$9:$JO$88,1))/((Settings!$C$19/2)-((Settings!$C$19/2)-LARGE($JO$9:$JO$88,1))-SMALL($JO$9:$JO$88,1))</f>
        <v>#VALUE!</v>
      </c>
      <c r="JO43" s="162" t="str">
        <f t="shared" si="134"/>
        <v/>
      </c>
      <c r="JP43" s="961" t="str">
        <f t="shared" si="135"/>
        <v/>
      </c>
      <c r="JQ43" s="961" t="str">
        <f t="shared" si="136"/>
        <v/>
      </c>
      <c r="JS43" s="82"/>
      <c r="JT43" s="322" t="e">
        <f t="shared" si="137"/>
        <v>#N/A</v>
      </c>
      <c r="JU43" s="963" t="e">
        <f t="shared" si="138"/>
        <v>#N/A</v>
      </c>
      <c r="JV43" s="961" t="e">
        <f t="shared" si="287"/>
        <v>#N/A</v>
      </c>
      <c r="JW43" s="961" t="e">
        <f t="shared" si="92"/>
        <v>#N/A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27.63473885023588</v>
      </c>
      <c r="KG43" s="966">
        <f t="shared" si="244"/>
        <v>-1.9838371428571548</v>
      </c>
      <c r="KH43" s="966">
        <f t="shared" si="141"/>
        <v>1.8146157217615304</v>
      </c>
      <c r="KJ43" s="31"/>
    </row>
    <row r="44" spans="1:296" ht="15" customHeight="1" x14ac:dyDescent="0.25">
      <c r="A44" s="75" t="str">
        <f t="shared" si="322"/>
        <v/>
      </c>
      <c r="B44" s="578" t="str">
        <f t="shared" ref="B44:D44" si="527">IFERROR(O199+($A44*-E44),"")</f>
        <v/>
      </c>
      <c r="C44" s="572" t="str">
        <f t="shared" si="527"/>
        <v/>
      </c>
      <c r="D44" s="576" t="str">
        <f t="shared" si="527"/>
        <v/>
      </c>
      <c r="E44" s="580" t="str">
        <f t="shared" ref="E44:K44" si="528">R199</f>
        <v/>
      </c>
      <c r="F44" s="572" t="str">
        <f t="shared" si="528"/>
        <v/>
      </c>
      <c r="G44" s="579" t="str">
        <f t="shared" si="528"/>
        <v/>
      </c>
      <c r="H44" s="580" t="str">
        <f t="shared" si="528"/>
        <v/>
      </c>
      <c r="I44" s="572" t="str">
        <f t="shared" si="528"/>
        <v/>
      </c>
      <c r="J44" s="483" t="str">
        <f t="shared" si="94"/>
        <v/>
      </c>
      <c r="K44" s="806" t="str">
        <f t="shared" si="528"/>
        <v/>
      </c>
      <c r="L44" s="309"/>
      <c r="M44" s="164" t="str">
        <f t="shared" si="325"/>
        <v/>
      </c>
      <c r="N44" s="575" t="str">
        <f t="shared" si="326"/>
        <v/>
      </c>
      <c r="O44" s="572" t="str">
        <f t="shared" si="327"/>
        <v/>
      </c>
      <c r="P44" s="576" t="str">
        <f t="shared" si="328"/>
        <v/>
      </c>
      <c r="Q44" s="528" t="str">
        <f t="shared" si="144"/>
        <v/>
      </c>
      <c r="R44" s="572" t="str">
        <f t="shared" si="500"/>
        <v/>
      </c>
      <c r="S44" s="577" t="str">
        <f t="shared" si="501"/>
        <v/>
      </c>
      <c r="T44" s="578" t="str">
        <f t="shared" si="502"/>
        <v/>
      </c>
      <c r="U44" s="572" t="str">
        <f t="shared" si="503"/>
        <v/>
      </c>
      <c r="V44" s="579" t="str">
        <f t="shared" si="504"/>
        <v/>
      </c>
      <c r="W44" s="528" t="str">
        <f t="shared" si="268"/>
        <v/>
      </c>
      <c r="X44" s="572" t="str">
        <f t="shared" si="505"/>
        <v/>
      </c>
      <c r="Y44" s="573" t="str">
        <f t="shared" si="271"/>
        <v/>
      </c>
      <c r="Z44" s="575" t="str">
        <f t="shared" si="329"/>
        <v/>
      </c>
      <c r="AA44" s="572" t="str">
        <f t="shared" si="330"/>
        <v/>
      </c>
      <c r="AB44" s="572" t="str">
        <f t="shared" si="331"/>
        <v/>
      </c>
      <c r="AC44" s="579" t="str">
        <f t="shared" si="506"/>
        <v/>
      </c>
      <c r="AD44" s="580" t="str">
        <f t="shared" si="507"/>
        <v/>
      </c>
      <c r="AE44" s="572" t="str">
        <f t="shared" si="508"/>
        <v/>
      </c>
      <c r="AF44" s="576" t="str">
        <f t="shared" si="509"/>
        <v/>
      </c>
      <c r="AG44" s="545" t="str">
        <f t="shared" si="510"/>
        <v/>
      </c>
      <c r="AH44" s="546" t="str">
        <f t="shared" si="511"/>
        <v/>
      </c>
      <c r="AI44" s="528" t="str">
        <f t="shared" si="512"/>
        <v/>
      </c>
      <c r="AJ44" s="529" t="str">
        <f t="shared" si="513"/>
        <v/>
      </c>
      <c r="AK44" s="578" t="str">
        <f t="shared" si="514"/>
        <v/>
      </c>
      <c r="AL44" s="572" t="str">
        <f t="shared" si="515"/>
        <v/>
      </c>
      <c r="AM44" s="577" t="str">
        <f t="shared" si="516"/>
        <v/>
      </c>
      <c r="AN44" s="524" t="str">
        <f t="shared" si="517"/>
        <v/>
      </c>
      <c r="AO44" s="525" t="str">
        <f t="shared" si="110"/>
        <v/>
      </c>
      <c r="AP44" s="528" t="str">
        <f t="shared" si="518"/>
        <v/>
      </c>
      <c r="AQ44" s="529" t="str">
        <f t="shared" si="332"/>
        <v/>
      </c>
      <c r="AR44" s="979"/>
      <c r="AS44" s="954" t="str">
        <f t="shared" si="524"/>
        <v/>
      </c>
      <c r="AT44" s="950" t="str">
        <f t="shared" si="333"/>
        <v/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41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85"/>
        <v/>
      </c>
      <c r="IM44" s="482" t="str">
        <f t="shared" si="242"/>
        <v/>
      </c>
      <c r="IN44" s="670" t="str">
        <f t="shared" si="486"/>
        <v/>
      </c>
      <c r="IO44" s="702">
        <v>2.9175360224122E-2</v>
      </c>
      <c r="IP44" s="5" t="str">
        <f t="shared" si="487"/>
        <v/>
      </c>
      <c r="IQ44" s="714">
        <v>940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 t="e">
        <f t="shared" si="133"/>
        <v>#VALUE!</v>
      </c>
      <c r="JN44" s="960" t="e">
        <f>($JO44-SMALL($JO$9:$JO$88,1))/((Settings!$C$19/2)-((Settings!$C$19/2)-LARGE($JO$9:$JO$88,1))-SMALL($JO$9:$JO$88,1))</f>
        <v>#VALUE!</v>
      </c>
      <c r="JO44" s="162" t="str">
        <f t="shared" si="134"/>
        <v/>
      </c>
      <c r="JP44" s="961" t="str">
        <f t="shared" si="135"/>
        <v/>
      </c>
      <c r="JQ44" s="961" t="str">
        <f t="shared" si="136"/>
        <v/>
      </c>
      <c r="JS44" s="82"/>
      <c r="JT44" s="322" t="e">
        <f t="shared" si="137"/>
        <v>#N/A</v>
      </c>
      <c r="JU44" s="963" t="e">
        <f t="shared" si="138"/>
        <v>#N/A</v>
      </c>
      <c r="JV44" s="961" t="e">
        <f t="shared" si="287"/>
        <v>#N/A</v>
      </c>
      <c r="JW44" s="961" t="e">
        <f t="shared" si="92"/>
        <v>#N/A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2.465261149764121</v>
      </c>
      <c r="KJ44" s="31"/>
    </row>
    <row r="45" spans="1:296" ht="15" customHeight="1" x14ac:dyDescent="0.25">
      <c r="A45" s="75" t="str">
        <f t="shared" si="322"/>
        <v/>
      </c>
      <c r="B45" s="578" t="str">
        <f t="shared" ref="B45:D45" si="529">IFERROR(O200+($A45*-E45),"")</f>
        <v/>
      </c>
      <c r="C45" s="572" t="str">
        <f t="shared" si="529"/>
        <v/>
      </c>
      <c r="D45" s="576" t="str">
        <f t="shared" si="529"/>
        <v/>
      </c>
      <c r="E45" s="580" t="str">
        <f t="shared" ref="E45:K45" si="530">R200</f>
        <v/>
      </c>
      <c r="F45" s="572" t="str">
        <f t="shared" si="530"/>
        <v/>
      </c>
      <c r="G45" s="579" t="str">
        <f t="shared" si="530"/>
        <v/>
      </c>
      <c r="H45" s="580" t="str">
        <f t="shared" si="530"/>
        <v/>
      </c>
      <c r="I45" s="572" t="str">
        <f t="shared" si="530"/>
        <v/>
      </c>
      <c r="J45" s="483" t="str">
        <f t="shared" si="94"/>
        <v/>
      </c>
      <c r="K45" s="806" t="str">
        <f t="shared" si="530"/>
        <v/>
      </c>
      <c r="L45" s="309"/>
      <c r="M45" s="164" t="str">
        <f t="shared" si="325"/>
        <v/>
      </c>
      <c r="N45" s="575" t="str">
        <f t="shared" si="326"/>
        <v/>
      </c>
      <c r="O45" s="572" t="str">
        <f t="shared" si="327"/>
        <v/>
      </c>
      <c r="P45" s="576" t="str">
        <f t="shared" si="328"/>
        <v/>
      </c>
      <c r="Q45" s="528" t="str">
        <f t="shared" si="144"/>
        <v/>
      </c>
      <c r="R45" s="572" t="str">
        <f t="shared" si="500"/>
        <v/>
      </c>
      <c r="S45" s="577" t="str">
        <f t="shared" si="501"/>
        <v/>
      </c>
      <c r="T45" s="578" t="str">
        <f t="shared" si="502"/>
        <v/>
      </c>
      <c r="U45" s="572" t="str">
        <f t="shared" si="503"/>
        <v/>
      </c>
      <c r="V45" s="579" t="str">
        <f t="shared" si="504"/>
        <v/>
      </c>
      <c r="W45" s="528" t="str">
        <f t="shared" si="268"/>
        <v/>
      </c>
      <c r="X45" s="572" t="str">
        <f t="shared" si="505"/>
        <v/>
      </c>
      <c r="Y45" s="573" t="str">
        <f t="shared" si="271"/>
        <v/>
      </c>
      <c r="Z45" s="575" t="str">
        <f t="shared" si="329"/>
        <v/>
      </c>
      <c r="AA45" s="572" t="str">
        <f t="shared" si="330"/>
        <v/>
      </c>
      <c r="AB45" s="572" t="str">
        <f t="shared" si="331"/>
        <v/>
      </c>
      <c r="AC45" s="579" t="str">
        <f t="shared" si="506"/>
        <v/>
      </c>
      <c r="AD45" s="580" t="str">
        <f t="shared" si="507"/>
        <v/>
      </c>
      <c r="AE45" s="572" t="str">
        <f t="shared" si="508"/>
        <v/>
      </c>
      <c r="AF45" s="576" t="str">
        <f t="shared" si="509"/>
        <v/>
      </c>
      <c r="AG45" s="545" t="str">
        <f t="shared" si="510"/>
        <v/>
      </c>
      <c r="AH45" s="546" t="str">
        <f t="shared" si="511"/>
        <v/>
      </c>
      <c r="AI45" s="528" t="str">
        <f t="shared" si="512"/>
        <v/>
      </c>
      <c r="AJ45" s="529" t="str">
        <f t="shared" si="513"/>
        <v/>
      </c>
      <c r="AK45" s="578" t="str">
        <f t="shared" si="514"/>
        <v/>
      </c>
      <c r="AL45" s="572" t="str">
        <f t="shared" si="515"/>
        <v/>
      </c>
      <c r="AM45" s="577" t="str">
        <f t="shared" si="516"/>
        <v/>
      </c>
      <c r="AN45" s="524" t="str">
        <f t="shared" si="517"/>
        <v/>
      </c>
      <c r="AO45" s="525" t="str">
        <f t="shared" si="110"/>
        <v/>
      </c>
      <c r="AP45" s="528" t="str">
        <f t="shared" si="518"/>
        <v/>
      </c>
      <c r="AQ45" s="529" t="str">
        <f t="shared" si="332"/>
        <v/>
      </c>
      <c r="AR45" s="979"/>
      <c r="AS45" s="954" t="str">
        <f t="shared" si="524"/>
        <v/>
      </c>
      <c r="AT45" s="950" t="str">
        <f t="shared" si="333"/>
        <v/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41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85"/>
        <v/>
      </c>
      <c r="IM45" s="482" t="str">
        <f t="shared" si="242"/>
        <v/>
      </c>
      <c r="IN45" s="670" t="str">
        <f t="shared" si="486"/>
        <v/>
      </c>
      <c r="IO45" s="702">
        <v>2.7270129450664999E-2</v>
      </c>
      <c r="IP45" s="5" t="str">
        <f t="shared" si="487"/>
        <v/>
      </c>
      <c r="IQ45" s="714">
        <v>1120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 t="e">
        <f t="shared" si="133"/>
        <v>#VALUE!</v>
      </c>
      <c r="JN45" s="960" t="e">
        <f>($JO45-SMALL($JO$9:$JO$88,1))/((Settings!$C$19/2)-((Settings!$C$19/2)-LARGE($JO$9:$JO$88,1))-SMALL($JO$9:$JO$88,1))</f>
        <v>#VALUE!</v>
      </c>
      <c r="JO45" s="162" t="str">
        <f t="shared" si="134"/>
        <v/>
      </c>
      <c r="JP45" s="961" t="str">
        <f t="shared" si="135"/>
        <v/>
      </c>
      <c r="JQ45" s="961" t="str">
        <f t="shared" si="136"/>
        <v/>
      </c>
      <c r="JS45" s="82"/>
      <c r="JT45" s="322" t="e">
        <f t="shared" si="137"/>
        <v>#N/A</v>
      </c>
      <c r="JU45" s="963" t="e">
        <f t="shared" si="138"/>
        <v>#N/A</v>
      </c>
      <c r="JV45" s="961" t="e">
        <f t="shared" si="287"/>
        <v>#N/A</v>
      </c>
      <c r="JW45" s="961" t="e">
        <f t="shared" si="92"/>
        <v>#N/A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 t="str">
        <f t="shared" si="322"/>
        <v/>
      </c>
      <c r="B46" s="578" t="str">
        <f t="shared" ref="B46:D46" si="531">IFERROR(O201+($A46*-E46),"")</f>
        <v/>
      </c>
      <c r="C46" s="572" t="str">
        <f t="shared" si="531"/>
        <v/>
      </c>
      <c r="D46" s="576" t="str">
        <f t="shared" si="531"/>
        <v/>
      </c>
      <c r="E46" s="580" t="str">
        <f t="shared" ref="E46:K46" si="532">R201</f>
        <v/>
      </c>
      <c r="F46" s="572" t="str">
        <f t="shared" si="532"/>
        <v/>
      </c>
      <c r="G46" s="579" t="str">
        <f t="shared" si="532"/>
        <v/>
      </c>
      <c r="H46" s="580" t="str">
        <f t="shared" si="532"/>
        <v/>
      </c>
      <c r="I46" s="572" t="str">
        <f t="shared" si="532"/>
        <v/>
      </c>
      <c r="J46" s="483" t="str">
        <f t="shared" si="94"/>
        <v/>
      </c>
      <c r="K46" s="806" t="str">
        <f t="shared" si="532"/>
        <v/>
      </c>
      <c r="L46" s="309"/>
      <c r="M46" s="164" t="str">
        <f t="shared" si="325"/>
        <v/>
      </c>
      <c r="N46" s="575" t="str">
        <f t="shared" si="326"/>
        <v/>
      </c>
      <c r="O46" s="572" t="str">
        <f t="shared" si="327"/>
        <v/>
      </c>
      <c r="P46" s="576" t="str">
        <f t="shared" si="328"/>
        <v/>
      </c>
      <c r="Q46" s="528" t="str">
        <f t="shared" si="144"/>
        <v/>
      </c>
      <c r="R46" s="572" t="str">
        <f t="shared" si="500"/>
        <v/>
      </c>
      <c r="S46" s="577" t="str">
        <f t="shared" si="501"/>
        <v/>
      </c>
      <c r="T46" s="578" t="str">
        <f t="shared" si="502"/>
        <v/>
      </c>
      <c r="U46" s="572" t="str">
        <f t="shared" si="503"/>
        <v/>
      </c>
      <c r="V46" s="579" t="str">
        <f t="shared" si="504"/>
        <v/>
      </c>
      <c r="W46" s="528" t="str">
        <f t="shared" si="268"/>
        <v/>
      </c>
      <c r="X46" s="572" t="str">
        <f t="shared" si="505"/>
        <v/>
      </c>
      <c r="Y46" s="573" t="str">
        <f t="shared" si="271"/>
        <v/>
      </c>
      <c r="Z46" s="575" t="str">
        <f t="shared" si="329"/>
        <v/>
      </c>
      <c r="AA46" s="572" t="str">
        <f t="shared" si="330"/>
        <v/>
      </c>
      <c r="AB46" s="572" t="str">
        <f t="shared" si="331"/>
        <v/>
      </c>
      <c r="AC46" s="579" t="str">
        <f t="shared" si="506"/>
        <v/>
      </c>
      <c r="AD46" s="580" t="str">
        <f t="shared" si="507"/>
        <v/>
      </c>
      <c r="AE46" s="572" t="str">
        <f t="shared" si="508"/>
        <v/>
      </c>
      <c r="AF46" s="576" t="str">
        <f t="shared" si="509"/>
        <v/>
      </c>
      <c r="AG46" s="545" t="str">
        <f t="shared" si="510"/>
        <v/>
      </c>
      <c r="AH46" s="546" t="str">
        <f t="shared" si="511"/>
        <v/>
      </c>
      <c r="AI46" s="528" t="str">
        <f t="shared" si="512"/>
        <v/>
      </c>
      <c r="AJ46" s="529" t="str">
        <f t="shared" si="513"/>
        <v/>
      </c>
      <c r="AK46" s="578" t="str">
        <f t="shared" si="514"/>
        <v/>
      </c>
      <c r="AL46" s="572" t="str">
        <f t="shared" si="515"/>
        <v/>
      </c>
      <c r="AM46" s="577" t="str">
        <f t="shared" si="516"/>
        <v/>
      </c>
      <c r="AN46" s="524" t="str">
        <f t="shared" si="517"/>
        <v/>
      </c>
      <c r="AO46" s="525" t="str">
        <f t="shared" si="110"/>
        <v/>
      </c>
      <c r="AP46" s="528" t="str">
        <f t="shared" si="518"/>
        <v/>
      </c>
      <c r="AQ46" s="529" t="str">
        <f t="shared" si="332"/>
        <v/>
      </c>
      <c r="AR46" s="979"/>
      <c r="AS46" s="954" t="str">
        <f t="shared" si="524"/>
        <v/>
      </c>
      <c r="AT46" s="950" t="str">
        <f t="shared" si="333"/>
        <v/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41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85"/>
        <v/>
      </c>
      <c r="IM46" s="482" t="str">
        <f t="shared" si="242"/>
        <v/>
      </c>
      <c r="IN46" s="670" t="str">
        <f t="shared" si="486"/>
        <v/>
      </c>
      <c r="IO46" s="702">
        <v>2.6115504411536899E-2</v>
      </c>
      <c r="IP46" s="5" t="str">
        <f t="shared" si="487"/>
        <v/>
      </c>
      <c r="IQ46" s="714">
        <v>1270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 t="e">
        <f t="shared" si="133"/>
        <v>#VALUE!</v>
      </c>
      <c r="JN46" s="960" t="e">
        <f>($JO46-SMALL($JO$9:$JO$88,1))/((Settings!$C$19/2)-((Settings!$C$19/2)-LARGE($JO$9:$JO$88,1))-SMALL($JO$9:$JO$88,1))</f>
        <v>#VALUE!</v>
      </c>
      <c r="JO46" s="162" t="str">
        <f t="shared" si="134"/>
        <v/>
      </c>
      <c r="JP46" s="961" t="str">
        <f t="shared" si="135"/>
        <v/>
      </c>
      <c r="JQ46" s="961" t="str">
        <f t="shared" si="136"/>
        <v/>
      </c>
      <c r="JS46" s="82"/>
      <c r="JT46" s="322" t="e">
        <f t="shared" si="137"/>
        <v>#N/A</v>
      </c>
      <c r="JU46" s="963" t="e">
        <f t="shared" si="138"/>
        <v>#N/A</v>
      </c>
      <c r="JV46" s="961" t="e">
        <f t="shared" si="287"/>
        <v>#N/A</v>
      </c>
      <c r="JW46" s="961" t="e">
        <f t="shared" si="92"/>
        <v>#N/A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 t="str">
        <f t="shared" si="322"/>
        <v/>
      </c>
      <c r="B47" s="578" t="str">
        <f t="shared" ref="B47:D47" si="533">IFERROR(O202+($A47*-E47),"")</f>
        <v/>
      </c>
      <c r="C47" s="572" t="str">
        <f t="shared" si="533"/>
        <v/>
      </c>
      <c r="D47" s="576" t="str">
        <f t="shared" si="533"/>
        <v/>
      </c>
      <c r="E47" s="580" t="str">
        <f t="shared" ref="E47:K47" si="534">R202</f>
        <v/>
      </c>
      <c r="F47" s="572" t="str">
        <f t="shared" si="534"/>
        <v/>
      </c>
      <c r="G47" s="579" t="str">
        <f t="shared" si="534"/>
        <v/>
      </c>
      <c r="H47" s="580" t="str">
        <f t="shared" si="534"/>
        <v/>
      </c>
      <c r="I47" s="572" t="str">
        <f t="shared" si="534"/>
        <v/>
      </c>
      <c r="J47" s="483" t="str">
        <f t="shared" si="94"/>
        <v/>
      </c>
      <c r="K47" s="806" t="str">
        <f t="shared" si="534"/>
        <v/>
      </c>
      <c r="L47" s="309"/>
      <c r="M47" s="164" t="str">
        <f t="shared" si="325"/>
        <v/>
      </c>
      <c r="N47" s="575" t="str">
        <f t="shared" si="326"/>
        <v/>
      </c>
      <c r="O47" s="572" t="str">
        <f t="shared" si="327"/>
        <v/>
      </c>
      <c r="P47" s="576" t="str">
        <f t="shared" si="328"/>
        <v/>
      </c>
      <c r="Q47" s="528" t="str">
        <f t="shared" si="144"/>
        <v/>
      </c>
      <c r="R47" s="572" t="str">
        <f t="shared" si="500"/>
        <v/>
      </c>
      <c r="S47" s="577" t="str">
        <f t="shared" si="501"/>
        <v/>
      </c>
      <c r="T47" s="578" t="str">
        <f t="shared" si="502"/>
        <v/>
      </c>
      <c r="U47" s="572" t="str">
        <f t="shared" si="503"/>
        <v/>
      </c>
      <c r="V47" s="579" t="str">
        <f t="shared" si="504"/>
        <v/>
      </c>
      <c r="W47" s="528" t="str">
        <f t="shared" si="268"/>
        <v/>
      </c>
      <c r="X47" s="572" t="str">
        <f t="shared" si="505"/>
        <v/>
      </c>
      <c r="Y47" s="573" t="str">
        <f t="shared" si="271"/>
        <v/>
      </c>
      <c r="Z47" s="575" t="str">
        <f t="shared" si="329"/>
        <v/>
      </c>
      <c r="AA47" s="572" t="str">
        <f t="shared" si="330"/>
        <v/>
      </c>
      <c r="AB47" s="572" t="str">
        <f t="shared" si="331"/>
        <v/>
      </c>
      <c r="AC47" s="579" t="str">
        <f t="shared" si="506"/>
        <v/>
      </c>
      <c r="AD47" s="580" t="str">
        <f t="shared" si="507"/>
        <v/>
      </c>
      <c r="AE47" s="572" t="str">
        <f t="shared" si="508"/>
        <v/>
      </c>
      <c r="AF47" s="576" t="str">
        <f t="shared" si="509"/>
        <v/>
      </c>
      <c r="AG47" s="545" t="str">
        <f t="shared" si="510"/>
        <v/>
      </c>
      <c r="AH47" s="546" t="str">
        <f t="shared" si="511"/>
        <v/>
      </c>
      <c r="AI47" s="528" t="str">
        <f t="shared" si="512"/>
        <v/>
      </c>
      <c r="AJ47" s="529" t="str">
        <f t="shared" si="513"/>
        <v/>
      </c>
      <c r="AK47" s="578" t="str">
        <f t="shared" si="514"/>
        <v/>
      </c>
      <c r="AL47" s="572" t="str">
        <f t="shared" si="515"/>
        <v/>
      </c>
      <c r="AM47" s="577" t="str">
        <f t="shared" si="516"/>
        <v/>
      </c>
      <c r="AN47" s="524" t="str">
        <f t="shared" si="517"/>
        <v/>
      </c>
      <c r="AO47" s="525" t="str">
        <f t="shared" si="110"/>
        <v/>
      </c>
      <c r="AP47" s="528" t="str">
        <f t="shared" si="518"/>
        <v/>
      </c>
      <c r="AQ47" s="529" t="str">
        <f t="shared" si="332"/>
        <v/>
      </c>
      <c r="AR47" s="979"/>
      <c r="AS47" s="954" t="str">
        <f t="shared" si="524"/>
        <v/>
      </c>
      <c r="AT47" s="950" t="str">
        <f t="shared" si="333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41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85"/>
        <v/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 t="e">
        <f t="shared" si="133"/>
        <v>#VALUE!</v>
      </c>
      <c r="JN47" s="960" t="e">
        <f>($JO47-SMALL($JO$9:$JO$88,1))/((Settings!$C$19/2)-((Settings!$C$19/2)-LARGE($JO$9:$JO$88,1))-SMALL($JO$9:$JO$88,1))</f>
        <v>#VALUE!</v>
      </c>
      <c r="JO47" s="162" t="str">
        <f t="shared" si="134"/>
        <v/>
      </c>
      <c r="JP47" s="961" t="str">
        <f t="shared" si="135"/>
        <v/>
      </c>
      <c r="JQ47" s="961" t="str">
        <f t="shared" si="136"/>
        <v/>
      </c>
      <c r="JS47" s="82"/>
      <c r="JT47" s="322" t="e">
        <f t="shared" si="137"/>
        <v>#N/A</v>
      </c>
      <c r="JU47" s="963" t="e">
        <f t="shared" si="138"/>
        <v>#N/A</v>
      </c>
      <c r="JV47" s="961" t="e">
        <f t="shared" si="287"/>
        <v>#N/A</v>
      </c>
      <c r="JW47" s="961" t="e">
        <f t="shared" si="92"/>
        <v>#N/A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 t="str">
        <f t="shared" si="322"/>
        <v/>
      </c>
      <c r="B48" s="578" t="str">
        <f t="shared" ref="B48:D48" si="535">IFERROR(O203+($A48*-E48),"")</f>
        <v/>
      </c>
      <c r="C48" s="572" t="str">
        <f t="shared" si="535"/>
        <v/>
      </c>
      <c r="D48" s="576" t="str">
        <f t="shared" si="535"/>
        <v/>
      </c>
      <c r="E48" s="580" t="str">
        <f t="shared" ref="E48:K48" si="536">R203</f>
        <v/>
      </c>
      <c r="F48" s="572" t="str">
        <f t="shared" si="536"/>
        <v/>
      </c>
      <c r="G48" s="579" t="str">
        <f t="shared" si="536"/>
        <v/>
      </c>
      <c r="H48" s="580" t="str">
        <f t="shared" si="536"/>
        <v/>
      </c>
      <c r="I48" s="572" t="str">
        <f t="shared" si="536"/>
        <v/>
      </c>
      <c r="J48" s="483" t="str">
        <f t="shared" si="94"/>
        <v/>
      </c>
      <c r="K48" s="806" t="str">
        <f t="shared" si="536"/>
        <v/>
      </c>
      <c r="L48" s="309"/>
      <c r="M48" s="164" t="str">
        <f t="shared" si="325"/>
        <v/>
      </c>
      <c r="N48" s="575" t="str">
        <f t="shared" si="326"/>
        <v/>
      </c>
      <c r="O48" s="572" t="str">
        <f t="shared" si="327"/>
        <v/>
      </c>
      <c r="P48" s="576" t="str">
        <f t="shared" si="328"/>
        <v/>
      </c>
      <c r="Q48" s="528" t="str">
        <f t="shared" si="144"/>
        <v/>
      </c>
      <c r="R48" s="572" t="str">
        <f t="shared" si="95"/>
        <v/>
      </c>
      <c r="S48" s="577" t="str">
        <f t="shared" si="96"/>
        <v/>
      </c>
      <c r="T48" s="578" t="str">
        <f t="shared" si="97"/>
        <v/>
      </c>
      <c r="U48" s="572" t="str">
        <f t="shared" si="98"/>
        <v/>
      </c>
      <c r="V48" s="579" t="str">
        <f t="shared" si="145"/>
        <v/>
      </c>
      <c r="W48" s="528" t="str">
        <f t="shared" si="268"/>
        <v/>
      </c>
      <c r="X48" s="572" t="str">
        <f t="shared" si="99"/>
        <v/>
      </c>
      <c r="Y48" s="573" t="str">
        <f t="shared" si="271"/>
        <v/>
      </c>
      <c r="Z48" s="575" t="str">
        <f t="shared" si="329"/>
        <v/>
      </c>
      <c r="AA48" s="572" t="str">
        <f t="shared" si="330"/>
        <v/>
      </c>
      <c r="AB48" s="572" t="str">
        <f t="shared" si="331"/>
        <v/>
      </c>
      <c r="AC48" s="579" t="str">
        <f t="shared" si="100"/>
        <v/>
      </c>
      <c r="AD48" s="580" t="str">
        <f t="shared" si="146"/>
        <v/>
      </c>
      <c r="AE48" s="572" t="str">
        <f t="shared" si="101"/>
        <v/>
      </c>
      <c r="AF48" s="576" t="str">
        <f t="shared" si="102"/>
        <v/>
      </c>
      <c r="AG48" s="545" t="str">
        <f t="shared" si="103"/>
        <v/>
      </c>
      <c r="AH48" s="546" t="str">
        <f t="shared" si="104"/>
        <v/>
      </c>
      <c r="AI48" s="528" t="str">
        <f t="shared" si="105"/>
        <v/>
      </c>
      <c r="AJ48" s="529" t="str">
        <f t="shared" si="106"/>
        <v/>
      </c>
      <c r="AK48" s="578" t="str">
        <f t="shared" si="247"/>
        <v/>
      </c>
      <c r="AL48" s="572" t="str">
        <f t="shared" si="107"/>
        <v/>
      </c>
      <c r="AM48" s="577" t="str">
        <f t="shared" si="108"/>
        <v/>
      </c>
      <c r="AN48" s="524" t="str">
        <f t="shared" si="109"/>
        <v/>
      </c>
      <c r="AO48" s="525" t="str">
        <f t="shared" si="110"/>
        <v/>
      </c>
      <c r="AP48" s="528" t="str">
        <f t="shared" si="111"/>
        <v/>
      </c>
      <c r="AQ48" s="529" t="str">
        <f t="shared" si="332"/>
        <v/>
      </c>
      <c r="AR48" s="979"/>
      <c r="AS48" s="954" t="str">
        <f t="shared" si="524"/>
        <v/>
      </c>
      <c r="AT48" s="950" t="str">
        <f t="shared" si="333"/>
        <v/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41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85"/>
        <v/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 t="e">
        <f t="shared" si="133"/>
        <v>#VALUE!</v>
      </c>
      <c r="JN48" s="960" t="e">
        <f>($JO48-SMALL($JO$9:$JO$88,1))/((Settings!$C$19/2)-((Settings!$C$19/2)-LARGE($JO$9:$JO$88,1))-SMALL($JO$9:$JO$88,1))</f>
        <v>#VALUE!</v>
      </c>
      <c r="JO48" s="162" t="str">
        <f t="shared" si="134"/>
        <v/>
      </c>
      <c r="JP48" s="961" t="str">
        <f t="shared" si="135"/>
        <v/>
      </c>
      <c r="JQ48" s="961" t="str">
        <f t="shared" si="136"/>
        <v/>
      </c>
      <c r="JS48" s="82"/>
      <c r="JT48" s="322" t="e">
        <f t="shared" si="137"/>
        <v>#N/A</v>
      </c>
      <c r="JU48" s="963" t="e">
        <f t="shared" si="138"/>
        <v>#N/A</v>
      </c>
      <c r="JV48" s="961" t="e">
        <f t="shared" si="287"/>
        <v>#N/A</v>
      </c>
      <c r="JW48" s="961" t="e">
        <f t="shared" si="92"/>
        <v>#N/A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 t="str">
        <f t="shared" si="322"/>
        <v/>
      </c>
      <c r="B49" s="578" t="str">
        <f t="shared" ref="B49:D49" si="537">IFERROR(O204+($A49*-E49),"")</f>
        <v/>
      </c>
      <c r="C49" s="572" t="str">
        <f t="shared" si="537"/>
        <v/>
      </c>
      <c r="D49" s="576" t="str">
        <f t="shared" si="537"/>
        <v/>
      </c>
      <c r="E49" s="580" t="str">
        <f t="shared" ref="E49:K49" si="538">R204</f>
        <v/>
      </c>
      <c r="F49" s="572" t="str">
        <f t="shared" si="538"/>
        <v/>
      </c>
      <c r="G49" s="579" t="str">
        <f t="shared" si="538"/>
        <v/>
      </c>
      <c r="H49" s="580" t="str">
        <f t="shared" si="538"/>
        <v/>
      </c>
      <c r="I49" s="572" t="str">
        <f t="shared" si="538"/>
        <v/>
      </c>
      <c r="J49" s="483" t="str">
        <f t="shared" si="94"/>
        <v/>
      </c>
      <c r="K49" s="806" t="str">
        <f t="shared" si="538"/>
        <v/>
      </c>
      <c r="L49" s="309"/>
      <c r="M49" s="164" t="str">
        <f t="shared" si="325"/>
        <v/>
      </c>
      <c r="N49" s="575" t="str">
        <f t="shared" si="326"/>
        <v/>
      </c>
      <c r="O49" s="572" t="str">
        <f t="shared" si="327"/>
        <v/>
      </c>
      <c r="P49" s="576" t="str">
        <f t="shared" si="328"/>
        <v/>
      </c>
      <c r="Q49" s="528" t="str">
        <f t="shared" si="144"/>
        <v/>
      </c>
      <c r="R49" s="572" t="str">
        <f t="shared" si="95"/>
        <v/>
      </c>
      <c r="S49" s="577" t="str">
        <f t="shared" si="96"/>
        <v/>
      </c>
      <c r="T49" s="578" t="str">
        <f t="shared" si="97"/>
        <v/>
      </c>
      <c r="U49" s="572" t="str">
        <f t="shared" si="98"/>
        <v/>
      </c>
      <c r="V49" s="579" t="str">
        <f t="shared" si="145"/>
        <v/>
      </c>
      <c r="W49" s="528" t="str">
        <f t="shared" si="268"/>
        <v/>
      </c>
      <c r="X49" s="572" t="str">
        <f t="shared" si="99"/>
        <v/>
      </c>
      <c r="Y49" s="573" t="str">
        <f t="shared" si="271"/>
        <v/>
      </c>
      <c r="Z49" s="575" t="str">
        <f t="shared" si="329"/>
        <v/>
      </c>
      <c r="AA49" s="572" t="str">
        <f t="shared" si="330"/>
        <v/>
      </c>
      <c r="AB49" s="572" t="str">
        <f t="shared" si="331"/>
        <v/>
      </c>
      <c r="AC49" s="579" t="str">
        <f t="shared" si="100"/>
        <v/>
      </c>
      <c r="AD49" s="580" t="str">
        <f t="shared" si="146"/>
        <v/>
      </c>
      <c r="AE49" s="572" t="str">
        <f t="shared" si="101"/>
        <v/>
      </c>
      <c r="AF49" s="576" t="str">
        <f t="shared" si="102"/>
        <v/>
      </c>
      <c r="AG49" s="545" t="str">
        <f t="shared" si="103"/>
        <v/>
      </c>
      <c r="AH49" s="546" t="str">
        <f t="shared" si="104"/>
        <v/>
      </c>
      <c r="AI49" s="528" t="str">
        <f t="shared" si="105"/>
        <v/>
      </c>
      <c r="AJ49" s="529" t="str">
        <f t="shared" si="106"/>
        <v/>
      </c>
      <c r="AK49" s="578" t="str">
        <f t="shared" si="247"/>
        <v/>
      </c>
      <c r="AL49" s="572" t="str">
        <f t="shared" si="107"/>
        <v/>
      </c>
      <c r="AM49" s="577" t="str">
        <f t="shared" si="108"/>
        <v/>
      </c>
      <c r="AN49" s="524" t="str">
        <f t="shared" si="109"/>
        <v/>
      </c>
      <c r="AO49" s="525" t="str">
        <f t="shared" si="110"/>
        <v/>
      </c>
      <c r="AP49" s="528" t="str">
        <f t="shared" si="111"/>
        <v/>
      </c>
      <c r="AQ49" s="529" t="str">
        <f t="shared" si="332"/>
        <v/>
      </c>
      <c r="AR49" s="979"/>
      <c r="AS49" s="954" t="str">
        <f t="shared" si="524"/>
        <v/>
      </c>
      <c r="AT49" s="950" t="str">
        <f t="shared" si="333"/>
        <v/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41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85"/>
        <v/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 t="e">
        <f t="shared" si="133"/>
        <v>#VALUE!</v>
      </c>
      <c r="JN49" s="960" t="e">
        <f>($JO49-SMALL($JO$9:$JO$88,1))/((Settings!$C$19/2)-((Settings!$C$19/2)-LARGE($JO$9:$JO$88,1))-SMALL($JO$9:$JO$88,1))</f>
        <v>#VALUE!</v>
      </c>
      <c r="JO49" s="162" t="str">
        <f t="shared" si="134"/>
        <v/>
      </c>
      <c r="JP49" s="961" t="str">
        <f t="shared" si="135"/>
        <v/>
      </c>
      <c r="JQ49" s="961" t="str">
        <f t="shared" si="136"/>
        <v/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 t="str">
        <f t="shared" si="322"/>
        <v/>
      </c>
      <c r="B50" s="578" t="str">
        <f t="shared" ref="B50:D50" si="539">IFERROR(O205+($A50*-E50),"")</f>
        <v/>
      </c>
      <c r="C50" s="572" t="str">
        <f t="shared" si="539"/>
        <v/>
      </c>
      <c r="D50" s="576" t="str">
        <f t="shared" si="539"/>
        <v/>
      </c>
      <c r="E50" s="580" t="str">
        <f t="shared" ref="E50:K50" si="540">R205</f>
        <v/>
      </c>
      <c r="F50" s="572" t="str">
        <f t="shared" si="540"/>
        <v/>
      </c>
      <c r="G50" s="579" t="str">
        <f t="shared" si="540"/>
        <v/>
      </c>
      <c r="H50" s="580" t="str">
        <f t="shared" si="540"/>
        <v/>
      </c>
      <c r="I50" s="572" t="str">
        <f t="shared" si="540"/>
        <v/>
      </c>
      <c r="J50" s="483" t="str">
        <f t="shared" si="94"/>
        <v/>
      </c>
      <c r="K50" s="806" t="str">
        <f t="shared" si="540"/>
        <v/>
      </c>
      <c r="L50" s="309"/>
      <c r="M50" s="164" t="str">
        <f t="shared" si="325"/>
        <v/>
      </c>
      <c r="N50" s="575" t="str">
        <f t="shared" si="326"/>
        <v/>
      </c>
      <c r="O50" s="572" t="str">
        <f t="shared" si="327"/>
        <v/>
      </c>
      <c r="P50" s="576" t="str">
        <f t="shared" si="328"/>
        <v/>
      </c>
      <c r="Q50" s="528" t="str">
        <f t="shared" si="144"/>
        <v/>
      </c>
      <c r="R50" s="572" t="str">
        <f t="shared" si="95"/>
        <v/>
      </c>
      <c r="S50" s="577" t="str">
        <f t="shared" si="96"/>
        <v/>
      </c>
      <c r="T50" s="578" t="str">
        <f t="shared" si="97"/>
        <v/>
      </c>
      <c r="U50" s="572" t="str">
        <f t="shared" si="98"/>
        <v/>
      </c>
      <c r="V50" s="579" t="str">
        <f t="shared" si="145"/>
        <v/>
      </c>
      <c r="W50" s="528" t="str">
        <f t="shared" si="268"/>
        <v/>
      </c>
      <c r="X50" s="572" t="str">
        <f t="shared" si="99"/>
        <v/>
      </c>
      <c r="Y50" s="573" t="str">
        <f t="shared" si="271"/>
        <v/>
      </c>
      <c r="Z50" s="575" t="str">
        <f t="shared" si="329"/>
        <v/>
      </c>
      <c r="AA50" s="572" t="str">
        <f t="shared" si="330"/>
        <v/>
      </c>
      <c r="AB50" s="572" t="str">
        <f t="shared" si="331"/>
        <v/>
      </c>
      <c r="AC50" s="579" t="str">
        <f t="shared" si="100"/>
        <v/>
      </c>
      <c r="AD50" s="580" t="str">
        <f t="shared" si="146"/>
        <v/>
      </c>
      <c r="AE50" s="572" t="str">
        <f t="shared" si="101"/>
        <v/>
      </c>
      <c r="AF50" s="576" t="str">
        <f t="shared" si="102"/>
        <v/>
      </c>
      <c r="AG50" s="545" t="str">
        <f t="shared" si="103"/>
        <v/>
      </c>
      <c r="AH50" s="546" t="str">
        <f t="shared" si="104"/>
        <v/>
      </c>
      <c r="AI50" s="528" t="str">
        <f t="shared" si="105"/>
        <v/>
      </c>
      <c r="AJ50" s="529" t="str">
        <f t="shared" si="106"/>
        <v/>
      </c>
      <c r="AK50" s="578" t="str">
        <f t="shared" si="247"/>
        <v/>
      </c>
      <c r="AL50" s="572" t="str">
        <f t="shared" si="107"/>
        <v/>
      </c>
      <c r="AM50" s="577" t="str">
        <f t="shared" si="108"/>
        <v/>
      </c>
      <c r="AN50" s="524" t="str">
        <f t="shared" si="109"/>
        <v/>
      </c>
      <c r="AO50" s="525" t="str">
        <f t="shared" si="110"/>
        <v/>
      </c>
      <c r="AP50" s="528" t="str">
        <f t="shared" si="111"/>
        <v/>
      </c>
      <c r="AQ50" s="529" t="str">
        <f t="shared" si="332"/>
        <v/>
      </c>
      <c r="AR50" s="979"/>
      <c r="AS50" s="954" t="str">
        <f t="shared" si="524"/>
        <v/>
      </c>
      <c r="AT50" s="950" t="str">
        <f t="shared" si="333"/>
        <v/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41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85"/>
        <v/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 t="e">
        <f t="shared" si="133"/>
        <v>#VALUE!</v>
      </c>
      <c r="JN50" s="960" t="e">
        <f>($JO50-SMALL($JO$9:$JO$88,1))/((Settings!$C$19/2)-((Settings!$C$19/2)-LARGE($JO$9:$JO$88,1))-SMALL($JO$9:$JO$88,1))</f>
        <v>#VALUE!</v>
      </c>
      <c r="JO50" s="162" t="str">
        <f t="shared" si="134"/>
        <v/>
      </c>
      <c r="JP50" s="961" t="str">
        <f t="shared" si="135"/>
        <v/>
      </c>
      <c r="JQ50" s="961" t="str">
        <f t="shared" si="136"/>
        <v/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 t="str">
        <f t="shared" si="322"/>
        <v/>
      </c>
      <c r="B51" s="578" t="str">
        <f t="shared" ref="B51:D51" si="541">IFERROR(O206+($A51*-E51),"")</f>
        <v/>
      </c>
      <c r="C51" s="572" t="str">
        <f t="shared" si="541"/>
        <v/>
      </c>
      <c r="D51" s="576" t="str">
        <f t="shared" si="541"/>
        <v/>
      </c>
      <c r="E51" s="580" t="str">
        <f t="shared" ref="E51:K51" si="542">R206</f>
        <v/>
      </c>
      <c r="F51" s="572" t="str">
        <f t="shared" si="542"/>
        <v/>
      </c>
      <c r="G51" s="579" t="str">
        <f t="shared" si="542"/>
        <v/>
      </c>
      <c r="H51" s="580" t="str">
        <f t="shared" si="542"/>
        <v/>
      </c>
      <c r="I51" s="572" t="str">
        <f t="shared" si="542"/>
        <v/>
      </c>
      <c r="J51" s="483" t="str">
        <f t="shared" si="94"/>
        <v/>
      </c>
      <c r="K51" s="806" t="str">
        <f t="shared" si="542"/>
        <v/>
      </c>
      <c r="L51" s="309"/>
      <c r="M51" s="164" t="str">
        <f t="shared" si="325"/>
        <v/>
      </c>
      <c r="N51" s="575" t="str">
        <f t="shared" si="326"/>
        <v/>
      </c>
      <c r="O51" s="572" t="str">
        <f t="shared" si="327"/>
        <v/>
      </c>
      <c r="P51" s="576" t="str">
        <f t="shared" si="328"/>
        <v/>
      </c>
      <c r="Q51" s="528" t="str">
        <f t="shared" si="144"/>
        <v/>
      </c>
      <c r="R51" s="572" t="str">
        <f t="shared" si="95"/>
        <v/>
      </c>
      <c r="S51" s="577" t="str">
        <f t="shared" si="96"/>
        <v/>
      </c>
      <c r="T51" s="578" t="str">
        <f t="shared" si="97"/>
        <v/>
      </c>
      <c r="U51" s="572" t="str">
        <f t="shared" si="98"/>
        <v/>
      </c>
      <c r="V51" s="579" t="str">
        <f t="shared" si="145"/>
        <v/>
      </c>
      <c r="W51" s="528" t="str">
        <f t="shared" si="268"/>
        <v/>
      </c>
      <c r="X51" s="572" t="str">
        <f t="shared" si="99"/>
        <v/>
      </c>
      <c r="Y51" s="573" t="str">
        <f t="shared" si="271"/>
        <v/>
      </c>
      <c r="Z51" s="575" t="str">
        <f t="shared" si="329"/>
        <v/>
      </c>
      <c r="AA51" s="572" t="str">
        <f t="shared" si="330"/>
        <v/>
      </c>
      <c r="AB51" s="572" t="str">
        <f t="shared" si="331"/>
        <v/>
      </c>
      <c r="AC51" s="579" t="str">
        <f t="shared" si="100"/>
        <v/>
      </c>
      <c r="AD51" s="580" t="str">
        <f t="shared" si="146"/>
        <v/>
      </c>
      <c r="AE51" s="572" t="str">
        <f t="shared" si="101"/>
        <v/>
      </c>
      <c r="AF51" s="576" t="str">
        <f t="shared" si="102"/>
        <v/>
      </c>
      <c r="AG51" s="545" t="str">
        <f t="shared" si="103"/>
        <v/>
      </c>
      <c r="AH51" s="546" t="str">
        <f t="shared" si="104"/>
        <v/>
      </c>
      <c r="AI51" s="528" t="str">
        <f t="shared" si="105"/>
        <v/>
      </c>
      <c r="AJ51" s="529" t="str">
        <f t="shared" si="106"/>
        <v/>
      </c>
      <c r="AK51" s="578" t="str">
        <f t="shared" si="247"/>
        <v/>
      </c>
      <c r="AL51" s="572" t="str">
        <f t="shared" si="107"/>
        <v/>
      </c>
      <c r="AM51" s="577" t="str">
        <f t="shared" si="108"/>
        <v/>
      </c>
      <c r="AN51" s="524" t="str">
        <f t="shared" si="109"/>
        <v/>
      </c>
      <c r="AO51" s="525" t="str">
        <f t="shared" si="110"/>
        <v/>
      </c>
      <c r="AP51" s="528" t="str">
        <f t="shared" si="111"/>
        <v/>
      </c>
      <c r="AQ51" s="529" t="str">
        <f t="shared" si="332"/>
        <v/>
      </c>
      <c r="AR51" s="979"/>
      <c r="AS51" s="954" t="str">
        <f t="shared" si="524"/>
        <v/>
      </c>
      <c r="AT51" s="950" t="str">
        <f t="shared" si="333"/>
        <v/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41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85"/>
        <v/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 t="e">
        <f t="shared" si="133"/>
        <v>#VALUE!</v>
      </c>
      <c r="JN51" s="960" t="e">
        <f>($JO51-SMALL($JO$9:$JO$88,1))/((Settings!$C$19/2)-((Settings!$C$19/2)-LARGE($JO$9:$JO$88,1))-SMALL($JO$9:$JO$88,1))</f>
        <v>#VALUE!</v>
      </c>
      <c r="JO51" s="162" t="str">
        <f t="shared" si="134"/>
        <v/>
      </c>
      <c r="JP51" s="961" t="str">
        <f t="shared" si="135"/>
        <v/>
      </c>
      <c r="JQ51" s="961" t="str">
        <f t="shared" si="136"/>
        <v/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 t="str">
        <f t="shared" si="322"/>
        <v/>
      </c>
      <c r="B52" s="578" t="str">
        <f t="shared" ref="B52:D52" si="543">IFERROR(O207+($A52*-E52),"")</f>
        <v/>
      </c>
      <c r="C52" s="572" t="str">
        <f t="shared" si="543"/>
        <v/>
      </c>
      <c r="D52" s="576" t="str">
        <f t="shared" si="543"/>
        <v/>
      </c>
      <c r="E52" s="580" t="str">
        <f t="shared" ref="E52:K52" si="544">R207</f>
        <v/>
      </c>
      <c r="F52" s="572" t="str">
        <f t="shared" si="544"/>
        <v/>
      </c>
      <c r="G52" s="579" t="str">
        <f t="shared" si="544"/>
        <v/>
      </c>
      <c r="H52" s="580" t="str">
        <f t="shared" si="544"/>
        <v/>
      </c>
      <c r="I52" s="572" t="str">
        <f t="shared" si="544"/>
        <v/>
      </c>
      <c r="J52" s="483" t="str">
        <f t="shared" si="94"/>
        <v/>
      </c>
      <c r="K52" s="806" t="str">
        <f t="shared" si="544"/>
        <v/>
      </c>
      <c r="L52" s="309"/>
      <c r="M52" s="164" t="str">
        <f t="shared" si="325"/>
        <v/>
      </c>
      <c r="N52" s="575" t="str">
        <f t="shared" si="326"/>
        <v/>
      </c>
      <c r="O52" s="572" t="str">
        <f t="shared" si="327"/>
        <v/>
      </c>
      <c r="P52" s="576" t="str">
        <f t="shared" si="328"/>
        <v/>
      </c>
      <c r="Q52" s="528" t="str">
        <f t="shared" si="144"/>
        <v/>
      </c>
      <c r="R52" s="572" t="str">
        <f t="shared" si="95"/>
        <v/>
      </c>
      <c r="S52" s="577" t="str">
        <f t="shared" si="96"/>
        <v/>
      </c>
      <c r="T52" s="578" t="str">
        <f t="shared" si="97"/>
        <v/>
      </c>
      <c r="U52" s="572" t="str">
        <f t="shared" si="98"/>
        <v/>
      </c>
      <c r="V52" s="579" t="str">
        <f t="shared" si="145"/>
        <v/>
      </c>
      <c r="W52" s="528" t="str">
        <f t="shared" si="268"/>
        <v/>
      </c>
      <c r="X52" s="572" t="str">
        <f t="shared" si="99"/>
        <v/>
      </c>
      <c r="Y52" s="573" t="str">
        <f t="shared" si="271"/>
        <v/>
      </c>
      <c r="Z52" s="575" t="str">
        <f t="shared" si="329"/>
        <v/>
      </c>
      <c r="AA52" s="572" t="str">
        <f t="shared" si="330"/>
        <v/>
      </c>
      <c r="AB52" s="572" t="str">
        <f t="shared" si="331"/>
        <v/>
      </c>
      <c r="AC52" s="579" t="str">
        <f t="shared" si="100"/>
        <v/>
      </c>
      <c r="AD52" s="580" t="str">
        <f t="shared" si="146"/>
        <v/>
      </c>
      <c r="AE52" s="572" t="str">
        <f t="shared" si="101"/>
        <v/>
      </c>
      <c r="AF52" s="576" t="str">
        <f t="shared" si="102"/>
        <v/>
      </c>
      <c r="AG52" s="545" t="str">
        <f t="shared" si="103"/>
        <v/>
      </c>
      <c r="AH52" s="546" t="str">
        <f t="shared" si="104"/>
        <v/>
      </c>
      <c r="AI52" s="528" t="str">
        <f t="shared" si="105"/>
        <v/>
      </c>
      <c r="AJ52" s="529" t="str">
        <f t="shared" si="106"/>
        <v/>
      </c>
      <c r="AK52" s="578" t="str">
        <f t="shared" si="247"/>
        <v/>
      </c>
      <c r="AL52" s="572" t="str">
        <f t="shared" si="107"/>
        <v/>
      </c>
      <c r="AM52" s="577" t="str">
        <f t="shared" si="108"/>
        <v/>
      </c>
      <c r="AN52" s="524" t="str">
        <f t="shared" si="109"/>
        <v/>
      </c>
      <c r="AO52" s="525" t="str">
        <f t="shared" si="110"/>
        <v/>
      </c>
      <c r="AP52" s="528" t="str">
        <f t="shared" si="111"/>
        <v/>
      </c>
      <c r="AQ52" s="529" t="str">
        <f t="shared" si="332"/>
        <v/>
      </c>
      <c r="AR52" s="979"/>
      <c r="AS52" s="954" t="str">
        <f t="shared" si="524"/>
        <v/>
      </c>
      <c r="AT52" s="950" t="str">
        <f t="shared" si="333"/>
        <v/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41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85"/>
        <v/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 t="e">
        <f t="shared" si="133"/>
        <v>#VALUE!</v>
      </c>
      <c r="JN52" s="960" t="e">
        <f>($JO52-SMALL($JO$9:$JO$88,1))/((Settings!$C$19/2)-((Settings!$C$19/2)-LARGE($JO$9:$JO$88,1))-SMALL($JO$9:$JO$88,1))</f>
        <v>#VALUE!</v>
      </c>
      <c r="JO52" s="162" t="str">
        <f t="shared" si="134"/>
        <v/>
      </c>
      <c r="JP52" s="961" t="str">
        <f t="shared" si="135"/>
        <v/>
      </c>
      <c r="JQ52" s="961" t="str">
        <f t="shared" si="136"/>
        <v/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 t="str">
        <f t="shared" si="322"/>
        <v/>
      </c>
      <c r="B53" s="578" t="str">
        <f t="shared" ref="B53:D53" si="545">IFERROR(O208+($A53*-E53),"")</f>
        <v/>
      </c>
      <c r="C53" s="572" t="str">
        <f t="shared" si="545"/>
        <v/>
      </c>
      <c r="D53" s="576" t="str">
        <f t="shared" si="545"/>
        <v/>
      </c>
      <c r="E53" s="580" t="str">
        <f t="shared" ref="E53:K53" si="546">R208</f>
        <v/>
      </c>
      <c r="F53" s="572" t="str">
        <f t="shared" si="546"/>
        <v/>
      </c>
      <c r="G53" s="579" t="str">
        <f t="shared" si="546"/>
        <v/>
      </c>
      <c r="H53" s="580" t="str">
        <f t="shared" si="546"/>
        <v/>
      </c>
      <c r="I53" s="572" t="str">
        <f t="shared" si="546"/>
        <v/>
      </c>
      <c r="J53" s="483" t="str">
        <f t="shared" si="94"/>
        <v/>
      </c>
      <c r="K53" s="806" t="str">
        <f t="shared" si="546"/>
        <v/>
      </c>
      <c r="L53" s="309"/>
      <c r="M53" s="164" t="str">
        <f t="shared" si="325"/>
        <v/>
      </c>
      <c r="N53" s="575" t="str">
        <f t="shared" si="326"/>
        <v/>
      </c>
      <c r="O53" s="572" t="str">
        <f t="shared" si="327"/>
        <v/>
      </c>
      <c r="P53" s="576" t="str">
        <f t="shared" si="328"/>
        <v/>
      </c>
      <c r="Q53" s="528" t="str">
        <f t="shared" si="144"/>
        <v/>
      </c>
      <c r="R53" s="572" t="str">
        <f t="shared" ref="R53:R58" si="547">IF(M53="","",SQRT(N53^2+O53^2))</f>
        <v/>
      </c>
      <c r="S53" s="577" t="str">
        <f t="shared" ref="S53:S58" si="548">IF(M53="","",P53)</f>
        <v/>
      </c>
      <c r="T53" s="578" t="str">
        <f t="shared" ref="T53:T58" si="549">IF(M53="","",X53*COS(RADIANS(W53)))</f>
        <v/>
      </c>
      <c r="U53" s="572" t="str">
        <f t="shared" ref="U53:U58" si="550">IF(M53="","",X53*SIN(RADIANS(W53)))</f>
        <v/>
      </c>
      <c r="V53" s="579" t="str">
        <f t="shared" ref="V53:V58" si="551">IF(M53="","",Y53)</f>
        <v/>
      </c>
      <c r="W53" s="528" t="str">
        <f t="shared" si="268"/>
        <v/>
      </c>
      <c r="X53" s="572" t="str">
        <f t="shared" ref="X53:X58" si="552">IF(M53="","",R53)</f>
        <v/>
      </c>
      <c r="Y53" s="573" t="str">
        <f t="shared" si="271"/>
        <v/>
      </c>
      <c r="Z53" s="575" t="str">
        <f t="shared" si="329"/>
        <v/>
      </c>
      <c r="AA53" s="572" t="str">
        <f t="shared" si="330"/>
        <v/>
      </c>
      <c r="AB53" s="572" t="str">
        <f t="shared" si="331"/>
        <v/>
      </c>
      <c r="AC53" s="579" t="str">
        <f t="shared" ref="AC53:AC58" si="553">IF(M53="","",SQRT(Z53^2+AA53^2+AB53^2))</f>
        <v/>
      </c>
      <c r="AD53" s="580" t="str">
        <f t="shared" ref="AD53:AD58" si="554">IF(M53="","",Z53*(1/SQRT(Z53^2+AA53^2+AB53^2)))</f>
        <v/>
      </c>
      <c r="AE53" s="572" t="str">
        <f t="shared" ref="AE53:AE58" si="555">IF(M53="","",AA53*(1/SQRT(Z53^2+AA53^2+AB53^2)))</f>
        <v/>
      </c>
      <c r="AF53" s="576" t="str">
        <f t="shared" ref="AF53:AF58" si="556">IF(M53="","",AB53*(1/SQRT(Z53^2+AA53^2+AB53^2)))</f>
        <v/>
      </c>
      <c r="AG53" s="545" t="str">
        <f t="shared" ref="AG53:AG58" si="557">IF(M53="","",DEGREES(ATAN2(-AF53,AE53)))</f>
        <v/>
      </c>
      <c r="AH53" s="546" t="str">
        <f t="shared" ref="AH53:AH58" si="558">IF(M53="","",DEGREES(ACOS(AD53)))</f>
        <v/>
      </c>
      <c r="AI53" s="528" t="str">
        <f t="shared" ref="AI53:AI58" si="559">IF(M53="","",DEGREES(-ACOS(-AF53)))</f>
        <v/>
      </c>
      <c r="AJ53" s="529" t="str">
        <f t="shared" ref="AJ53:AJ58" si="560">IF(M53="","",DEGREES(ATAN2(-AE53,AD53)))</f>
        <v/>
      </c>
      <c r="AK53" s="578" t="str">
        <f t="shared" ref="AK53:AK58" si="561">IF(M53="","",(COS(RADIANS((90-$Q$8)-W53))*AD53)+(-SIN(RADIANS((90-$Q$8)-W53))*AE53))</f>
        <v/>
      </c>
      <c r="AL53" s="572" t="str">
        <f t="shared" ref="AL53:AL58" si="562">IF(M53="","",(SIN(RADIANS((90-$Q$8)-W53))*AD53)+(COS(RADIANS((90-$Q$8)-W53))*AE53))</f>
        <v/>
      </c>
      <c r="AM53" s="577" t="str">
        <f t="shared" ref="AM53:AM58" si="563">IF(M53="","",AF53)</f>
        <v/>
      </c>
      <c r="AN53" s="524" t="str">
        <f t="shared" ref="AN53:AN58" si="564">IF(M53="","",DEGREES(ATAN2(-AM53,AL53)))</f>
        <v/>
      </c>
      <c r="AO53" s="525" t="str">
        <f t="shared" si="110"/>
        <v/>
      </c>
      <c r="AP53" s="528" t="str">
        <f t="shared" ref="AP53:AP58" si="565">IF(M53="","",DEGREES(ATAN2(AK53,AL53)))</f>
        <v/>
      </c>
      <c r="AQ53" s="529" t="str">
        <f t="shared" si="332"/>
        <v/>
      </c>
      <c r="AR53" s="979"/>
      <c r="AS53" s="954" t="str">
        <f t="shared" si="524"/>
        <v/>
      </c>
      <c r="AT53" s="950" t="str">
        <f t="shared" si="333"/>
        <v/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41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85"/>
        <v/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 t="e">
        <f t="shared" si="133"/>
        <v>#VALUE!</v>
      </c>
      <c r="JN53" s="960" t="e">
        <f>($JO53-SMALL($JO$9:$JO$88,1))/((Settings!$C$19/2)-((Settings!$C$19/2)-LARGE($JO$9:$JO$88,1))-SMALL($JO$9:$JO$88,1))</f>
        <v>#VALUE!</v>
      </c>
      <c r="JO53" s="162" t="str">
        <f t="shared" si="134"/>
        <v/>
      </c>
      <c r="JP53" s="961" t="str">
        <f t="shared" si="135"/>
        <v/>
      </c>
      <c r="JQ53" s="961" t="str">
        <f t="shared" si="136"/>
        <v/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 t="str">
        <f t="shared" si="322"/>
        <v/>
      </c>
      <c r="B54" s="578" t="str">
        <f t="shared" ref="B54:D54" si="566">IFERROR(O209+($A54*-E54),"")</f>
        <v/>
      </c>
      <c r="C54" s="572" t="str">
        <f t="shared" si="566"/>
        <v/>
      </c>
      <c r="D54" s="576" t="str">
        <f t="shared" si="566"/>
        <v/>
      </c>
      <c r="E54" s="580" t="str">
        <f t="shared" ref="E54:K54" si="567">R209</f>
        <v/>
      </c>
      <c r="F54" s="572" t="str">
        <f t="shared" si="567"/>
        <v/>
      </c>
      <c r="G54" s="579" t="str">
        <f t="shared" si="567"/>
        <v/>
      </c>
      <c r="H54" s="580" t="str">
        <f t="shared" si="567"/>
        <v/>
      </c>
      <c r="I54" s="572" t="str">
        <f t="shared" si="567"/>
        <v/>
      </c>
      <c r="J54" s="483" t="str">
        <f t="shared" si="94"/>
        <v/>
      </c>
      <c r="K54" s="806" t="str">
        <f t="shared" si="567"/>
        <v/>
      </c>
      <c r="L54" s="309"/>
      <c r="M54" s="164" t="str">
        <f t="shared" si="325"/>
        <v/>
      </c>
      <c r="N54" s="575" t="str">
        <f t="shared" si="326"/>
        <v/>
      </c>
      <c r="O54" s="572" t="str">
        <f t="shared" si="327"/>
        <v/>
      </c>
      <c r="P54" s="576" t="str">
        <f t="shared" si="328"/>
        <v/>
      </c>
      <c r="Q54" s="528" t="str">
        <f t="shared" si="144"/>
        <v/>
      </c>
      <c r="R54" s="572" t="str">
        <f t="shared" si="547"/>
        <v/>
      </c>
      <c r="S54" s="577" t="str">
        <f t="shared" si="548"/>
        <v/>
      </c>
      <c r="T54" s="578" t="str">
        <f t="shared" si="549"/>
        <v/>
      </c>
      <c r="U54" s="572" t="str">
        <f t="shared" si="550"/>
        <v/>
      </c>
      <c r="V54" s="579" t="str">
        <f t="shared" si="551"/>
        <v/>
      </c>
      <c r="W54" s="528" t="str">
        <f t="shared" si="268"/>
        <v/>
      </c>
      <c r="X54" s="572" t="str">
        <f t="shared" si="552"/>
        <v/>
      </c>
      <c r="Y54" s="573" t="str">
        <f t="shared" si="271"/>
        <v/>
      </c>
      <c r="Z54" s="575" t="str">
        <f t="shared" si="329"/>
        <v/>
      </c>
      <c r="AA54" s="572" t="str">
        <f t="shared" si="330"/>
        <v/>
      </c>
      <c r="AB54" s="572" t="str">
        <f t="shared" si="331"/>
        <v/>
      </c>
      <c r="AC54" s="579" t="str">
        <f t="shared" si="553"/>
        <v/>
      </c>
      <c r="AD54" s="580" t="str">
        <f t="shared" si="554"/>
        <v/>
      </c>
      <c r="AE54" s="572" t="str">
        <f t="shared" si="555"/>
        <v/>
      </c>
      <c r="AF54" s="576" t="str">
        <f t="shared" si="556"/>
        <v/>
      </c>
      <c r="AG54" s="545" t="str">
        <f t="shared" si="557"/>
        <v/>
      </c>
      <c r="AH54" s="546" t="str">
        <f t="shared" si="558"/>
        <v/>
      </c>
      <c r="AI54" s="528" t="str">
        <f t="shared" si="559"/>
        <v/>
      </c>
      <c r="AJ54" s="529" t="str">
        <f t="shared" si="560"/>
        <v/>
      </c>
      <c r="AK54" s="578" t="str">
        <f t="shared" si="561"/>
        <v/>
      </c>
      <c r="AL54" s="572" t="str">
        <f t="shared" si="562"/>
        <v/>
      </c>
      <c r="AM54" s="577" t="str">
        <f t="shared" si="563"/>
        <v/>
      </c>
      <c r="AN54" s="524" t="str">
        <f t="shared" si="564"/>
        <v/>
      </c>
      <c r="AO54" s="525" t="str">
        <f t="shared" si="110"/>
        <v/>
      </c>
      <c r="AP54" s="528" t="str">
        <f t="shared" si="565"/>
        <v/>
      </c>
      <c r="AQ54" s="529" t="str">
        <f t="shared" si="332"/>
        <v/>
      </c>
      <c r="AR54" s="979"/>
      <c r="AS54" s="954" t="str">
        <f t="shared" si="524"/>
        <v/>
      </c>
      <c r="AT54" s="950" t="str">
        <f t="shared" si="333"/>
        <v/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41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85"/>
        <v/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 t="e">
        <f t="shared" si="133"/>
        <v>#VALUE!</v>
      </c>
      <c r="JN54" s="960" t="e">
        <f>($JO54-SMALL($JO$9:$JO$88,1))/((Settings!$C$19/2)-((Settings!$C$19/2)-LARGE($JO$9:$JO$88,1))-SMALL($JO$9:$JO$88,1))</f>
        <v>#VALUE!</v>
      </c>
      <c r="JO54" s="162" t="str">
        <f t="shared" si="134"/>
        <v/>
      </c>
      <c r="JP54" s="961" t="str">
        <f t="shared" si="135"/>
        <v/>
      </c>
      <c r="JQ54" s="961" t="str">
        <f t="shared" si="136"/>
        <v/>
      </c>
      <c r="JU54" s="962"/>
      <c r="JV54" s="959"/>
      <c r="JW54" s="959"/>
    </row>
    <row r="55" spans="1:284" ht="15" customHeight="1" x14ac:dyDescent="0.25">
      <c r="A55" s="75" t="str">
        <f t="shared" si="322"/>
        <v/>
      </c>
      <c r="B55" s="578" t="str">
        <f t="shared" ref="B55:D55" si="600">IFERROR(O210+($A55*-E55),"")</f>
        <v/>
      </c>
      <c r="C55" s="572" t="str">
        <f t="shared" si="600"/>
        <v/>
      </c>
      <c r="D55" s="576" t="str">
        <f t="shared" si="600"/>
        <v/>
      </c>
      <c r="E55" s="580" t="str">
        <f t="shared" ref="E55:K55" si="601">R210</f>
        <v/>
      </c>
      <c r="F55" s="572" t="str">
        <f t="shared" si="601"/>
        <v/>
      </c>
      <c r="G55" s="579" t="str">
        <f t="shared" si="601"/>
        <v/>
      </c>
      <c r="H55" s="580" t="str">
        <f t="shared" si="601"/>
        <v/>
      </c>
      <c r="I55" s="572" t="str">
        <f t="shared" si="601"/>
        <v/>
      </c>
      <c r="J55" s="483" t="str">
        <f t="shared" si="94"/>
        <v/>
      </c>
      <c r="K55" s="806" t="str">
        <f t="shared" si="601"/>
        <v/>
      </c>
      <c r="L55" s="309"/>
      <c r="M55" s="164" t="str">
        <f t="shared" si="325"/>
        <v/>
      </c>
      <c r="N55" s="575" t="str">
        <f t="shared" si="326"/>
        <v/>
      </c>
      <c r="O55" s="572" t="str">
        <f t="shared" si="327"/>
        <v/>
      </c>
      <c r="P55" s="576" t="str">
        <f t="shared" si="328"/>
        <v/>
      </c>
      <c r="Q55" s="528" t="str">
        <f t="shared" si="144"/>
        <v/>
      </c>
      <c r="R55" s="572" t="str">
        <f t="shared" si="547"/>
        <v/>
      </c>
      <c r="S55" s="577" t="str">
        <f t="shared" si="548"/>
        <v/>
      </c>
      <c r="T55" s="578" t="str">
        <f t="shared" si="549"/>
        <v/>
      </c>
      <c r="U55" s="572" t="str">
        <f t="shared" si="550"/>
        <v/>
      </c>
      <c r="V55" s="579" t="str">
        <f t="shared" si="551"/>
        <v/>
      </c>
      <c r="W55" s="528" t="str">
        <f t="shared" si="268"/>
        <v/>
      </c>
      <c r="X55" s="572" t="str">
        <f t="shared" si="552"/>
        <v/>
      </c>
      <c r="Y55" s="573" t="str">
        <f t="shared" si="271"/>
        <v/>
      </c>
      <c r="Z55" s="575" t="str">
        <f t="shared" si="329"/>
        <v/>
      </c>
      <c r="AA55" s="572" t="str">
        <f t="shared" si="330"/>
        <v/>
      </c>
      <c r="AB55" s="572" t="str">
        <f t="shared" si="331"/>
        <v/>
      </c>
      <c r="AC55" s="579" t="str">
        <f t="shared" si="553"/>
        <v/>
      </c>
      <c r="AD55" s="580" t="str">
        <f t="shared" si="554"/>
        <v/>
      </c>
      <c r="AE55" s="572" t="str">
        <f t="shared" si="555"/>
        <v/>
      </c>
      <c r="AF55" s="576" t="str">
        <f t="shared" si="556"/>
        <v/>
      </c>
      <c r="AG55" s="545" t="str">
        <f t="shared" si="557"/>
        <v/>
      </c>
      <c r="AH55" s="546" t="str">
        <f t="shared" si="558"/>
        <v/>
      </c>
      <c r="AI55" s="528" t="str">
        <f t="shared" si="559"/>
        <v/>
      </c>
      <c r="AJ55" s="529" t="str">
        <f t="shared" si="560"/>
        <v/>
      </c>
      <c r="AK55" s="578" t="str">
        <f t="shared" si="561"/>
        <v/>
      </c>
      <c r="AL55" s="572" t="str">
        <f t="shared" si="562"/>
        <v/>
      </c>
      <c r="AM55" s="577" t="str">
        <f t="shared" si="563"/>
        <v/>
      </c>
      <c r="AN55" s="524" t="str">
        <f t="shared" si="564"/>
        <v/>
      </c>
      <c r="AO55" s="525" t="str">
        <f>IF(ROUND(IF(M55="",0,DEGREES(ACOS(AK55))),4)=90,0,IF(M55="","",DEGREES(ACOS(AK55))))</f>
        <v/>
      </c>
      <c r="AP55" s="528" t="str">
        <f t="shared" si="565"/>
        <v/>
      </c>
      <c r="AQ55" s="529" t="str">
        <f t="shared" si="332"/>
        <v/>
      </c>
      <c r="AR55" s="979"/>
      <c r="AS55" s="954" t="str">
        <f t="shared" si="524"/>
        <v/>
      </c>
      <c r="AT55" s="950" t="str">
        <f t="shared" si="333"/>
        <v/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4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85"/>
        <v/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 t="e">
        <f t="shared" si="133"/>
        <v>#VALUE!</v>
      </c>
      <c r="JN55" s="960" t="e">
        <f>($JO55-SMALL($JO$9:$JO$88,1))/((Settings!$C$19/2)-((Settings!$C$19/2)-LARGE($JO$9:$JO$88,1))-SMALL($JO$9:$JO$88,1))</f>
        <v>#VALUE!</v>
      </c>
      <c r="JO55" s="162" t="str">
        <f t="shared" si="134"/>
        <v/>
      </c>
      <c r="JP55" s="961" t="str">
        <f t="shared" si="135"/>
        <v/>
      </c>
      <c r="JQ55" s="961" t="str">
        <f t="shared" si="136"/>
        <v/>
      </c>
      <c r="JU55" s="962"/>
      <c r="JV55" s="959"/>
      <c r="JW55" s="959"/>
    </row>
    <row r="56" spans="1:284" ht="15" customHeight="1" x14ac:dyDescent="0.25">
      <c r="A56" s="75" t="str">
        <f t="shared" si="322"/>
        <v/>
      </c>
      <c r="B56" s="578" t="str">
        <f t="shared" ref="B56:D56" si="602">IFERROR(O211+($A56*-E56),"")</f>
        <v/>
      </c>
      <c r="C56" s="572" t="str">
        <f t="shared" si="602"/>
        <v/>
      </c>
      <c r="D56" s="576" t="str">
        <f t="shared" si="602"/>
        <v/>
      </c>
      <c r="E56" s="580" t="str">
        <f t="shared" ref="E56:K56" si="603">R211</f>
        <v/>
      </c>
      <c r="F56" s="572" t="str">
        <f t="shared" si="603"/>
        <v/>
      </c>
      <c r="G56" s="579" t="str">
        <f t="shared" si="603"/>
        <v/>
      </c>
      <c r="H56" s="580" t="str">
        <f t="shared" si="603"/>
        <v/>
      </c>
      <c r="I56" s="572" t="str">
        <f t="shared" si="603"/>
        <v/>
      </c>
      <c r="J56" s="483" t="str">
        <f t="shared" si="94"/>
        <v/>
      </c>
      <c r="K56" s="806" t="str">
        <f t="shared" si="603"/>
        <v/>
      </c>
      <c r="L56" s="309"/>
      <c r="M56" s="164" t="str">
        <f t="shared" si="325"/>
        <v/>
      </c>
      <c r="N56" s="575" t="str">
        <f t="shared" si="326"/>
        <v/>
      </c>
      <c r="O56" s="572" t="str">
        <f t="shared" si="327"/>
        <v/>
      </c>
      <c r="P56" s="576" t="str">
        <f t="shared" si="328"/>
        <v/>
      </c>
      <c r="Q56" s="528" t="str">
        <f t="shared" si="144"/>
        <v/>
      </c>
      <c r="R56" s="572" t="str">
        <f t="shared" si="547"/>
        <v/>
      </c>
      <c r="S56" s="577" t="str">
        <f t="shared" si="548"/>
        <v/>
      </c>
      <c r="T56" s="578" t="str">
        <f t="shared" si="549"/>
        <v/>
      </c>
      <c r="U56" s="572" t="str">
        <f t="shared" si="550"/>
        <v/>
      </c>
      <c r="V56" s="579" t="str">
        <f t="shared" si="551"/>
        <v/>
      </c>
      <c r="W56" s="528" t="str">
        <f t="shared" si="268"/>
        <v/>
      </c>
      <c r="X56" s="572" t="str">
        <f t="shared" si="552"/>
        <v/>
      </c>
      <c r="Y56" s="573" t="str">
        <f t="shared" si="271"/>
        <v/>
      </c>
      <c r="Z56" s="575" t="str">
        <f t="shared" si="329"/>
        <v/>
      </c>
      <c r="AA56" s="572" t="str">
        <f t="shared" si="330"/>
        <v/>
      </c>
      <c r="AB56" s="572" t="str">
        <f t="shared" si="331"/>
        <v/>
      </c>
      <c r="AC56" s="579" t="str">
        <f t="shared" si="553"/>
        <v/>
      </c>
      <c r="AD56" s="580" t="str">
        <f t="shared" si="554"/>
        <v/>
      </c>
      <c r="AE56" s="572" t="str">
        <f t="shared" si="555"/>
        <v/>
      </c>
      <c r="AF56" s="576" t="str">
        <f t="shared" si="556"/>
        <v/>
      </c>
      <c r="AG56" s="545" t="str">
        <f t="shared" si="557"/>
        <v/>
      </c>
      <c r="AH56" s="546" t="str">
        <f t="shared" si="558"/>
        <v/>
      </c>
      <c r="AI56" s="528" t="str">
        <f t="shared" si="559"/>
        <v/>
      </c>
      <c r="AJ56" s="529" t="str">
        <f t="shared" si="560"/>
        <v/>
      </c>
      <c r="AK56" s="578" t="str">
        <f t="shared" si="561"/>
        <v/>
      </c>
      <c r="AL56" s="572" t="str">
        <f t="shared" si="562"/>
        <v/>
      </c>
      <c r="AM56" s="577" t="str">
        <f t="shared" si="563"/>
        <v/>
      </c>
      <c r="AN56" s="524" t="str">
        <f t="shared" si="564"/>
        <v/>
      </c>
      <c r="AO56" s="525" t="str">
        <f t="shared" ref="AO56:AO119" si="604">IF(ROUND(IF(M56="",0,DEGREES(ACOS(AK56))),4)=90,0,IF(M56="","",DEGREES(ACOS(AK56))))</f>
        <v/>
      </c>
      <c r="AP56" s="528" t="str">
        <f t="shared" si="565"/>
        <v/>
      </c>
      <c r="AQ56" s="529" t="str">
        <f t="shared" si="332"/>
        <v/>
      </c>
      <c r="AR56" s="979"/>
      <c r="AS56" s="954" t="str">
        <f t="shared" si="524"/>
        <v/>
      </c>
      <c r="AT56" s="950" t="str">
        <f t="shared" si="333"/>
        <v/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4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85"/>
        <v/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 t="e">
        <f t="shared" si="133"/>
        <v>#VALUE!</v>
      </c>
      <c r="JN56" s="960" t="e">
        <f>($JO56-SMALL($JO$9:$JO$88,1))/((Settings!$C$19/2)-((Settings!$C$19/2)-LARGE($JO$9:$JO$88,1))-SMALL($JO$9:$JO$88,1))</f>
        <v>#VALUE!</v>
      </c>
      <c r="JO56" s="162" t="str">
        <f t="shared" si="134"/>
        <v/>
      </c>
      <c r="JP56" s="961" t="str">
        <f t="shared" si="135"/>
        <v/>
      </c>
      <c r="JQ56" s="961" t="str">
        <f t="shared" si="136"/>
        <v/>
      </c>
      <c r="JU56" s="962"/>
      <c r="JV56" s="959"/>
      <c r="JW56" s="959"/>
    </row>
    <row r="57" spans="1:284" ht="15" customHeight="1" x14ac:dyDescent="0.25">
      <c r="A57" s="75" t="str">
        <f t="shared" si="322"/>
        <v/>
      </c>
      <c r="B57" s="578" t="str">
        <f t="shared" ref="B57:D57" si="605">IFERROR(O212+($A57*-E57),"")</f>
        <v/>
      </c>
      <c r="C57" s="572" t="str">
        <f t="shared" si="605"/>
        <v/>
      </c>
      <c r="D57" s="576" t="str">
        <f t="shared" si="605"/>
        <v/>
      </c>
      <c r="E57" s="580" t="str">
        <f t="shared" ref="E57:K57" si="606">R212</f>
        <v/>
      </c>
      <c r="F57" s="572" t="str">
        <f t="shared" si="606"/>
        <v/>
      </c>
      <c r="G57" s="579" t="str">
        <f t="shared" si="606"/>
        <v/>
      </c>
      <c r="H57" s="580" t="str">
        <f t="shared" si="606"/>
        <v/>
      </c>
      <c r="I57" s="572" t="str">
        <f t="shared" si="606"/>
        <v/>
      </c>
      <c r="J57" s="483" t="str">
        <f t="shared" si="94"/>
        <v/>
      </c>
      <c r="K57" s="806" t="str">
        <f t="shared" si="606"/>
        <v/>
      </c>
      <c r="L57" s="309"/>
      <c r="M57" s="164" t="str">
        <f t="shared" si="325"/>
        <v/>
      </c>
      <c r="N57" s="575" t="str">
        <f t="shared" si="326"/>
        <v/>
      </c>
      <c r="O57" s="572" t="str">
        <f t="shared" si="327"/>
        <v/>
      </c>
      <c r="P57" s="576" t="str">
        <f t="shared" si="328"/>
        <v/>
      </c>
      <c r="Q57" s="528" t="str">
        <f t="shared" si="144"/>
        <v/>
      </c>
      <c r="R57" s="572" t="str">
        <f t="shared" si="547"/>
        <v/>
      </c>
      <c r="S57" s="577" t="str">
        <f t="shared" si="548"/>
        <v/>
      </c>
      <c r="T57" s="578" t="str">
        <f t="shared" si="549"/>
        <v/>
      </c>
      <c r="U57" s="572" t="str">
        <f t="shared" si="550"/>
        <v/>
      </c>
      <c r="V57" s="579" t="str">
        <f t="shared" si="551"/>
        <v/>
      </c>
      <c r="W57" s="528" t="str">
        <f t="shared" si="268"/>
        <v/>
      </c>
      <c r="X57" s="572" t="str">
        <f t="shared" si="552"/>
        <v/>
      </c>
      <c r="Y57" s="573" t="str">
        <f t="shared" si="271"/>
        <v/>
      </c>
      <c r="Z57" s="575" t="str">
        <f t="shared" si="329"/>
        <v/>
      </c>
      <c r="AA57" s="572" t="str">
        <f t="shared" si="330"/>
        <v/>
      </c>
      <c r="AB57" s="572" t="str">
        <f t="shared" si="331"/>
        <v/>
      </c>
      <c r="AC57" s="579" t="str">
        <f t="shared" si="553"/>
        <v/>
      </c>
      <c r="AD57" s="580" t="str">
        <f t="shared" si="554"/>
        <v/>
      </c>
      <c r="AE57" s="572" t="str">
        <f t="shared" si="555"/>
        <v/>
      </c>
      <c r="AF57" s="576" t="str">
        <f t="shared" si="556"/>
        <v/>
      </c>
      <c r="AG57" s="545" t="str">
        <f t="shared" si="557"/>
        <v/>
      </c>
      <c r="AH57" s="546" t="str">
        <f t="shared" si="558"/>
        <v/>
      </c>
      <c r="AI57" s="528" t="str">
        <f t="shared" si="559"/>
        <v/>
      </c>
      <c r="AJ57" s="529" t="str">
        <f t="shared" si="560"/>
        <v/>
      </c>
      <c r="AK57" s="578" t="str">
        <f t="shared" si="561"/>
        <v/>
      </c>
      <c r="AL57" s="572" t="str">
        <f t="shared" si="562"/>
        <v/>
      </c>
      <c r="AM57" s="577" t="str">
        <f t="shared" si="563"/>
        <v/>
      </c>
      <c r="AN57" s="524" t="str">
        <f t="shared" si="564"/>
        <v/>
      </c>
      <c r="AO57" s="525" t="str">
        <f t="shared" si="604"/>
        <v/>
      </c>
      <c r="AP57" s="528" t="str">
        <f t="shared" si="565"/>
        <v/>
      </c>
      <c r="AQ57" s="529" t="str">
        <f t="shared" si="332"/>
        <v/>
      </c>
      <c r="AR57" s="979"/>
      <c r="AS57" s="954" t="str">
        <f t="shared" si="524"/>
        <v/>
      </c>
      <c r="AT57" s="950" t="str">
        <f t="shared" si="333"/>
        <v/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4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85"/>
        <v/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 t="e">
        <f t="shared" si="133"/>
        <v>#VALUE!</v>
      </c>
      <c r="JN57" s="960" t="e">
        <f>($JO57-SMALL($JO$9:$JO$88,1))/((Settings!$C$19/2)-((Settings!$C$19/2)-LARGE($JO$9:$JO$88,1))-SMALL($JO$9:$JO$88,1))</f>
        <v>#VALUE!</v>
      </c>
      <c r="JO57" s="162" t="str">
        <f t="shared" si="134"/>
        <v/>
      </c>
      <c r="JP57" s="961" t="str">
        <f t="shared" si="135"/>
        <v/>
      </c>
      <c r="JQ57" s="961" t="str">
        <f t="shared" si="136"/>
        <v/>
      </c>
      <c r="JU57" s="962"/>
      <c r="JV57" s="959"/>
      <c r="JW57" s="959"/>
    </row>
    <row r="58" spans="1:284" ht="15" customHeight="1" x14ac:dyDescent="0.25">
      <c r="A58" s="75" t="str">
        <f t="shared" si="322"/>
        <v/>
      </c>
      <c r="B58" s="578" t="str">
        <f t="shared" ref="B58:D58" si="607">IFERROR(O213+($A58*-E58),"")</f>
        <v/>
      </c>
      <c r="C58" s="572" t="str">
        <f t="shared" si="607"/>
        <v/>
      </c>
      <c r="D58" s="576" t="str">
        <f t="shared" si="607"/>
        <v/>
      </c>
      <c r="E58" s="580" t="str">
        <f t="shared" ref="E58:K58" si="608">R213</f>
        <v/>
      </c>
      <c r="F58" s="572" t="str">
        <f t="shared" si="608"/>
        <v/>
      </c>
      <c r="G58" s="579" t="str">
        <f t="shared" si="608"/>
        <v/>
      </c>
      <c r="H58" s="580" t="str">
        <f t="shared" si="608"/>
        <v/>
      </c>
      <c r="I58" s="572" t="str">
        <f t="shared" si="608"/>
        <v/>
      </c>
      <c r="J58" s="483" t="str">
        <f t="shared" si="94"/>
        <v/>
      </c>
      <c r="K58" s="806" t="str">
        <f t="shared" si="608"/>
        <v/>
      </c>
      <c r="L58" s="309"/>
      <c r="M58" s="164" t="str">
        <f t="shared" si="325"/>
        <v/>
      </c>
      <c r="N58" s="575" t="str">
        <f t="shared" si="326"/>
        <v/>
      </c>
      <c r="O58" s="572" t="str">
        <f t="shared" si="327"/>
        <v/>
      </c>
      <c r="P58" s="576" t="str">
        <f t="shared" si="328"/>
        <v/>
      </c>
      <c r="Q58" s="528" t="str">
        <f t="shared" si="144"/>
        <v/>
      </c>
      <c r="R58" s="572" t="str">
        <f t="shared" si="547"/>
        <v/>
      </c>
      <c r="S58" s="577" t="str">
        <f t="shared" si="548"/>
        <v/>
      </c>
      <c r="T58" s="578" t="str">
        <f t="shared" si="549"/>
        <v/>
      </c>
      <c r="U58" s="572" t="str">
        <f t="shared" si="550"/>
        <v/>
      </c>
      <c r="V58" s="579" t="str">
        <f t="shared" si="551"/>
        <v/>
      </c>
      <c r="W58" s="528" t="str">
        <f t="shared" si="268"/>
        <v/>
      </c>
      <c r="X58" s="572" t="str">
        <f t="shared" si="552"/>
        <v/>
      </c>
      <c r="Y58" s="573" t="str">
        <f t="shared" si="271"/>
        <v/>
      </c>
      <c r="Z58" s="575" t="str">
        <f t="shared" si="329"/>
        <v/>
      </c>
      <c r="AA58" s="572" t="str">
        <f t="shared" si="330"/>
        <v/>
      </c>
      <c r="AB58" s="572" t="str">
        <f t="shared" si="331"/>
        <v/>
      </c>
      <c r="AC58" s="579" t="str">
        <f t="shared" si="553"/>
        <v/>
      </c>
      <c r="AD58" s="580" t="str">
        <f t="shared" si="554"/>
        <v/>
      </c>
      <c r="AE58" s="572" t="str">
        <f t="shared" si="555"/>
        <v/>
      </c>
      <c r="AF58" s="576" t="str">
        <f t="shared" si="556"/>
        <v/>
      </c>
      <c r="AG58" s="545" t="str">
        <f t="shared" si="557"/>
        <v/>
      </c>
      <c r="AH58" s="546" t="str">
        <f t="shared" si="558"/>
        <v/>
      </c>
      <c r="AI58" s="528" t="str">
        <f t="shared" si="559"/>
        <v/>
      </c>
      <c r="AJ58" s="529" t="str">
        <f t="shared" si="560"/>
        <v/>
      </c>
      <c r="AK58" s="578" t="str">
        <f t="shared" si="561"/>
        <v/>
      </c>
      <c r="AL58" s="572" t="str">
        <f t="shared" si="562"/>
        <v/>
      </c>
      <c r="AM58" s="577" t="str">
        <f t="shared" si="563"/>
        <v/>
      </c>
      <c r="AN58" s="524" t="str">
        <f t="shared" si="564"/>
        <v/>
      </c>
      <c r="AO58" s="525" t="str">
        <f t="shared" si="604"/>
        <v/>
      </c>
      <c r="AP58" s="528" t="str">
        <f t="shared" si="565"/>
        <v/>
      </c>
      <c r="AQ58" s="529" t="str">
        <f t="shared" si="332"/>
        <v/>
      </c>
      <c r="AR58" s="979"/>
      <c r="AS58" s="954" t="str">
        <f t="shared" si="524"/>
        <v/>
      </c>
      <c r="AT58" s="950" t="str">
        <f t="shared" si="333"/>
        <v/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4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85"/>
        <v/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 t="e">
        <f t="shared" si="133"/>
        <v>#VALUE!</v>
      </c>
      <c r="JN58" s="960" t="e">
        <f>($JO58-SMALL($JO$9:$JO$88,1))/((Settings!$C$19/2)-((Settings!$C$19/2)-LARGE($JO$9:$JO$88,1))-SMALL($JO$9:$JO$88,1))</f>
        <v>#VALUE!</v>
      </c>
      <c r="JO58" s="162" t="str">
        <f t="shared" si="134"/>
        <v/>
      </c>
      <c r="JP58" s="961" t="str">
        <f t="shared" si="135"/>
        <v/>
      </c>
      <c r="JQ58" s="961" t="str">
        <f t="shared" si="136"/>
        <v/>
      </c>
      <c r="JU58" s="962"/>
      <c r="JV58" s="959"/>
      <c r="JW58" s="959"/>
    </row>
    <row r="59" spans="1:284" ht="15" customHeight="1" x14ac:dyDescent="0.25">
      <c r="A59" s="75" t="str">
        <f t="shared" si="322"/>
        <v/>
      </c>
      <c r="B59" s="578" t="str">
        <f t="shared" ref="B59:D59" si="609">IFERROR(O214+($A59*-E59),"")</f>
        <v/>
      </c>
      <c r="C59" s="572" t="str">
        <f t="shared" si="609"/>
        <v/>
      </c>
      <c r="D59" s="576" t="str">
        <f t="shared" si="609"/>
        <v/>
      </c>
      <c r="E59" s="580" t="str">
        <f t="shared" ref="E59:K59" si="610">R214</f>
        <v/>
      </c>
      <c r="F59" s="572" t="str">
        <f t="shared" si="610"/>
        <v/>
      </c>
      <c r="G59" s="579" t="str">
        <f t="shared" si="610"/>
        <v/>
      </c>
      <c r="H59" s="580" t="str">
        <f t="shared" si="610"/>
        <v/>
      </c>
      <c r="I59" s="572" t="str">
        <f t="shared" si="610"/>
        <v/>
      </c>
      <c r="J59" s="483" t="str">
        <f t="shared" si="94"/>
        <v/>
      </c>
      <c r="K59" s="806" t="str">
        <f t="shared" si="610"/>
        <v/>
      </c>
      <c r="L59" s="309"/>
      <c r="M59" s="164" t="str">
        <f t="shared" si="325"/>
        <v/>
      </c>
      <c r="N59" s="575" t="str">
        <f t="shared" si="326"/>
        <v/>
      </c>
      <c r="O59" s="572" t="str">
        <f t="shared" si="327"/>
        <v/>
      </c>
      <c r="P59" s="576" t="str">
        <f t="shared" si="328"/>
        <v/>
      </c>
      <c r="Q59" s="528" t="str">
        <f t="shared" si="144"/>
        <v/>
      </c>
      <c r="R59" s="572" t="str">
        <f t="shared" si="95"/>
        <v/>
      </c>
      <c r="S59" s="577" t="str">
        <f t="shared" si="96"/>
        <v/>
      </c>
      <c r="T59" s="578" t="str">
        <f t="shared" si="97"/>
        <v/>
      </c>
      <c r="U59" s="572" t="str">
        <f t="shared" si="98"/>
        <v/>
      </c>
      <c r="V59" s="579" t="str">
        <f t="shared" si="145"/>
        <v/>
      </c>
      <c r="W59" s="528" t="str">
        <f t="shared" si="268"/>
        <v/>
      </c>
      <c r="X59" s="572" t="str">
        <f t="shared" si="99"/>
        <v/>
      </c>
      <c r="Y59" s="573" t="str">
        <f t="shared" si="271"/>
        <v/>
      </c>
      <c r="Z59" s="575" t="str">
        <f t="shared" si="329"/>
        <v/>
      </c>
      <c r="AA59" s="572" t="str">
        <f t="shared" si="330"/>
        <v/>
      </c>
      <c r="AB59" s="572" t="str">
        <f t="shared" si="331"/>
        <v/>
      </c>
      <c r="AC59" s="579" t="str">
        <f t="shared" si="100"/>
        <v/>
      </c>
      <c r="AD59" s="580" t="str">
        <f t="shared" si="146"/>
        <v/>
      </c>
      <c r="AE59" s="572" t="str">
        <f t="shared" si="101"/>
        <v/>
      </c>
      <c r="AF59" s="576" t="str">
        <f t="shared" si="102"/>
        <v/>
      </c>
      <c r="AG59" s="545" t="str">
        <f t="shared" si="103"/>
        <v/>
      </c>
      <c r="AH59" s="546" t="str">
        <f t="shared" si="104"/>
        <v/>
      </c>
      <c r="AI59" s="528" t="str">
        <f t="shared" si="105"/>
        <v/>
      </c>
      <c r="AJ59" s="529" t="str">
        <f t="shared" si="106"/>
        <v/>
      </c>
      <c r="AK59" s="578" t="str">
        <f t="shared" si="247"/>
        <v/>
      </c>
      <c r="AL59" s="572" t="str">
        <f t="shared" si="107"/>
        <v/>
      </c>
      <c r="AM59" s="577" t="str">
        <f t="shared" si="108"/>
        <v/>
      </c>
      <c r="AN59" s="524" t="str">
        <f t="shared" si="109"/>
        <v/>
      </c>
      <c r="AO59" s="525" t="str">
        <f t="shared" si="604"/>
        <v/>
      </c>
      <c r="AP59" s="528" t="str">
        <f t="shared" si="111"/>
        <v/>
      </c>
      <c r="AQ59" s="529" t="str">
        <f t="shared" si="332"/>
        <v/>
      </c>
      <c r="AR59" s="979"/>
      <c r="AS59" s="954" t="str">
        <f t="shared" si="524"/>
        <v/>
      </c>
      <c r="AT59" s="950" t="str">
        <f t="shared" si="333"/>
        <v/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4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85"/>
        <v/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 t="e">
        <f t="shared" si="133"/>
        <v>#VALUE!</v>
      </c>
      <c r="JN59" s="960" t="e">
        <f>($JO59-SMALL($JO$9:$JO$88,1))/((Settings!$C$19/2)-((Settings!$C$19/2)-LARGE($JO$9:$JO$88,1))-SMALL($JO$9:$JO$88,1))</f>
        <v>#VALUE!</v>
      </c>
      <c r="JO59" s="162" t="str">
        <f t="shared" si="134"/>
        <v/>
      </c>
      <c r="JP59" s="961" t="str">
        <f t="shared" si="135"/>
        <v/>
      </c>
      <c r="JQ59" s="961" t="str">
        <f t="shared" si="136"/>
        <v/>
      </c>
      <c r="JU59" s="962"/>
      <c r="JV59" s="959"/>
      <c r="JW59" s="959"/>
    </row>
    <row r="60" spans="1:284" ht="15" customHeight="1" x14ac:dyDescent="0.25">
      <c r="A60" s="75" t="str">
        <f t="shared" si="322"/>
        <v/>
      </c>
      <c r="B60" s="578" t="str">
        <f t="shared" ref="B60:D60" si="611">IFERROR(O215+($A60*-E60),"")</f>
        <v/>
      </c>
      <c r="C60" s="572" t="str">
        <f t="shared" si="611"/>
        <v/>
      </c>
      <c r="D60" s="576" t="str">
        <f t="shared" si="611"/>
        <v/>
      </c>
      <c r="E60" s="580" t="str">
        <f t="shared" ref="E60:K60" si="612">R215</f>
        <v/>
      </c>
      <c r="F60" s="572" t="str">
        <f t="shared" si="612"/>
        <v/>
      </c>
      <c r="G60" s="579" t="str">
        <f t="shared" si="612"/>
        <v/>
      </c>
      <c r="H60" s="580" t="str">
        <f t="shared" si="612"/>
        <v/>
      </c>
      <c r="I60" s="572" t="str">
        <f t="shared" si="612"/>
        <v/>
      </c>
      <c r="J60" s="483" t="str">
        <f t="shared" si="94"/>
        <v/>
      </c>
      <c r="K60" s="806" t="str">
        <f t="shared" si="612"/>
        <v/>
      </c>
      <c r="L60" s="309"/>
      <c r="M60" s="164" t="str">
        <f t="shared" si="325"/>
        <v/>
      </c>
      <c r="N60" s="575" t="str">
        <f t="shared" si="326"/>
        <v/>
      </c>
      <c r="O60" s="572" t="str">
        <f t="shared" si="327"/>
        <v/>
      </c>
      <c r="P60" s="576" t="str">
        <f t="shared" si="328"/>
        <v/>
      </c>
      <c r="Q60" s="528" t="str">
        <f t="shared" si="144"/>
        <v/>
      </c>
      <c r="R60" s="572" t="str">
        <f t="shared" si="95"/>
        <v/>
      </c>
      <c r="S60" s="577" t="str">
        <f t="shared" si="96"/>
        <v/>
      </c>
      <c r="T60" s="578" t="str">
        <f t="shared" si="97"/>
        <v/>
      </c>
      <c r="U60" s="572" t="str">
        <f t="shared" si="98"/>
        <v/>
      </c>
      <c r="V60" s="579" t="str">
        <f t="shared" si="145"/>
        <v/>
      </c>
      <c r="W60" s="528" t="str">
        <f t="shared" si="268"/>
        <v/>
      </c>
      <c r="X60" s="572" t="str">
        <f t="shared" si="99"/>
        <v/>
      </c>
      <c r="Y60" s="573" t="str">
        <f t="shared" si="271"/>
        <v/>
      </c>
      <c r="Z60" s="575" t="str">
        <f t="shared" si="329"/>
        <v/>
      </c>
      <c r="AA60" s="572" t="str">
        <f t="shared" si="330"/>
        <v/>
      </c>
      <c r="AB60" s="572" t="str">
        <f t="shared" si="331"/>
        <v/>
      </c>
      <c r="AC60" s="579" t="str">
        <f t="shared" si="100"/>
        <v/>
      </c>
      <c r="AD60" s="580" t="str">
        <f t="shared" si="146"/>
        <v/>
      </c>
      <c r="AE60" s="572" t="str">
        <f t="shared" si="101"/>
        <v/>
      </c>
      <c r="AF60" s="576" t="str">
        <f t="shared" si="102"/>
        <v/>
      </c>
      <c r="AG60" s="545" t="str">
        <f t="shared" si="103"/>
        <v/>
      </c>
      <c r="AH60" s="546" t="str">
        <f t="shared" si="104"/>
        <v/>
      </c>
      <c r="AI60" s="528" t="str">
        <f t="shared" si="105"/>
        <v/>
      </c>
      <c r="AJ60" s="529" t="str">
        <f t="shared" si="106"/>
        <v/>
      </c>
      <c r="AK60" s="578" t="str">
        <f t="shared" si="247"/>
        <v/>
      </c>
      <c r="AL60" s="572" t="str">
        <f t="shared" si="107"/>
        <v/>
      </c>
      <c r="AM60" s="577" t="str">
        <f t="shared" si="108"/>
        <v/>
      </c>
      <c r="AN60" s="524" t="str">
        <f t="shared" si="109"/>
        <v/>
      </c>
      <c r="AO60" s="525" t="str">
        <f t="shared" si="604"/>
        <v/>
      </c>
      <c r="AP60" s="528" t="str">
        <f t="shared" si="111"/>
        <v/>
      </c>
      <c r="AQ60" s="529" t="str">
        <f t="shared" si="332"/>
        <v/>
      </c>
      <c r="AR60" s="979"/>
      <c r="AS60" s="954" t="str">
        <f t="shared" si="524"/>
        <v/>
      </c>
      <c r="AT60" s="950" t="str">
        <f t="shared" si="333"/>
        <v/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4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85"/>
        <v/>
      </c>
      <c r="IM60" s="482" t="str">
        <f t="shared" si="242"/>
        <v/>
      </c>
      <c r="IN60" s="670" t="str">
        <f t="shared" si="486"/>
        <v/>
      </c>
      <c r="IO60" s="702">
        <v>3.9384943410456001E-2</v>
      </c>
      <c r="IP60" s="5" t="str">
        <f t="shared" si="487"/>
        <v/>
      </c>
      <c r="IQ60" s="714">
        <v>400</v>
      </c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 t="e">
        <f t="shared" si="133"/>
        <v>#VALUE!</v>
      </c>
      <c r="JN60" s="960" t="e">
        <f>($JO60-SMALL($JO$9:$JO$88,1))/((Settings!$C$19/2)-((Settings!$C$19/2)-LARGE($JO$9:$JO$88,1))-SMALL($JO$9:$JO$88,1))</f>
        <v>#VALUE!</v>
      </c>
      <c r="JO60" s="162" t="str">
        <f t="shared" si="134"/>
        <v/>
      </c>
      <c r="JP60" s="961" t="str">
        <f t="shared" si="135"/>
        <v/>
      </c>
      <c r="JQ60" s="961" t="str">
        <f t="shared" si="136"/>
        <v/>
      </c>
      <c r="JU60" s="962"/>
      <c r="JV60" s="959"/>
      <c r="JW60" s="959"/>
    </row>
    <row r="61" spans="1:284" ht="15" customHeight="1" x14ac:dyDescent="0.25">
      <c r="A61" s="75" t="str">
        <f t="shared" si="322"/>
        <v/>
      </c>
      <c r="B61" s="578" t="str">
        <f t="shared" ref="B61:D61" si="613">IFERROR(O216+($A61*-E61),"")</f>
        <v/>
      </c>
      <c r="C61" s="572" t="str">
        <f t="shared" si="613"/>
        <v/>
      </c>
      <c r="D61" s="576" t="str">
        <f t="shared" si="613"/>
        <v/>
      </c>
      <c r="E61" s="580" t="str">
        <f t="shared" ref="E61:K61" si="614">R216</f>
        <v/>
      </c>
      <c r="F61" s="572" t="str">
        <f t="shared" si="614"/>
        <v/>
      </c>
      <c r="G61" s="579" t="str">
        <f t="shared" si="614"/>
        <v/>
      </c>
      <c r="H61" s="580" t="str">
        <f t="shared" si="614"/>
        <v/>
      </c>
      <c r="I61" s="572" t="str">
        <f t="shared" si="614"/>
        <v/>
      </c>
      <c r="J61" s="483" t="str">
        <f t="shared" si="94"/>
        <v/>
      </c>
      <c r="K61" s="806" t="str">
        <f t="shared" si="614"/>
        <v/>
      </c>
      <c r="L61" s="309"/>
      <c r="M61" s="164" t="str">
        <f t="shared" si="325"/>
        <v/>
      </c>
      <c r="N61" s="575" t="str">
        <f t="shared" si="326"/>
        <v/>
      </c>
      <c r="O61" s="572" t="str">
        <f t="shared" si="327"/>
        <v/>
      </c>
      <c r="P61" s="576" t="str">
        <f t="shared" si="328"/>
        <v/>
      </c>
      <c r="Q61" s="528" t="str">
        <f t="shared" si="144"/>
        <v/>
      </c>
      <c r="R61" s="572" t="str">
        <f t="shared" si="95"/>
        <v/>
      </c>
      <c r="S61" s="577" t="str">
        <f t="shared" si="96"/>
        <v/>
      </c>
      <c r="T61" s="578" t="str">
        <f t="shared" si="97"/>
        <v/>
      </c>
      <c r="U61" s="572" t="str">
        <f t="shared" si="98"/>
        <v/>
      </c>
      <c r="V61" s="579" t="str">
        <f t="shared" si="145"/>
        <v/>
      </c>
      <c r="W61" s="528" t="str">
        <f t="shared" si="268"/>
        <v/>
      </c>
      <c r="X61" s="572" t="str">
        <f t="shared" si="99"/>
        <v/>
      </c>
      <c r="Y61" s="573" t="str">
        <f t="shared" si="271"/>
        <v/>
      </c>
      <c r="Z61" s="575" t="str">
        <f t="shared" si="329"/>
        <v/>
      </c>
      <c r="AA61" s="572" t="str">
        <f t="shared" si="330"/>
        <v/>
      </c>
      <c r="AB61" s="572" t="str">
        <f t="shared" si="331"/>
        <v/>
      </c>
      <c r="AC61" s="579" t="str">
        <f t="shared" si="100"/>
        <v/>
      </c>
      <c r="AD61" s="580" t="str">
        <f t="shared" si="146"/>
        <v/>
      </c>
      <c r="AE61" s="572" t="str">
        <f t="shared" si="101"/>
        <v/>
      </c>
      <c r="AF61" s="576" t="str">
        <f t="shared" si="102"/>
        <v/>
      </c>
      <c r="AG61" s="545" t="str">
        <f t="shared" si="103"/>
        <v/>
      </c>
      <c r="AH61" s="546" t="str">
        <f t="shared" si="104"/>
        <v/>
      </c>
      <c r="AI61" s="528" t="str">
        <f t="shared" si="105"/>
        <v/>
      </c>
      <c r="AJ61" s="529" t="str">
        <f t="shared" si="106"/>
        <v/>
      </c>
      <c r="AK61" s="578" t="str">
        <f t="shared" si="247"/>
        <v/>
      </c>
      <c r="AL61" s="572" t="str">
        <f t="shared" si="107"/>
        <v/>
      </c>
      <c r="AM61" s="577" t="str">
        <f t="shared" si="108"/>
        <v/>
      </c>
      <c r="AN61" s="524" t="str">
        <f t="shared" si="109"/>
        <v/>
      </c>
      <c r="AO61" s="525" t="str">
        <f t="shared" si="604"/>
        <v/>
      </c>
      <c r="AP61" s="528" t="str">
        <f t="shared" si="111"/>
        <v/>
      </c>
      <c r="AQ61" s="529" t="str">
        <f t="shared" si="332"/>
        <v/>
      </c>
      <c r="AR61" s="979"/>
      <c r="AS61" s="954" t="str">
        <f t="shared" si="524"/>
        <v/>
      </c>
      <c r="AT61" s="950" t="str">
        <f t="shared" si="333"/>
        <v/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4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85"/>
        <v/>
      </c>
      <c r="IM61" s="482" t="str">
        <f t="shared" si="242"/>
        <v/>
      </c>
      <c r="IN61" s="670" t="str">
        <f t="shared" si="486"/>
        <v/>
      </c>
      <c r="IO61" s="702">
        <v>3.6515543168214898E-2</v>
      </c>
      <c r="IP61" s="5" t="str">
        <f t="shared" si="487"/>
        <v/>
      </c>
      <c r="IQ61" s="714">
        <v>470</v>
      </c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 t="e">
        <f t="shared" si="133"/>
        <v>#VALUE!</v>
      </c>
      <c r="JN61" s="960" t="e">
        <f>($JO61-SMALL($JO$9:$JO$88,1))/((Settings!$C$19/2)-((Settings!$C$19/2)-LARGE($JO$9:$JO$88,1))-SMALL($JO$9:$JO$88,1))</f>
        <v>#VALUE!</v>
      </c>
      <c r="JO61" s="162" t="str">
        <f t="shared" si="134"/>
        <v/>
      </c>
      <c r="JP61" s="961" t="str">
        <f t="shared" si="135"/>
        <v/>
      </c>
      <c r="JQ61" s="961" t="str">
        <f t="shared" si="136"/>
        <v/>
      </c>
      <c r="JU61" s="962"/>
      <c r="JV61" s="959"/>
      <c r="JW61" s="959"/>
    </row>
    <row r="62" spans="1:284" ht="15" customHeight="1" x14ac:dyDescent="0.25">
      <c r="A62" s="75" t="str">
        <f t="shared" si="322"/>
        <v/>
      </c>
      <c r="B62" s="578" t="str">
        <f t="shared" ref="B62:D62" si="615">IFERROR(O217+($A62*-E62),"")</f>
        <v/>
      </c>
      <c r="C62" s="572" t="str">
        <f t="shared" si="615"/>
        <v/>
      </c>
      <c r="D62" s="576" t="str">
        <f t="shared" si="615"/>
        <v/>
      </c>
      <c r="E62" s="580" t="str">
        <f t="shared" ref="E62:K62" si="616">R217</f>
        <v/>
      </c>
      <c r="F62" s="572" t="str">
        <f t="shared" si="616"/>
        <v/>
      </c>
      <c r="G62" s="579" t="str">
        <f t="shared" si="616"/>
        <v/>
      </c>
      <c r="H62" s="580" t="str">
        <f t="shared" si="616"/>
        <v/>
      </c>
      <c r="I62" s="572" t="str">
        <f t="shared" si="616"/>
        <v/>
      </c>
      <c r="J62" s="483" t="str">
        <f t="shared" si="94"/>
        <v/>
      </c>
      <c r="K62" s="806" t="str">
        <f t="shared" si="616"/>
        <v/>
      </c>
      <c r="L62" s="309"/>
      <c r="M62" s="164" t="str">
        <f t="shared" si="325"/>
        <v/>
      </c>
      <c r="N62" s="575" t="str">
        <f t="shared" si="326"/>
        <v/>
      </c>
      <c r="O62" s="572" t="str">
        <f t="shared" si="327"/>
        <v/>
      </c>
      <c r="P62" s="576" t="str">
        <f t="shared" si="328"/>
        <v/>
      </c>
      <c r="Q62" s="528" t="str">
        <f t="shared" si="144"/>
        <v/>
      </c>
      <c r="R62" s="572" t="str">
        <f t="shared" si="95"/>
        <v/>
      </c>
      <c r="S62" s="577" t="str">
        <f t="shared" si="96"/>
        <v/>
      </c>
      <c r="T62" s="578" t="str">
        <f t="shared" si="97"/>
        <v/>
      </c>
      <c r="U62" s="572" t="str">
        <f t="shared" si="98"/>
        <v/>
      </c>
      <c r="V62" s="579" t="str">
        <f t="shared" si="145"/>
        <v/>
      </c>
      <c r="W62" s="528" t="str">
        <f t="shared" si="268"/>
        <v/>
      </c>
      <c r="X62" s="572" t="str">
        <f t="shared" si="99"/>
        <v/>
      </c>
      <c r="Y62" s="573" t="str">
        <f t="shared" si="271"/>
        <v/>
      </c>
      <c r="Z62" s="575" t="str">
        <f t="shared" si="329"/>
        <v/>
      </c>
      <c r="AA62" s="572" t="str">
        <f t="shared" si="330"/>
        <v/>
      </c>
      <c r="AB62" s="572" t="str">
        <f t="shared" si="331"/>
        <v/>
      </c>
      <c r="AC62" s="579" t="str">
        <f t="shared" si="100"/>
        <v/>
      </c>
      <c r="AD62" s="580" t="str">
        <f t="shared" si="146"/>
        <v/>
      </c>
      <c r="AE62" s="572" t="str">
        <f t="shared" si="101"/>
        <v/>
      </c>
      <c r="AF62" s="576" t="str">
        <f t="shared" si="102"/>
        <v/>
      </c>
      <c r="AG62" s="545" t="str">
        <f t="shared" si="103"/>
        <v/>
      </c>
      <c r="AH62" s="546" t="str">
        <f t="shared" si="104"/>
        <v/>
      </c>
      <c r="AI62" s="528" t="str">
        <f t="shared" si="105"/>
        <v/>
      </c>
      <c r="AJ62" s="529" t="str">
        <f t="shared" si="106"/>
        <v/>
      </c>
      <c r="AK62" s="578" t="str">
        <f t="shared" si="247"/>
        <v/>
      </c>
      <c r="AL62" s="572" t="str">
        <f t="shared" si="107"/>
        <v/>
      </c>
      <c r="AM62" s="577" t="str">
        <f t="shared" si="108"/>
        <v/>
      </c>
      <c r="AN62" s="524" t="str">
        <f t="shared" si="109"/>
        <v/>
      </c>
      <c r="AO62" s="525" t="str">
        <f t="shared" si="604"/>
        <v/>
      </c>
      <c r="AP62" s="528" t="str">
        <f t="shared" si="111"/>
        <v/>
      </c>
      <c r="AQ62" s="529" t="str">
        <f t="shared" si="332"/>
        <v/>
      </c>
      <c r="AR62" s="979"/>
      <c r="AS62" s="954" t="str">
        <f t="shared" si="524"/>
        <v/>
      </c>
      <c r="AT62" s="950" t="str">
        <f t="shared" si="333"/>
        <v/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4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85"/>
        <v/>
      </c>
      <c r="IM62" s="482" t="str">
        <f t="shared" si="242"/>
        <v/>
      </c>
      <c r="IN62" s="670" t="str">
        <f t="shared" si="486"/>
        <v/>
      </c>
      <c r="IO62" s="702">
        <v>3.4402600360482601E-2</v>
      </c>
      <c r="IP62" s="5" t="str">
        <f t="shared" si="487"/>
        <v/>
      </c>
      <c r="IQ62" s="714">
        <v>560</v>
      </c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 t="e">
        <f t="shared" si="133"/>
        <v>#VALUE!</v>
      </c>
      <c r="JN62" s="960" t="e">
        <f>($JO62-SMALL($JO$9:$JO$88,1))/((Settings!$C$19/2)-((Settings!$C$19/2)-LARGE($JO$9:$JO$88,1))-SMALL($JO$9:$JO$88,1))</f>
        <v>#VALUE!</v>
      </c>
      <c r="JO62" s="162" t="str">
        <f t="shared" si="134"/>
        <v/>
      </c>
      <c r="JP62" s="961" t="str">
        <f t="shared" si="135"/>
        <v/>
      </c>
      <c r="JQ62" s="961" t="str">
        <f t="shared" si="136"/>
        <v/>
      </c>
      <c r="JU62" s="962"/>
      <c r="JV62" s="959"/>
      <c r="JW62" s="959"/>
    </row>
    <row r="63" spans="1:284" ht="15" customHeight="1" x14ac:dyDescent="0.25">
      <c r="A63" s="75" t="str">
        <f t="shared" si="322"/>
        <v/>
      </c>
      <c r="B63" s="578" t="str">
        <f t="shared" ref="B63:D63" si="617">IFERROR(O218+($A63*-E63),"")</f>
        <v/>
      </c>
      <c r="C63" s="572" t="str">
        <f t="shared" si="617"/>
        <v/>
      </c>
      <c r="D63" s="576" t="str">
        <f t="shared" si="617"/>
        <v/>
      </c>
      <c r="E63" s="580" t="str">
        <f t="shared" ref="E63:K63" si="618">R218</f>
        <v/>
      </c>
      <c r="F63" s="572" t="str">
        <f t="shared" si="618"/>
        <v/>
      </c>
      <c r="G63" s="579" t="str">
        <f t="shared" si="618"/>
        <v/>
      </c>
      <c r="H63" s="580" t="str">
        <f t="shared" si="618"/>
        <v/>
      </c>
      <c r="I63" s="572" t="str">
        <f t="shared" si="618"/>
        <v/>
      </c>
      <c r="J63" s="483" t="str">
        <f t="shared" si="94"/>
        <v/>
      </c>
      <c r="K63" s="806" t="str">
        <f t="shared" si="618"/>
        <v/>
      </c>
      <c r="L63" s="309"/>
      <c r="M63" s="164" t="str">
        <f t="shared" si="325"/>
        <v/>
      </c>
      <c r="N63" s="575" t="str">
        <f t="shared" si="326"/>
        <v/>
      </c>
      <c r="O63" s="572" t="str">
        <f t="shared" si="327"/>
        <v/>
      </c>
      <c r="P63" s="576" t="str">
        <f t="shared" si="328"/>
        <v/>
      </c>
      <c r="Q63" s="528" t="str">
        <f t="shared" si="144"/>
        <v/>
      </c>
      <c r="R63" s="572" t="str">
        <f t="shared" si="95"/>
        <v/>
      </c>
      <c r="S63" s="577" t="str">
        <f t="shared" si="96"/>
        <v/>
      </c>
      <c r="T63" s="578" t="str">
        <f t="shared" si="97"/>
        <v/>
      </c>
      <c r="U63" s="572" t="str">
        <f t="shared" si="98"/>
        <v/>
      </c>
      <c r="V63" s="579" t="str">
        <f t="shared" si="145"/>
        <v/>
      </c>
      <c r="W63" s="528" t="str">
        <f t="shared" si="268"/>
        <v/>
      </c>
      <c r="X63" s="572" t="str">
        <f t="shared" si="99"/>
        <v/>
      </c>
      <c r="Y63" s="573" t="str">
        <f t="shared" si="271"/>
        <v/>
      </c>
      <c r="Z63" s="575" t="str">
        <f t="shared" si="329"/>
        <v/>
      </c>
      <c r="AA63" s="572" t="str">
        <f t="shared" si="330"/>
        <v/>
      </c>
      <c r="AB63" s="572" t="str">
        <f t="shared" si="331"/>
        <v/>
      </c>
      <c r="AC63" s="579" t="str">
        <f t="shared" si="100"/>
        <v/>
      </c>
      <c r="AD63" s="580" t="str">
        <f t="shared" si="146"/>
        <v/>
      </c>
      <c r="AE63" s="572" t="str">
        <f t="shared" si="101"/>
        <v/>
      </c>
      <c r="AF63" s="576" t="str">
        <f t="shared" si="102"/>
        <v/>
      </c>
      <c r="AG63" s="545" t="str">
        <f t="shared" si="103"/>
        <v/>
      </c>
      <c r="AH63" s="546" t="str">
        <f t="shared" si="104"/>
        <v/>
      </c>
      <c r="AI63" s="528" t="str">
        <f t="shared" si="105"/>
        <v/>
      </c>
      <c r="AJ63" s="529" t="str">
        <f t="shared" si="106"/>
        <v/>
      </c>
      <c r="AK63" s="578" t="str">
        <f t="shared" si="247"/>
        <v/>
      </c>
      <c r="AL63" s="572" t="str">
        <f t="shared" si="107"/>
        <v/>
      </c>
      <c r="AM63" s="577" t="str">
        <f t="shared" si="108"/>
        <v/>
      </c>
      <c r="AN63" s="524" t="str">
        <f t="shared" si="109"/>
        <v/>
      </c>
      <c r="AO63" s="525" t="str">
        <f t="shared" si="604"/>
        <v/>
      </c>
      <c r="AP63" s="528" t="str">
        <f t="shared" si="111"/>
        <v/>
      </c>
      <c r="AQ63" s="529" t="str">
        <f t="shared" si="332"/>
        <v/>
      </c>
      <c r="AR63" s="979"/>
      <c r="AS63" s="954" t="str">
        <f t="shared" si="524"/>
        <v/>
      </c>
      <c r="AT63" s="950" t="str">
        <f t="shared" si="333"/>
        <v/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4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85"/>
        <v/>
      </c>
      <c r="IM63" s="482" t="str">
        <f t="shared" si="242"/>
        <v/>
      </c>
      <c r="IN63" s="670" t="str">
        <f t="shared" si="486"/>
        <v/>
      </c>
      <c r="IO63" s="702">
        <v>3.2515620511347001E-2</v>
      </c>
      <c r="IP63" s="5" t="str">
        <f t="shared" si="487"/>
        <v/>
      </c>
      <c r="IQ63" s="714">
        <v>680</v>
      </c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 t="e">
        <f t="shared" si="133"/>
        <v>#VALUE!</v>
      </c>
      <c r="JN63" s="960" t="e">
        <f>($JO63-SMALL($JO$9:$JO$88,1))/((Settings!$C$19/2)-((Settings!$C$19/2)-LARGE($JO$9:$JO$88,1))-SMALL($JO$9:$JO$88,1))</f>
        <v>#VALUE!</v>
      </c>
      <c r="JO63" s="162" t="str">
        <f t="shared" si="134"/>
        <v/>
      </c>
      <c r="JP63" s="961" t="str">
        <f t="shared" si="135"/>
        <v/>
      </c>
      <c r="JQ63" s="961" t="str">
        <f t="shared" si="136"/>
        <v/>
      </c>
      <c r="JU63" s="962"/>
      <c r="JV63" s="959"/>
      <c r="JW63" s="959"/>
    </row>
    <row r="64" spans="1:284" ht="15" customHeight="1" x14ac:dyDescent="0.25">
      <c r="A64" s="75" t="str">
        <f t="shared" si="322"/>
        <v/>
      </c>
      <c r="B64" s="578" t="str">
        <f t="shared" ref="B64:D64" si="619">IFERROR(O219+($A64*-E64),"")</f>
        <v/>
      </c>
      <c r="C64" s="572" t="str">
        <f t="shared" si="619"/>
        <v/>
      </c>
      <c r="D64" s="576" t="str">
        <f t="shared" si="619"/>
        <v/>
      </c>
      <c r="E64" s="580" t="str">
        <f t="shared" ref="E64:K64" si="620">R219</f>
        <v/>
      </c>
      <c r="F64" s="572" t="str">
        <f t="shared" si="620"/>
        <v/>
      </c>
      <c r="G64" s="579" t="str">
        <f t="shared" si="620"/>
        <v/>
      </c>
      <c r="H64" s="580" t="str">
        <f t="shared" si="620"/>
        <v/>
      </c>
      <c r="I64" s="572" t="str">
        <f t="shared" si="620"/>
        <v/>
      </c>
      <c r="J64" s="483" t="str">
        <f t="shared" si="94"/>
        <v/>
      </c>
      <c r="K64" s="806" t="str">
        <f t="shared" si="620"/>
        <v/>
      </c>
      <c r="L64" s="309"/>
      <c r="M64" s="164" t="str">
        <f t="shared" si="325"/>
        <v/>
      </c>
      <c r="N64" s="575" t="str">
        <f t="shared" si="326"/>
        <v/>
      </c>
      <c r="O64" s="572" t="str">
        <f t="shared" si="327"/>
        <v/>
      </c>
      <c r="P64" s="576" t="str">
        <f t="shared" si="328"/>
        <v/>
      </c>
      <c r="Q64" s="528" t="str">
        <f t="shared" si="144"/>
        <v/>
      </c>
      <c r="R64" s="572" t="str">
        <f t="shared" si="95"/>
        <v/>
      </c>
      <c r="S64" s="577" t="str">
        <f t="shared" si="96"/>
        <v/>
      </c>
      <c r="T64" s="578" t="str">
        <f t="shared" si="97"/>
        <v/>
      </c>
      <c r="U64" s="572" t="str">
        <f t="shared" si="98"/>
        <v/>
      </c>
      <c r="V64" s="579" t="str">
        <f t="shared" si="145"/>
        <v/>
      </c>
      <c r="W64" s="528" t="str">
        <f t="shared" si="268"/>
        <v/>
      </c>
      <c r="X64" s="572" t="str">
        <f t="shared" si="99"/>
        <v/>
      </c>
      <c r="Y64" s="573" t="str">
        <f t="shared" si="271"/>
        <v/>
      </c>
      <c r="Z64" s="575" t="str">
        <f t="shared" si="329"/>
        <v/>
      </c>
      <c r="AA64" s="572" t="str">
        <f t="shared" si="330"/>
        <v/>
      </c>
      <c r="AB64" s="572" t="str">
        <f t="shared" si="331"/>
        <v/>
      </c>
      <c r="AC64" s="579" t="str">
        <f t="shared" si="100"/>
        <v/>
      </c>
      <c r="AD64" s="580" t="str">
        <f t="shared" si="146"/>
        <v/>
      </c>
      <c r="AE64" s="572" t="str">
        <f t="shared" si="101"/>
        <v/>
      </c>
      <c r="AF64" s="576" t="str">
        <f t="shared" si="102"/>
        <v/>
      </c>
      <c r="AG64" s="545" t="str">
        <f t="shared" si="103"/>
        <v/>
      </c>
      <c r="AH64" s="546" t="str">
        <f t="shared" si="104"/>
        <v/>
      </c>
      <c r="AI64" s="528" t="str">
        <f t="shared" si="105"/>
        <v/>
      </c>
      <c r="AJ64" s="529" t="str">
        <f t="shared" si="106"/>
        <v/>
      </c>
      <c r="AK64" s="578" t="str">
        <f t="shared" si="247"/>
        <v/>
      </c>
      <c r="AL64" s="572" t="str">
        <f t="shared" si="107"/>
        <v/>
      </c>
      <c r="AM64" s="577" t="str">
        <f t="shared" si="108"/>
        <v/>
      </c>
      <c r="AN64" s="524" t="str">
        <f t="shared" si="109"/>
        <v/>
      </c>
      <c r="AO64" s="525" t="str">
        <f t="shared" si="604"/>
        <v/>
      </c>
      <c r="AP64" s="528" t="str">
        <f t="shared" si="111"/>
        <v/>
      </c>
      <c r="AQ64" s="529" t="str">
        <f t="shared" si="332"/>
        <v/>
      </c>
      <c r="AR64" s="979"/>
      <c r="AS64" s="954" t="str">
        <f t="shared" si="524"/>
        <v/>
      </c>
      <c r="AT64" s="950" t="str">
        <f t="shared" si="333"/>
        <v/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4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85"/>
        <v/>
      </c>
      <c r="IM64" s="482" t="str">
        <f t="shared" si="242"/>
        <v/>
      </c>
      <c r="IN64" s="670" t="str">
        <f t="shared" si="486"/>
        <v/>
      </c>
      <c r="IO64" s="702">
        <v>3.0583009588151099E-2</v>
      </c>
      <c r="IP64" s="5" t="str">
        <f t="shared" si="487"/>
        <v/>
      </c>
      <c r="IQ64" s="714">
        <v>820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 t="e">
        <f t="shared" si="133"/>
        <v>#VALUE!</v>
      </c>
      <c r="JN64" s="960" t="e">
        <f>($JO64-SMALL($JO$9:$JO$88,1))/((Settings!$C$19/2)-((Settings!$C$19/2)-LARGE($JO$9:$JO$88,1))-SMALL($JO$9:$JO$88,1))</f>
        <v>#VALUE!</v>
      </c>
      <c r="JO64" s="162" t="str">
        <f t="shared" si="134"/>
        <v/>
      </c>
      <c r="JP64" s="961" t="str">
        <f t="shared" si="135"/>
        <v/>
      </c>
      <c r="JQ64" s="961" t="str">
        <f t="shared" si="136"/>
        <v/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>
        <v>2.8423563354491199E-2</v>
      </c>
      <c r="IP65" s="5" t="str">
        <f t="shared" si="487"/>
        <v/>
      </c>
      <c r="IQ65" s="714">
        <v>1000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>
        <v>2.6871514487582199E-2</v>
      </c>
      <c r="IP66" s="5" t="str">
        <f t="shared" si="487"/>
        <v/>
      </c>
      <c r="IQ66" s="714">
        <v>1160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>
        <v>2.5723717152020001E-2</v>
      </c>
      <c r="IP67" s="5" t="str">
        <f t="shared" si="487"/>
        <v/>
      </c>
      <c r="IQ67" s="714">
        <v>1320</v>
      </c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>
        <v>3.8322760573998201E-2</v>
      </c>
      <c r="IP78" s="5" t="str">
        <f t="shared" si="715"/>
        <v/>
      </c>
      <c r="IQ78" s="714">
        <v>420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>
        <v>3.5763600033360501E-2</v>
      </c>
      <c r="IP79" s="5" t="str">
        <f t="shared" si="715"/>
        <v/>
      </c>
      <c r="IQ79" s="714">
        <v>500</v>
      </c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>
        <v>3.37660793965818E-2</v>
      </c>
      <c r="IP80" s="5" t="str">
        <f t="shared" si="715"/>
        <v/>
      </c>
      <c r="IQ80" s="714">
        <v>600</v>
      </c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>
        <v>3.1891358274996597E-2</v>
      </c>
      <c r="IP81" s="5" t="str">
        <f t="shared" si="715"/>
        <v/>
      </c>
      <c r="IQ81" s="714">
        <v>720</v>
      </c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>
        <v>2.9876616997133801E-2</v>
      </c>
      <c r="IP82" s="5" t="str">
        <f t="shared" si="715"/>
        <v/>
      </c>
      <c r="IQ82" s="714">
        <v>880</v>
      </c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>
        <v>2.7647064820249902E-2</v>
      </c>
      <c r="IP83" s="5" t="str">
        <f t="shared" si="715"/>
        <v/>
      </c>
      <c r="IQ83" s="714">
        <v>1070</v>
      </c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>
        <v>2.6469513751967901E-2</v>
      </c>
      <c r="IP84" s="5" t="str">
        <f t="shared" si="715"/>
        <v/>
      </c>
      <c r="IQ84" s="714">
        <v>1210</v>
      </c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>
        <v>2.53380673903662E-2</v>
      </c>
      <c r="IP85" s="5" t="str">
        <f t="shared" si="715"/>
        <v/>
      </c>
      <c r="IQ85" s="714">
        <v>1380</v>
      </c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>
        <v>3.7359936435093603E-2</v>
      </c>
      <c r="IP99" s="5" t="str">
        <f t="shared" si="715"/>
        <v/>
      </c>
      <c r="IQ99" s="714">
        <v>450</v>
      </c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>
        <v>3.5045320836344998E-2</v>
      </c>
      <c r="IP100" s="5" t="str">
        <f t="shared" si="715"/>
        <v/>
      </c>
      <c r="IQ100" s="714">
        <v>530</v>
      </c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>
        <v>3.3116741498209E-2</v>
      </c>
      <c r="IP101" s="5" t="str">
        <f t="shared" si="715"/>
        <v/>
      </c>
      <c r="IQ101" s="714">
        <v>640</v>
      </c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>
        <v>3.12471047136848E-2</v>
      </c>
      <c r="IP102" s="5" t="str">
        <f t="shared" si="715"/>
        <v/>
      </c>
      <c r="IQ102" s="714">
        <v>770</v>
      </c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>
        <v>2.9175360224121899E-2</v>
      </c>
      <c r="IP103" s="5" t="str">
        <f t="shared" si="715"/>
        <v/>
      </c>
      <c r="IQ103" s="714">
        <v>940</v>
      </c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>
        <v>2.7270129450664999E-2</v>
      </c>
      <c r="IP104" s="5" t="str">
        <f t="shared" si="715"/>
        <v/>
      </c>
      <c r="IQ104" s="714">
        <v>1120</v>
      </c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>
        <v>2.6115504411547499E-2</v>
      </c>
      <c r="IP105" s="5" t="str">
        <f t="shared" ref="IP105:IP136" si="992">IF(ISNUMBER($IK105),(($IQ105*12)/60)/$AS$3,"")</f>
        <v/>
      </c>
      <c r="IQ105" s="714">
        <v>1270</v>
      </c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>
        <v>3.9384943410453101E-2</v>
      </c>
      <c r="IP116" s="5" t="str">
        <f t="shared" si="992"/>
        <v/>
      </c>
      <c r="IQ116" s="714">
        <v>400</v>
      </c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>
        <v>3.6515543168214898E-2</v>
      </c>
      <c r="IP117" s="5" t="str">
        <f t="shared" si="992"/>
        <v/>
      </c>
      <c r="IQ117" s="714">
        <v>470</v>
      </c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>
        <v>3.44026003604819E-2</v>
      </c>
      <c r="IP118" s="5" t="str">
        <f t="shared" si="992"/>
        <v/>
      </c>
      <c r="IQ118" s="714">
        <v>560</v>
      </c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>
        <v>3.2515620511347799E-2</v>
      </c>
      <c r="IP119" s="5" t="str">
        <f t="shared" si="992"/>
        <v/>
      </c>
      <c r="IQ119" s="714">
        <v>680</v>
      </c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>
        <v>3.05830095881513E-2</v>
      </c>
      <c r="IP120" s="5" t="str">
        <f t="shared" si="992"/>
        <v/>
      </c>
      <c r="IQ120" s="714">
        <v>820</v>
      </c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>
        <v>2.8423563354491199E-2</v>
      </c>
      <c r="IP121" s="5" t="str">
        <f t="shared" si="992"/>
        <v/>
      </c>
      <c r="IQ121" s="714">
        <v>1000</v>
      </c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>
        <v>2.6871514487582199E-2</v>
      </c>
      <c r="IP122" s="5" t="str">
        <f t="shared" si="992"/>
        <v/>
      </c>
      <c r="IQ122" s="714">
        <v>1160</v>
      </c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>
        <v>2.5723717152020001E-2</v>
      </c>
      <c r="IP123" s="5" t="str">
        <f t="shared" si="992"/>
        <v/>
      </c>
      <c r="IQ123" s="714">
        <v>1320</v>
      </c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7" t="s">
        <v>42</v>
      </c>
      <c r="C157" s="1088"/>
      <c r="D157" s="1088"/>
      <c r="E157" s="1088"/>
      <c r="F157" s="1088"/>
      <c r="G157" s="1088"/>
      <c r="H157" s="1088"/>
      <c r="I157" s="1088"/>
      <c r="J157" s="1088"/>
      <c r="K157" s="1088"/>
      <c r="L157" s="1088"/>
      <c r="M157" s="1089"/>
      <c r="Z157" t="s">
        <v>101</v>
      </c>
      <c r="AA157" s="219">
        <v>0</v>
      </c>
    </row>
    <row r="158" spans="1:261" x14ac:dyDescent="0.25">
      <c r="B158" s="1090"/>
      <c r="C158" s="1091"/>
      <c r="D158" s="1091"/>
      <c r="E158" s="1091"/>
      <c r="F158" s="1091"/>
      <c r="G158" s="1091"/>
      <c r="H158" s="1091"/>
      <c r="I158" s="1091"/>
      <c r="J158" s="1091"/>
      <c r="K158" s="1091"/>
      <c r="L158" s="1091"/>
      <c r="M158" s="1092"/>
      <c r="Z158" t="s">
        <v>102</v>
      </c>
      <c r="AA158" s="219">
        <v>0.01</v>
      </c>
    </row>
    <row r="159" spans="1:261" x14ac:dyDescent="0.25">
      <c r="B159" s="1093"/>
      <c r="C159" s="1094"/>
      <c r="D159" s="1094"/>
      <c r="E159" s="1094"/>
      <c r="F159" s="1094"/>
      <c r="G159" s="1094"/>
      <c r="H159" s="1094"/>
      <c r="I159" s="1094"/>
      <c r="J159" s="1094"/>
      <c r="K159" s="1094"/>
      <c r="L159" s="1094"/>
      <c r="M159" s="1095"/>
    </row>
    <row r="160" spans="1:261" ht="15" customHeight="1" x14ac:dyDescent="0.25">
      <c r="B160" s="1096" t="str">
        <f>CONCATENATE(B162," ; ",E162," ; ",H163)</f>
        <v>Absolute-Point ; Incremental-Vector Point ; Radius</v>
      </c>
      <c r="C160" s="1097"/>
      <c r="D160" s="1097"/>
      <c r="E160" s="1097"/>
      <c r="F160" s="1097"/>
      <c r="G160" s="1097"/>
      <c r="H160" s="1097"/>
      <c r="I160" s="1097"/>
      <c r="J160" s="1097"/>
      <c r="K160" s="1097"/>
      <c r="L160" s="1097"/>
      <c r="M160" s="109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0"/>
      <c r="L161" s="1100"/>
      <c r="M161" s="1101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2" t="s">
        <v>40</v>
      </c>
      <c r="C162" s="1083"/>
      <c r="D162" s="1084"/>
      <c r="E162" s="1085" t="s">
        <v>41</v>
      </c>
      <c r="F162" s="1083"/>
      <c r="G162" s="1086"/>
      <c r="H162" s="986" t="s">
        <v>305</v>
      </c>
      <c r="I162" s="984"/>
      <c r="J162" s="985"/>
      <c r="K162" s="155"/>
      <c r="L162" s="1102" t="s">
        <v>399</v>
      </c>
      <c r="M162" s="1103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0.34330103539592277</v>
      </c>
      <c r="D164" s="647">
        <v>-0.49520149352770448</v>
      </c>
      <c r="E164" s="648">
        <v>-0.93969263802333458</v>
      </c>
      <c r="F164" s="646">
        <v>-8.8521302156295584E-2</v>
      </c>
      <c r="G164" s="649">
        <v>0.33036604714967344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0.34330103539592277</v>
      </c>
      <c r="Q164" s="162">
        <f t="shared" ref="Q164:Q195" si="1326">IFERROR(INDEX(D$164:D$305,MATCH($W164,$J$164:$J$305,0)),"")</f>
        <v>-0.49520149352770448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-8.8521302156295584E-2</v>
      </c>
      <c r="T164" s="162">
        <f t="shared" ref="T164:T227" si="1328">IFERROR(IF($L164="Y",-1*INDEX(G$164:G$305,MATCH($W164,$J$164:$J$305,0)),INDEX(G$164:G$305,MATCH($W164,$J$164:$J$305,0))),"")</f>
        <v>0.33036604714967344</v>
      </c>
      <c r="U164" s="162">
        <f>IFERROR(IF(ISNUMBER(MATCH($X164,Settings!$AK$52:$AK$60,0)),INDEX(Settings!$AO$14:$AO$60,MATCH($X164,Settings!$AK$14:$AK$60,0))/2,INDEX(Settings!$AM$14:$AM$60,MATCH($X164,Settings!$AK$14:$AK$60,0))/2),"")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195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3.9056889284418761E-16</v>
      </c>
      <c r="C165" s="651">
        <v>1.0693032250185266</v>
      </c>
      <c r="D165" s="652">
        <v>-0.30070090691393542</v>
      </c>
      <c r="E165" s="653">
        <v>-0.96592583607220739</v>
      </c>
      <c r="F165" s="651">
        <v>-6.6987279208207184E-2</v>
      </c>
      <c r="G165" s="654">
        <v>0.24999996726497564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3.9056889284418761E-16</v>
      </c>
      <c r="P165" s="162">
        <f t="shared" si="1325"/>
        <v>1.0693032250185266</v>
      </c>
      <c r="Q165" s="162">
        <f t="shared" si="1326"/>
        <v>-0.30070090691393542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-6.6987279208207184E-2</v>
      </c>
      <c r="T165" s="162">
        <f t="shared" si="1328"/>
        <v>0.24999996726497564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-8.5370249802008226E-18</v>
      </c>
      <c r="C166" s="651">
        <v>1.7943054116251218</v>
      </c>
      <c r="D166" s="652">
        <v>-0.1065003212049688</v>
      </c>
      <c r="E166" s="653">
        <v>-0.98480775301220813</v>
      </c>
      <c r="F166" s="651">
        <v>-4.4943449187448817E-2</v>
      </c>
      <c r="G166" s="654">
        <v>0.16773126119534493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-8.5370249802008226E-18</v>
      </c>
      <c r="P166" s="162">
        <f t="shared" si="1325"/>
        <v>1.7943054116251218</v>
      </c>
      <c r="Q166" s="162">
        <f t="shared" si="1326"/>
        <v>-0.1065003212049688</v>
      </c>
      <c r="R166" s="162">
        <f>IFERROR(IF($L166="Y",-1*INDEX(E$164:E$305,MATCH($W166,$J$164:$J$305,0)),INDEX(E$164:E$305,MATCH($W166,$J$164:$J$305,0))),"")</f>
        <v>-0.98480775301220813</v>
      </c>
      <c r="S166" s="162">
        <f t="shared" si="1327"/>
        <v>-4.4943449187448817E-2</v>
      </c>
      <c r="T166" s="162">
        <f t="shared" si="1328"/>
        <v>0.16773126119534493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4.1525127014845876E-2</v>
      </c>
      <c r="C167" s="651">
        <v>2.6171784885812936</v>
      </c>
      <c r="D167" s="652">
        <v>-0.10080030401371684</v>
      </c>
      <c r="E167" s="653">
        <v>-0.96101099711342941</v>
      </c>
      <c r="F167" s="651">
        <v>0.13603385418383587</v>
      </c>
      <c r="G167" s="654">
        <v>0.24073357460674868</v>
      </c>
      <c r="H167" s="653">
        <v>0.314</v>
      </c>
      <c r="I167" s="942">
        <v>0.52</v>
      </c>
      <c r="J167" s="946">
        <v>1.1120000000000001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4.1525127014845876E-2</v>
      </c>
      <c r="P167" s="162">
        <f t="shared" si="1325"/>
        <v>2.6171784885812936</v>
      </c>
      <c r="Q167" s="162">
        <f t="shared" si="1326"/>
        <v>-0.10080030401371684</v>
      </c>
      <c r="R167" s="162">
        <f>IFERROR(IF($L167="Y",-1*INDEX(E$164:E$305,MATCH($W167,$J$164:$J$305,0)),INDEX(E$164:E$305,MATCH($W167,$J$164:$J$305,0))),"")</f>
        <v>-0.96101099711342941</v>
      </c>
      <c r="S167" s="162">
        <f t="shared" si="1327"/>
        <v>0.13603385418383587</v>
      </c>
      <c r="T167" s="162">
        <f t="shared" si="1328"/>
        <v>0.24073357460674868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1.1120000000000001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0.1091638821707743</v>
      </c>
      <c r="C168" s="651">
        <v>3.283095543207676</v>
      </c>
      <c r="D168" s="652">
        <v>-0.5247015824999729</v>
      </c>
      <c r="E168" s="653">
        <v>-0.93948851336091654</v>
      </c>
      <c r="F168" s="651">
        <v>0.29625628196016229</v>
      </c>
      <c r="G168" s="654">
        <v>0.17202775549903498</v>
      </c>
      <c r="H168" s="653">
        <v>0.314</v>
      </c>
      <c r="I168" s="942">
        <v>0.52</v>
      </c>
      <c r="J168" s="946">
        <v>1.1180000000000001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0.1091638821707743</v>
      </c>
      <c r="P168" s="162">
        <f t="shared" si="1325"/>
        <v>3.283095543207676</v>
      </c>
      <c r="Q168" s="162">
        <f t="shared" si="1326"/>
        <v>-0.5247015824999729</v>
      </c>
      <c r="R168" s="162">
        <f t="shared" si="1331"/>
        <v>-0.93948851336091654</v>
      </c>
      <c r="S168" s="162">
        <f t="shared" si="1327"/>
        <v>0.29625628196016229</v>
      </c>
      <c r="T168" s="162">
        <f t="shared" si="1328"/>
        <v>0.17202775549903498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1.1180000000000001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0.15588234920333341</v>
      </c>
      <c r="C169" s="651">
        <v>3.6207569275582911</v>
      </c>
      <c r="D169" s="652">
        <v>-1.2188036759118865</v>
      </c>
      <c r="E169" s="653">
        <v>-0.87691222519662104</v>
      </c>
      <c r="F169" s="651">
        <v>0.4666214331930808</v>
      </c>
      <c r="G169" s="654">
        <v>0.11527960524544605</v>
      </c>
      <c r="H169" s="653">
        <v>0.314</v>
      </c>
      <c r="I169" s="942">
        <v>0.52</v>
      </c>
      <c r="J169" s="946">
        <v>1.1240000000000001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0.15588234920333341</v>
      </c>
      <c r="P169" s="162">
        <f t="shared" si="1325"/>
        <v>3.6207569275582911</v>
      </c>
      <c r="Q169" s="162">
        <f t="shared" si="1326"/>
        <v>-1.2188036759118865</v>
      </c>
      <c r="R169" s="162">
        <f t="shared" si="1331"/>
        <v>-0.87691222519662104</v>
      </c>
      <c r="S169" s="162">
        <f t="shared" si="1327"/>
        <v>0.4666214331930808</v>
      </c>
      <c r="T169" s="162">
        <f t="shared" si="1328"/>
        <v>0.11527960524544605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1.1240000000000001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0.16481987833048795</v>
      </c>
      <c r="C170" s="651">
        <v>3.6792100806704591</v>
      </c>
      <c r="D170" s="652">
        <v>-2.0039999999999996</v>
      </c>
      <c r="E170" s="653">
        <v>-0.84278135614737548</v>
      </c>
      <c r="F170" s="651">
        <v>0.5382560596318241</v>
      </c>
      <c r="G170" s="654">
        <v>1.1339744831728188E-7</v>
      </c>
      <c r="H170" s="653">
        <v>0.314</v>
      </c>
      <c r="I170" s="942">
        <v>0.52</v>
      </c>
      <c r="J170" s="946">
        <v>1.1299999999999999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0.16481987833048795</v>
      </c>
      <c r="P170" s="162">
        <f t="shared" si="1325"/>
        <v>3.6792100806704591</v>
      </c>
      <c r="Q170" s="162">
        <f t="shared" si="1326"/>
        <v>-2.0039999999999996</v>
      </c>
      <c r="R170" s="162">
        <f t="shared" si="1331"/>
        <v>-0.84278135614737548</v>
      </c>
      <c r="S170" s="162">
        <f t="shared" si="1327"/>
        <v>0.5382560596318241</v>
      </c>
      <c r="T170" s="162">
        <f t="shared" si="1328"/>
        <v>1.1339744831728188E-7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1.1299999999999999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2.0514241924574272</v>
      </c>
      <c r="C171" s="651">
        <v>1.3976799493540377</v>
      </c>
      <c r="D171" s="652">
        <v>-6.8100205390219479E-2</v>
      </c>
      <c r="E171" s="653">
        <v>-0.45738106556576502</v>
      </c>
      <c r="F171" s="651">
        <v>0.85452478355268535</v>
      </c>
      <c r="G171" s="654">
        <v>0.24615026946189161</v>
      </c>
      <c r="H171" s="653">
        <v>0.314</v>
      </c>
      <c r="I171" s="942">
        <v>0.52</v>
      </c>
      <c r="J171" s="946">
        <v>2.1110000000000002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2.0514241924574272</v>
      </c>
      <c r="P171" s="162">
        <f t="shared" si="1325"/>
        <v>1.3976799493540377</v>
      </c>
      <c r="Q171" s="162">
        <f t="shared" si="1326"/>
        <v>-6.8100205390219479E-2</v>
      </c>
      <c r="R171" s="162">
        <f>IFERROR(IF($L171="Y",-1*INDEX(E$164:E$305,MATCH($W171,$J$164:$J$305,0)),INDEX(E$164:E$305,MATCH($W171,$J$164:$J$305,0))),"")</f>
        <v>-0.45738106556576502</v>
      </c>
      <c r="S171" s="162">
        <f t="shared" si="1327"/>
        <v>0.85452478355268535</v>
      </c>
      <c r="T171" s="162">
        <f t="shared" si="1328"/>
        <v>0.24615026946189161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2.1110000000000002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2.6694446819093658</v>
      </c>
      <c r="C172" s="651">
        <v>1.7497753518752186</v>
      </c>
      <c r="D172" s="652">
        <v>-0.42990129658231024</v>
      </c>
      <c r="E172" s="653">
        <v>-0.3231676598910162</v>
      </c>
      <c r="F172" s="651">
        <v>0.92946862836612276</v>
      </c>
      <c r="G172" s="654">
        <v>0.17790652737817927</v>
      </c>
      <c r="H172" s="653">
        <v>0.314</v>
      </c>
      <c r="I172" s="942">
        <v>0.52</v>
      </c>
      <c r="J172" s="946">
        <v>2.117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2.6694446819093658</v>
      </c>
      <c r="P172" s="162">
        <f t="shared" si="1325"/>
        <v>1.7497753518752186</v>
      </c>
      <c r="Q172" s="162">
        <f t="shared" si="1326"/>
        <v>-0.42990129658231024</v>
      </c>
      <c r="R172" s="162">
        <f t="shared" si="1331"/>
        <v>-0.3231676598910162</v>
      </c>
      <c r="S172" s="162">
        <f t="shared" si="1327"/>
        <v>0.92946862836612276</v>
      </c>
      <c r="T172" s="162">
        <f t="shared" si="1328"/>
        <v>0.17790652737817927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2.117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3.0324074310156819</v>
      </c>
      <c r="C173" s="651">
        <v>1.9376545736027169</v>
      </c>
      <c r="D173" s="652">
        <v>-1.0918032928787311</v>
      </c>
      <c r="E173" s="653">
        <v>-0.14354467408112528</v>
      </c>
      <c r="F173" s="651">
        <v>0.9805682132211786</v>
      </c>
      <c r="G173" s="654">
        <v>0.13371950404921776</v>
      </c>
      <c r="H173" s="653">
        <v>0.314</v>
      </c>
      <c r="I173" s="942">
        <v>0.52</v>
      </c>
      <c r="J173" s="946">
        <v>2.1230000000000002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3.0324074310156819</v>
      </c>
      <c r="P173" s="162">
        <f t="shared" si="1325"/>
        <v>1.9376545736027169</v>
      </c>
      <c r="Q173" s="162">
        <f t="shared" si="1326"/>
        <v>-1.0918032928787311</v>
      </c>
      <c r="R173" s="162">
        <f t="shared" si="1331"/>
        <v>-0.14354467408112528</v>
      </c>
      <c r="S173" s="162">
        <f t="shared" si="1327"/>
        <v>0.9805682132211786</v>
      </c>
      <c r="T173" s="162">
        <f t="shared" si="1328"/>
        <v>0.13371950404921776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2.1230000000000002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3.108370775579655</v>
      </c>
      <c r="C174" s="651">
        <v>1.9752932773444885</v>
      </c>
      <c r="D174" s="652">
        <v>-1.8859999999999997</v>
      </c>
      <c r="E174" s="653">
        <v>-4.2485207395031144E-2</v>
      </c>
      <c r="F174" s="651">
        <v>0.99909709595844021</v>
      </c>
      <c r="G174" s="654">
        <v>1.1339744825155341E-7</v>
      </c>
      <c r="H174" s="653">
        <v>0.314</v>
      </c>
      <c r="I174" s="942">
        <v>0.52</v>
      </c>
      <c r="J174" s="946">
        <v>2.129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3.108370775579655</v>
      </c>
      <c r="P174" s="162">
        <f t="shared" si="1325"/>
        <v>1.9752932773444885</v>
      </c>
      <c r="Q174" s="162">
        <f t="shared" si="1326"/>
        <v>-1.8859999999999997</v>
      </c>
      <c r="R174" s="162">
        <f t="shared" si="1331"/>
        <v>-4.2485207395031144E-2</v>
      </c>
      <c r="S174" s="162">
        <f t="shared" si="1327"/>
        <v>0.99909709595844021</v>
      </c>
      <c r="T174" s="162">
        <f t="shared" si="1328"/>
        <v>1.1339744825155341E-7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2.129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0.71681113832379384</v>
      </c>
      <c r="C175" s="651">
        <v>-0.41385168169306186</v>
      </c>
      <c r="D175" s="652">
        <v>-0.36550110235132471</v>
      </c>
      <c r="E175" s="653">
        <v>0.42495075868149668</v>
      </c>
      <c r="F175" s="651">
        <v>0.87000969481008172</v>
      </c>
      <c r="G175" s="654">
        <v>0.2499999672649757</v>
      </c>
      <c r="H175" s="653">
        <v>0.314</v>
      </c>
      <c r="I175" s="942">
        <v>0.52</v>
      </c>
      <c r="J175" s="946">
        <v>3.1030000000000002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0.71681113832379384</v>
      </c>
      <c r="P175" s="162">
        <f t="shared" si="1325"/>
        <v>-0.41385168169306186</v>
      </c>
      <c r="Q175" s="162">
        <f t="shared" si="1326"/>
        <v>-0.36550110235132471</v>
      </c>
      <c r="R175" s="162">
        <f t="shared" si="1331"/>
        <v>0.42495075868149668</v>
      </c>
      <c r="S175" s="162">
        <f t="shared" si="1327"/>
        <v>0.87000969481008172</v>
      </c>
      <c r="T175" s="162">
        <f t="shared" si="1328"/>
        <v>0.2499999672649757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3.1030000000000002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1.3445946277171952</v>
      </c>
      <c r="C176" s="651">
        <v>-0.77630315452053666</v>
      </c>
      <c r="D176" s="652">
        <v>-0.17120051634075742</v>
      </c>
      <c r="E176" s="653">
        <v>0.42495075868149673</v>
      </c>
      <c r="F176" s="651">
        <v>0.87000969481008172</v>
      </c>
      <c r="G176" s="654">
        <v>0.24999996726497573</v>
      </c>
      <c r="H176" s="653">
        <v>0.314</v>
      </c>
      <c r="I176" s="942">
        <v>0.52</v>
      </c>
      <c r="J176" s="946">
        <v>3.1059999999999999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1.3445946277171952</v>
      </c>
      <c r="P176" s="162">
        <f t="shared" si="1325"/>
        <v>-0.77630315452053666</v>
      </c>
      <c r="Q176" s="162">
        <f t="shared" si="1326"/>
        <v>-0.17120051634075742</v>
      </c>
      <c r="R176" s="162">
        <f t="shared" si="1331"/>
        <v>0.42495075868149673</v>
      </c>
      <c r="S176" s="162">
        <f t="shared" si="1327"/>
        <v>0.87000969481008172</v>
      </c>
      <c r="T176" s="162">
        <f t="shared" si="1328"/>
        <v>0.24999996726497573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3.1059999999999999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2.0189159216161943</v>
      </c>
      <c r="C177" s="651">
        <v>-1.1923211619471397</v>
      </c>
      <c r="D177" s="652">
        <v>-4.8800147181244043E-2</v>
      </c>
      <c r="E177" s="653">
        <v>0.55649234719154617</v>
      </c>
      <c r="F177" s="651">
        <v>0.79128528929704511</v>
      </c>
      <c r="G177" s="654">
        <v>0.25334533439425205</v>
      </c>
      <c r="H177" s="653">
        <v>0.314</v>
      </c>
      <c r="I177" s="942">
        <v>0.52</v>
      </c>
      <c r="J177" s="946">
        <v>3.11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2.0189159216161943</v>
      </c>
      <c r="P177" s="162">
        <f t="shared" si="1325"/>
        <v>-1.1923211619471397</v>
      </c>
      <c r="Q177" s="162">
        <f t="shared" si="1326"/>
        <v>-4.8800147181244043E-2</v>
      </c>
      <c r="R177" s="162">
        <f t="shared" si="1331"/>
        <v>0.55649234719154617</v>
      </c>
      <c r="S177" s="162">
        <f t="shared" si="1327"/>
        <v>0.79128528929704511</v>
      </c>
      <c r="T177" s="162">
        <f t="shared" si="1328"/>
        <v>0.25334533439425205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3.11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2.6322658415244402</v>
      </c>
      <c r="C178" s="651">
        <v>-1.6191992801553237</v>
      </c>
      <c r="D178" s="652">
        <v>-0.34390103720552789</v>
      </c>
      <c r="E178" s="653">
        <v>0.68506453352287056</v>
      </c>
      <c r="F178" s="651">
        <v>0.70562861747327255</v>
      </c>
      <c r="G178" s="654">
        <v>0.18103822555430096</v>
      </c>
      <c r="H178" s="653">
        <v>0.314</v>
      </c>
      <c r="I178" s="942">
        <v>0.52</v>
      </c>
      <c r="J178" s="946">
        <v>3.1160000000000001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1613</v>
      </c>
      <c r="L178" s="683"/>
      <c r="M178" s="934"/>
      <c r="N178" s="31" t="str">
        <f t="shared" si="1330"/>
        <v>Y</v>
      </c>
      <c r="O178" s="162">
        <f t="shared" si="1324"/>
        <v>2.6322658415244402</v>
      </c>
      <c r="P178" s="162">
        <f t="shared" si="1325"/>
        <v>-1.6191992801553237</v>
      </c>
      <c r="Q178" s="162">
        <f t="shared" si="1326"/>
        <v>-0.34390103720552789</v>
      </c>
      <c r="R178" s="162">
        <f>IFERROR(IF($L178="Y",-1*INDEX(E$164:E$305,MATCH($W178,$J$164:$J$305,0)),INDEX(E$164:E$305,MATCH($W178,$J$164:$J$305,0))),"")</f>
        <v>0.68506453352287056</v>
      </c>
      <c r="S178" s="162">
        <f t="shared" si="1327"/>
        <v>0.70562861747327255</v>
      </c>
      <c r="T178" s="162">
        <f t="shared" si="1328"/>
        <v>0.18103822555430096</v>
      </c>
      <c r="U178" s="162">
        <f>IFERROR(IF(ISNUMBER(MATCH($X178,Settings!$AK$52:$AK$60,0)),INDEX(Settings!$AO$14:$AO$60,MATCH($X178,Settings!$AK$14:$AK$60,0))/2,INDEX(Settings!$AM$14:$AM$60,MATCH($X178,Settings!$AK$14:$AK$60,0))/2),"")</f>
        <v>0.3125</v>
      </c>
      <c r="V178" s="162">
        <f t="shared" si="1329"/>
        <v>0.52</v>
      </c>
      <c r="W178" s="75">
        <v>3.1160000000000001</v>
      </c>
      <c r="X178" s="937">
        <f t="shared" si="1332"/>
        <v>1613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3.0055073150410809</v>
      </c>
      <c r="C179" s="651">
        <v>-1.9039283001938705</v>
      </c>
      <c r="D179" s="652">
        <v>-0.9679029191952041</v>
      </c>
      <c r="E179" s="653">
        <v>0.81200971565871882</v>
      </c>
      <c r="F179" s="651">
        <v>0.56384671298431788</v>
      </c>
      <c r="G179" s="654">
        <v>0.15072194907387221</v>
      </c>
      <c r="H179" s="653">
        <v>0.314</v>
      </c>
      <c r="I179" s="942">
        <v>0.52</v>
      </c>
      <c r="J179" s="946">
        <v>3.1219999999999999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1613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3.0055073150410809</v>
      </c>
      <c r="P179" s="162">
        <f t="shared" si="1325"/>
        <v>-1.9039283001938705</v>
      </c>
      <c r="Q179" s="162">
        <f t="shared" si="1326"/>
        <v>-0.9679029191952041</v>
      </c>
      <c r="R179" s="162">
        <f>IFERROR(IF($L179="Y",-1*INDEX(E$164:E$305,MATCH($W179,$J$164:$J$305,0)),INDEX(E$164:E$305,MATCH($W179,$J$164:$J$305,0))),"")</f>
        <v>0.81200971565871882</v>
      </c>
      <c r="S179" s="162">
        <f t="shared" si="1327"/>
        <v>0.56384671298431788</v>
      </c>
      <c r="T179" s="162">
        <f t="shared" si="1328"/>
        <v>0.15072194907387221</v>
      </c>
      <c r="U179" s="162">
        <f>IFERROR(IF(ISNUMBER(MATCH($X179,Settings!$AK$52:$AK$60,0)),INDEX(Settings!$AO$14:$AO$60,MATCH($X179,Settings!$AK$14:$AK$60,0))/2,INDEX(Settings!$AM$14:$AM$60,MATCH($X179,Settings!$AK$14:$AK$60,0))/2),"")</f>
        <v>0.3125</v>
      </c>
      <c r="V179" s="162">
        <f t="shared" si="1329"/>
        <v>0.52</v>
      </c>
      <c r="W179" s="75">
        <v>3.1219999999999999</v>
      </c>
      <c r="X179" s="937">
        <f t="shared" si="1332"/>
        <v>1613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3.1038782576603841</v>
      </c>
      <c r="C180" s="651">
        <v>-1.9823451192017849</v>
      </c>
      <c r="D180" s="652">
        <v>-1.7691000000000003</v>
      </c>
      <c r="E180" s="653">
        <v>0.88753437810610902</v>
      </c>
      <c r="F180" s="651">
        <v>0.46074149767498629</v>
      </c>
      <c r="G180" s="654">
        <v>1.1339744830241558E-7</v>
      </c>
      <c r="H180" s="653">
        <v>0.314</v>
      </c>
      <c r="I180" s="942">
        <v>0.52</v>
      </c>
      <c r="J180" s="946">
        <v>3.1280000000000001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1613</v>
      </c>
      <c r="L180" s="683"/>
      <c r="M180" s="934"/>
      <c r="N180" s="31" t="s">
        <v>9</v>
      </c>
      <c r="O180" s="162">
        <f t="shared" si="1324"/>
        <v>3.1038782576603841</v>
      </c>
      <c r="P180" s="162">
        <f t="shared" si="1325"/>
        <v>-1.9823451192017849</v>
      </c>
      <c r="Q180" s="162">
        <f t="shared" si="1326"/>
        <v>-1.7691000000000003</v>
      </c>
      <c r="R180" s="162">
        <f t="shared" si="1331"/>
        <v>0.88753437810610902</v>
      </c>
      <c r="S180" s="162">
        <f t="shared" si="1327"/>
        <v>0.46074149767498629</v>
      </c>
      <c r="T180" s="162">
        <f t="shared" si="1328"/>
        <v>1.1339744830241558E-7</v>
      </c>
      <c r="U180" s="162">
        <f>IFERROR(IF(ISNUMBER(MATCH($X180,Settings!$AK$52:$AK$60,0)),INDEX(Settings!$AO$14:$AO$60,MATCH($X180,Settings!$AK$14:$AK$60,0))/2,INDEX(Settings!$AM$14:$AM$60,MATCH($X180,Settings!$AK$14:$AK$60,0))/2),"")</f>
        <v>0.3125</v>
      </c>
      <c r="V180" s="162">
        <f t="shared" si="1329"/>
        <v>0.52</v>
      </c>
      <c r="W180" s="75">
        <v>3.1280000000000001</v>
      </c>
      <c r="X180" s="937">
        <f t="shared" si="1332"/>
        <v>1613</v>
      </c>
      <c r="AK180" s="82" t="str">
        <f t="shared" si="1333"/>
        <v>Y</v>
      </c>
      <c r="AL180" s="419" t="s">
        <v>9</v>
      </c>
    </row>
    <row r="181" spans="2:38" x14ac:dyDescent="0.25">
      <c r="B181" s="650">
        <v>-1.5817517027022526E-2</v>
      </c>
      <c r="C181" s="651">
        <v>-2.20594994517778</v>
      </c>
      <c r="D181" s="652">
        <v>-4.3100129989992172E-2</v>
      </c>
      <c r="E181" s="653">
        <v>0.96444719579857985</v>
      </c>
      <c r="F181" s="651">
        <v>-5.6798670712307736E-2</v>
      </c>
      <c r="G181" s="654">
        <v>0.2580998208476149</v>
      </c>
      <c r="H181" s="653">
        <v>0.314</v>
      </c>
      <c r="I181" s="942">
        <v>0.52</v>
      </c>
      <c r="J181" s="946">
        <v>4.109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1613</v>
      </c>
      <c r="L181" s="683"/>
      <c r="M181" s="934"/>
      <c r="N181" s="31" t="str">
        <f t="shared" si="1330"/>
        <v>Y</v>
      </c>
      <c r="O181" s="162">
        <f t="shared" si="1324"/>
        <v>-1.5817517027022526E-2</v>
      </c>
      <c r="P181" s="162">
        <f t="shared" si="1325"/>
        <v>-2.20594994517778</v>
      </c>
      <c r="Q181" s="162">
        <f t="shared" si="1326"/>
        <v>-4.3100129989992172E-2</v>
      </c>
      <c r="R181" s="162">
        <f t="shared" si="1331"/>
        <v>0.96444719579857985</v>
      </c>
      <c r="S181" s="162">
        <f t="shared" si="1327"/>
        <v>-5.6798670712307736E-2</v>
      </c>
      <c r="T181" s="162">
        <f t="shared" si="1328"/>
        <v>0.2580998208476149</v>
      </c>
      <c r="U181" s="162">
        <f>IFERROR(IF(ISNUMBER(MATCH($X181,Settings!$AK$52:$AK$60,0)),INDEX(Settings!$AO$14:$AO$60,MATCH($X181,Settings!$AK$14:$AK$60,0))/2,INDEX(Settings!$AM$14:$AM$60,MATCH($X181,Settings!$AK$14:$AK$60,0))/2),"")</f>
        <v>0.3125</v>
      </c>
      <c r="V181" s="162">
        <f t="shared" si="1329"/>
        <v>0.52</v>
      </c>
      <c r="W181" s="75">
        <v>4.109</v>
      </c>
      <c r="X181" s="937">
        <f t="shared" si="1332"/>
        <v>1613</v>
      </c>
      <c r="AK181" s="82" t="str">
        <f t="shared" si="1333"/>
        <v>Y</v>
      </c>
      <c r="AL181" s="419" t="s">
        <v>9</v>
      </c>
    </row>
    <row r="182" spans="2:38" x14ac:dyDescent="0.25">
      <c r="B182" s="650">
        <v>-7.4440447692104075E-2</v>
      </c>
      <c r="C182" s="651">
        <v>-2.9806795876275243</v>
      </c>
      <c r="D182" s="652">
        <v>-0.2668008046712268</v>
      </c>
      <c r="E182" s="653">
        <v>0.95560984382490854</v>
      </c>
      <c r="F182" s="651">
        <v>-0.21849193516523752</v>
      </c>
      <c r="G182" s="654">
        <v>0.19766411068447345</v>
      </c>
      <c r="H182" s="653">
        <v>0.314</v>
      </c>
      <c r="I182" s="942">
        <v>0.52</v>
      </c>
      <c r="J182" s="946">
        <v>4.1150000000000002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1613</v>
      </c>
      <c r="L182" s="683"/>
      <c r="M182" s="934"/>
      <c r="N182" s="31" t="str">
        <f t="shared" si="1330"/>
        <v>Y</v>
      </c>
      <c r="O182" s="162">
        <f t="shared" si="1324"/>
        <v>-7.4440447692104075E-2</v>
      </c>
      <c r="P182" s="162">
        <f t="shared" si="1325"/>
        <v>-2.9806795876275243</v>
      </c>
      <c r="Q182" s="162">
        <f t="shared" si="1326"/>
        <v>-0.2668008046712268</v>
      </c>
      <c r="R182" s="162">
        <f t="shared" si="1331"/>
        <v>0.95560984382490854</v>
      </c>
      <c r="S182" s="162">
        <f t="shared" si="1327"/>
        <v>-0.21849193516523752</v>
      </c>
      <c r="T182" s="162">
        <f t="shared" si="1328"/>
        <v>0.19766411068447345</v>
      </c>
      <c r="U182" s="162">
        <f>IFERROR(IF(ISNUMBER(MATCH($X182,Settings!$AK$52:$AK$60,0)),INDEX(Settings!$AO$14:$AO$60,MATCH($X182,Settings!$AK$14:$AK$60,0))/2,INDEX(Settings!$AM$14:$AM$60,MATCH($X182,Settings!$AK$14:$AK$60,0))/2),"")</f>
        <v>0.3125</v>
      </c>
      <c r="V182" s="162">
        <f t="shared" si="1329"/>
        <v>0.52</v>
      </c>
      <c r="W182" s="75">
        <v>4.1150000000000002</v>
      </c>
      <c r="X182" s="937">
        <f t="shared" si="1332"/>
        <v>1613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-0.13857307074016961</v>
      </c>
      <c r="C183" s="651">
        <v>-3.5025704433112521</v>
      </c>
      <c r="D183" s="652">
        <v>-0.84910256089332348</v>
      </c>
      <c r="E183" s="653">
        <v>0.9097782544935521</v>
      </c>
      <c r="F183" s="651">
        <v>-0.38528176030723371</v>
      </c>
      <c r="G183" s="654">
        <v>0.15447165702880583</v>
      </c>
      <c r="H183" s="653">
        <v>0.314</v>
      </c>
      <c r="I183" s="942">
        <v>0.52</v>
      </c>
      <c r="J183" s="946">
        <v>4.1210000000000004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1613</v>
      </c>
      <c r="L183" s="683"/>
      <c r="M183" s="934"/>
      <c r="N183" s="31" t="str">
        <f t="shared" si="1330"/>
        <v>Y</v>
      </c>
      <c r="O183" s="162">
        <f t="shared" si="1324"/>
        <v>-0.13857307074016961</v>
      </c>
      <c r="P183" s="162">
        <f t="shared" si="1325"/>
        <v>-3.5025704433112521</v>
      </c>
      <c r="Q183" s="162">
        <f t="shared" si="1326"/>
        <v>-0.84910256089332348</v>
      </c>
      <c r="R183" s="162">
        <f t="shared" si="1331"/>
        <v>0.9097782544935521</v>
      </c>
      <c r="S183" s="162">
        <f t="shared" si="1327"/>
        <v>-0.38528176030723371</v>
      </c>
      <c r="T183" s="162">
        <f t="shared" si="1328"/>
        <v>0.15447165702880583</v>
      </c>
      <c r="U183" s="162">
        <f>IFERROR(IF(ISNUMBER(MATCH($X183,Settings!$AK$52:$AK$60,0)),INDEX(Settings!$AO$14:$AO$60,MATCH($X183,Settings!$AK$14:$AK$60,0))/2,INDEX(Settings!$AM$14:$AM$60,MATCH($X183,Settings!$AK$14:$AK$60,0))/2),"")</f>
        <v>0.3125</v>
      </c>
      <c r="V183" s="162">
        <f t="shared" si="1329"/>
        <v>0.52</v>
      </c>
      <c r="W183" s="75">
        <v>4.1210000000000004</v>
      </c>
      <c r="X183" s="937">
        <f t="shared" si="1332"/>
        <v>1613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-0.16482154718261144</v>
      </c>
      <c r="C184" s="651">
        <v>-3.6792100059094666</v>
      </c>
      <c r="D184" s="652">
        <v>-1.6501999999999999</v>
      </c>
      <c r="E184" s="653">
        <v>0.84278111199983397</v>
      </c>
      <c r="F184" s="651">
        <v>-0.53825644190878996</v>
      </c>
      <c r="G184" s="654">
        <v>1.1339744837816133E-7</v>
      </c>
      <c r="H184" s="653">
        <v>0.314</v>
      </c>
      <c r="I184" s="942">
        <v>0.52</v>
      </c>
      <c r="J184" s="946">
        <v>4.1269999999999998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1613</v>
      </c>
      <c r="L184" s="683"/>
      <c r="M184" s="934"/>
      <c r="N184" s="31" t="str">
        <f t="shared" si="1330"/>
        <v>Y</v>
      </c>
      <c r="O184" s="162">
        <f t="shared" si="1324"/>
        <v>-0.16482154718261144</v>
      </c>
      <c r="P184" s="162">
        <f t="shared" si="1325"/>
        <v>-3.6792100059094666</v>
      </c>
      <c r="Q184" s="162">
        <f t="shared" si="1326"/>
        <v>-1.6501999999999999</v>
      </c>
      <c r="R184" s="162">
        <f t="shared" si="1331"/>
        <v>0.84278111199983397</v>
      </c>
      <c r="S184" s="162">
        <f t="shared" si="1327"/>
        <v>-0.53825644190878996</v>
      </c>
      <c r="T184" s="162">
        <f t="shared" si="1328"/>
        <v>1.1339744837816133E-7</v>
      </c>
      <c r="U184" s="162">
        <f>IFERROR(IF(ISNUMBER(MATCH($X184,Settings!$AK$52:$AK$60,0)),INDEX(Settings!$AO$14:$AO$60,MATCH($X184,Settings!$AK$14:$AK$60,0))/2,INDEX(Settings!$AM$14:$AM$60,MATCH($X184,Settings!$AK$14:$AK$60,0))/2),"")</f>
        <v>0.3125</v>
      </c>
      <c r="V184" s="162">
        <f t="shared" si="1329"/>
        <v>0.52</v>
      </c>
      <c r="W184" s="75">
        <v>4.1269999999999998</v>
      </c>
      <c r="X184" s="937">
        <f t="shared" si="1332"/>
        <v>1613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-0.5310980367637349</v>
      </c>
      <c r="C185" s="651">
        <v>-0.24765489439893809</v>
      </c>
      <c r="D185" s="652">
        <v>-0.43020129748711328</v>
      </c>
      <c r="E185" s="653">
        <v>0.47359441874391661</v>
      </c>
      <c r="F185" s="651">
        <v>-0.83146955959349156</v>
      </c>
      <c r="G185" s="654">
        <v>0.29045946017304536</v>
      </c>
      <c r="H185" s="653">
        <v>0.314</v>
      </c>
      <c r="I185" s="942">
        <v>0.52</v>
      </c>
      <c r="J185" s="946">
        <v>5.1020000000000003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1613</v>
      </c>
      <c r="L185" s="683"/>
      <c r="M185" s="934"/>
      <c r="N185" s="31" t="str">
        <f t="shared" si="1330"/>
        <v>Y</v>
      </c>
      <c r="O185" s="162">
        <f t="shared" si="1324"/>
        <v>-0.5310980367637349</v>
      </c>
      <c r="P185" s="162">
        <f t="shared" si="1325"/>
        <v>-0.24765489439893809</v>
      </c>
      <c r="Q185" s="162">
        <f t="shared" si="1326"/>
        <v>-0.43020129748711328</v>
      </c>
      <c r="R185" s="162">
        <f t="shared" si="1331"/>
        <v>0.47359441874391661</v>
      </c>
      <c r="S185" s="162">
        <f t="shared" si="1327"/>
        <v>-0.83146955959349156</v>
      </c>
      <c r="T185" s="162">
        <f t="shared" si="1328"/>
        <v>0.29045946017304536</v>
      </c>
      <c r="U185" s="162">
        <f>IFERROR(IF(ISNUMBER(MATCH($X185,Settings!$AK$52:$AK$60,0)),INDEX(Settings!$AO$14:$AO$60,MATCH($X185,Settings!$AK$14:$AK$60,0))/2,INDEX(Settings!$AM$14:$AM$60,MATCH($X185,Settings!$AK$14:$AK$60,0))/2),"")</f>
        <v>0.3125</v>
      </c>
      <c r="V185" s="162">
        <f t="shared" si="1329"/>
        <v>0.52</v>
      </c>
      <c r="W185" s="75">
        <v>5.1020000000000003</v>
      </c>
      <c r="X185" s="937">
        <f t="shared" si="1332"/>
        <v>1613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-1.1881732528963422</v>
      </c>
      <c r="C186" s="651">
        <v>-0.55405386784472366</v>
      </c>
      <c r="D186" s="652">
        <v>-0.23600071177814669</v>
      </c>
      <c r="E186" s="653">
        <v>0.46892874510133487</v>
      </c>
      <c r="F186" s="651">
        <v>-0.84711619532694482</v>
      </c>
      <c r="G186" s="654">
        <v>0.24999996726497561</v>
      </c>
      <c r="H186" s="653">
        <v>0.314</v>
      </c>
      <c r="I186" s="942">
        <v>0.52</v>
      </c>
      <c r="J186" s="946">
        <v>5.1050000000000004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1613</v>
      </c>
      <c r="L186" s="683"/>
      <c r="M186" s="934"/>
      <c r="N186" s="31" t="str">
        <f t="shared" si="1330"/>
        <v>Y</v>
      </c>
      <c r="O186" s="162">
        <f t="shared" si="1324"/>
        <v>-1.1881732528963422</v>
      </c>
      <c r="P186" s="162">
        <f t="shared" si="1325"/>
        <v>-0.55405386784472366</v>
      </c>
      <c r="Q186" s="162">
        <f t="shared" si="1326"/>
        <v>-0.23600071177814669</v>
      </c>
      <c r="R186" s="162">
        <f t="shared" si="1331"/>
        <v>0.46892874510133487</v>
      </c>
      <c r="S186" s="162">
        <f t="shared" si="1327"/>
        <v>-0.84711619532694482</v>
      </c>
      <c r="T186" s="162">
        <f t="shared" si="1328"/>
        <v>0.24999996726497561</v>
      </c>
      <c r="U186" s="162">
        <f>IFERROR(IF(ISNUMBER(MATCH($X186,Settings!$AK$52:$AK$60,0)),INDEX(Settings!$AO$14:$AO$60,MATCH($X186,Settings!$AK$14:$AK$60,0))/2,INDEX(Settings!$AM$14:$AM$60,MATCH($X186,Settings!$AK$14:$AK$60,0))/2),"")</f>
        <v>0.3125</v>
      </c>
      <c r="V186" s="162">
        <f t="shared" si="1329"/>
        <v>0.52</v>
      </c>
      <c r="W186" s="75">
        <v>5.1050000000000004</v>
      </c>
      <c r="X186" s="937">
        <f t="shared" si="1332"/>
        <v>1613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-1.8780542225364871</v>
      </c>
      <c r="C187" s="651">
        <v>-0.86481667649688909</v>
      </c>
      <c r="D187" s="652">
        <v>-5.0900153514863079E-2</v>
      </c>
      <c r="E187" s="653">
        <v>0.38306571612538137</v>
      </c>
      <c r="F187" s="651">
        <v>-0.88626452947494361</v>
      </c>
      <c r="G187" s="654">
        <v>0.26037634478559207</v>
      </c>
      <c r="H187" s="653">
        <v>0.314</v>
      </c>
      <c r="I187" s="942">
        <v>0.52</v>
      </c>
      <c r="J187" s="946">
        <v>5.1079999999999997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-1.8780542225364871</v>
      </c>
      <c r="P187" s="162">
        <f t="shared" si="1325"/>
        <v>-0.86481667649688909</v>
      </c>
      <c r="Q187" s="162">
        <f t="shared" si="1326"/>
        <v>-5.0900153514863079E-2</v>
      </c>
      <c r="R187" s="162">
        <f t="shared" si="1331"/>
        <v>0.38306571612538137</v>
      </c>
      <c r="S187" s="162">
        <f t="shared" si="1327"/>
        <v>-0.88626452947494361</v>
      </c>
      <c r="T187" s="162">
        <f t="shared" si="1328"/>
        <v>0.26037634478559207</v>
      </c>
      <c r="U187" s="162">
        <f>IFERROR(IF(ISNUMBER(MATCH($X187,Settings!$AK$52:$AK$60,0)),INDEX(Settings!$AO$14:$AO$60,MATCH($X187,Settings!$AK$14:$AK$60,0))/2,INDEX(Settings!$AM$14:$AM$60,MATCH($X187,Settings!$AK$14:$AK$60,0))/2),"")</f>
        <v>0.3125</v>
      </c>
      <c r="V187" s="162">
        <f t="shared" si="1329"/>
        <v>0.52</v>
      </c>
      <c r="W187" s="75">
        <v>5.1079999999999997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-2.6230879488618228</v>
      </c>
      <c r="C188" s="651">
        <v>-1.1537428246855326</v>
      </c>
      <c r="D188" s="652">
        <v>-0.20000060320181923</v>
      </c>
      <c r="E188" s="653">
        <v>0.22787245086551491</v>
      </c>
      <c r="F188" s="651">
        <v>-0.95024015409540319</v>
      </c>
      <c r="G188" s="654">
        <v>0.21240949997890371</v>
      </c>
      <c r="H188" s="653">
        <v>0.314</v>
      </c>
      <c r="I188" s="942">
        <v>0.52</v>
      </c>
      <c r="J188" s="946">
        <v>5.1139999999999999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-2.6230879488618228</v>
      </c>
      <c r="P188" s="162">
        <f t="shared" si="1325"/>
        <v>-1.1537428246855326</v>
      </c>
      <c r="Q188" s="162">
        <f t="shared" si="1326"/>
        <v>-0.20000060320181923</v>
      </c>
      <c r="R188" s="162">
        <f t="shared" si="1331"/>
        <v>0.22787245086551491</v>
      </c>
      <c r="S188" s="162">
        <f t="shared" si="1327"/>
        <v>-0.95024015409540319</v>
      </c>
      <c r="T188" s="162">
        <f t="shared" si="1328"/>
        <v>0.21240949997890371</v>
      </c>
      <c r="U188" s="162">
        <f>IFERROR(IF(ISNUMBER(MATCH($X188,Settings!$AK$52:$AK$60,0)),INDEX(Settings!$AO$14:$AO$60,MATCH($X188,Settings!$AK$14:$AK$60,0))/2,INDEX(Settings!$AM$14:$AM$60,MATCH($X188,Settings!$AK$14:$AK$60,0))/2),"")</f>
        <v>0.3125</v>
      </c>
      <c r="V188" s="162">
        <f t="shared" si="1329"/>
        <v>0.52</v>
      </c>
      <c r="W188" s="75">
        <v>5.1139999999999999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-3.1726244007867392</v>
      </c>
      <c r="C189" s="651">
        <v>-1.3361632182930649</v>
      </c>
      <c r="D189" s="652">
        <v>-0.73440221495708025</v>
      </c>
      <c r="E189" s="653">
        <v>6.2015945738616039E-2</v>
      </c>
      <c r="F189" s="651">
        <v>-0.98401318860978537</v>
      </c>
      <c r="G189" s="654">
        <v>0.1669492950453767</v>
      </c>
      <c r="H189" s="653">
        <v>0.314</v>
      </c>
      <c r="I189" s="942">
        <v>0.52</v>
      </c>
      <c r="J189" s="946">
        <v>5.12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-3.1726244007867392</v>
      </c>
      <c r="P189" s="162">
        <f t="shared" si="1325"/>
        <v>-1.3361632182930649</v>
      </c>
      <c r="Q189" s="162">
        <f t="shared" si="1326"/>
        <v>-0.73440221495708025</v>
      </c>
      <c r="R189" s="162">
        <f t="shared" si="1331"/>
        <v>6.2015945738616039E-2</v>
      </c>
      <c r="S189" s="162">
        <f t="shared" si="1327"/>
        <v>-0.98401318860978537</v>
      </c>
      <c r="T189" s="162">
        <f t="shared" si="1328"/>
        <v>0.1669492950453767</v>
      </c>
      <c r="U189" s="162">
        <f>IFERROR(IF(ISNUMBER(MATCH($X189,Settings!$AK$52:$AK$60,0)),INDEX(Settings!$AO$14:$AO$60,MATCH($X189,Settings!$AK$14:$AK$60,0))/2,INDEX(Settings!$AM$14:$AM$60,MATCH($X189,Settings!$AK$14:$AK$60,0))/2),"")</f>
        <v>0.3125</v>
      </c>
      <c r="V189" s="162">
        <f t="shared" si="1329"/>
        <v>0.52</v>
      </c>
      <c r="W189" s="75">
        <v>5.12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-3.3773819571618362</v>
      </c>
      <c r="C190" s="651">
        <v>-1.3983278853972874</v>
      </c>
      <c r="D190" s="652">
        <v>-1.4729044422797983</v>
      </c>
      <c r="E190" s="653">
        <v>-0.12644727297354347</v>
      </c>
      <c r="F190" s="651">
        <v>-0.98811886520376135</v>
      </c>
      <c r="G190" s="654">
        <v>8.7362436927921824E-2</v>
      </c>
      <c r="H190" s="653">
        <v>0.314</v>
      </c>
      <c r="I190" s="942">
        <v>0.52</v>
      </c>
      <c r="J190" s="946">
        <v>5.1260000000000003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-3.3773819571618362</v>
      </c>
      <c r="P190" s="162">
        <f t="shared" si="1325"/>
        <v>-1.3983278853972874</v>
      </c>
      <c r="Q190" s="162">
        <f t="shared" si="1326"/>
        <v>-1.4729044422797983</v>
      </c>
      <c r="R190" s="162">
        <f t="shared" si="1331"/>
        <v>-0.12644727297354347</v>
      </c>
      <c r="S190" s="162">
        <f t="shared" si="1327"/>
        <v>-0.98811886520376135</v>
      </c>
      <c r="T190" s="162">
        <f t="shared" si="1328"/>
        <v>8.7362436927921824E-2</v>
      </c>
      <c r="U190" s="162">
        <f>IFERROR(IF(ISNUMBER(MATCH($X190,Settings!$AK$52:$AK$60,0)),INDEX(Settings!$AO$14:$AO$60,MATCH($X190,Settings!$AK$14:$AK$60,0))/2,INDEX(Settings!$AM$14:$AM$60,MATCH($X190,Settings!$AK$14:$AK$60,0))/2),"")</f>
        <v>0.3125</v>
      </c>
      <c r="V190" s="162">
        <f t="shared" si="1329"/>
        <v>0.52</v>
      </c>
      <c r="W190" s="75">
        <v>5.1260000000000003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-3.4041530440472201</v>
      </c>
      <c r="C191" s="651">
        <v>-1.4055228431811582</v>
      </c>
      <c r="D191" s="652">
        <v>-2.2440000000000002</v>
      </c>
      <c r="E191" s="653">
        <v>-0.1316511537726659</v>
      </c>
      <c r="F191" s="651">
        <v>-0.99129610798707013</v>
      </c>
      <c r="G191" s="654">
        <v>1.1339744835756774E-7</v>
      </c>
      <c r="H191" s="653">
        <v>0.314</v>
      </c>
      <c r="I191" s="942">
        <v>0.52</v>
      </c>
      <c r="J191" s="946">
        <v>5.1319999999999997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-3.4041530440472201</v>
      </c>
      <c r="P191" s="162">
        <f t="shared" si="1325"/>
        <v>-1.4055228431811582</v>
      </c>
      <c r="Q191" s="162">
        <f t="shared" si="1326"/>
        <v>-2.2440000000000002</v>
      </c>
      <c r="R191" s="162">
        <f t="shared" si="1331"/>
        <v>-0.1316511537726659</v>
      </c>
      <c r="S191" s="162">
        <f t="shared" si="1327"/>
        <v>-0.99129610798707013</v>
      </c>
      <c r="T191" s="162">
        <f t="shared" si="1328"/>
        <v>1.1339744835756774E-7</v>
      </c>
      <c r="U191" s="162">
        <f>IFERROR(IF(ISNUMBER(MATCH($X191,Settings!$AK$52:$AK$60,0)),INDEX(Settings!$AO$14:$AO$60,MATCH($X191,Settings!$AK$14:$AK$60,0))/2,INDEX(Settings!$AM$14:$AM$60,MATCH($X191,Settings!$AK$14:$AK$60,0))/2),"")</f>
        <v>0.3125</v>
      </c>
      <c r="V191" s="162">
        <f t="shared" si="1329"/>
        <v>0.52</v>
      </c>
      <c r="W191" s="75">
        <v>5.1319999999999997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-2.3500167777238667</v>
      </c>
      <c r="C192" s="651">
        <v>1.416687178872938</v>
      </c>
      <c r="D192" s="652">
        <v>-0.14460043611491535</v>
      </c>
      <c r="E192" s="653">
        <v>-0.62698968411023592</v>
      </c>
      <c r="F192" s="651">
        <v>-0.74569441857092555</v>
      </c>
      <c r="G192" s="654">
        <v>0.22544127867698924</v>
      </c>
      <c r="H192" s="653">
        <v>0.314</v>
      </c>
      <c r="I192" s="942">
        <v>0.52</v>
      </c>
      <c r="J192" s="946">
        <v>6.1130000000000004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-2.3500167777238667</v>
      </c>
      <c r="P192" s="162">
        <f t="shared" si="1325"/>
        <v>1.416687178872938</v>
      </c>
      <c r="Q192" s="162">
        <f t="shared" si="1326"/>
        <v>-0.14460043611491535</v>
      </c>
      <c r="R192" s="162">
        <f t="shared" si="1331"/>
        <v>-0.62698968411023592</v>
      </c>
      <c r="S192" s="162">
        <f t="shared" si="1327"/>
        <v>-0.74569441857092555</v>
      </c>
      <c r="T192" s="162">
        <f t="shared" si="1328"/>
        <v>0.22544127867698924</v>
      </c>
      <c r="U192" s="162">
        <f>IFERROR(IF(ISNUMBER(MATCH($X192,Settings!$AK$52:$AK$60,0)),INDEX(Settings!$AO$14:$AO$60,MATCH($X192,Settings!$AK$14:$AK$60,0))/2,INDEX(Settings!$AM$14:$AM$60,MATCH($X192,Settings!$AK$14:$AK$60,0))/2),"")</f>
        <v>0.3125</v>
      </c>
      <c r="V192" s="162">
        <f t="shared" si="1329"/>
        <v>0.52</v>
      </c>
      <c r="W192" s="75">
        <v>6.1130000000000004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-2.8550157045317262</v>
      </c>
      <c r="C193" s="651">
        <v>1.7867226283674618</v>
      </c>
      <c r="D193" s="652">
        <v>-0.62650188952969921</v>
      </c>
      <c r="E193" s="653">
        <v>-0.745805782678857</v>
      </c>
      <c r="F193" s="651">
        <v>-0.64555778936451336</v>
      </c>
      <c r="G193" s="654">
        <v>0.16440460794509487</v>
      </c>
      <c r="H193" s="653">
        <v>0.314</v>
      </c>
      <c r="I193" s="942">
        <v>0.52</v>
      </c>
      <c r="J193" s="946">
        <v>6.1189999999999998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-2.8550157045317262</v>
      </c>
      <c r="P193" s="162">
        <f t="shared" si="1325"/>
        <v>1.7867226283674618</v>
      </c>
      <c r="Q193" s="162">
        <f t="shared" si="1326"/>
        <v>-0.62650188952969921</v>
      </c>
      <c r="R193" s="162">
        <f t="shared" si="1331"/>
        <v>-0.745805782678857</v>
      </c>
      <c r="S193" s="162">
        <f t="shared" si="1327"/>
        <v>-0.64555778936451336</v>
      </c>
      <c r="T193" s="162">
        <f t="shared" si="1328"/>
        <v>0.16440460794509487</v>
      </c>
      <c r="U193" s="162">
        <f>IFERROR(IF(ISNUMBER(MATCH($X193,Settings!$AK$52:$AK$60,0)),INDEX(Settings!$AO$14:$AO$60,MATCH($X193,Settings!$AK$14:$AK$60,0))/2,INDEX(Settings!$AM$14:$AM$60,MATCH($X193,Settings!$AK$14:$AK$60,0))/2),"")</f>
        <v>0.3125</v>
      </c>
      <c r="V193" s="162">
        <f t="shared" si="1329"/>
        <v>0.52</v>
      </c>
      <c r="W193" s="75">
        <v>6.1189999999999998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-3.0752307077382093</v>
      </c>
      <c r="C194" s="651">
        <v>1.959591424716669</v>
      </c>
      <c r="D194" s="652">
        <v>-1.342004047484207</v>
      </c>
      <c r="E194" s="653">
        <v>-0.8629840367137348</v>
      </c>
      <c r="F194" s="651">
        <v>-0.49452698623376856</v>
      </c>
      <c r="G194" s="654">
        <v>0.10344859720563426</v>
      </c>
      <c r="H194" s="653">
        <v>0.314</v>
      </c>
      <c r="I194" s="942">
        <v>0.52</v>
      </c>
      <c r="J194" s="946">
        <v>6.125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-3.0752307077382093</v>
      </c>
      <c r="P194" s="162">
        <f t="shared" si="1325"/>
        <v>1.959591424716669</v>
      </c>
      <c r="Q194" s="162">
        <f t="shared" si="1326"/>
        <v>-1.342004047484207</v>
      </c>
      <c r="R194" s="162">
        <f t="shared" si="1331"/>
        <v>-0.8629840367137348</v>
      </c>
      <c r="S194" s="162">
        <f t="shared" si="1327"/>
        <v>-0.49452698623376856</v>
      </c>
      <c r="T194" s="162">
        <f t="shared" si="1328"/>
        <v>0.10344859720563426</v>
      </c>
      <c r="U194" s="162">
        <f>IFERROR(IF(ISNUMBER(MATCH($X194,Settings!$AK$52:$AK$60,0)),INDEX(Settings!$AO$14:$AO$60,MATCH($X194,Settings!$AK$14:$AK$60,0))/2,INDEX(Settings!$AM$14:$AM$60,MATCH($X194,Settings!$AK$14:$AK$60,0))/2),"")</f>
        <v>0.3125</v>
      </c>
      <c r="V194" s="162">
        <f t="shared" si="1329"/>
        <v>0.52</v>
      </c>
      <c r="W194" s="75">
        <v>6.125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-3.1038791568315776</v>
      </c>
      <c r="C195" s="651">
        <v>1.9823437113140834</v>
      </c>
      <c r="D195" s="652">
        <v>-2.1220000000000003</v>
      </c>
      <c r="E195" s="653">
        <v>-0.88753416911837713</v>
      </c>
      <c r="F195" s="651">
        <v>-0.46074190025147416</v>
      </c>
      <c r="G195" s="654">
        <v>1.1339744843264874E-7</v>
      </c>
      <c r="H195" s="653">
        <v>0.314</v>
      </c>
      <c r="I195" s="942">
        <v>0.52</v>
      </c>
      <c r="J195" s="946">
        <v>6.1310000000000002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-3.1038791568315776</v>
      </c>
      <c r="P195" s="162">
        <f t="shared" si="1325"/>
        <v>1.9823437113140834</v>
      </c>
      <c r="Q195" s="162">
        <f t="shared" si="1326"/>
        <v>-2.1220000000000003</v>
      </c>
      <c r="R195" s="162">
        <f t="shared" si="1331"/>
        <v>-0.88753416911837713</v>
      </c>
      <c r="S195" s="162">
        <f t="shared" si="1327"/>
        <v>-0.46074190025147416</v>
      </c>
      <c r="T195" s="162">
        <f t="shared" si="1328"/>
        <v>1.1339744843264874E-7</v>
      </c>
      <c r="U195" s="162">
        <f>IFERROR(IF(ISNUMBER(MATCH($X195,Settings!$AK$52:$AK$60,0)),INDEX(Settings!$AO$14:$AO$60,MATCH($X195,Settings!$AK$14:$AK$60,0))/2,INDEX(Settings!$AM$14:$AM$60,MATCH($X195,Settings!$AK$14:$AK$60,0))/2),"")</f>
        <v>0.3125</v>
      </c>
      <c r="V195" s="162">
        <f t="shared" si="1329"/>
        <v>0.52</v>
      </c>
      <c r="W195" s="75">
        <v>6.1310000000000002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/>
      <c r="C196" s="651"/>
      <c r="D196" s="652"/>
      <c r="E196" s="653"/>
      <c r="F196" s="651"/>
      <c r="G196" s="654"/>
      <c r="H196" s="653"/>
      <c r="I196" s="942"/>
      <c r="J196" s="946"/>
      <c r="K196" s="931" t="str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/>
      </c>
      <c r="L196" s="683"/>
      <c r="M196" s="934"/>
      <c r="N196" s="31" t="str">
        <f t="shared" si="1330"/>
        <v>Y</v>
      </c>
      <c r="O196" s="162" t="str">
        <f t="shared" ref="O196:O227" si="1334">IFERROR(INDEX(B$164:B$305,MATCH($W196,$J$164:$J$305,0)),"")</f>
        <v/>
      </c>
      <c r="P196" s="162" t="str">
        <f t="shared" ref="P196:P227" si="1335">IFERROR(INDEX(C$164:C$305,MATCH($W196,$J$164:$J$305,0)),"")</f>
        <v/>
      </c>
      <c r="Q196" s="162" t="str">
        <f t="shared" ref="Q196:Q227" si="1336">IFERROR(INDEX(D$164:D$305,MATCH($W196,$J$164:$J$305,0)),"")</f>
        <v/>
      </c>
      <c r="R196" s="162" t="str">
        <f t="shared" si="1331"/>
        <v/>
      </c>
      <c r="S196" s="162" t="str">
        <f t="shared" si="1327"/>
        <v/>
      </c>
      <c r="T196" s="162" t="str">
        <f t="shared" si="1328"/>
        <v/>
      </c>
      <c r="U196" s="162" t="str">
        <f>IFERROR(IF(ISNUMBER(MATCH($X196,Settings!$AK$52:$AK$60,0)),INDEX(Settings!$AO$14:$AO$60,MATCH($X196,Settings!$AK$14:$AK$60,0))/2,INDEX(Settings!$AM$14:$AM$60,MATCH($X196,Settings!$AK$14:$AK$60,0))/2),"")</f>
        <v/>
      </c>
      <c r="V196" s="162" t="str">
        <f t="shared" ref="V196:V227" si="1337">IFERROR(INDEX(I$164:I$305,MATCH($W196,$J$164:$J$305,0)),"")</f>
        <v/>
      </c>
      <c r="W196" s="75"/>
      <c r="X196" s="937" t="str">
        <f t="shared" si="1332"/>
        <v/>
      </c>
      <c r="AK196" s="82" t="str">
        <f t="shared" si="1333"/>
        <v>Y</v>
      </c>
      <c r="AL196" s="419" t="s">
        <v>400</v>
      </c>
    </row>
    <row r="197" spans="2:38" x14ac:dyDescent="0.25">
      <c r="B197" s="650"/>
      <c r="C197" s="651"/>
      <c r="D197" s="652"/>
      <c r="E197" s="653"/>
      <c r="F197" s="651"/>
      <c r="G197" s="654"/>
      <c r="H197" s="653"/>
      <c r="I197" s="942"/>
      <c r="J197" s="946"/>
      <c r="K197" s="931" t="str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/>
      </c>
      <c r="L197" s="683"/>
      <c r="M197" s="934"/>
      <c r="N197" s="31" t="str">
        <f t="shared" si="1330"/>
        <v>Y</v>
      </c>
      <c r="O197" s="162" t="str">
        <f t="shared" si="1334"/>
        <v/>
      </c>
      <c r="P197" s="162" t="str">
        <f t="shared" si="1335"/>
        <v/>
      </c>
      <c r="Q197" s="162" t="str">
        <f t="shared" si="1336"/>
        <v/>
      </c>
      <c r="R197" s="162" t="str">
        <f t="shared" si="1331"/>
        <v/>
      </c>
      <c r="S197" s="162" t="str">
        <f t="shared" si="1327"/>
        <v/>
      </c>
      <c r="T197" s="162" t="str">
        <f t="shared" si="1328"/>
        <v/>
      </c>
      <c r="U197" s="162" t="str">
        <f>IFERROR(IF(ISNUMBER(MATCH($X197,Settings!$AK$52:$AK$60,0)),INDEX(Settings!$AO$14:$AO$60,MATCH($X197,Settings!$AK$14:$AK$60,0))/2,INDEX(Settings!$AM$14:$AM$60,MATCH($X197,Settings!$AK$14:$AK$60,0))/2),"")</f>
        <v/>
      </c>
      <c r="V197" s="162" t="str">
        <f t="shared" si="1337"/>
        <v/>
      </c>
      <c r="W197" s="75"/>
      <c r="X197" s="937" t="str">
        <f t="shared" si="1332"/>
        <v/>
      </c>
      <c r="AK197" s="82" t="str">
        <f t="shared" si="1333"/>
        <v>Y</v>
      </c>
      <c r="AL197" s="419" t="s">
        <v>400</v>
      </c>
    </row>
    <row r="198" spans="2:38" x14ac:dyDescent="0.25">
      <c r="B198" s="650"/>
      <c r="C198" s="651"/>
      <c r="D198" s="652"/>
      <c r="E198" s="653"/>
      <c r="F198" s="651"/>
      <c r="G198" s="654"/>
      <c r="H198" s="653"/>
      <c r="I198" s="942"/>
      <c r="J198" s="946"/>
      <c r="K198" s="931" t="str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/>
      </c>
      <c r="L198" s="683"/>
      <c r="M198" s="934"/>
      <c r="N198" s="31" t="str">
        <f t="shared" si="1330"/>
        <v>Y</v>
      </c>
      <c r="O198" s="162" t="str">
        <f t="shared" si="1334"/>
        <v/>
      </c>
      <c r="P198" s="162" t="str">
        <f t="shared" si="1335"/>
        <v/>
      </c>
      <c r="Q198" s="162" t="str">
        <f t="shared" si="1336"/>
        <v/>
      </c>
      <c r="R198" s="162" t="str">
        <f t="shared" si="1331"/>
        <v/>
      </c>
      <c r="S198" s="162" t="str">
        <f t="shared" si="1327"/>
        <v/>
      </c>
      <c r="T198" s="162" t="str">
        <f t="shared" si="1328"/>
        <v/>
      </c>
      <c r="U198" s="162" t="str">
        <f>IFERROR(IF(ISNUMBER(MATCH($X198,Settings!$AK$52:$AK$60,0)),INDEX(Settings!$AO$14:$AO$60,MATCH($X198,Settings!$AK$14:$AK$60,0))/2,INDEX(Settings!$AM$14:$AM$60,MATCH($X198,Settings!$AK$14:$AK$60,0))/2),"")</f>
        <v/>
      </c>
      <c r="V198" s="162" t="str">
        <f t="shared" si="1337"/>
        <v/>
      </c>
      <c r="W198" s="75"/>
      <c r="X198" s="937" t="str">
        <f t="shared" si="1332"/>
        <v/>
      </c>
      <c r="AK198" s="82" t="str">
        <f t="shared" si="1333"/>
        <v>Y</v>
      </c>
      <c r="AL198" s="419" t="s">
        <v>400</v>
      </c>
    </row>
    <row r="199" spans="2:38" x14ac:dyDescent="0.25">
      <c r="B199" s="650"/>
      <c r="C199" s="651"/>
      <c r="D199" s="652"/>
      <c r="E199" s="653"/>
      <c r="F199" s="651"/>
      <c r="G199" s="654"/>
      <c r="H199" s="653"/>
      <c r="I199" s="942"/>
      <c r="J199" s="946"/>
      <c r="K199" s="931" t="str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/>
      </c>
      <c r="L199" s="683"/>
      <c r="M199" s="934"/>
      <c r="N199" s="31" t="str">
        <f t="shared" si="1330"/>
        <v>Y</v>
      </c>
      <c r="O199" s="162" t="str">
        <f t="shared" si="1334"/>
        <v/>
      </c>
      <c r="P199" s="162" t="str">
        <f t="shared" si="1335"/>
        <v/>
      </c>
      <c r="Q199" s="162" t="str">
        <f t="shared" si="1336"/>
        <v/>
      </c>
      <c r="R199" s="162" t="str">
        <f t="shared" si="1331"/>
        <v/>
      </c>
      <c r="S199" s="162" t="str">
        <f t="shared" si="1327"/>
        <v/>
      </c>
      <c r="T199" s="162" t="str">
        <f t="shared" si="1328"/>
        <v/>
      </c>
      <c r="U199" s="162" t="str">
        <f>IFERROR(IF(ISNUMBER(MATCH($X199,Settings!$AK$52:$AK$60,0)),INDEX(Settings!$AO$14:$AO$60,MATCH($X199,Settings!$AK$14:$AK$60,0))/2,INDEX(Settings!$AM$14:$AM$60,MATCH($X199,Settings!$AK$14:$AK$60,0))/2),"")</f>
        <v/>
      </c>
      <c r="V199" s="162" t="str">
        <f t="shared" si="1337"/>
        <v/>
      </c>
      <c r="W199" s="75"/>
      <c r="X199" s="937" t="str">
        <f t="shared" si="1332"/>
        <v/>
      </c>
      <c r="AK199" s="82" t="str">
        <f t="shared" si="1333"/>
        <v>Y</v>
      </c>
      <c r="AL199" s="419" t="s">
        <v>400</v>
      </c>
    </row>
    <row r="200" spans="2:38" x14ac:dyDescent="0.25">
      <c r="B200" s="650"/>
      <c r="C200" s="651"/>
      <c r="D200" s="652"/>
      <c r="E200" s="653"/>
      <c r="F200" s="651"/>
      <c r="G200" s="654"/>
      <c r="H200" s="653"/>
      <c r="I200" s="942"/>
      <c r="J200" s="946"/>
      <c r="K200" s="931" t="str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/>
      </c>
      <c r="L200" s="683"/>
      <c r="M200" s="934"/>
      <c r="N200" s="31" t="str">
        <f t="shared" si="1330"/>
        <v>Y</v>
      </c>
      <c r="O200" s="162" t="str">
        <f t="shared" si="1334"/>
        <v/>
      </c>
      <c r="P200" s="162" t="str">
        <f t="shared" si="1335"/>
        <v/>
      </c>
      <c r="Q200" s="162" t="str">
        <f t="shared" si="1336"/>
        <v/>
      </c>
      <c r="R200" s="162" t="str">
        <f t="shared" si="1331"/>
        <v/>
      </c>
      <c r="S200" s="162" t="str">
        <f t="shared" si="1327"/>
        <v/>
      </c>
      <c r="T200" s="162" t="str">
        <f t="shared" si="1328"/>
        <v/>
      </c>
      <c r="U200" s="162" t="str">
        <f>IFERROR(IF(ISNUMBER(MATCH($X200,Settings!$AK$52:$AK$60,0)),INDEX(Settings!$AO$14:$AO$60,MATCH($X200,Settings!$AK$14:$AK$60,0))/2,INDEX(Settings!$AM$14:$AM$60,MATCH($X200,Settings!$AK$14:$AK$60,0))/2),"")</f>
        <v/>
      </c>
      <c r="V200" s="162" t="str">
        <f t="shared" si="1337"/>
        <v/>
      </c>
      <c r="W200" s="75"/>
      <c r="X200" s="937" t="str">
        <f t="shared" si="1332"/>
        <v/>
      </c>
      <c r="AK200" s="82" t="str">
        <f t="shared" si="1333"/>
        <v>Y</v>
      </c>
      <c r="AL200" s="419" t="s">
        <v>400</v>
      </c>
    </row>
    <row r="201" spans="2:38" x14ac:dyDescent="0.25">
      <c r="B201" s="650"/>
      <c r="C201" s="651"/>
      <c r="D201" s="652"/>
      <c r="E201" s="653"/>
      <c r="F201" s="651"/>
      <c r="G201" s="654"/>
      <c r="H201" s="653"/>
      <c r="I201" s="942"/>
      <c r="J201" s="946"/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/>
      </c>
      <c r="L201" s="683"/>
      <c r="M201" s="934"/>
      <c r="N201" s="31" t="str">
        <f t="shared" si="1330"/>
        <v>Y</v>
      </c>
      <c r="O201" s="162" t="str">
        <f t="shared" si="1334"/>
        <v/>
      </c>
      <c r="P201" s="162" t="str">
        <f t="shared" si="1335"/>
        <v/>
      </c>
      <c r="Q201" s="162" t="str">
        <f t="shared" si="1336"/>
        <v/>
      </c>
      <c r="R201" s="162" t="str">
        <f t="shared" si="1331"/>
        <v/>
      </c>
      <c r="S201" s="162" t="str">
        <f t="shared" si="1327"/>
        <v/>
      </c>
      <c r="T201" s="162" t="str">
        <f t="shared" si="1328"/>
        <v/>
      </c>
      <c r="U201" s="162" t="str">
        <f>IFERROR(IF(ISNUMBER(MATCH($X201,Settings!$AK$52:$AK$60,0)),INDEX(Settings!$AO$14:$AO$60,MATCH($X201,Settings!$AK$14:$AK$60,0))/2,INDEX(Settings!$AM$14:$AM$60,MATCH($X201,Settings!$AK$14:$AK$60,0))/2),"")</f>
        <v/>
      </c>
      <c r="V201" s="162" t="str">
        <f t="shared" si="1337"/>
        <v/>
      </c>
      <c r="W201" s="75"/>
      <c r="X201" s="937" t="str">
        <f t="shared" si="1332"/>
        <v/>
      </c>
      <c r="AK201" s="82" t="str">
        <f t="shared" si="1333"/>
        <v>Y</v>
      </c>
      <c r="AL201" s="419" t="s">
        <v>400</v>
      </c>
    </row>
    <row r="202" spans="2:38" x14ac:dyDescent="0.25">
      <c r="B202" s="650"/>
      <c r="C202" s="651"/>
      <c r="D202" s="652"/>
      <c r="E202" s="653"/>
      <c r="F202" s="651"/>
      <c r="G202" s="654"/>
      <c r="H202" s="653"/>
      <c r="I202" s="942"/>
      <c r="J202" s="946"/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/>
      </c>
      <c r="L202" s="683"/>
      <c r="M202" s="934"/>
      <c r="N202" s="31" t="str">
        <f t="shared" si="1330"/>
        <v>Y</v>
      </c>
      <c r="O202" s="162" t="str">
        <f t="shared" si="1334"/>
        <v/>
      </c>
      <c r="P202" s="162" t="str">
        <f t="shared" si="1335"/>
        <v/>
      </c>
      <c r="Q202" s="162" t="str">
        <f t="shared" si="1336"/>
        <v/>
      </c>
      <c r="R202" s="162" t="str">
        <f t="shared" si="1331"/>
        <v/>
      </c>
      <c r="S202" s="162" t="str">
        <f t="shared" si="1327"/>
        <v/>
      </c>
      <c r="T202" s="162" t="str">
        <f t="shared" si="1328"/>
        <v/>
      </c>
      <c r="U202" s="162" t="str">
        <f>IFERROR(IF(ISNUMBER(MATCH($X202,Settings!$AK$52:$AK$60,0)),INDEX(Settings!$AO$14:$AO$60,MATCH($X202,Settings!$AK$14:$AK$60,0))/2,INDEX(Settings!$AM$14:$AM$60,MATCH($X202,Settings!$AK$14:$AK$60,0))/2),"")</f>
        <v/>
      </c>
      <c r="V202" s="162" t="str">
        <f t="shared" si="1337"/>
        <v/>
      </c>
      <c r="W202" s="75"/>
      <c r="X202" s="937" t="str">
        <f t="shared" si="1332"/>
        <v/>
      </c>
      <c r="AK202" s="82" t="str">
        <f t="shared" si="1333"/>
        <v>Y</v>
      </c>
      <c r="AL202" s="419" t="s">
        <v>400</v>
      </c>
    </row>
    <row r="203" spans="2:38" x14ac:dyDescent="0.25">
      <c r="B203" s="650"/>
      <c r="C203" s="651"/>
      <c r="D203" s="652"/>
      <c r="E203" s="653"/>
      <c r="F203" s="651"/>
      <c r="G203" s="654"/>
      <c r="H203" s="653"/>
      <c r="I203" s="942"/>
      <c r="J203" s="946"/>
      <c r="K203" s="931" t="str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/>
      </c>
      <c r="L203" s="683"/>
      <c r="M203" s="934"/>
      <c r="N203" s="31" t="str">
        <f t="shared" si="1330"/>
        <v>Y</v>
      </c>
      <c r="O203" s="162" t="str">
        <f t="shared" si="1334"/>
        <v/>
      </c>
      <c r="P203" s="162" t="str">
        <f t="shared" si="1335"/>
        <v/>
      </c>
      <c r="Q203" s="162" t="str">
        <f t="shared" si="1336"/>
        <v/>
      </c>
      <c r="R203" s="162" t="str">
        <f t="shared" si="1331"/>
        <v/>
      </c>
      <c r="S203" s="162" t="str">
        <f t="shared" si="1327"/>
        <v/>
      </c>
      <c r="T203" s="162" t="str">
        <f t="shared" si="1328"/>
        <v/>
      </c>
      <c r="U203" s="162" t="str">
        <f>IFERROR(IF(ISNUMBER(MATCH($X203,Settings!$AK$52:$AK$60,0)),INDEX(Settings!$AO$14:$AO$60,MATCH($X203,Settings!$AK$14:$AK$60,0))/2,INDEX(Settings!$AM$14:$AM$60,MATCH($X203,Settings!$AK$14:$AK$60,0))/2),"")</f>
        <v/>
      </c>
      <c r="V203" s="162" t="str">
        <f t="shared" si="1337"/>
        <v/>
      </c>
      <c r="W203" s="75"/>
      <c r="X203" s="937" t="str">
        <f t="shared" si="1332"/>
        <v/>
      </c>
      <c r="AK203" s="82" t="str">
        <f t="shared" si="1333"/>
        <v>Y</v>
      </c>
      <c r="AL203" s="419" t="s">
        <v>400</v>
      </c>
    </row>
    <row r="204" spans="2:38" x14ac:dyDescent="0.25">
      <c r="B204" s="650"/>
      <c r="C204" s="651"/>
      <c r="D204" s="652"/>
      <c r="E204" s="653"/>
      <c r="F204" s="651"/>
      <c r="G204" s="654"/>
      <c r="H204" s="653"/>
      <c r="I204" s="942"/>
      <c r="J204" s="946"/>
      <c r="K204" s="931" t="str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/>
      </c>
      <c r="L204" s="683"/>
      <c r="M204" s="934"/>
      <c r="N204" s="31" t="str">
        <f t="shared" si="1330"/>
        <v>Y</v>
      </c>
      <c r="O204" s="162" t="str">
        <f t="shared" si="1334"/>
        <v/>
      </c>
      <c r="P204" s="162" t="str">
        <f t="shared" si="1335"/>
        <v/>
      </c>
      <c r="Q204" s="162" t="str">
        <f t="shared" si="1336"/>
        <v/>
      </c>
      <c r="R204" s="162" t="str">
        <f t="shared" si="1331"/>
        <v/>
      </c>
      <c r="S204" s="162" t="str">
        <f t="shared" si="1327"/>
        <v/>
      </c>
      <c r="T204" s="162" t="str">
        <f t="shared" si="1328"/>
        <v/>
      </c>
      <c r="U204" s="162" t="str">
        <f>IFERROR(IF(ISNUMBER(MATCH($X204,Settings!$AK$52:$AK$60,0)),INDEX(Settings!$AO$14:$AO$60,MATCH($X204,Settings!$AK$14:$AK$60,0))/2,INDEX(Settings!$AM$14:$AM$60,MATCH($X204,Settings!$AK$14:$AK$60,0))/2),"")</f>
        <v/>
      </c>
      <c r="V204" s="162" t="str">
        <f t="shared" si="1337"/>
        <v/>
      </c>
      <c r="W204" s="75"/>
      <c r="X204" s="937" t="str">
        <f t="shared" si="1332"/>
        <v/>
      </c>
      <c r="AK204" s="82" t="str">
        <f t="shared" si="1333"/>
        <v>Y</v>
      </c>
      <c r="AL204" s="419" t="s">
        <v>400</v>
      </c>
    </row>
    <row r="205" spans="2:38" x14ac:dyDescent="0.25">
      <c r="B205" s="650"/>
      <c r="C205" s="651"/>
      <c r="D205" s="652"/>
      <c r="E205" s="653"/>
      <c r="F205" s="651"/>
      <c r="G205" s="654"/>
      <c r="H205" s="653"/>
      <c r="I205" s="942"/>
      <c r="J205" s="946"/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/>
      </c>
      <c r="L205" s="683"/>
      <c r="M205" s="934"/>
      <c r="N205" s="31" t="str">
        <f t="shared" si="1330"/>
        <v>Y</v>
      </c>
      <c r="O205" s="162" t="str">
        <f t="shared" si="1334"/>
        <v/>
      </c>
      <c r="P205" s="162" t="str">
        <f t="shared" si="1335"/>
        <v/>
      </c>
      <c r="Q205" s="162" t="str">
        <f t="shared" si="1336"/>
        <v/>
      </c>
      <c r="R205" s="162" t="str">
        <f t="shared" si="1331"/>
        <v/>
      </c>
      <c r="S205" s="162" t="str">
        <f t="shared" si="1327"/>
        <v/>
      </c>
      <c r="T205" s="162" t="str">
        <f t="shared" si="1328"/>
        <v/>
      </c>
      <c r="U205" s="162" t="str">
        <f>IFERROR(IF(ISNUMBER(MATCH($X205,Settings!$AK$52:$AK$60,0)),INDEX(Settings!$AO$14:$AO$60,MATCH($X205,Settings!$AK$14:$AK$60,0))/2,INDEX(Settings!$AM$14:$AM$60,MATCH($X205,Settings!$AK$14:$AK$60,0))/2),"")</f>
        <v/>
      </c>
      <c r="V205" s="162" t="str">
        <f t="shared" si="1337"/>
        <v/>
      </c>
      <c r="W205" s="75"/>
      <c r="X205" s="937" t="str">
        <f t="shared" si="1332"/>
        <v/>
      </c>
      <c r="AK205" s="82" t="str">
        <f t="shared" si="1333"/>
        <v>Y</v>
      </c>
      <c r="AL205" s="419" t="s">
        <v>400</v>
      </c>
    </row>
    <row r="206" spans="2:38" x14ac:dyDescent="0.25">
      <c r="B206" s="650"/>
      <c r="C206" s="651"/>
      <c r="D206" s="652"/>
      <c r="E206" s="653"/>
      <c r="F206" s="651"/>
      <c r="G206" s="654"/>
      <c r="H206" s="653"/>
      <c r="I206" s="942"/>
      <c r="J206" s="946"/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/>
      </c>
      <c r="L206" s="683"/>
      <c r="M206" s="934"/>
      <c r="N206" s="31" t="str">
        <f t="shared" si="1330"/>
        <v>Y</v>
      </c>
      <c r="O206" s="162" t="str">
        <f t="shared" si="1334"/>
        <v/>
      </c>
      <c r="P206" s="162" t="str">
        <f t="shared" si="1335"/>
        <v/>
      </c>
      <c r="Q206" s="162" t="str">
        <f t="shared" si="1336"/>
        <v/>
      </c>
      <c r="R206" s="162" t="str">
        <f t="shared" si="1331"/>
        <v/>
      </c>
      <c r="S206" s="162" t="str">
        <f t="shared" si="1327"/>
        <v/>
      </c>
      <c r="T206" s="162" t="str">
        <f t="shared" si="1328"/>
        <v/>
      </c>
      <c r="U206" s="162" t="str">
        <f>IFERROR(IF(ISNUMBER(MATCH($X206,Settings!$AK$52:$AK$60,0)),INDEX(Settings!$AO$14:$AO$60,MATCH($X206,Settings!$AK$14:$AK$60,0))/2,INDEX(Settings!$AM$14:$AM$60,MATCH($X206,Settings!$AK$14:$AK$60,0))/2),"")</f>
        <v/>
      </c>
      <c r="V206" s="162" t="str">
        <f t="shared" si="1337"/>
        <v/>
      </c>
      <c r="W206" s="75"/>
      <c r="X206" s="937" t="str">
        <f t="shared" si="1332"/>
        <v/>
      </c>
      <c r="AK206" s="82" t="str">
        <f t="shared" si="1333"/>
        <v>Y</v>
      </c>
      <c r="AL206" s="419" t="s">
        <v>9</v>
      </c>
    </row>
    <row r="207" spans="2:38" x14ac:dyDescent="0.25">
      <c r="B207" s="650"/>
      <c r="C207" s="651"/>
      <c r="D207" s="652"/>
      <c r="E207" s="653"/>
      <c r="F207" s="651"/>
      <c r="G207" s="654"/>
      <c r="H207" s="653"/>
      <c r="I207" s="942"/>
      <c r="J207" s="946"/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/>
      </c>
      <c r="L207" s="683"/>
      <c r="M207" s="934"/>
      <c r="N207" s="31" t="str">
        <f t="shared" si="1330"/>
        <v>Y</v>
      </c>
      <c r="O207" s="162" t="str">
        <f t="shared" si="1334"/>
        <v/>
      </c>
      <c r="P207" s="162" t="str">
        <f t="shared" si="1335"/>
        <v/>
      </c>
      <c r="Q207" s="162" t="str">
        <f t="shared" si="1336"/>
        <v/>
      </c>
      <c r="R207" s="162" t="str">
        <f t="shared" si="1331"/>
        <v/>
      </c>
      <c r="S207" s="162" t="str">
        <f t="shared" si="1327"/>
        <v/>
      </c>
      <c r="T207" s="162" t="str">
        <f t="shared" si="1328"/>
        <v/>
      </c>
      <c r="U207" s="162" t="str">
        <f>IFERROR(IF(ISNUMBER(MATCH($X207,Settings!$AK$52:$AK$60,0)),INDEX(Settings!$AO$14:$AO$60,MATCH($X207,Settings!$AK$14:$AK$60,0))/2,INDEX(Settings!$AM$14:$AM$60,MATCH($X207,Settings!$AK$14:$AK$60,0))/2),"")</f>
        <v/>
      </c>
      <c r="V207" s="162" t="str">
        <f t="shared" si="1337"/>
        <v/>
      </c>
      <c r="W207" s="75"/>
      <c r="X207" s="937" t="str">
        <f t="shared" si="1332"/>
        <v/>
      </c>
      <c r="AK207" s="82" t="str">
        <f t="shared" si="1333"/>
        <v>Y</v>
      </c>
      <c r="AL207" s="419" t="s">
        <v>9</v>
      </c>
    </row>
    <row r="208" spans="2:38" x14ac:dyDescent="0.25">
      <c r="B208" s="650"/>
      <c r="C208" s="651"/>
      <c r="D208" s="652"/>
      <c r="E208" s="653"/>
      <c r="F208" s="651"/>
      <c r="G208" s="654"/>
      <c r="H208" s="653"/>
      <c r="I208" s="942"/>
      <c r="J208" s="946"/>
      <c r="K208" s="931" t="str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/>
      </c>
      <c r="L208" s="683"/>
      <c r="M208" s="934"/>
      <c r="N208" s="31" t="str">
        <f t="shared" si="1330"/>
        <v>Y</v>
      </c>
      <c r="O208" s="162" t="str">
        <f t="shared" si="1334"/>
        <v/>
      </c>
      <c r="P208" s="162" t="str">
        <f t="shared" si="1335"/>
        <v/>
      </c>
      <c r="Q208" s="162" t="str">
        <f t="shared" si="1336"/>
        <v/>
      </c>
      <c r="R208" s="162" t="str">
        <f t="shared" si="1331"/>
        <v/>
      </c>
      <c r="S208" s="162" t="str">
        <f t="shared" si="1327"/>
        <v/>
      </c>
      <c r="T208" s="162" t="str">
        <f t="shared" si="1328"/>
        <v/>
      </c>
      <c r="U208" s="162" t="str">
        <f>IFERROR(IF(ISNUMBER(MATCH($X208,Settings!$AK$52:$AK$60,0)),INDEX(Settings!$AO$14:$AO$60,MATCH($X208,Settings!$AK$14:$AK$60,0))/2,INDEX(Settings!$AM$14:$AM$60,MATCH($X208,Settings!$AK$14:$AK$60,0))/2),"")</f>
        <v/>
      </c>
      <c r="V208" s="162" t="str">
        <f t="shared" si="1337"/>
        <v/>
      </c>
      <c r="W208" s="75"/>
      <c r="X208" s="937" t="str">
        <f t="shared" si="1332"/>
        <v/>
      </c>
      <c r="AK208" s="82" t="str">
        <f t="shared" si="1333"/>
        <v>Y</v>
      </c>
      <c r="AL208" s="419" t="s">
        <v>9</v>
      </c>
    </row>
    <row r="209" spans="2:38" x14ac:dyDescent="0.25">
      <c r="B209" s="650"/>
      <c r="C209" s="651"/>
      <c r="D209" s="652"/>
      <c r="E209" s="653"/>
      <c r="F209" s="651"/>
      <c r="G209" s="654"/>
      <c r="H209" s="653"/>
      <c r="I209" s="942"/>
      <c r="J209" s="946"/>
      <c r="K209" s="931" t="str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/>
      </c>
      <c r="L209" s="683"/>
      <c r="M209" s="934"/>
      <c r="N209" s="31" t="str">
        <f t="shared" si="1330"/>
        <v>Y</v>
      </c>
      <c r="O209" s="162" t="str">
        <f t="shared" si="1334"/>
        <v/>
      </c>
      <c r="P209" s="162" t="str">
        <f t="shared" si="1335"/>
        <v/>
      </c>
      <c r="Q209" s="162" t="str">
        <f t="shared" si="1336"/>
        <v/>
      </c>
      <c r="R209" s="162" t="str">
        <f t="shared" si="1331"/>
        <v/>
      </c>
      <c r="S209" s="162" t="str">
        <f t="shared" si="1327"/>
        <v/>
      </c>
      <c r="T209" s="162" t="str">
        <f t="shared" si="1328"/>
        <v/>
      </c>
      <c r="U209" s="162" t="str">
        <f>IFERROR(IF(ISNUMBER(MATCH($X209,Settings!$AK$52:$AK$60,0)),INDEX(Settings!$AO$14:$AO$60,MATCH($X209,Settings!$AK$14:$AK$60,0))/2,INDEX(Settings!$AM$14:$AM$60,MATCH($X209,Settings!$AK$14:$AK$60,0))/2),"")</f>
        <v/>
      </c>
      <c r="V209" s="162" t="str">
        <f t="shared" si="1337"/>
        <v/>
      </c>
      <c r="W209" s="75"/>
      <c r="X209" s="937" t="str">
        <f t="shared" si="1332"/>
        <v/>
      </c>
      <c r="AK209" s="82" t="str">
        <f t="shared" si="1333"/>
        <v>Y</v>
      </c>
      <c r="AL209" s="419" t="s">
        <v>9</v>
      </c>
    </row>
    <row r="210" spans="2:38" x14ac:dyDescent="0.25">
      <c r="B210" s="650"/>
      <c r="C210" s="651"/>
      <c r="D210" s="652"/>
      <c r="E210" s="653"/>
      <c r="F210" s="651"/>
      <c r="G210" s="654"/>
      <c r="H210" s="653"/>
      <c r="I210" s="942"/>
      <c r="J210" s="946"/>
      <c r="K210" s="931" t="str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/>
      </c>
      <c r="L210" s="683"/>
      <c r="M210" s="934"/>
      <c r="N210" s="31" t="str">
        <f t="shared" si="1330"/>
        <v>Y</v>
      </c>
      <c r="O210" s="162" t="str">
        <f t="shared" si="1334"/>
        <v/>
      </c>
      <c r="P210" s="162" t="str">
        <f t="shared" si="1335"/>
        <v/>
      </c>
      <c r="Q210" s="162" t="str">
        <f t="shared" si="1336"/>
        <v/>
      </c>
      <c r="R210" s="162" t="str">
        <f t="shared" si="1331"/>
        <v/>
      </c>
      <c r="S210" s="162" t="str">
        <f t="shared" si="1327"/>
        <v/>
      </c>
      <c r="T210" s="162" t="str">
        <f t="shared" si="1328"/>
        <v/>
      </c>
      <c r="U210" s="162" t="str">
        <f>IFERROR(IF(ISNUMBER(MATCH($X210,Settings!$AK$52:$AK$60,0)),INDEX(Settings!$AO$14:$AO$60,MATCH($X210,Settings!$AK$14:$AK$60,0))/2,INDEX(Settings!$AM$14:$AM$60,MATCH($X210,Settings!$AK$14:$AK$60,0))/2),"")</f>
        <v/>
      </c>
      <c r="V210" s="162" t="str">
        <f t="shared" si="1337"/>
        <v/>
      </c>
      <c r="W210" s="75"/>
      <c r="X210" s="937" t="str">
        <f t="shared" si="1332"/>
        <v/>
      </c>
      <c r="AK210" s="82" t="str">
        <f t="shared" si="1333"/>
        <v>Y</v>
      </c>
      <c r="AL210" s="419" t="s">
        <v>9</v>
      </c>
    </row>
    <row r="211" spans="2:38" x14ac:dyDescent="0.25">
      <c r="B211" s="650"/>
      <c r="C211" s="651"/>
      <c r="D211" s="652"/>
      <c r="E211" s="653"/>
      <c r="F211" s="651"/>
      <c r="G211" s="654"/>
      <c r="H211" s="653"/>
      <c r="I211" s="942"/>
      <c r="J211" s="946"/>
      <c r="K211" s="931" t="str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/>
      </c>
      <c r="L211" s="683"/>
      <c r="M211" s="934"/>
      <c r="N211" s="31" t="str">
        <f t="shared" si="1330"/>
        <v>Y</v>
      </c>
      <c r="O211" s="162" t="str">
        <f t="shared" si="1334"/>
        <v/>
      </c>
      <c r="P211" s="162" t="str">
        <f t="shared" si="1335"/>
        <v/>
      </c>
      <c r="Q211" s="162" t="str">
        <f t="shared" si="1336"/>
        <v/>
      </c>
      <c r="R211" s="162" t="str">
        <f t="shared" si="1331"/>
        <v/>
      </c>
      <c r="S211" s="162" t="str">
        <f t="shared" si="1327"/>
        <v/>
      </c>
      <c r="T211" s="162" t="str">
        <f t="shared" si="1328"/>
        <v/>
      </c>
      <c r="U211" s="162" t="str">
        <f>IFERROR(IF(ISNUMBER(MATCH($X211,Settings!$AK$52:$AK$60,0)),INDEX(Settings!$AO$14:$AO$60,MATCH($X211,Settings!$AK$14:$AK$60,0))/2,INDEX(Settings!$AM$14:$AM$60,MATCH($X211,Settings!$AK$14:$AK$60,0))/2),"")</f>
        <v/>
      </c>
      <c r="V211" s="162" t="str">
        <f t="shared" si="1337"/>
        <v/>
      </c>
      <c r="W211" s="75"/>
      <c r="X211" s="937" t="str">
        <f t="shared" si="1332"/>
        <v/>
      </c>
      <c r="AK211" s="82" t="str">
        <f t="shared" si="1333"/>
        <v>Y</v>
      </c>
      <c r="AL211" s="419" t="s">
        <v>9</v>
      </c>
    </row>
    <row r="212" spans="2:38" x14ac:dyDescent="0.25">
      <c r="B212" s="650"/>
      <c r="C212" s="651"/>
      <c r="D212" s="652"/>
      <c r="E212" s="653"/>
      <c r="F212" s="651"/>
      <c r="G212" s="654"/>
      <c r="H212" s="653"/>
      <c r="I212" s="942"/>
      <c r="J212" s="946"/>
      <c r="K212" s="931" t="str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/>
      </c>
      <c r="L212" s="683"/>
      <c r="M212" s="934"/>
      <c r="N212" s="31" t="str">
        <f t="shared" si="1330"/>
        <v>Y</v>
      </c>
      <c r="O212" s="162" t="str">
        <f t="shared" si="1334"/>
        <v/>
      </c>
      <c r="P212" s="162" t="str">
        <f t="shared" si="1335"/>
        <v/>
      </c>
      <c r="Q212" s="162" t="str">
        <f t="shared" si="1336"/>
        <v/>
      </c>
      <c r="R212" s="162" t="str">
        <f t="shared" si="1331"/>
        <v/>
      </c>
      <c r="S212" s="162" t="str">
        <f t="shared" si="1327"/>
        <v/>
      </c>
      <c r="T212" s="162" t="str">
        <f t="shared" si="1328"/>
        <v/>
      </c>
      <c r="U212" s="162" t="str">
        <f>IFERROR(IF(ISNUMBER(MATCH($X212,Settings!$AK$52:$AK$60,0)),INDEX(Settings!$AO$14:$AO$60,MATCH($X212,Settings!$AK$14:$AK$60,0))/2,INDEX(Settings!$AM$14:$AM$60,MATCH($X212,Settings!$AK$14:$AK$60,0))/2),"")</f>
        <v/>
      </c>
      <c r="V212" s="162" t="str">
        <f t="shared" si="1337"/>
        <v/>
      </c>
      <c r="W212" s="75"/>
      <c r="X212" s="937" t="str">
        <f t="shared" si="1332"/>
        <v/>
      </c>
      <c r="AK212" s="82" t="str">
        <f t="shared" si="1333"/>
        <v>Y</v>
      </c>
      <c r="AL212" s="419" t="s">
        <v>9</v>
      </c>
    </row>
    <row r="213" spans="2:38" x14ac:dyDescent="0.25">
      <c r="B213" s="650"/>
      <c r="C213" s="651"/>
      <c r="D213" s="652"/>
      <c r="E213" s="653"/>
      <c r="F213" s="651"/>
      <c r="G213" s="654"/>
      <c r="H213" s="653"/>
      <c r="I213" s="942"/>
      <c r="J213" s="946"/>
      <c r="K213" s="931" t="str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/>
      </c>
      <c r="L213" s="683"/>
      <c r="M213" s="934"/>
      <c r="N213" s="31" t="str">
        <f t="shared" si="1330"/>
        <v>Y</v>
      </c>
      <c r="O213" s="162" t="str">
        <f t="shared" si="1334"/>
        <v/>
      </c>
      <c r="P213" s="162" t="str">
        <f t="shared" si="1335"/>
        <v/>
      </c>
      <c r="Q213" s="162" t="str">
        <f t="shared" si="1336"/>
        <v/>
      </c>
      <c r="R213" s="162" t="str">
        <f t="shared" si="1331"/>
        <v/>
      </c>
      <c r="S213" s="162" t="str">
        <f t="shared" si="1327"/>
        <v/>
      </c>
      <c r="T213" s="162" t="str">
        <f t="shared" si="1328"/>
        <v/>
      </c>
      <c r="U213" s="162" t="str">
        <f>IFERROR(IF(ISNUMBER(MATCH($X213,Settings!$AK$52:$AK$60,0)),INDEX(Settings!$AO$14:$AO$60,MATCH($X213,Settings!$AK$14:$AK$60,0))/2,INDEX(Settings!$AM$14:$AM$60,MATCH($X213,Settings!$AK$14:$AK$60,0))/2),"")</f>
        <v/>
      </c>
      <c r="V213" s="162" t="str">
        <f t="shared" si="1337"/>
        <v/>
      </c>
      <c r="W213" s="75"/>
      <c r="X213" s="937" t="str">
        <f t="shared" si="1332"/>
        <v/>
      </c>
      <c r="AK213" s="82" t="str">
        <f t="shared" si="1333"/>
        <v>Y</v>
      </c>
      <c r="AL213" s="419" t="s">
        <v>400</v>
      </c>
    </row>
    <row r="214" spans="2:38" x14ac:dyDescent="0.25">
      <c r="B214" s="650"/>
      <c r="C214" s="651"/>
      <c r="D214" s="652"/>
      <c r="E214" s="653"/>
      <c r="F214" s="651"/>
      <c r="G214" s="654"/>
      <c r="H214" s="653"/>
      <c r="I214" s="942"/>
      <c r="J214" s="946"/>
      <c r="K214" s="931" t="str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/>
      </c>
      <c r="L214" s="683"/>
      <c r="M214" s="934"/>
      <c r="N214" s="31" t="str">
        <f t="shared" si="1330"/>
        <v>Y</v>
      </c>
      <c r="O214" s="162" t="str">
        <f t="shared" si="1334"/>
        <v/>
      </c>
      <c r="P214" s="162" t="str">
        <f t="shared" si="1335"/>
        <v/>
      </c>
      <c r="Q214" s="162" t="str">
        <f t="shared" si="1336"/>
        <v/>
      </c>
      <c r="R214" s="162" t="str">
        <f t="shared" si="1331"/>
        <v/>
      </c>
      <c r="S214" s="162" t="str">
        <f t="shared" si="1327"/>
        <v/>
      </c>
      <c r="T214" s="162" t="str">
        <f t="shared" si="1328"/>
        <v/>
      </c>
      <c r="U214" s="162" t="str">
        <f>IFERROR(IF(ISNUMBER(MATCH($X214,Settings!$AK$52:$AK$60,0)),INDEX(Settings!$AO$14:$AO$60,MATCH($X214,Settings!$AK$14:$AK$60,0))/2,INDEX(Settings!$AM$14:$AM$60,MATCH($X214,Settings!$AK$14:$AK$60,0))/2),"")</f>
        <v/>
      </c>
      <c r="V214" s="162" t="str">
        <f t="shared" si="1337"/>
        <v/>
      </c>
      <c r="W214" s="75"/>
      <c r="X214" s="937" t="str">
        <f t="shared" si="1332"/>
        <v/>
      </c>
      <c r="AK214" s="82" t="str">
        <f t="shared" si="1333"/>
        <v>Y</v>
      </c>
      <c r="AL214" s="419" t="s">
        <v>400</v>
      </c>
    </row>
    <row r="215" spans="2:38" x14ac:dyDescent="0.25">
      <c r="B215" s="650"/>
      <c r="C215" s="651"/>
      <c r="D215" s="652"/>
      <c r="E215" s="653"/>
      <c r="F215" s="651"/>
      <c r="G215" s="654"/>
      <c r="H215" s="653"/>
      <c r="I215" s="942"/>
      <c r="J215" s="946"/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/>
      </c>
      <c r="L215" s="683"/>
      <c r="M215" s="934"/>
      <c r="N215" s="31" t="str">
        <f t="shared" si="1330"/>
        <v>Y</v>
      </c>
      <c r="O215" s="162" t="str">
        <f t="shared" si="1334"/>
        <v/>
      </c>
      <c r="P215" s="162" t="str">
        <f t="shared" si="1335"/>
        <v/>
      </c>
      <c r="Q215" s="162" t="str">
        <f t="shared" si="1336"/>
        <v/>
      </c>
      <c r="R215" s="162" t="str">
        <f t="shared" si="1331"/>
        <v/>
      </c>
      <c r="S215" s="162" t="str">
        <f t="shared" si="1327"/>
        <v/>
      </c>
      <c r="T215" s="162" t="str">
        <f t="shared" si="1328"/>
        <v/>
      </c>
      <c r="U215" s="162" t="str">
        <f>IFERROR(IF(ISNUMBER(MATCH($X215,Settings!$AK$52:$AK$60,0)),INDEX(Settings!$AO$14:$AO$60,MATCH($X215,Settings!$AK$14:$AK$60,0))/2,INDEX(Settings!$AM$14:$AM$60,MATCH($X215,Settings!$AK$14:$AK$60,0))/2),"")</f>
        <v/>
      </c>
      <c r="V215" s="162" t="str">
        <f t="shared" si="1337"/>
        <v/>
      </c>
      <c r="W215" s="75"/>
      <c r="X215" s="937" t="str">
        <f t="shared" si="1332"/>
        <v/>
      </c>
      <c r="AK215" s="82" t="str">
        <f t="shared" si="1333"/>
        <v>Y</v>
      </c>
      <c r="AL215" s="419" t="s">
        <v>400</v>
      </c>
    </row>
    <row r="216" spans="2:38" x14ac:dyDescent="0.25">
      <c r="B216" s="650"/>
      <c r="C216" s="651"/>
      <c r="D216" s="652"/>
      <c r="E216" s="653"/>
      <c r="F216" s="651"/>
      <c r="G216" s="654"/>
      <c r="H216" s="653"/>
      <c r="I216" s="942"/>
      <c r="J216" s="946"/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/>
      </c>
      <c r="L216" s="683"/>
      <c r="M216" s="934"/>
      <c r="N216" s="31" t="str">
        <f t="shared" si="1330"/>
        <v>Y</v>
      </c>
      <c r="O216" s="162" t="str">
        <f t="shared" si="1334"/>
        <v/>
      </c>
      <c r="P216" s="162" t="str">
        <f t="shared" si="1335"/>
        <v/>
      </c>
      <c r="Q216" s="162" t="str">
        <f t="shared" si="1336"/>
        <v/>
      </c>
      <c r="R216" s="162" t="str">
        <f t="shared" si="1331"/>
        <v/>
      </c>
      <c r="S216" s="162" t="str">
        <f t="shared" si="1327"/>
        <v/>
      </c>
      <c r="T216" s="162" t="str">
        <f t="shared" si="1328"/>
        <v/>
      </c>
      <c r="U216" s="162" t="str">
        <f>IFERROR(IF(ISNUMBER(MATCH($X216,Settings!$AK$52:$AK$60,0)),INDEX(Settings!$AO$14:$AO$60,MATCH($X216,Settings!$AK$14:$AK$60,0))/2,INDEX(Settings!$AM$14:$AM$60,MATCH($X216,Settings!$AK$14:$AK$60,0))/2),"")</f>
        <v/>
      </c>
      <c r="V216" s="162" t="str">
        <f t="shared" si="1337"/>
        <v/>
      </c>
      <c r="W216" s="75"/>
      <c r="X216" s="937" t="str">
        <f t="shared" si="1332"/>
        <v/>
      </c>
      <c r="AK216" s="82" t="str">
        <f t="shared" si="1333"/>
        <v>Y</v>
      </c>
      <c r="AL216" s="419" t="s">
        <v>400</v>
      </c>
    </row>
    <row r="217" spans="2:38" x14ac:dyDescent="0.25">
      <c r="B217" s="650"/>
      <c r="C217" s="651"/>
      <c r="D217" s="652"/>
      <c r="E217" s="653"/>
      <c r="F217" s="651"/>
      <c r="G217" s="654"/>
      <c r="H217" s="653"/>
      <c r="I217" s="942"/>
      <c r="J217" s="946"/>
      <c r="K217" s="931" t="str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/>
      </c>
      <c r="L217" s="683"/>
      <c r="M217" s="934"/>
      <c r="N217" s="31" t="str">
        <f t="shared" si="1330"/>
        <v>Y</v>
      </c>
      <c r="O217" s="162" t="str">
        <f t="shared" si="1334"/>
        <v/>
      </c>
      <c r="P217" s="162" t="str">
        <f t="shared" si="1335"/>
        <v/>
      </c>
      <c r="Q217" s="162" t="str">
        <f t="shared" si="1336"/>
        <v/>
      </c>
      <c r="R217" s="162" t="str">
        <f t="shared" si="1331"/>
        <v/>
      </c>
      <c r="S217" s="162" t="str">
        <f t="shared" si="1327"/>
        <v/>
      </c>
      <c r="T217" s="162" t="str">
        <f t="shared" si="1328"/>
        <v/>
      </c>
      <c r="U217" s="162" t="str">
        <f>IFERROR(IF(ISNUMBER(MATCH($X217,Settings!$AK$52:$AK$60,0)),INDEX(Settings!$AO$14:$AO$60,MATCH($X217,Settings!$AK$14:$AK$60,0))/2,INDEX(Settings!$AM$14:$AM$60,MATCH($X217,Settings!$AK$14:$AK$60,0))/2),"")</f>
        <v/>
      </c>
      <c r="V217" s="162" t="str">
        <f t="shared" si="1337"/>
        <v/>
      </c>
      <c r="W217" s="75"/>
      <c r="X217" s="937" t="str">
        <f t="shared" si="1332"/>
        <v/>
      </c>
      <c r="AK217" s="82" t="str">
        <f t="shared" si="1333"/>
        <v>Y</v>
      </c>
      <c r="AL217" s="419" t="s">
        <v>400</v>
      </c>
    </row>
    <row r="218" spans="2:38" x14ac:dyDescent="0.25">
      <c r="B218" s="650"/>
      <c r="C218" s="651"/>
      <c r="D218" s="652"/>
      <c r="E218" s="653"/>
      <c r="F218" s="651"/>
      <c r="G218" s="654"/>
      <c r="H218" s="653"/>
      <c r="I218" s="942"/>
      <c r="J218" s="946"/>
      <c r="K218" s="931" t="str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/>
      </c>
      <c r="L218" s="683"/>
      <c r="M218" s="934"/>
      <c r="N218" s="31" t="str">
        <f t="shared" si="1330"/>
        <v>Y</v>
      </c>
      <c r="O218" s="162" t="str">
        <f t="shared" si="1334"/>
        <v/>
      </c>
      <c r="P218" s="162" t="str">
        <f t="shared" si="1335"/>
        <v/>
      </c>
      <c r="Q218" s="162" t="str">
        <f t="shared" si="1336"/>
        <v/>
      </c>
      <c r="R218" s="162" t="str">
        <f t="shared" si="1331"/>
        <v/>
      </c>
      <c r="S218" s="162" t="str">
        <f t="shared" si="1327"/>
        <v/>
      </c>
      <c r="T218" s="162" t="str">
        <f t="shared" si="1328"/>
        <v/>
      </c>
      <c r="U218" s="162" t="str">
        <f>IFERROR(IF(ISNUMBER(MATCH($X218,Settings!$AK$52:$AK$60,0)),INDEX(Settings!$AO$14:$AO$60,MATCH($X218,Settings!$AK$14:$AK$60,0))/2,INDEX(Settings!$AM$14:$AM$60,MATCH($X218,Settings!$AK$14:$AK$60,0))/2),"")</f>
        <v/>
      </c>
      <c r="V218" s="162" t="str">
        <f t="shared" si="1337"/>
        <v/>
      </c>
      <c r="W218" s="75"/>
      <c r="X218" s="937" t="str">
        <f t="shared" si="1332"/>
        <v/>
      </c>
      <c r="AK218" s="82" t="str">
        <f t="shared" si="1333"/>
        <v>Y</v>
      </c>
      <c r="AL218" s="419" t="s">
        <v>400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/>
      </c>
      <c r="L219" s="683"/>
      <c r="M219" s="934"/>
      <c r="N219" s="31" t="str">
        <f t="shared" si="1330"/>
        <v>Y</v>
      </c>
      <c r="O219" s="162" t="str">
        <f t="shared" si="1334"/>
        <v/>
      </c>
      <c r="P219" s="162" t="str">
        <f t="shared" si="1335"/>
        <v/>
      </c>
      <c r="Q219" s="162" t="str">
        <f t="shared" si="1336"/>
        <v/>
      </c>
      <c r="R219" s="162" t="str">
        <f t="shared" si="1331"/>
        <v/>
      </c>
      <c r="S219" s="162" t="str">
        <f t="shared" si="1327"/>
        <v/>
      </c>
      <c r="T219" s="162" t="str">
        <f t="shared" si="1328"/>
        <v/>
      </c>
      <c r="U219" s="162" t="str">
        <f>IFERROR(IF(ISNUMBER(MATCH($X219,Settings!$AK$52:$AK$60,0)),INDEX(Settings!$AO$14:$AO$60,MATCH($X219,Settings!$AK$14:$AK$60,0))/2,INDEX(Settings!$AM$14:$AM$60,MATCH($X219,Settings!$AK$14:$AK$60,0))/2),"")</f>
        <v/>
      </c>
      <c r="V219" s="162" t="str">
        <f t="shared" si="1337"/>
        <v/>
      </c>
      <c r="W219" s="75"/>
      <c r="X219" s="937" t="str">
        <f t="shared" si="1332"/>
        <v/>
      </c>
      <c r="AK219" s="82" t="str">
        <f t="shared" si="1333"/>
        <v>Y</v>
      </c>
      <c r="AL219" s="419" t="s">
        <v>400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/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AK220" s="82" t="str">
        <f t="shared" si="1333"/>
        <v>Y</v>
      </c>
      <c r="AL220" s="419" t="s">
        <v>400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/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AK221" s="82" t="str">
        <f t="shared" si="1333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/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AK222" s="82" t="str">
        <f t="shared" si="1333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/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AK223" s="82" t="str">
        <f t="shared" si="1333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/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AK224" s="82" t="str">
        <f t="shared" si="1333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/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AK225" s="82" t="str">
        <f t="shared" si="1333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/>
      </c>
      <c r="L226" s="683"/>
      <c r="M226" s="934"/>
      <c r="N226" s="31" t="str">
        <f t="shared" si="1330"/>
        <v>Y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AK226" s="82" t="str">
        <f t="shared" si="1333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/>
      </c>
      <c r="L227" s="683"/>
      <c r="M227" s="934"/>
      <c r="N227" s="31" t="str">
        <f t="shared" si="1330"/>
        <v>Y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AK227" s="82" t="str">
        <f t="shared" si="1333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/>
      </c>
      <c r="L228" s="683"/>
      <c r="M228" s="934"/>
      <c r="N228" s="31" t="str">
        <f t="shared" si="1330"/>
        <v>Y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AK228" s="82" t="str">
        <f t="shared" si="1333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/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/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AK256" s="82" t="str">
        <f t="shared" si="134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359" t="s">
        <v>11</v>
      </c>
      <c r="E3" s="1360"/>
      <c r="F3" s="1338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39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9" t="str">
        <f>CONCATENATE(Settings!$C$19," ",Settings!$B$28)</f>
        <v>7.875 2176D Reverse Spiral</v>
      </c>
      <c r="D1" s="1309"/>
      <c r="E1" s="1309"/>
      <c r="F1" s="1309"/>
      <c r="G1" s="1309"/>
      <c r="H1" s="1309"/>
      <c r="I1" s="1309"/>
      <c r="J1" s="1309"/>
      <c r="K1" s="1309"/>
      <c r="M1" s="103" t="s">
        <v>310</v>
      </c>
      <c r="N1" s="1383" t="s">
        <v>312</v>
      </c>
      <c r="O1" s="1383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2" t="str">
        <f>Settings!B28</f>
        <v>2176D Reverse Spiral</v>
      </c>
      <c r="C2" s="1393"/>
      <c r="D2" s="1393"/>
      <c r="E2" s="1393"/>
      <c r="F2" s="1393"/>
      <c r="G2" s="1393"/>
      <c r="H2" s="1393"/>
      <c r="I2" s="1393"/>
      <c r="J2" s="1393"/>
      <c r="K2" s="1394"/>
      <c r="L2" s="1158" t="str" cm="1">
        <f t="array" ref="L2">IF(OR($K$9:$K$150="Undefined"),"Undefined Element","")</f>
        <v/>
      </c>
      <c r="M2" s="1389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405" t="str">
        <f>M2</f>
        <v>CS-Name</v>
      </c>
      <c r="AW2" s="1088"/>
      <c r="AX2" s="1088"/>
      <c r="AY2" s="1088"/>
      <c r="AZ2" s="1088"/>
      <c r="BA2" s="1088"/>
      <c r="BB2" s="1088"/>
      <c r="BC2" s="1089"/>
      <c r="BF2" s="1412" t="s">
        <v>313</v>
      </c>
      <c r="BG2" s="1413"/>
      <c r="BH2" s="1413"/>
      <c r="BI2" s="1413"/>
      <c r="BJ2" s="1413"/>
      <c r="BK2" s="1414"/>
      <c r="BM2" s="1425" t="s">
        <v>270</v>
      </c>
      <c r="BN2" s="1353"/>
      <c r="BO2" s="1353"/>
      <c r="BP2" s="1354"/>
      <c r="BR2" s="1425" t="s">
        <v>270</v>
      </c>
      <c r="BS2" s="1353"/>
      <c r="BT2" s="1353"/>
      <c r="BU2" s="135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1"/>
      <c r="C3" s="1312"/>
      <c r="D3" s="1312"/>
      <c r="E3" s="1312"/>
      <c r="F3" s="1312"/>
      <c r="G3" s="1312"/>
      <c r="H3" s="1312"/>
      <c r="I3" s="1312"/>
      <c r="J3" s="1312"/>
      <c r="K3" s="1313"/>
      <c r="L3" s="1158"/>
      <c r="M3" s="1390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294"/>
      <c r="AS3" s="415">
        <v>100</v>
      </c>
      <c r="AT3" s="412" t="s">
        <v>45</v>
      </c>
      <c r="AV3" s="1406"/>
      <c r="AW3" s="1094"/>
      <c r="AX3" s="1094"/>
      <c r="AY3" s="1094"/>
      <c r="AZ3" s="1094"/>
      <c r="BA3" s="1094"/>
      <c r="BB3" s="1094"/>
      <c r="BC3" s="109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2" t="s">
        <v>307</v>
      </c>
      <c r="C4" s="1019"/>
      <c r="D4" s="1019"/>
      <c r="E4" s="1019"/>
      <c r="F4" s="1019"/>
      <c r="G4" s="1019"/>
      <c r="H4" s="1019"/>
      <c r="I4" s="1019"/>
      <c r="J4" s="1019"/>
      <c r="K4" s="1395"/>
      <c r="L4" s="1158"/>
      <c r="M4" s="1390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Q4</f>
        <v>Polar XY; Cartesian Z</v>
      </c>
      <c r="X4" s="1298"/>
      <c r="Y4" s="1310"/>
      <c r="Z4" s="1385" t="s">
        <v>3</v>
      </c>
      <c r="AA4" s="1386"/>
      <c r="AB4" s="1386"/>
      <c r="AC4" s="1386"/>
      <c r="AD4" s="1386"/>
      <c r="AE4" s="1386"/>
      <c r="AF4" s="1386"/>
      <c r="AG4" s="1421" t="s">
        <v>31</v>
      </c>
      <c r="AH4" s="1386"/>
      <c r="AI4" s="1386"/>
      <c r="AJ4" s="1422"/>
      <c r="AK4" s="1428" t="s">
        <v>32</v>
      </c>
      <c r="AL4" s="1429"/>
      <c r="AM4" s="1429"/>
      <c r="AN4" s="1429"/>
      <c r="AO4" s="1429"/>
      <c r="AP4" s="1429"/>
      <c r="AQ4" s="1430"/>
      <c r="AS4" s="416">
        <v>0</v>
      </c>
      <c r="AT4" s="413" t="s">
        <v>46</v>
      </c>
      <c r="AV4" s="1406"/>
      <c r="AW4" s="1419"/>
      <c r="AX4" s="1419"/>
      <c r="AY4" s="1419"/>
      <c r="AZ4" s="1420"/>
      <c r="BA4" s="1419" t="str">
        <f>Z2</f>
        <v>PDC Orientation</v>
      </c>
      <c r="BB4" s="1419"/>
      <c r="BC4" s="142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6" t="s">
        <v>372</v>
      </c>
      <c r="IF4" s="100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1" t="str">
        <f>CONCATENATE(B7," ; ",E7," ; ",H8)</f>
        <v>Absolute-Point ; Incremental-Vector Point ; Radius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90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&amp; Z; Z Axis")</f>
        <v>Relative to 's θ &amp; Z; Z Axis</v>
      </c>
      <c r="U5" s="1268"/>
      <c r="V5" s="1269"/>
      <c r="W5" s="1268" t="str">
        <f>CONCATENATE("Relative to ",M8,"'s θ &amp; Z; Z Axis")</f>
        <v>Relative to 's θ &amp; Z;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</v>
      </c>
      <c r="AT5" s="413" t="s">
        <v>47</v>
      </c>
      <c r="AV5" s="1406"/>
      <c r="AW5" s="1335" t="str">
        <f>W4</f>
        <v>Polar XY; Cartesian Z</v>
      </c>
      <c r="AX5" s="1298"/>
      <c r="AY5" s="1298"/>
      <c r="AZ5" s="1159" t="s">
        <v>104</v>
      </c>
      <c r="BA5" s="1298" t="str">
        <f>AK4</f>
        <v>Polar Z Projection → XZ Plane</v>
      </c>
      <c r="BB5" s="1298"/>
      <c r="BC5" s="129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90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Q6</f>
        <v>Projected XY</v>
      </c>
      <c r="X6" s="1301"/>
      <c r="Y6" s="1377" t="str">
        <f>S6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335" t="str">
        <f>AD6</f>
        <v>Unit Vector</v>
      </c>
      <c r="AL6" s="1298"/>
      <c r="AM6" s="1299"/>
      <c r="AN6" s="34" t="s">
        <v>15</v>
      </c>
      <c r="AO6" s="35" t="s">
        <v>16</v>
      </c>
      <c r="AP6" s="680" t="s">
        <v>17</v>
      </c>
      <c r="AQ6" s="1387" t="s">
        <v>108</v>
      </c>
      <c r="AS6" s="168">
        <f>(AS5/360)</f>
        <v>0</v>
      </c>
      <c r="AT6" s="414" t="s">
        <v>48</v>
      </c>
      <c r="AV6" s="1406"/>
      <c r="AW6" s="1267" t="str">
        <f>W5</f>
        <v>Relative to 's θ &amp; Z; Z Axis</v>
      </c>
      <c r="AX6" s="1268"/>
      <c r="AY6" s="1268"/>
      <c r="AZ6" s="1402"/>
      <c r="BA6" s="1268" t="str">
        <f>AK5</f>
        <v>Vector Along X Axis</v>
      </c>
      <c r="BB6" s="1268"/>
      <c r="BC6" s="1305"/>
      <c r="BD6" s="417"/>
      <c r="BF6" s="410">
        <f>SUM(AZ9:AZ150)</f>
        <v>0</v>
      </c>
      <c r="BG6" s="1384" t="s">
        <v>309</v>
      </c>
      <c r="BH6" s="1384"/>
      <c r="BI6" s="1384"/>
      <c r="BJ6" s="1384"/>
      <c r="BK6" s="138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8" t="s">
        <v>40</v>
      </c>
      <c r="C7" s="1329"/>
      <c r="D7" s="1330"/>
      <c r="E7" s="1331" t="s">
        <v>41</v>
      </c>
      <c r="F7" s="1329"/>
      <c r="G7" s="1332"/>
      <c r="H7" s="986" t="s">
        <v>305</v>
      </c>
      <c r="I7" s="984"/>
      <c r="J7" s="985"/>
      <c r="K7" s="488"/>
      <c r="L7" s="1158"/>
      <c r="M7" s="1391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Q7</f>
        <v>&lt; θ°</v>
      </c>
      <c r="X7" s="27" t="str">
        <f>R7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8"/>
      <c r="AS7" s="1423" t="s">
        <v>54</v>
      </c>
      <c r="AT7" s="1426" t="s">
        <v>53</v>
      </c>
      <c r="AV7" s="1406"/>
      <c r="AW7" s="1401" t="str">
        <f>$W$6</f>
        <v>Projected XY</v>
      </c>
      <c r="AX7" s="1301"/>
      <c r="AY7" s="1403" t="str">
        <f>$Y$6</f>
        <v>Z</v>
      </c>
      <c r="AZ7" s="1402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4"/>
      <c r="BH7" s="1384"/>
      <c r="BI7" s="1384"/>
      <c r="BJ7" s="1384"/>
      <c r="BK7" s="138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2" t="s">
        <v>33</v>
      </c>
      <c r="IH7" s="1200" t="s">
        <v>376</v>
      </c>
      <c r="II7" s="988" t="s">
        <v>324</v>
      </c>
      <c r="IJ7" s="989"/>
      <c r="IK7" s="989"/>
      <c r="IL7" s="984"/>
      <c r="IM7" s="984"/>
      <c r="IN7" s="984"/>
      <c r="IO7" s="985"/>
      <c r="IP7" s="986" t="s">
        <v>320</v>
      </c>
      <c r="IQ7" s="984"/>
      <c r="IR7" s="984"/>
      <c r="IS7" s="984"/>
      <c r="IT7" s="984"/>
      <c r="IU7" s="986" t="s">
        <v>319</v>
      </c>
      <c r="IV7" s="984"/>
      <c r="IW7" s="984"/>
      <c r="IX7" s="984"/>
      <c r="IY7" s="985"/>
      <c r="JA7" s="725"/>
      <c r="JB7" s="1431" t="s">
        <v>355</v>
      </c>
      <c r="JC7" s="1350"/>
      <c r="JD7" s="1350"/>
      <c r="JE7" s="135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4"/>
      <c r="AT8" s="1427"/>
      <c r="AV8" s="1407"/>
      <c r="AW8" s="46" t="str">
        <f>$W$7</f>
        <v>&lt; θ°</v>
      </c>
      <c r="AX8" s="27" t="str">
        <f>$X$7</f>
        <v>r</v>
      </c>
      <c r="AY8" s="1404"/>
      <c r="AZ8" s="116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2"/>
      <c r="IH8" s="120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2" t="s">
        <v>356</v>
      </c>
      <c r="JC19" s="1353"/>
      <c r="JD19" s="1353"/>
      <c r="JE19" s="1353"/>
      <c r="JF19" s="1353"/>
      <c r="JG19" s="1353"/>
      <c r="JH19" s="1353"/>
      <c r="JI19" s="1354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5" t="s">
        <v>360</v>
      </c>
      <c r="JC20" s="1356"/>
      <c r="JD20" s="1356"/>
      <c r="JE20" s="1356"/>
      <c r="JF20" s="1153" t="s">
        <v>361</v>
      </c>
      <c r="JG20" s="1154"/>
      <c r="JH20" s="1154"/>
      <c r="JI20" s="11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9"/>
      <c r="JC21" s="1220"/>
      <c r="JD21" s="1220"/>
      <c r="JE21" s="1220"/>
      <c r="JF21" s="1156" t="s">
        <v>349</v>
      </c>
      <c r="JG21" s="1157"/>
      <c r="JH21" s="1357" t="s">
        <v>362</v>
      </c>
      <c r="JI21" s="1358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9" t="str">
        <f>$W$6</f>
        <v>Projected XY</v>
      </c>
      <c r="AX152" s="1400"/>
      <c r="AY152" s="1417" t="str">
        <f>$Y$6</f>
        <v>Z</v>
      </c>
      <c r="AZ152" s="141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8"/>
      <c r="AZ153" s="141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7" t="s">
        <v>42</v>
      </c>
      <c r="C157" s="1314"/>
      <c r="D157" s="1314"/>
      <c r="E157" s="1314"/>
      <c r="F157" s="1314"/>
      <c r="G157" s="1314"/>
      <c r="H157" s="1314"/>
      <c r="I157" s="1314"/>
      <c r="J157" s="1314"/>
      <c r="K157" s="131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6"/>
      <c r="C158" s="1317"/>
      <c r="D158" s="1317"/>
      <c r="E158" s="1317"/>
      <c r="F158" s="1317"/>
      <c r="G158" s="1317"/>
      <c r="H158" s="1317"/>
      <c r="I158" s="1317"/>
      <c r="J158" s="1317"/>
      <c r="K158" s="131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9"/>
      <c r="C159" s="1320"/>
      <c r="D159" s="1320"/>
      <c r="E159" s="1320"/>
      <c r="F159" s="1320"/>
      <c r="G159" s="1320"/>
      <c r="H159" s="1320"/>
      <c r="I159" s="1320"/>
      <c r="J159" s="1320"/>
      <c r="K159" s="1321"/>
      <c r="AQ159" s="162"/>
      <c r="BD159" s="417"/>
    </row>
    <row r="160" spans="1:259" ht="15" customHeight="1" x14ac:dyDescent="0.25">
      <c r="B160" s="1311" t="str">
        <f>CONCATENATE(B162," ; ",E162," ; ",H163)</f>
        <v>Absolute-Point ; Incremental-Vector Point ; Radius</v>
      </c>
      <c r="C160" s="1312"/>
      <c r="D160" s="1312"/>
      <c r="E160" s="1312"/>
      <c r="F160" s="1312"/>
      <c r="G160" s="1312"/>
      <c r="H160" s="1312"/>
      <c r="I160" s="1312"/>
      <c r="J160" s="1312"/>
      <c r="K160" s="1313"/>
      <c r="AQ160" s="162"/>
      <c r="BD160" s="417"/>
    </row>
    <row r="161" spans="2:56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1"/>
      <c r="AQ161" s="162"/>
      <c r="BD161" s="417"/>
    </row>
    <row r="162" spans="2:56" ht="15" customHeight="1" x14ac:dyDescent="0.25">
      <c r="B162" s="1328" t="s">
        <v>40</v>
      </c>
      <c r="C162" s="1329"/>
      <c r="D162" s="1330"/>
      <c r="E162" s="1331" t="s">
        <v>41</v>
      </c>
      <c r="F162" s="1329"/>
      <c r="G162" s="1332"/>
      <c r="H162" s="986" t="s">
        <v>305</v>
      </c>
      <c r="I162" s="984"/>
      <c r="J162" s="985"/>
      <c r="K162" s="488"/>
      <c r="M162" s="1123" t="s">
        <v>304</v>
      </c>
      <c r="N162" s="1396"/>
      <c r="O162" s="1408" t="s">
        <v>283</v>
      </c>
      <c r="P162" s="1409"/>
      <c r="Q162" s="1410"/>
      <c r="R162" s="1411" t="s">
        <v>41</v>
      </c>
      <c r="S162" s="1409"/>
      <c r="T162" s="141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7"/>
      <c r="N163" s="1398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1.1180000000000001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1.1299999999999999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2.1110000000000002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2.117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2.1230000000000002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2.129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3.1030000000000002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3.1059999999999999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3.11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3.1160000000000001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3.1219999999999999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3.1280000000000001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4.109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4.1150000000000002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4.1210000000000004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4.1269999999999998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5.1020000000000003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5.1050000000000004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5.1079999999999997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5.1139999999999999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5.12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5.1260000000000003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5.1319999999999997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6.1130000000000004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6.1189999999999998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6.125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6.1310000000000002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 t="str">
        <f>Assy.Model!$M41</f>
        <v/>
      </c>
      <c r="N196" s="810" t="str">
        <f>Assy.Model!K41</f>
        <v/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5" t="s">
        <v>33</v>
      </c>
      <c r="C7" s="1432" t="s">
        <v>105</v>
      </c>
      <c r="D7" s="1410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2024-04-19T16:24:45Z</dcterms:modified>
</cp:coreProperties>
</file>